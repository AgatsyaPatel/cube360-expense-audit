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gatsya\Downloads\"/>
    </mc:Choice>
  </mc:AlternateContent>
  <xr:revisionPtr revIDLastSave="0" documentId="13_ncr:1_{E10703F1-ABB1-4833-9E3C-2882275310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2" r:id="rId1"/>
    <sheet name="Transactions" sheetId="2" r:id="rId2"/>
    <sheet name="Removed_Duplicates" sheetId="3" r:id="rId3"/>
    <sheet name="Employees_Info" sheetId="5" r:id="rId4"/>
    <sheet name="MCC_Lookup" sheetId="1" r:id="rId5"/>
    <sheet name="Data_Cleaning_Log" sheetId="4" r:id="rId6"/>
  </sheets>
  <externalReferences>
    <externalReference r:id="rId7"/>
  </externalReferences>
  <calcPr calcId="191029"/>
  <pivotCaches>
    <pivotCache cacheId="1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E6" i="12"/>
  <c r="E7" i="12"/>
  <c r="E8" i="12"/>
  <c r="E9" i="12"/>
  <c r="E10" i="12"/>
  <c r="E11" i="12"/>
  <c r="E12" i="12"/>
  <c r="E4" i="12"/>
  <c r="D5" i="12"/>
  <c r="D6" i="12"/>
  <c r="D7" i="12"/>
  <c r="D8" i="12"/>
  <c r="D9" i="12"/>
  <c r="D10" i="12"/>
  <c r="D11" i="12"/>
  <c r="D12" i="12"/>
  <c r="D4" i="12"/>
  <c r="M2" i="2"/>
  <c r="N2" i="2" s="1"/>
  <c r="O2" i="2"/>
  <c r="M3" i="2"/>
  <c r="N3" i="2"/>
  <c r="O3" i="2"/>
  <c r="M4" i="2"/>
  <c r="N4" i="2" s="1"/>
  <c r="O4" i="2"/>
  <c r="M5" i="2"/>
  <c r="N5" i="2" s="1"/>
  <c r="O5" i="2"/>
  <c r="M6" i="2"/>
  <c r="N6" i="2" s="1"/>
  <c r="O6" i="2"/>
  <c r="M7" i="2"/>
  <c r="N7" i="2" s="1"/>
  <c r="O7" i="2"/>
  <c r="M8" i="2"/>
  <c r="N8" i="2"/>
  <c r="O8" i="2"/>
  <c r="M9" i="2"/>
  <c r="N9" i="2" s="1"/>
  <c r="O9" i="2"/>
  <c r="M10" i="2"/>
  <c r="N10" i="2" s="1"/>
  <c r="O10" i="2"/>
  <c r="M11" i="2"/>
  <c r="N11" i="2" s="1"/>
  <c r="O11" i="2"/>
  <c r="M12" i="2"/>
  <c r="N12" i="2" s="1"/>
  <c r="O12" i="2"/>
  <c r="M13" i="2"/>
  <c r="N13" i="2" s="1"/>
  <c r="O13" i="2"/>
  <c r="M14" i="2"/>
  <c r="N14" i="2"/>
  <c r="O14" i="2"/>
  <c r="M15" i="2"/>
  <c r="N15" i="2"/>
  <c r="O15" i="2"/>
  <c r="M16" i="2"/>
  <c r="N16" i="2" s="1"/>
  <c r="O16" i="2"/>
  <c r="M17" i="2"/>
  <c r="N17" i="2" s="1"/>
  <c r="O17" i="2"/>
  <c r="M18" i="2"/>
  <c r="N18" i="2" s="1"/>
  <c r="O18" i="2"/>
  <c r="M19" i="2"/>
  <c r="N19" i="2" s="1"/>
  <c r="O19" i="2"/>
  <c r="M20" i="2"/>
  <c r="N20" i="2" s="1"/>
  <c r="O20" i="2"/>
  <c r="M21" i="2"/>
  <c r="N21" i="2" s="1"/>
  <c r="O21" i="2"/>
  <c r="M22" i="2"/>
  <c r="N22" i="2"/>
  <c r="O22" i="2"/>
  <c r="M23" i="2"/>
  <c r="N23" i="2"/>
  <c r="O23" i="2"/>
  <c r="M24" i="2"/>
  <c r="N24" i="2" s="1"/>
  <c r="O24" i="2"/>
  <c r="M25" i="2"/>
  <c r="N25" i="2" s="1"/>
  <c r="O25" i="2"/>
  <c r="M26" i="2"/>
  <c r="N26" i="2" s="1"/>
  <c r="O26" i="2"/>
  <c r="M27" i="2"/>
  <c r="N27" i="2"/>
  <c r="O27" i="2"/>
  <c r="M28" i="2"/>
  <c r="N28" i="2" s="1"/>
  <c r="O28" i="2"/>
  <c r="M29" i="2"/>
  <c r="N29" i="2"/>
  <c r="O29" i="2"/>
  <c r="M30" i="2"/>
  <c r="N30" i="2" s="1"/>
  <c r="O30" i="2"/>
  <c r="M31" i="2"/>
  <c r="N31" i="2"/>
  <c r="O31" i="2"/>
  <c r="M32" i="2"/>
  <c r="N32" i="2" s="1"/>
  <c r="O32" i="2"/>
  <c r="M33" i="2"/>
  <c r="N33" i="2" s="1"/>
  <c r="O33" i="2"/>
  <c r="M34" i="2"/>
  <c r="N34" i="2"/>
  <c r="O34" i="2"/>
  <c r="M35" i="2"/>
  <c r="N35" i="2"/>
  <c r="O35" i="2"/>
  <c r="M36" i="2"/>
  <c r="N36" i="2" s="1"/>
  <c r="O36" i="2"/>
  <c r="M37" i="2"/>
  <c r="N37" i="2"/>
  <c r="O37" i="2"/>
  <c r="M38" i="2"/>
  <c r="N38" i="2"/>
  <c r="O38" i="2"/>
  <c r="M39" i="2"/>
  <c r="N39" i="2"/>
  <c r="O39" i="2"/>
  <c r="M40" i="2"/>
  <c r="N40" i="2" s="1"/>
  <c r="O40" i="2"/>
  <c r="M41" i="2"/>
  <c r="N41" i="2" s="1"/>
  <c r="O41" i="2"/>
  <c r="M42" i="2"/>
  <c r="N42" i="2" s="1"/>
  <c r="O42" i="2"/>
  <c r="M43" i="2"/>
  <c r="N43" i="2"/>
  <c r="O43" i="2"/>
  <c r="M44" i="2"/>
  <c r="N44" i="2"/>
  <c r="O44" i="2"/>
  <c r="M45" i="2"/>
  <c r="N45" i="2" s="1"/>
  <c r="O45" i="2"/>
  <c r="M46" i="2"/>
  <c r="N46" i="2" s="1"/>
  <c r="O46" i="2"/>
  <c r="M47" i="2"/>
  <c r="N47" i="2" s="1"/>
  <c r="O47" i="2"/>
  <c r="M48" i="2"/>
  <c r="N48" i="2" s="1"/>
  <c r="O48" i="2"/>
  <c r="M49" i="2"/>
  <c r="N49" i="2"/>
  <c r="O49" i="2"/>
  <c r="M50" i="2"/>
  <c r="N50" i="2" s="1"/>
  <c r="O50" i="2"/>
  <c r="M51" i="2"/>
  <c r="N51" i="2" s="1"/>
  <c r="O51" i="2"/>
  <c r="M52" i="2"/>
  <c r="N52" i="2" s="1"/>
  <c r="O52" i="2"/>
  <c r="M53" i="2"/>
  <c r="N53" i="2" s="1"/>
  <c r="O53" i="2"/>
  <c r="M54" i="2"/>
  <c r="N54" i="2"/>
  <c r="O54" i="2"/>
  <c r="M55" i="2"/>
  <c r="N55" i="2" s="1"/>
  <c r="O55" i="2"/>
  <c r="M56" i="2"/>
  <c r="N56" i="2"/>
  <c r="O56" i="2"/>
  <c r="M57" i="2"/>
  <c r="N57" i="2"/>
  <c r="O57" i="2"/>
  <c r="M58" i="2"/>
  <c r="N58" i="2"/>
  <c r="O58" i="2"/>
  <c r="M59" i="2"/>
  <c r="N59" i="2" s="1"/>
  <c r="O59" i="2"/>
  <c r="M60" i="2"/>
  <c r="N60" i="2" s="1"/>
  <c r="O60" i="2"/>
  <c r="M61" i="2"/>
  <c r="N61" i="2" s="1"/>
  <c r="O61" i="2"/>
  <c r="M62" i="2"/>
  <c r="N62" i="2" s="1"/>
  <c r="O62" i="2"/>
  <c r="M63" i="2"/>
  <c r="N63" i="2"/>
  <c r="O63" i="2"/>
  <c r="M64" i="2"/>
  <c r="N64" i="2"/>
  <c r="O64" i="2"/>
  <c r="M65" i="2"/>
  <c r="N65" i="2" s="1"/>
  <c r="O65" i="2"/>
  <c r="M66" i="2"/>
  <c r="N66" i="2" s="1"/>
  <c r="O66" i="2"/>
  <c r="M67" i="2"/>
  <c r="N67" i="2" s="1"/>
  <c r="O67" i="2"/>
  <c r="M68" i="2"/>
  <c r="N68" i="2" s="1"/>
  <c r="O68" i="2"/>
  <c r="M69" i="2"/>
  <c r="N69" i="2" s="1"/>
  <c r="O69" i="2"/>
  <c r="M70" i="2"/>
  <c r="N70" i="2" s="1"/>
  <c r="O70" i="2"/>
  <c r="M71" i="2"/>
  <c r="N71" i="2"/>
  <c r="O71" i="2"/>
  <c r="M72" i="2"/>
  <c r="N72" i="2" s="1"/>
  <c r="O72" i="2"/>
  <c r="M73" i="2"/>
  <c r="N73" i="2" s="1"/>
  <c r="O73" i="2"/>
  <c r="M74" i="2"/>
  <c r="N74" i="2" s="1"/>
  <c r="O74" i="2"/>
  <c r="M75" i="2"/>
  <c r="N75" i="2" s="1"/>
  <c r="O75" i="2"/>
  <c r="M76" i="2"/>
  <c r="N76" i="2"/>
  <c r="O76" i="2"/>
  <c r="M77" i="2"/>
  <c r="N77" i="2"/>
  <c r="O77" i="2"/>
  <c r="M78" i="2"/>
  <c r="N78" i="2" s="1"/>
  <c r="O78" i="2"/>
  <c r="M79" i="2"/>
  <c r="N79" i="2"/>
  <c r="O79" i="2"/>
  <c r="M80" i="2"/>
  <c r="N80" i="2" s="1"/>
  <c r="O80" i="2"/>
  <c r="M81" i="2"/>
  <c r="N81" i="2" s="1"/>
  <c r="O81" i="2"/>
  <c r="M82" i="2"/>
  <c r="N82" i="2" s="1"/>
  <c r="O82" i="2"/>
  <c r="M83" i="2"/>
  <c r="N83" i="2" s="1"/>
  <c r="O83" i="2"/>
  <c r="M84" i="2"/>
  <c r="N84" i="2" s="1"/>
  <c r="O84" i="2"/>
  <c r="M85" i="2"/>
  <c r="N85" i="2"/>
  <c r="O85" i="2"/>
  <c r="M86" i="2"/>
  <c r="N86" i="2"/>
  <c r="O86" i="2"/>
  <c r="M87" i="2"/>
  <c r="N87" i="2" s="1"/>
  <c r="O87" i="2"/>
  <c r="M88" i="2"/>
  <c r="N88" i="2" s="1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 s="1"/>
  <c r="O93" i="2"/>
  <c r="M94" i="2"/>
  <c r="N94" i="2"/>
  <c r="O94" i="2"/>
  <c r="M95" i="2"/>
  <c r="N95" i="2" s="1"/>
  <c r="O95" i="2"/>
  <c r="M96" i="2"/>
  <c r="N96" i="2" s="1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 s="1"/>
  <c r="O106" i="2"/>
  <c r="M107" i="2"/>
  <c r="N107" i="2" s="1"/>
  <c r="O107" i="2"/>
  <c r="M108" i="2"/>
  <c r="N108" i="2" s="1"/>
  <c r="O108" i="2"/>
  <c r="M109" i="2"/>
  <c r="N109" i="2"/>
  <c r="O109" i="2"/>
  <c r="M110" i="2"/>
  <c r="N110" i="2"/>
  <c r="O110" i="2"/>
  <c r="M111" i="2"/>
  <c r="N111" i="2" s="1"/>
  <c r="O111" i="2"/>
  <c r="M112" i="2"/>
  <c r="N112" i="2" s="1"/>
  <c r="O112" i="2"/>
  <c r="M113" i="2"/>
  <c r="N113" i="2"/>
  <c r="O113" i="2"/>
  <c r="M114" i="2"/>
  <c r="N114" i="2" s="1"/>
  <c r="O114" i="2"/>
  <c r="M115" i="2"/>
  <c r="N115" i="2" s="1"/>
  <c r="O115" i="2"/>
  <c r="M116" i="2"/>
  <c r="N116" i="2" s="1"/>
  <c r="O116" i="2"/>
  <c r="M117" i="2"/>
  <c r="N117" i="2"/>
  <c r="O117" i="2"/>
  <c r="M118" i="2"/>
  <c r="N118" i="2" s="1"/>
  <c r="O118" i="2"/>
  <c r="M119" i="2"/>
  <c r="N119" i="2" s="1"/>
  <c r="O119" i="2"/>
  <c r="M120" i="2"/>
  <c r="N120" i="2"/>
  <c r="O120" i="2"/>
  <c r="M121" i="2"/>
  <c r="N121" i="2" s="1"/>
  <c r="O121" i="2"/>
  <c r="M122" i="2"/>
  <c r="N122" i="2"/>
  <c r="O122" i="2"/>
  <c r="M123" i="2"/>
  <c r="N123" i="2"/>
  <c r="O123" i="2"/>
  <c r="M124" i="2"/>
  <c r="N124" i="2"/>
  <c r="O124" i="2"/>
  <c r="M125" i="2"/>
  <c r="N125" i="2" s="1"/>
  <c r="O125" i="2"/>
  <c r="M126" i="2"/>
  <c r="N126" i="2" s="1"/>
  <c r="O126" i="2"/>
  <c r="M127" i="2"/>
  <c r="N127" i="2"/>
  <c r="O127" i="2"/>
  <c r="M128" i="2"/>
  <c r="N128" i="2" s="1"/>
  <c r="O128" i="2"/>
  <c r="M129" i="2"/>
  <c r="N129" i="2" s="1"/>
  <c r="O129" i="2"/>
  <c r="M130" i="2"/>
  <c r="N130" i="2" s="1"/>
  <c r="O130" i="2"/>
  <c r="M131" i="2"/>
  <c r="N131" i="2" s="1"/>
  <c r="O131" i="2"/>
  <c r="M132" i="2"/>
  <c r="N132" i="2" s="1"/>
  <c r="O132" i="2"/>
  <c r="M133" i="2"/>
  <c r="N133" i="2" s="1"/>
  <c r="O133" i="2"/>
  <c r="M134" i="2"/>
  <c r="N134" i="2" s="1"/>
  <c r="O134" i="2"/>
  <c r="M135" i="2"/>
  <c r="N135" i="2" s="1"/>
  <c r="O135" i="2"/>
  <c r="M136" i="2"/>
  <c r="N136" i="2" s="1"/>
  <c r="O136" i="2"/>
  <c r="M137" i="2"/>
  <c r="N137" i="2" s="1"/>
  <c r="O137" i="2"/>
  <c r="M138" i="2"/>
  <c r="N138" i="2"/>
  <c r="O138" i="2"/>
  <c r="M139" i="2"/>
  <c r="N139" i="2" s="1"/>
  <c r="O139" i="2"/>
  <c r="M140" i="2"/>
  <c r="N140" i="2" s="1"/>
  <c r="O140" i="2"/>
  <c r="M141" i="2"/>
  <c r="N141" i="2" s="1"/>
  <c r="O141" i="2"/>
  <c r="M142" i="2"/>
  <c r="N142" i="2"/>
  <c r="O142" i="2"/>
  <c r="M143" i="2"/>
  <c r="N143" i="2"/>
  <c r="O143" i="2"/>
  <c r="M144" i="2"/>
  <c r="N144" i="2" s="1"/>
  <c r="O144" i="2"/>
  <c r="M145" i="2"/>
  <c r="N145" i="2" s="1"/>
  <c r="O145" i="2"/>
  <c r="M146" i="2"/>
  <c r="N146" i="2" s="1"/>
  <c r="O146" i="2"/>
  <c r="M147" i="2"/>
  <c r="N147" i="2" s="1"/>
  <c r="O147" i="2"/>
  <c r="M148" i="2"/>
  <c r="N148" i="2" s="1"/>
  <c r="O148" i="2"/>
  <c r="M149" i="2"/>
  <c r="N149" i="2"/>
  <c r="O149" i="2"/>
  <c r="M150" i="2"/>
  <c r="N150" i="2"/>
  <c r="O150" i="2"/>
  <c r="M151" i="2"/>
  <c r="N151" i="2" s="1"/>
  <c r="O151" i="2"/>
  <c r="M152" i="2"/>
  <c r="N152" i="2"/>
  <c r="O152" i="2"/>
  <c r="M153" i="2"/>
  <c r="N153" i="2" s="1"/>
  <c r="O153" i="2"/>
  <c r="M154" i="2"/>
  <c r="N154" i="2"/>
  <c r="O154" i="2"/>
  <c r="M155" i="2"/>
  <c r="N155" i="2" s="1"/>
  <c r="O155" i="2"/>
  <c r="M156" i="2"/>
  <c r="N156" i="2" s="1"/>
  <c r="O156" i="2"/>
  <c r="M157" i="2"/>
  <c r="N157" i="2" s="1"/>
  <c r="O157" i="2"/>
  <c r="M158" i="2"/>
  <c r="N158" i="2" s="1"/>
  <c r="O158" i="2"/>
  <c r="M159" i="2"/>
  <c r="N159" i="2"/>
  <c r="O159" i="2"/>
  <c r="M160" i="2"/>
  <c r="N160" i="2" s="1"/>
  <c r="O160" i="2"/>
  <c r="M161" i="2"/>
  <c r="N161" i="2" s="1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 s="1"/>
  <c r="O168" i="2"/>
  <c r="M169" i="2"/>
  <c r="N169" i="2" s="1"/>
  <c r="O169" i="2"/>
  <c r="M170" i="2"/>
  <c r="N170" i="2"/>
  <c r="O170" i="2"/>
  <c r="M171" i="2"/>
  <c r="N171" i="2" s="1"/>
  <c r="O171" i="2"/>
  <c r="M172" i="2"/>
  <c r="N172" i="2" s="1"/>
  <c r="O172" i="2"/>
  <c r="M173" i="2"/>
  <c r="N173" i="2" s="1"/>
  <c r="O173" i="2"/>
  <c r="M174" i="2"/>
  <c r="N174" i="2" s="1"/>
  <c r="O174" i="2"/>
  <c r="M175" i="2"/>
  <c r="N175" i="2"/>
  <c r="O175" i="2"/>
  <c r="M176" i="2"/>
  <c r="N176" i="2"/>
  <c r="O176" i="2"/>
  <c r="M177" i="2"/>
  <c r="N177" i="2" s="1"/>
  <c r="O177" i="2"/>
  <c r="M178" i="2"/>
  <c r="N178" i="2"/>
  <c r="O178" i="2"/>
  <c r="M179" i="2"/>
  <c r="N179" i="2" s="1"/>
  <c r="O179" i="2"/>
  <c r="M180" i="2"/>
  <c r="N180" i="2" s="1"/>
  <c r="O180" i="2"/>
  <c r="M181" i="2"/>
  <c r="N181" i="2" s="1"/>
  <c r="O181" i="2"/>
  <c r="M182" i="2"/>
  <c r="N182" i="2" s="1"/>
  <c r="O182" i="2"/>
  <c r="M183" i="2"/>
  <c r="N183" i="2" s="1"/>
  <c r="O183" i="2"/>
  <c r="M184" i="2"/>
  <c r="N184" i="2" s="1"/>
  <c r="O184" i="2"/>
  <c r="M185" i="2"/>
  <c r="N185" i="2" s="1"/>
  <c r="O185" i="2"/>
  <c r="M186" i="2"/>
  <c r="N186" i="2" s="1"/>
  <c r="O186" i="2"/>
  <c r="M187" i="2"/>
  <c r="N187" i="2" s="1"/>
  <c r="O187" i="2"/>
  <c r="M188" i="2"/>
  <c r="N188" i="2" s="1"/>
  <c r="O188" i="2"/>
  <c r="M189" i="2"/>
  <c r="N189" i="2"/>
  <c r="O189" i="2"/>
  <c r="M190" i="2"/>
  <c r="N190" i="2"/>
  <c r="O190" i="2"/>
  <c r="M191" i="2"/>
  <c r="N191" i="2" s="1"/>
  <c r="O191" i="2"/>
  <c r="M192" i="2"/>
  <c r="N192" i="2" s="1"/>
  <c r="O192" i="2"/>
  <c r="M193" i="2"/>
  <c r="N193" i="2" s="1"/>
  <c r="O193" i="2"/>
  <c r="M194" i="2"/>
  <c r="N194" i="2" s="1"/>
  <c r="O194" i="2"/>
  <c r="M195" i="2"/>
  <c r="N195" i="2"/>
  <c r="O195" i="2"/>
  <c r="M196" i="2"/>
  <c r="N196" i="2"/>
  <c r="O196" i="2"/>
  <c r="M197" i="2"/>
  <c r="N197" i="2" s="1"/>
  <c r="O197" i="2"/>
  <c r="M198" i="2"/>
  <c r="N198" i="2" s="1"/>
  <c r="O198" i="2"/>
  <c r="M199" i="2"/>
  <c r="N199" i="2" s="1"/>
  <c r="O199" i="2"/>
  <c r="M200" i="2"/>
  <c r="N200" i="2" s="1"/>
  <c r="O200" i="2"/>
  <c r="M201" i="2"/>
  <c r="N201" i="2" s="1"/>
  <c r="O201" i="2"/>
  <c r="M202" i="2"/>
  <c r="N202" i="2" s="1"/>
  <c r="O202" i="2"/>
  <c r="M203" i="2"/>
  <c r="N203" i="2"/>
  <c r="O203" i="2"/>
  <c r="M204" i="2"/>
  <c r="N204" i="2" s="1"/>
  <c r="O204" i="2"/>
  <c r="M205" i="2"/>
  <c r="N205" i="2"/>
  <c r="O205" i="2"/>
  <c r="M206" i="2"/>
  <c r="N206" i="2"/>
  <c r="O206" i="2"/>
  <c r="M207" i="2"/>
  <c r="N207" i="2" s="1"/>
  <c r="O207" i="2"/>
  <c r="M208" i="2"/>
  <c r="N208" i="2" s="1"/>
  <c r="O208" i="2"/>
  <c r="M209" i="2"/>
  <c r="N209" i="2" s="1"/>
  <c r="O209" i="2"/>
  <c r="M210" i="2"/>
  <c r="N210" i="2"/>
  <c r="O210" i="2"/>
  <c r="M211" i="2"/>
  <c r="N211" i="2" s="1"/>
  <c r="O211" i="2"/>
  <c r="M212" i="2"/>
  <c r="N212" i="2"/>
  <c r="O212" i="2"/>
  <c r="M213" i="2"/>
  <c r="N213" i="2"/>
  <c r="O213" i="2"/>
  <c r="M214" i="2"/>
  <c r="N214" i="2" s="1"/>
  <c r="O214" i="2"/>
  <c r="M215" i="2"/>
  <c r="N215" i="2"/>
  <c r="O215" i="2"/>
  <c r="M216" i="2"/>
  <c r="N216" i="2" s="1"/>
  <c r="O216" i="2"/>
  <c r="M217" i="2"/>
  <c r="N217" i="2" s="1"/>
  <c r="O217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 s="1"/>
  <c r="O222" i="2"/>
  <c r="M223" i="2"/>
  <c r="N223" i="2"/>
  <c r="O223" i="2"/>
  <c r="M224" i="2"/>
  <c r="N224" i="2"/>
  <c r="O224" i="2"/>
  <c r="M225" i="2"/>
  <c r="N225" i="2" s="1"/>
  <c r="O225" i="2"/>
  <c r="M226" i="2"/>
  <c r="N226" i="2"/>
  <c r="O226" i="2"/>
  <c r="M227" i="2"/>
  <c r="N227" i="2" s="1"/>
  <c r="O227" i="2"/>
  <c r="M228" i="2"/>
  <c r="N228" i="2" s="1"/>
  <c r="O228" i="2"/>
  <c r="M229" i="2"/>
  <c r="N229" i="2" s="1"/>
  <c r="O229" i="2"/>
  <c r="M230" i="2"/>
  <c r="N230" i="2" s="1"/>
  <c r="O230" i="2"/>
  <c r="M231" i="2"/>
  <c r="N231" i="2" s="1"/>
  <c r="O231" i="2"/>
  <c r="M232" i="2"/>
  <c r="N232" i="2" s="1"/>
  <c r="O232" i="2"/>
  <c r="M233" i="2"/>
  <c r="N233" i="2" s="1"/>
  <c r="O233" i="2"/>
  <c r="M234" i="2"/>
  <c r="N234" i="2" s="1"/>
  <c r="O234" i="2"/>
  <c r="M235" i="2"/>
  <c r="N235" i="2" s="1"/>
  <c r="O235" i="2"/>
  <c r="M236" i="2"/>
  <c r="N236" i="2" s="1"/>
  <c r="O236" i="2"/>
  <c r="M237" i="2"/>
  <c r="N237" i="2"/>
  <c r="O237" i="2"/>
  <c r="M238" i="2"/>
  <c r="N238" i="2"/>
  <c r="O238" i="2"/>
  <c r="M239" i="2"/>
  <c r="N239" i="2" s="1"/>
  <c r="O239" i="2"/>
  <c r="M240" i="2"/>
  <c r="N240" i="2" s="1"/>
  <c r="O240" i="2"/>
  <c r="M241" i="2"/>
  <c r="N241" i="2"/>
  <c r="O241" i="2"/>
  <c r="M242" i="2"/>
  <c r="N242" i="2" s="1"/>
  <c r="O242" i="2"/>
  <c r="M243" i="2"/>
  <c r="N243" i="2" s="1"/>
  <c r="O243" i="2"/>
  <c r="M244" i="2"/>
  <c r="N244" i="2" s="1"/>
  <c r="O244" i="2"/>
  <c r="M245" i="2"/>
  <c r="N245" i="2" s="1"/>
  <c r="O245" i="2"/>
  <c r="M246" i="2"/>
  <c r="N246" i="2"/>
  <c r="O246" i="2"/>
  <c r="M247" i="2"/>
  <c r="N247" i="2"/>
  <c r="O247" i="2"/>
  <c r="M248" i="2"/>
  <c r="N248" i="2" s="1"/>
  <c r="O248" i="2"/>
  <c r="M249" i="2"/>
  <c r="N249" i="2" s="1"/>
  <c r="O249" i="2"/>
  <c r="M250" i="2"/>
  <c r="N250" i="2" s="1"/>
  <c r="O250" i="2"/>
  <c r="M251" i="2"/>
  <c r="N251" i="2" s="1"/>
  <c r="O251" i="2"/>
  <c r="M252" i="2"/>
  <c r="N252" i="2"/>
  <c r="O252" i="2"/>
  <c r="M253" i="2"/>
  <c r="N253" i="2"/>
  <c r="O253" i="2"/>
  <c r="M254" i="2"/>
  <c r="N254" i="2"/>
  <c r="O254" i="2"/>
  <c r="M255" i="2"/>
  <c r="N255" i="2" s="1"/>
  <c r="O255" i="2"/>
  <c r="M256" i="2"/>
  <c r="N256" i="2"/>
  <c r="O256" i="2"/>
  <c r="M257" i="2"/>
  <c r="N257" i="2" s="1"/>
  <c r="O257" i="2"/>
  <c r="M258" i="2"/>
  <c r="N258" i="2"/>
  <c r="O258" i="2"/>
  <c r="M259" i="2"/>
  <c r="N259" i="2" s="1"/>
  <c r="O259" i="2"/>
  <c r="M260" i="2"/>
  <c r="N260" i="2" s="1"/>
  <c r="O260" i="2"/>
  <c r="M261" i="2"/>
  <c r="N261" i="2"/>
  <c r="O261" i="2"/>
  <c r="M262" i="2"/>
  <c r="N262" i="2" s="1"/>
  <c r="O262" i="2"/>
  <c r="M263" i="2"/>
  <c r="N263" i="2" s="1"/>
  <c r="O263" i="2"/>
  <c r="M264" i="2"/>
  <c r="N264" i="2"/>
  <c r="O264" i="2"/>
  <c r="M265" i="2"/>
  <c r="N265" i="2"/>
  <c r="O265" i="2"/>
  <c r="M266" i="2"/>
  <c r="N266" i="2" s="1"/>
  <c r="O266" i="2"/>
  <c r="M267" i="2"/>
  <c r="N267" i="2" s="1"/>
  <c r="O267" i="2"/>
  <c r="M268" i="2"/>
  <c r="N268" i="2" s="1"/>
  <c r="O268" i="2"/>
  <c r="M269" i="2"/>
  <c r="N269" i="2" s="1"/>
  <c r="O269" i="2"/>
  <c r="M270" i="2"/>
  <c r="N270" i="2"/>
  <c r="O270" i="2"/>
  <c r="M271" i="2"/>
  <c r="N271" i="2"/>
  <c r="O271" i="2"/>
  <c r="M272" i="2"/>
  <c r="N272" i="2"/>
  <c r="O272" i="2"/>
  <c r="M273" i="2"/>
  <c r="N273" i="2" s="1"/>
  <c r="O273" i="2"/>
  <c r="M274" i="2"/>
  <c r="N274" i="2"/>
  <c r="O274" i="2"/>
  <c r="M275" i="2"/>
  <c r="N275" i="2" s="1"/>
  <c r="O275" i="2"/>
  <c r="M276" i="2"/>
  <c r="N276" i="2" s="1"/>
  <c r="O276" i="2"/>
  <c r="M277" i="2"/>
  <c r="N277" i="2"/>
  <c r="O277" i="2"/>
  <c r="M278" i="2"/>
  <c r="N278" i="2" s="1"/>
  <c r="O278" i="2"/>
  <c r="M279" i="2"/>
  <c r="N279" i="2"/>
  <c r="O279" i="2"/>
  <c r="M280" i="2"/>
  <c r="N280" i="2" s="1"/>
  <c r="O280" i="2"/>
  <c r="M281" i="2"/>
  <c r="N281" i="2" s="1"/>
  <c r="O281" i="2"/>
  <c r="M282" i="2"/>
  <c r="N282" i="2" s="1"/>
  <c r="O282" i="2"/>
  <c r="M283" i="2"/>
  <c r="N283" i="2" s="1"/>
  <c r="O283" i="2"/>
  <c r="M284" i="2"/>
  <c r="N284" i="2" s="1"/>
  <c r="O284" i="2"/>
  <c r="M285" i="2"/>
  <c r="N285" i="2" s="1"/>
  <c r="O285" i="2"/>
  <c r="M286" i="2"/>
  <c r="N286" i="2" s="1"/>
  <c r="O286" i="2"/>
  <c r="M287" i="2"/>
  <c r="N287" i="2" s="1"/>
  <c r="O287" i="2"/>
  <c r="M288" i="2"/>
  <c r="N288" i="2"/>
  <c r="O288" i="2"/>
  <c r="M289" i="2"/>
  <c r="N289" i="2" s="1"/>
  <c r="O289" i="2"/>
  <c r="M290" i="2"/>
  <c r="N290" i="2" s="1"/>
  <c r="O290" i="2"/>
  <c r="M291" i="2"/>
  <c r="N291" i="2" s="1"/>
  <c r="O291" i="2"/>
  <c r="M292" i="2"/>
  <c r="N292" i="2"/>
  <c r="O292" i="2"/>
  <c r="M293" i="2"/>
  <c r="N293" i="2" s="1"/>
  <c r="O293" i="2"/>
  <c r="M294" i="2"/>
  <c r="N294" i="2" s="1"/>
  <c r="O294" i="2"/>
  <c r="M295" i="2"/>
  <c r="N295" i="2"/>
  <c r="O295" i="2"/>
  <c r="M296" i="2"/>
  <c r="N296" i="2"/>
  <c r="O296" i="2"/>
  <c r="M297" i="2"/>
  <c r="N297" i="2"/>
  <c r="O297" i="2"/>
  <c r="M298" i="2"/>
  <c r="N298" i="2" s="1"/>
  <c r="O298" i="2"/>
  <c r="M299" i="2"/>
  <c r="N299" i="2" s="1"/>
  <c r="O299" i="2"/>
  <c r="M300" i="2"/>
  <c r="N300" i="2" s="1"/>
  <c r="O300" i="2"/>
  <c r="M301" i="2"/>
  <c r="N301" i="2" s="1"/>
  <c r="O301" i="2"/>
  <c r="M302" i="2"/>
  <c r="N302" i="2" s="1"/>
  <c r="O302" i="2"/>
  <c r="M303" i="2"/>
  <c r="N303" i="2"/>
  <c r="O303" i="2"/>
  <c r="M304" i="2"/>
  <c r="N304" i="2" s="1"/>
  <c r="O304" i="2"/>
  <c r="M305" i="2"/>
  <c r="N305" i="2" s="1"/>
  <c r="O305" i="2"/>
  <c r="M306" i="2"/>
  <c r="N306" i="2"/>
  <c r="O306" i="2"/>
  <c r="M307" i="2"/>
  <c r="N307" i="2" s="1"/>
  <c r="O307" i="2"/>
  <c r="M308" i="2"/>
  <c r="N308" i="2"/>
  <c r="O308" i="2"/>
  <c r="M309" i="2"/>
  <c r="N309" i="2"/>
  <c r="O309" i="2"/>
  <c r="M310" i="2"/>
  <c r="N310" i="2"/>
  <c r="O310" i="2"/>
  <c r="M311" i="2"/>
  <c r="N311" i="2"/>
  <c r="O311" i="2"/>
  <c r="M312" i="2"/>
  <c r="N312" i="2" s="1"/>
  <c r="O312" i="2"/>
  <c r="M313" i="2"/>
  <c r="N313" i="2" s="1"/>
  <c r="O313" i="2"/>
  <c r="M314" i="2"/>
  <c r="N314" i="2"/>
  <c r="O314" i="2"/>
  <c r="M315" i="2"/>
  <c r="N315" i="2" s="1"/>
  <c r="O315" i="2"/>
  <c r="M316" i="2"/>
  <c r="N316" i="2"/>
  <c r="O316" i="2"/>
  <c r="M317" i="2"/>
  <c r="N317" i="2"/>
  <c r="O317" i="2"/>
  <c r="M318" i="2"/>
  <c r="N318" i="2"/>
  <c r="O318" i="2"/>
  <c r="M319" i="2"/>
  <c r="N319" i="2"/>
  <c r="O319" i="2"/>
  <c r="M320" i="2"/>
  <c r="N320" i="2" s="1"/>
  <c r="O320" i="2"/>
  <c r="M321" i="2"/>
  <c r="N321" i="2" s="1"/>
  <c r="O321" i="2"/>
  <c r="M322" i="2"/>
  <c r="N322" i="2" s="1"/>
  <c r="O322" i="2"/>
  <c r="M323" i="2"/>
  <c r="N323" i="2"/>
  <c r="O323" i="2"/>
  <c r="M324" i="2"/>
  <c r="N324" i="2"/>
  <c r="O324" i="2"/>
  <c r="M325" i="2"/>
  <c r="N325" i="2"/>
  <c r="O325" i="2"/>
  <c r="M326" i="2"/>
  <c r="N326" i="2"/>
  <c r="O326" i="2"/>
  <c r="M327" i="2"/>
  <c r="N327" i="2" s="1"/>
  <c r="O327" i="2"/>
  <c r="M328" i="2"/>
  <c r="N328" i="2"/>
  <c r="O328" i="2"/>
  <c r="M329" i="2"/>
  <c r="N329" i="2"/>
  <c r="O329" i="2"/>
  <c r="M330" i="2"/>
  <c r="N330" i="2"/>
  <c r="O330" i="2"/>
  <c r="M331" i="2"/>
  <c r="N331" i="2" s="1"/>
  <c r="O331" i="2"/>
  <c r="M332" i="2"/>
  <c r="N332" i="2" s="1"/>
  <c r="O332" i="2"/>
  <c r="M333" i="2"/>
  <c r="N333" i="2" s="1"/>
  <c r="O333" i="2"/>
  <c r="M334" i="2"/>
  <c r="N334" i="2"/>
  <c r="O334" i="2"/>
  <c r="M335" i="2"/>
  <c r="N335" i="2" s="1"/>
  <c r="O335" i="2"/>
  <c r="M336" i="2"/>
  <c r="N336" i="2"/>
  <c r="O336" i="2"/>
  <c r="M337" i="2"/>
  <c r="N337" i="2"/>
  <c r="O337" i="2"/>
  <c r="M338" i="2"/>
  <c r="N338" i="2"/>
  <c r="O338" i="2"/>
  <c r="M339" i="2"/>
  <c r="N339" i="2" s="1"/>
  <c r="O339" i="2"/>
  <c r="M340" i="2"/>
  <c r="N340" i="2"/>
  <c r="O340" i="2"/>
  <c r="M341" i="2"/>
  <c r="N341" i="2"/>
  <c r="O341" i="2"/>
  <c r="M342" i="2"/>
  <c r="N342" i="2" s="1"/>
  <c r="O342" i="2"/>
  <c r="M343" i="2"/>
  <c r="N343" i="2" s="1"/>
  <c r="O343" i="2"/>
  <c r="M344" i="2"/>
  <c r="N344" i="2"/>
  <c r="O344" i="2"/>
  <c r="M345" i="2"/>
  <c r="N345" i="2" s="1"/>
  <c r="O345" i="2"/>
  <c r="M346" i="2"/>
  <c r="N346" i="2"/>
  <c r="O346" i="2"/>
  <c r="M347" i="2"/>
  <c r="N347" i="2"/>
  <c r="O347" i="2"/>
  <c r="M348" i="2"/>
  <c r="N348" i="2"/>
  <c r="O348" i="2"/>
  <c r="M349" i="2"/>
  <c r="N349" i="2"/>
  <c r="O349" i="2"/>
  <c r="M350" i="2"/>
  <c r="N350" i="2"/>
  <c r="O350" i="2"/>
  <c r="M351" i="2"/>
  <c r="N351" i="2"/>
  <c r="O351" i="2"/>
  <c r="M352" i="2"/>
  <c r="N352" i="2"/>
  <c r="O352" i="2"/>
  <c r="M353" i="2"/>
  <c r="N353" i="2"/>
  <c r="O353" i="2"/>
  <c r="M354" i="2"/>
  <c r="N354" i="2" s="1"/>
  <c r="O354" i="2"/>
  <c r="M355" i="2"/>
  <c r="N355" i="2"/>
  <c r="O355" i="2"/>
  <c r="M356" i="2"/>
  <c r="N356" i="2"/>
  <c r="O356" i="2"/>
  <c r="M357" i="2"/>
  <c r="N357" i="2" s="1"/>
  <c r="O357" i="2"/>
  <c r="M358" i="2"/>
  <c r="N358" i="2" s="1"/>
  <c r="O358" i="2"/>
  <c r="M359" i="2"/>
  <c r="N359" i="2"/>
  <c r="O359" i="2"/>
  <c r="M360" i="2"/>
  <c r="N360" i="2" s="1"/>
  <c r="O360" i="2"/>
  <c r="M361" i="2"/>
  <c r="N361" i="2"/>
  <c r="O361" i="2"/>
  <c r="M362" i="2"/>
  <c r="N362" i="2" s="1"/>
  <c r="O362" i="2"/>
  <c r="M363" i="2"/>
  <c r="N363" i="2" s="1"/>
  <c r="O363" i="2"/>
  <c r="M364" i="2"/>
  <c r="N364" i="2"/>
  <c r="O364" i="2"/>
  <c r="M365" i="2"/>
  <c r="N365" i="2" s="1"/>
  <c r="O365" i="2"/>
  <c r="M366" i="2"/>
  <c r="N366" i="2" s="1"/>
  <c r="O366" i="2"/>
  <c r="M367" i="2"/>
  <c r="N367" i="2" s="1"/>
  <c r="O367" i="2"/>
  <c r="M368" i="2"/>
  <c r="N368" i="2" s="1"/>
  <c r="O368" i="2"/>
  <c r="M369" i="2"/>
  <c r="N369" i="2"/>
  <c r="O369" i="2"/>
  <c r="M370" i="2"/>
  <c r="N370" i="2"/>
  <c r="O370" i="2"/>
  <c r="M371" i="2"/>
  <c r="N371" i="2"/>
  <c r="O371" i="2"/>
  <c r="M372" i="2"/>
  <c r="N372" i="2"/>
  <c r="O372" i="2"/>
  <c r="M373" i="2"/>
  <c r="N373" i="2"/>
  <c r="O373" i="2"/>
  <c r="M374" i="2"/>
  <c r="N374" i="2"/>
  <c r="O374" i="2"/>
  <c r="M375" i="2"/>
  <c r="N375" i="2" s="1"/>
  <c r="O375" i="2"/>
  <c r="M376" i="2"/>
  <c r="N376" i="2" s="1"/>
  <c r="O376" i="2"/>
  <c r="M377" i="2"/>
  <c r="N377" i="2"/>
  <c r="O377" i="2"/>
  <c r="M378" i="2"/>
  <c r="N378" i="2"/>
  <c r="O378" i="2"/>
  <c r="M379" i="2"/>
  <c r="N379" i="2" s="1"/>
  <c r="O379" i="2"/>
  <c r="M380" i="2"/>
  <c r="N380" i="2"/>
  <c r="O380" i="2"/>
  <c r="M381" i="2"/>
  <c r="N381" i="2" s="1"/>
  <c r="O381" i="2"/>
  <c r="M382" i="2"/>
  <c r="N382" i="2" s="1"/>
  <c r="O382" i="2"/>
  <c r="M383" i="2"/>
  <c r="N383" i="2"/>
  <c r="O383" i="2"/>
  <c r="M384" i="2"/>
  <c r="N384" i="2" s="1"/>
  <c r="O384" i="2"/>
  <c r="M385" i="2"/>
  <c r="N385" i="2" s="1"/>
  <c r="O385" i="2"/>
  <c r="M386" i="2"/>
  <c r="N386" i="2" s="1"/>
  <c r="O386" i="2"/>
  <c r="M387" i="2"/>
  <c r="N387" i="2" s="1"/>
  <c r="O387" i="2"/>
  <c r="M388" i="2"/>
  <c r="N388" i="2" s="1"/>
  <c r="O388" i="2"/>
  <c r="M389" i="2"/>
  <c r="N389" i="2"/>
  <c r="O389" i="2"/>
  <c r="M390" i="2"/>
  <c r="N390" i="2"/>
  <c r="O390" i="2"/>
  <c r="M391" i="2"/>
  <c r="N391" i="2"/>
  <c r="O391" i="2"/>
  <c r="M392" i="2"/>
  <c r="N392" i="2" s="1"/>
  <c r="O392" i="2"/>
  <c r="M393" i="2"/>
  <c r="N393" i="2" s="1"/>
  <c r="O393" i="2"/>
  <c r="M394" i="2"/>
  <c r="N394" i="2" s="1"/>
  <c r="O394" i="2"/>
  <c r="M395" i="2"/>
  <c r="N395" i="2"/>
  <c r="O395" i="2"/>
  <c r="M396" i="2"/>
  <c r="N396" i="2" s="1"/>
  <c r="O396" i="2"/>
  <c r="M397" i="2"/>
  <c r="N397" i="2"/>
  <c r="O397" i="2"/>
  <c r="M398" i="2"/>
  <c r="N398" i="2"/>
  <c r="O398" i="2"/>
  <c r="M399" i="2"/>
  <c r="N399" i="2" s="1"/>
  <c r="O399" i="2"/>
  <c r="M400" i="2"/>
  <c r="N400" i="2"/>
  <c r="O400" i="2"/>
  <c r="M401" i="2"/>
  <c r="N401" i="2" s="1"/>
  <c r="O401" i="2"/>
  <c r="M402" i="2"/>
  <c r="N402" i="2"/>
  <c r="O402" i="2"/>
  <c r="M403" i="2"/>
  <c r="N403" i="2"/>
  <c r="O403" i="2"/>
  <c r="M404" i="2"/>
  <c r="N404" i="2" s="1"/>
  <c r="O404" i="2"/>
  <c r="M405" i="2"/>
  <c r="N405" i="2" s="1"/>
  <c r="O405" i="2"/>
  <c r="M406" i="2"/>
  <c r="N406" i="2"/>
  <c r="O406" i="2"/>
  <c r="M407" i="2"/>
  <c r="N407" i="2" s="1"/>
  <c r="O407" i="2"/>
  <c r="M408" i="2"/>
  <c r="N408" i="2"/>
  <c r="O408" i="2"/>
  <c r="M409" i="2"/>
  <c r="N409" i="2" s="1"/>
  <c r="O409" i="2"/>
  <c r="M410" i="2"/>
  <c r="N410" i="2"/>
  <c r="O410" i="2"/>
  <c r="M411" i="2"/>
  <c r="N411" i="2" s="1"/>
  <c r="O411" i="2"/>
  <c r="M412" i="2"/>
  <c r="N412" i="2" s="1"/>
  <c r="O412" i="2"/>
  <c r="M413" i="2"/>
  <c r="N413" i="2" s="1"/>
  <c r="O413" i="2"/>
  <c r="M414" i="2"/>
  <c r="N414" i="2" s="1"/>
  <c r="O414" i="2"/>
  <c r="M415" i="2"/>
  <c r="N415" i="2" s="1"/>
  <c r="O415" i="2"/>
  <c r="M416" i="2"/>
  <c r="N416" i="2" s="1"/>
  <c r="O416" i="2"/>
  <c r="M417" i="2"/>
  <c r="N417" i="2" s="1"/>
  <c r="O417" i="2"/>
  <c r="M418" i="2"/>
  <c r="N418" i="2" s="1"/>
  <c r="O418" i="2"/>
  <c r="M419" i="2"/>
  <c r="N419" i="2" s="1"/>
  <c r="O419" i="2"/>
  <c r="M420" i="2"/>
  <c r="N420" i="2"/>
  <c r="O420" i="2"/>
  <c r="M421" i="2"/>
  <c r="N421" i="2" s="1"/>
  <c r="O421" i="2"/>
  <c r="M422" i="2"/>
  <c r="N422" i="2" s="1"/>
  <c r="O422" i="2"/>
  <c r="M423" i="2"/>
  <c r="N423" i="2" s="1"/>
  <c r="O423" i="2"/>
  <c r="M424" i="2"/>
  <c r="N424" i="2" s="1"/>
  <c r="O424" i="2"/>
  <c r="M425" i="2"/>
  <c r="N425" i="2"/>
  <c r="O425" i="2"/>
  <c r="M426" i="2"/>
  <c r="N426" i="2" s="1"/>
  <c r="O426" i="2"/>
  <c r="M427" i="2"/>
  <c r="N427" i="2" s="1"/>
  <c r="O427" i="2"/>
  <c r="M428" i="2"/>
  <c r="N428" i="2" s="1"/>
  <c r="O428" i="2"/>
  <c r="M429" i="2"/>
  <c r="N429" i="2" s="1"/>
  <c r="O429" i="2"/>
  <c r="M430" i="2"/>
  <c r="N430" i="2" s="1"/>
  <c r="O430" i="2"/>
  <c r="M431" i="2"/>
  <c r="N431" i="2" s="1"/>
  <c r="O431" i="2"/>
  <c r="M432" i="2"/>
  <c r="N432" i="2"/>
  <c r="O432" i="2"/>
  <c r="M433" i="2"/>
  <c r="N433" i="2" s="1"/>
  <c r="O433" i="2"/>
  <c r="M434" i="2"/>
  <c r="N434" i="2" s="1"/>
  <c r="O434" i="2"/>
  <c r="M435" i="2"/>
  <c r="N435" i="2"/>
  <c r="O435" i="2"/>
  <c r="M436" i="2"/>
  <c r="N436" i="2" s="1"/>
  <c r="O436" i="2"/>
  <c r="M437" i="2"/>
  <c r="N437" i="2" s="1"/>
  <c r="O437" i="2"/>
  <c r="M438" i="2"/>
  <c r="N438" i="2"/>
  <c r="O438" i="2"/>
  <c r="M439" i="2"/>
  <c r="N439" i="2"/>
  <c r="O439" i="2"/>
  <c r="M440" i="2"/>
  <c r="N440" i="2"/>
  <c r="O440" i="2"/>
  <c r="M441" i="2"/>
  <c r="N441" i="2" s="1"/>
  <c r="O441" i="2"/>
  <c r="M442" i="2"/>
  <c r="N442" i="2" s="1"/>
  <c r="O442" i="2"/>
  <c r="M443" i="2"/>
  <c r="N443" i="2" s="1"/>
  <c r="O443" i="2"/>
  <c r="M444" i="2"/>
  <c r="N444" i="2" s="1"/>
  <c r="O444" i="2"/>
  <c r="M445" i="2"/>
  <c r="N445" i="2"/>
  <c r="O445" i="2"/>
  <c r="M446" i="2"/>
  <c r="N446" i="2"/>
  <c r="O446" i="2"/>
  <c r="M447" i="2"/>
  <c r="N447" i="2" s="1"/>
  <c r="O447" i="2"/>
  <c r="M448" i="2"/>
  <c r="N448" i="2"/>
  <c r="O448" i="2"/>
  <c r="M449" i="2"/>
  <c r="N449" i="2" s="1"/>
  <c r="O449" i="2"/>
  <c r="M450" i="2"/>
  <c r="N450" i="2"/>
  <c r="O450" i="2"/>
  <c r="M451" i="2"/>
  <c r="N451" i="2" s="1"/>
  <c r="O451" i="2"/>
  <c r="M452" i="2"/>
  <c r="N452" i="2"/>
  <c r="O452" i="2"/>
  <c r="M453" i="2"/>
  <c r="N453" i="2"/>
  <c r="O453" i="2"/>
  <c r="M454" i="2"/>
  <c r="N454" i="2" s="1"/>
  <c r="O454" i="2"/>
  <c r="M455" i="2"/>
  <c r="N455" i="2"/>
  <c r="O455" i="2"/>
  <c r="M456" i="2"/>
  <c r="N456" i="2" s="1"/>
  <c r="O456" i="2"/>
  <c r="M457" i="2"/>
  <c r="N457" i="2"/>
  <c r="O457" i="2"/>
  <c r="M458" i="2"/>
  <c r="N458" i="2"/>
  <c r="O458" i="2"/>
  <c r="M459" i="2"/>
  <c r="N459" i="2"/>
  <c r="O459" i="2"/>
  <c r="M460" i="2"/>
  <c r="N460" i="2"/>
  <c r="O460" i="2"/>
  <c r="M461" i="2"/>
  <c r="N461" i="2" s="1"/>
  <c r="O461" i="2"/>
  <c r="M462" i="2"/>
  <c r="N462" i="2" s="1"/>
  <c r="O462" i="2"/>
  <c r="M463" i="2"/>
  <c r="N463" i="2"/>
  <c r="O463" i="2"/>
  <c r="M464" i="2"/>
  <c r="N464" i="2" s="1"/>
  <c r="O464" i="2"/>
  <c r="M465" i="2"/>
  <c r="N465" i="2" s="1"/>
  <c r="O465" i="2"/>
  <c r="M466" i="2"/>
  <c r="N466" i="2" s="1"/>
  <c r="O466" i="2"/>
  <c r="M467" i="2"/>
  <c r="N467" i="2" s="1"/>
  <c r="O467" i="2"/>
  <c r="M468" i="2"/>
  <c r="N468" i="2"/>
  <c r="O468" i="2"/>
  <c r="M469" i="2"/>
  <c r="N469" i="2" s="1"/>
  <c r="O469" i="2"/>
  <c r="M470" i="2"/>
  <c r="N470" i="2" s="1"/>
  <c r="O470" i="2"/>
  <c r="M471" i="2"/>
  <c r="N471" i="2" s="1"/>
  <c r="O471" i="2"/>
  <c r="M472" i="2"/>
  <c r="N472" i="2" s="1"/>
  <c r="O472" i="2"/>
  <c r="M473" i="2"/>
  <c r="N473" i="2"/>
  <c r="O473" i="2"/>
  <c r="M474" i="2"/>
  <c r="N474" i="2" s="1"/>
  <c r="O474" i="2"/>
  <c r="M475" i="2"/>
  <c r="N475" i="2" s="1"/>
  <c r="O475" i="2"/>
  <c r="M476" i="2"/>
  <c r="N476" i="2" s="1"/>
  <c r="O476" i="2"/>
  <c r="M477" i="2"/>
  <c r="N477" i="2"/>
  <c r="O477" i="2"/>
  <c r="M478" i="2"/>
  <c r="N478" i="2" s="1"/>
  <c r="O478" i="2"/>
  <c r="M479" i="2"/>
  <c r="N479" i="2"/>
  <c r="O479" i="2"/>
  <c r="M480" i="2"/>
  <c r="N480" i="2" s="1"/>
  <c r="O480" i="2"/>
  <c r="M481" i="2"/>
  <c r="N481" i="2" s="1"/>
  <c r="O481" i="2"/>
  <c r="M482" i="2"/>
  <c r="N482" i="2" s="1"/>
  <c r="O482" i="2"/>
  <c r="M483" i="2"/>
  <c r="N483" i="2" s="1"/>
  <c r="O483" i="2"/>
  <c r="M484" i="2"/>
  <c r="N484" i="2" s="1"/>
  <c r="O484" i="2"/>
  <c r="M485" i="2"/>
  <c r="N485" i="2"/>
  <c r="O485" i="2"/>
  <c r="M486" i="2"/>
  <c r="N486" i="2" s="1"/>
  <c r="O486" i="2"/>
  <c r="M487" i="2"/>
  <c r="N487" i="2"/>
  <c r="O487" i="2"/>
  <c r="M488" i="2"/>
  <c r="N488" i="2" s="1"/>
  <c r="O488" i="2"/>
  <c r="M489" i="2"/>
  <c r="N489" i="2" s="1"/>
  <c r="O489" i="2"/>
  <c r="M490" i="2"/>
  <c r="N490" i="2"/>
  <c r="O490" i="2"/>
  <c r="M491" i="2"/>
  <c r="N491" i="2" s="1"/>
  <c r="O491" i="2"/>
  <c r="M492" i="2"/>
  <c r="N492" i="2"/>
  <c r="O492" i="2"/>
  <c r="M493" i="2"/>
  <c r="N493" i="2" s="1"/>
  <c r="O493" i="2"/>
  <c r="M494" i="2"/>
  <c r="N494" i="2" s="1"/>
  <c r="O494" i="2"/>
  <c r="M495" i="2"/>
  <c r="N495" i="2" s="1"/>
  <c r="O495" i="2"/>
  <c r="M496" i="2"/>
  <c r="N496" i="2"/>
  <c r="O496" i="2"/>
  <c r="M497" i="2"/>
  <c r="N497" i="2" s="1"/>
  <c r="O497" i="2"/>
  <c r="M498" i="2"/>
  <c r="N498" i="2"/>
  <c r="O498" i="2"/>
  <c r="M499" i="2"/>
  <c r="N499" i="2" s="1"/>
  <c r="O499" i="2"/>
  <c r="M500" i="2"/>
  <c r="N500" i="2" s="1"/>
  <c r="O500" i="2"/>
  <c r="M501" i="2"/>
  <c r="N501" i="2"/>
  <c r="O501" i="2"/>
  <c r="M502" i="2"/>
  <c r="N502" i="2"/>
  <c r="O502" i="2"/>
  <c r="M503" i="2"/>
  <c r="N503" i="2"/>
  <c r="O503" i="2"/>
  <c r="M504" i="2"/>
  <c r="N504" i="2" s="1"/>
  <c r="O504" i="2"/>
  <c r="M505" i="2"/>
  <c r="N505" i="2"/>
  <c r="O505" i="2"/>
  <c r="M506" i="2"/>
  <c r="N506" i="2" s="1"/>
  <c r="O506" i="2"/>
  <c r="M507" i="2"/>
  <c r="N507" i="2" s="1"/>
  <c r="O507" i="2"/>
  <c r="M508" i="2"/>
  <c r="N508" i="2" s="1"/>
  <c r="O508" i="2"/>
  <c r="M509" i="2"/>
  <c r="N509" i="2" s="1"/>
  <c r="O509" i="2"/>
  <c r="M510" i="2"/>
  <c r="N510" i="2" s="1"/>
  <c r="O510" i="2"/>
  <c r="M511" i="2"/>
  <c r="N511" i="2" s="1"/>
  <c r="O511" i="2"/>
  <c r="M512" i="2"/>
  <c r="N512" i="2" s="1"/>
  <c r="O512" i="2"/>
  <c r="M513" i="2"/>
  <c r="N513" i="2" s="1"/>
  <c r="O513" i="2"/>
  <c r="M514" i="2"/>
  <c r="N514" i="2"/>
  <c r="O514" i="2"/>
  <c r="M515" i="2"/>
  <c r="N515" i="2" s="1"/>
  <c r="O515" i="2"/>
  <c r="M516" i="2"/>
  <c r="N516" i="2" s="1"/>
  <c r="O516" i="2"/>
  <c r="M517" i="2"/>
  <c r="N517" i="2"/>
  <c r="O517" i="2"/>
  <c r="M518" i="2"/>
  <c r="N518" i="2"/>
  <c r="O518" i="2"/>
  <c r="M519" i="2"/>
  <c r="N519" i="2"/>
  <c r="O519" i="2"/>
  <c r="M520" i="2"/>
  <c r="N520" i="2" s="1"/>
  <c r="O520" i="2"/>
  <c r="M521" i="2"/>
  <c r="N521" i="2" s="1"/>
  <c r="O521" i="2"/>
  <c r="M522" i="2"/>
  <c r="N522" i="2" s="1"/>
  <c r="O522" i="2"/>
  <c r="M523" i="2"/>
  <c r="N523" i="2" s="1"/>
  <c r="O523" i="2"/>
  <c r="M524" i="2"/>
  <c r="N524" i="2"/>
  <c r="O524" i="2"/>
  <c r="M525" i="2"/>
  <c r="N525" i="2"/>
  <c r="O525" i="2"/>
  <c r="M526" i="2"/>
  <c r="N526" i="2" s="1"/>
  <c r="O526" i="2"/>
  <c r="M527" i="2"/>
  <c r="N527" i="2"/>
  <c r="O527" i="2"/>
  <c r="M528" i="2"/>
  <c r="N528" i="2"/>
  <c r="O528" i="2"/>
  <c r="M529" i="2"/>
  <c r="N529" i="2" s="1"/>
  <c r="O529" i="2"/>
  <c r="M530" i="2"/>
  <c r="N530" i="2"/>
  <c r="O530" i="2"/>
  <c r="M531" i="2"/>
  <c r="N531" i="2" s="1"/>
  <c r="O531" i="2"/>
  <c r="M532" i="2"/>
  <c r="N532" i="2" s="1"/>
  <c r="O532" i="2"/>
  <c r="M533" i="2"/>
  <c r="N533" i="2" s="1"/>
  <c r="O533" i="2"/>
  <c r="M534" i="2"/>
  <c r="N534" i="2" s="1"/>
  <c r="O534" i="2"/>
  <c r="M535" i="2"/>
  <c r="N535" i="2" s="1"/>
  <c r="O535" i="2"/>
  <c r="M536" i="2"/>
  <c r="N536" i="2" s="1"/>
  <c r="O536" i="2"/>
  <c r="M537" i="2"/>
  <c r="N537" i="2" s="1"/>
  <c r="O537" i="2"/>
  <c r="M538" i="2"/>
  <c r="N538" i="2"/>
  <c r="O538" i="2"/>
  <c r="M539" i="2"/>
  <c r="N539" i="2" s="1"/>
  <c r="O539" i="2"/>
  <c r="M540" i="2"/>
  <c r="N540" i="2" s="1"/>
  <c r="O540" i="2"/>
  <c r="M541" i="2"/>
  <c r="N541" i="2"/>
  <c r="O541" i="2"/>
  <c r="M542" i="2"/>
  <c r="N542" i="2" s="1"/>
  <c r="O542" i="2"/>
  <c r="M543" i="2"/>
  <c r="N543" i="2" s="1"/>
  <c r="O543" i="2"/>
  <c r="M544" i="2"/>
  <c r="N544" i="2" s="1"/>
  <c r="O544" i="2"/>
  <c r="M545" i="2"/>
  <c r="N545" i="2"/>
  <c r="O545" i="2"/>
  <c r="M546" i="2"/>
  <c r="N546" i="2"/>
  <c r="O546" i="2"/>
  <c r="M547" i="2"/>
  <c r="N547" i="2" s="1"/>
  <c r="O547" i="2"/>
  <c r="M548" i="2"/>
  <c r="N548" i="2"/>
  <c r="O548" i="2"/>
  <c r="M549" i="2"/>
  <c r="N549" i="2" s="1"/>
  <c r="O549" i="2"/>
  <c r="M550" i="2"/>
  <c r="N550" i="2" s="1"/>
  <c r="O550" i="2"/>
  <c r="M551" i="2"/>
  <c r="N551" i="2" s="1"/>
  <c r="O551" i="2"/>
  <c r="M552" i="2"/>
  <c r="N552" i="2" s="1"/>
  <c r="O552" i="2"/>
  <c r="M553" i="2"/>
  <c r="N553" i="2" s="1"/>
  <c r="O553" i="2"/>
  <c r="M554" i="2"/>
  <c r="N554" i="2" s="1"/>
  <c r="O554" i="2"/>
  <c r="M555" i="2"/>
  <c r="N555" i="2" s="1"/>
  <c r="O555" i="2"/>
  <c r="M556" i="2"/>
  <c r="N556" i="2"/>
  <c r="O556" i="2"/>
  <c r="M557" i="2"/>
  <c r="N557" i="2" s="1"/>
  <c r="O557" i="2"/>
  <c r="M558" i="2"/>
  <c r="N558" i="2" s="1"/>
  <c r="O558" i="2"/>
  <c r="M559" i="2"/>
  <c r="N559" i="2"/>
  <c r="O559" i="2"/>
  <c r="M560" i="2"/>
  <c r="N560" i="2" s="1"/>
  <c r="O560" i="2"/>
  <c r="M561" i="2"/>
  <c r="N561" i="2"/>
  <c r="O561" i="2"/>
  <c r="M562" i="2"/>
  <c r="N562" i="2"/>
  <c r="O562" i="2"/>
  <c r="M563" i="2"/>
  <c r="N563" i="2"/>
  <c r="O563" i="2"/>
  <c r="M564" i="2"/>
  <c r="N564" i="2" s="1"/>
  <c r="O564" i="2"/>
  <c r="M565" i="2"/>
  <c r="N565" i="2" s="1"/>
  <c r="O565" i="2"/>
  <c r="M566" i="2"/>
  <c r="N566" i="2" s="1"/>
  <c r="O566" i="2"/>
  <c r="M567" i="2"/>
  <c r="N567" i="2" s="1"/>
  <c r="O567" i="2"/>
  <c r="M568" i="2"/>
  <c r="N568" i="2" s="1"/>
  <c r="O568" i="2"/>
  <c r="M569" i="2"/>
  <c r="N569" i="2"/>
  <c r="O569" i="2"/>
  <c r="M570" i="2"/>
  <c r="N570" i="2" s="1"/>
  <c r="O570" i="2"/>
  <c r="M571" i="2"/>
  <c r="N571" i="2" s="1"/>
  <c r="O571" i="2"/>
  <c r="M572" i="2"/>
  <c r="N572" i="2" s="1"/>
  <c r="O572" i="2"/>
  <c r="M573" i="2"/>
  <c r="N573" i="2" s="1"/>
  <c r="O573" i="2"/>
  <c r="M574" i="2"/>
  <c r="N574" i="2" s="1"/>
  <c r="O574" i="2"/>
  <c r="M575" i="2"/>
  <c r="N575" i="2" s="1"/>
  <c r="O575" i="2"/>
  <c r="M576" i="2"/>
  <c r="N576" i="2" s="1"/>
  <c r="O576" i="2"/>
  <c r="M577" i="2"/>
  <c r="N577" i="2"/>
  <c r="O577" i="2"/>
  <c r="M578" i="2"/>
  <c r="N578" i="2"/>
  <c r="O578" i="2"/>
  <c r="M579" i="2"/>
  <c r="N579" i="2" s="1"/>
  <c r="O579" i="2"/>
  <c r="M580" i="2"/>
  <c r="N580" i="2"/>
  <c r="O580" i="2"/>
  <c r="M581" i="2"/>
  <c r="N581" i="2"/>
  <c r="O581" i="2"/>
  <c r="M582" i="2"/>
  <c r="N582" i="2" s="1"/>
  <c r="O582" i="2"/>
  <c r="M583" i="2"/>
  <c r="N583" i="2" s="1"/>
  <c r="O583" i="2"/>
  <c r="M584" i="2"/>
  <c r="N584" i="2" s="1"/>
  <c r="O584" i="2"/>
  <c r="M585" i="2"/>
  <c r="N585" i="2" s="1"/>
  <c r="O585" i="2"/>
  <c r="M586" i="2"/>
  <c r="N586" i="2"/>
  <c r="O586" i="2"/>
  <c r="M587" i="2"/>
  <c r="N587" i="2" s="1"/>
  <c r="O587" i="2"/>
  <c r="M588" i="2"/>
  <c r="N588" i="2"/>
  <c r="O588" i="2"/>
  <c r="M589" i="2"/>
  <c r="N589" i="2" s="1"/>
  <c r="O589" i="2"/>
  <c r="M590" i="2"/>
  <c r="N590" i="2"/>
  <c r="O590" i="2"/>
  <c r="M591" i="2"/>
  <c r="N591" i="2" s="1"/>
  <c r="O591" i="2"/>
  <c r="M592" i="2"/>
  <c r="N592" i="2"/>
  <c r="O592" i="2"/>
  <c r="M593" i="2"/>
  <c r="N593" i="2"/>
  <c r="O593" i="2"/>
  <c r="M594" i="2"/>
  <c r="N594" i="2"/>
  <c r="O594" i="2"/>
  <c r="M595" i="2"/>
  <c r="N595" i="2" s="1"/>
  <c r="O595" i="2"/>
  <c r="M596" i="2"/>
  <c r="N596" i="2"/>
  <c r="O596" i="2"/>
  <c r="M597" i="2"/>
  <c r="N597" i="2" s="1"/>
  <c r="O597" i="2"/>
  <c r="M598" i="2"/>
  <c r="N598" i="2"/>
  <c r="O598" i="2"/>
  <c r="M599" i="2"/>
  <c r="N599" i="2" s="1"/>
  <c r="O599" i="2"/>
  <c r="M600" i="2"/>
  <c r="N600" i="2"/>
  <c r="O600" i="2"/>
  <c r="M601" i="2"/>
  <c r="N601" i="2"/>
  <c r="O601" i="2"/>
  <c r="M602" i="2"/>
  <c r="N602" i="2"/>
  <c r="O602" i="2"/>
  <c r="M603" i="2"/>
  <c r="N603" i="2"/>
  <c r="O603" i="2"/>
  <c r="M604" i="2"/>
  <c r="N604" i="2"/>
  <c r="O604" i="2"/>
  <c r="M605" i="2"/>
  <c r="N605" i="2" s="1"/>
  <c r="O605" i="2"/>
  <c r="M606" i="2"/>
  <c r="N606" i="2" s="1"/>
  <c r="O606" i="2"/>
  <c r="M607" i="2"/>
  <c r="N607" i="2" s="1"/>
  <c r="O607" i="2"/>
  <c r="M608" i="2"/>
  <c r="N608" i="2" s="1"/>
  <c r="O608" i="2"/>
  <c r="M609" i="2"/>
  <c r="N609" i="2" s="1"/>
  <c r="O609" i="2"/>
  <c r="M610" i="2"/>
  <c r="N610" i="2" s="1"/>
  <c r="O610" i="2"/>
  <c r="M611" i="2"/>
  <c r="N611" i="2"/>
  <c r="O611" i="2"/>
  <c r="M612" i="2"/>
  <c r="N612" i="2" s="1"/>
  <c r="O612" i="2"/>
  <c r="M613" i="2"/>
  <c r="N613" i="2"/>
  <c r="O613" i="2"/>
  <c r="M614" i="2"/>
  <c r="N614" i="2" s="1"/>
  <c r="O614" i="2"/>
  <c r="M615" i="2"/>
  <c r="N615" i="2"/>
  <c r="O615" i="2"/>
  <c r="M616" i="2"/>
  <c r="N616" i="2" s="1"/>
  <c r="O616" i="2"/>
  <c r="M617" i="2"/>
  <c r="N617" i="2" s="1"/>
  <c r="O617" i="2"/>
  <c r="M618" i="2"/>
  <c r="N618" i="2" s="1"/>
  <c r="O618" i="2"/>
  <c r="M619" i="2"/>
  <c r="N619" i="2" s="1"/>
  <c r="O619" i="2"/>
  <c r="M620" i="2"/>
  <c r="N620" i="2" s="1"/>
  <c r="O620" i="2"/>
  <c r="M621" i="2"/>
  <c r="N621" i="2" s="1"/>
  <c r="O621" i="2"/>
  <c r="M622" i="2"/>
  <c r="N622" i="2"/>
  <c r="O622" i="2"/>
  <c r="M623" i="2"/>
  <c r="N623" i="2" s="1"/>
  <c r="O623" i="2"/>
  <c r="M624" i="2"/>
  <c r="N624" i="2"/>
  <c r="O624" i="2"/>
  <c r="M625" i="2"/>
  <c r="N625" i="2"/>
  <c r="O625" i="2"/>
  <c r="M626" i="2"/>
  <c r="N626" i="2" s="1"/>
  <c r="O626" i="2"/>
  <c r="M627" i="2"/>
  <c r="N627" i="2" s="1"/>
  <c r="O627" i="2"/>
  <c r="M628" i="2"/>
  <c r="N628" i="2" s="1"/>
  <c r="O628" i="2"/>
  <c r="M629" i="2"/>
  <c r="N629" i="2" s="1"/>
  <c r="O629" i="2"/>
  <c r="M630" i="2"/>
  <c r="N630" i="2" s="1"/>
  <c r="O630" i="2"/>
  <c r="M631" i="2"/>
  <c r="N631" i="2"/>
  <c r="O631" i="2"/>
  <c r="M632" i="2"/>
  <c r="N632" i="2" s="1"/>
  <c r="O632" i="2"/>
  <c r="M633" i="2"/>
  <c r="N633" i="2"/>
  <c r="O633" i="2"/>
  <c r="M634" i="2"/>
  <c r="N634" i="2"/>
  <c r="O634" i="2"/>
  <c r="M635" i="2"/>
  <c r="N635" i="2" s="1"/>
  <c r="O635" i="2"/>
  <c r="M636" i="2"/>
  <c r="N636" i="2"/>
  <c r="O636" i="2"/>
  <c r="M637" i="2"/>
  <c r="N637" i="2"/>
  <c r="O637" i="2"/>
  <c r="M638" i="2"/>
  <c r="N638" i="2"/>
  <c r="O638" i="2"/>
  <c r="M639" i="2"/>
  <c r="N639" i="2"/>
  <c r="O639" i="2"/>
  <c r="M640" i="2"/>
  <c r="N640" i="2"/>
  <c r="O640" i="2"/>
  <c r="M641" i="2"/>
  <c r="N641" i="2"/>
  <c r="O641" i="2"/>
  <c r="M642" i="2"/>
  <c r="N642" i="2" s="1"/>
  <c r="O642" i="2"/>
  <c r="M643" i="2"/>
  <c r="N643" i="2"/>
  <c r="O643" i="2"/>
  <c r="M644" i="2"/>
  <c r="N644" i="2"/>
  <c r="O644" i="2"/>
  <c r="M645" i="2"/>
  <c r="N645" i="2" s="1"/>
  <c r="O645" i="2"/>
  <c r="M646" i="2"/>
  <c r="N646" i="2"/>
  <c r="O646" i="2"/>
  <c r="M647" i="2"/>
  <c r="N647" i="2"/>
  <c r="O647" i="2"/>
  <c r="M648" i="2"/>
  <c r="N648" i="2"/>
  <c r="O648" i="2"/>
  <c r="M649" i="2"/>
  <c r="N649" i="2"/>
  <c r="O649" i="2"/>
  <c r="M650" i="2"/>
  <c r="N650" i="2"/>
  <c r="O650" i="2"/>
  <c r="M651" i="2"/>
  <c r="N651" i="2"/>
  <c r="O651" i="2"/>
  <c r="M652" i="2"/>
  <c r="N652" i="2"/>
  <c r="O652" i="2"/>
  <c r="M653" i="2"/>
  <c r="N653" i="2"/>
  <c r="O653" i="2"/>
  <c r="M654" i="2"/>
  <c r="N654" i="2"/>
  <c r="O654" i="2"/>
  <c r="M655" i="2"/>
  <c r="N655" i="2"/>
  <c r="O655" i="2"/>
  <c r="M656" i="2"/>
  <c r="N656" i="2"/>
  <c r="O656" i="2"/>
  <c r="M657" i="2"/>
  <c r="N657" i="2"/>
  <c r="O657" i="2"/>
  <c r="M658" i="2"/>
  <c r="N658" i="2"/>
  <c r="O658" i="2"/>
  <c r="M659" i="2"/>
  <c r="N659" i="2"/>
  <c r="O659" i="2"/>
  <c r="M660" i="2"/>
  <c r="N660" i="2"/>
  <c r="O660" i="2"/>
  <c r="M661" i="2"/>
  <c r="N661" i="2" s="1"/>
  <c r="O661" i="2"/>
  <c r="M662" i="2"/>
  <c r="N662" i="2"/>
  <c r="O662" i="2"/>
  <c r="M663" i="2"/>
  <c r="N663" i="2"/>
  <c r="O663" i="2"/>
  <c r="M664" i="2"/>
  <c r="N664" i="2" s="1"/>
  <c r="O664" i="2"/>
  <c r="M665" i="2"/>
  <c r="N665" i="2"/>
  <c r="O665" i="2"/>
  <c r="M666" i="2"/>
  <c r="N666" i="2"/>
  <c r="O666" i="2"/>
  <c r="M667" i="2"/>
  <c r="N667" i="2"/>
  <c r="O667" i="2"/>
  <c r="M668" i="2"/>
  <c r="N668" i="2"/>
  <c r="O668" i="2"/>
  <c r="M669" i="2"/>
  <c r="N669" i="2"/>
  <c r="O669" i="2"/>
  <c r="M670" i="2"/>
  <c r="N670" i="2"/>
  <c r="O670" i="2"/>
  <c r="M671" i="2"/>
  <c r="N671" i="2"/>
  <c r="O671" i="2"/>
  <c r="M672" i="2"/>
  <c r="N672" i="2"/>
  <c r="O672" i="2"/>
  <c r="M673" i="2"/>
  <c r="N673" i="2"/>
  <c r="O673" i="2"/>
  <c r="M674" i="2"/>
  <c r="N674" i="2"/>
  <c r="O674" i="2"/>
  <c r="M675" i="2"/>
  <c r="N675" i="2"/>
  <c r="O675" i="2"/>
  <c r="M676" i="2"/>
  <c r="N676" i="2"/>
  <c r="O676" i="2"/>
  <c r="M677" i="2"/>
  <c r="N677" i="2" s="1"/>
  <c r="O677" i="2"/>
  <c r="M678" i="2"/>
  <c r="N678" i="2"/>
  <c r="O678" i="2"/>
  <c r="M679" i="2"/>
  <c r="N679" i="2"/>
  <c r="O679" i="2"/>
  <c r="M680" i="2"/>
  <c r="N680" i="2"/>
  <c r="O680" i="2"/>
  <c r="M681" i="2"/>
  <c r="N681" i="2"/>
  <c r="O681" i="2"/>
  <c r="M682" i="2"/>
  <c r="N682" i="2"/>
  <c r="O682" i="2"/>
  <c r="M683" i="2"/>
  <c r="N683" i="2"/>
  <c r="O683" i="2"/>
  <c r="M684" i="2"/>
  <c r="N684" i="2"/>
  <c r="O684" i="2"/>
  <c r="M685" i="2"/>
  <c r="N685" i="2"/>
  <c r="O685" i="2"/>
  <c r="M686" i="2"/>
  <c r="N686" i="2"/>
  <c r="O686" i="2"/>
  <c r="M687" i="2"/>
  <c r="N687" i="2"/>
  <c r="O687" i="2"/>
  <c r="M688" i="2"/>
  <c r="N688" i="2"/>
  <c r="O688" i="2"/>
  <c r="M689" i="2"/>
  <c r="N689" i="2" s="1"/>
  <c r="O689" i="2"/>
  <c r="M690" i="2"/>
  <c r="N690" i="2"/>
  <c r="O690" i="2"/>
  <c r="M691" i="2"/>
  <c r="N691" i="2"/>
  <c r="O691" i="2"/>
  <c r="M692" i="2"/>
  <c r="N692" i="2"/>
  <c r="O692" i="2"/>
  <c r="M693" i="2"/>
  <c r="N693" i="2" s="1"/>
  <c r="O693" i="2"/>
  <c r="M694" i="2"/>
  <c r="N694" i="2"/>
  <c r="O694" i="2"/>
  <c r="M695" i="2"/>
  <c r="N695" i="2" s="1"/>
  <c r="O695" i="2"/>
  <c r="M696" i="2"/>
  <c r="N696" i="2"/>
  <c r="O696" i="2"/>
  <c r="M697" i="2"/>
  <c r="N697" i="2" s="1"/>
  <c r="O697" i="2"/>
  <c r="M698" i="2"/>
  <c r="N698" i="2"/>
  <c r="O698" i="2"/>
  <c r="M699" i="2"/>
  <c r="N699" i="2" s="1"/>
  <c r="O699" i="2"/>
  <c r="M700" i="2"/>
  <c r="N700" i="2"/>
  <c r="O700" i="2"/>
  <c r="M701" i="2"/>
  <c r="N701" i="2"/>
  <c r="O701" i="2"/>
  <c r="M702" i="2"/>
  <c r="N702" i="2"/>
  <c r="O702" i="2"/>
  <c r="M703" i="2"/>
  <c r="N703" i="2"/>
  <c r="O703" i="2"/>
  <c r="M704" i="2"/>
  <c r="N704" i="2"/>
  <c r="O704" i="2"/>
  <c r="M705" i="2"/>
  <c r="N705" i="2" s="1"/>
  <c r="O705" i="2"/>
  <c r="M706" i="2"/>
  <c r="N706" i="2"/>
  <c r="O706" i="2"/>
  <c r="M707" i="2"/>
  <c r="N707" i="2"/>
  <c r="O707" i="2"/>
  <c r="M708" i="2"/>
  <c r="N708" i="2"/>
  <c r="O708" i="2"/>
  <c r="M709" i="2"/>
  <c r="N709" i="2"/>
  <c r="O709" i="2"/>
  <c r="M710" i="2"/>
  <c r="N710" i="2"/>
  <c r="O710" i="2"/>
  <c r="M711" i="2"/>
  <c r="N711" i="2"/>
  <c r="O711" i="2"/>
  <c r="M712" i="2"/>
  <c r="N712" i="2"/>
  <c r="O712" i="2"/>
  <c r="M713" i="2"/>
  <c r="N713" i="2"/>
  <c r="O713" i="2"/>
  <c r="M714" i="2"/>
  <c r="N714" i="2"/>
  <c r="O714" i="2"/>
  <c r="M715" i="2"/>
  <c r="N715" i="2" s="1"/>
  <c r="O715" i="2"/>
  <c r="M716" i="2"/>
  <c r="N716" i="2"/>
  <c r="O716" i="2"/>
  <c r="M717" i="2"/>
  <c r="N717" i="2"/>
  <c r="O717" i="2"/>
  <c r="M718" i="2"/>
  <c r="N718" i="2"/>
  <c r="O718" i="2"/>
  <c r="M719" i="2"/>
  <c r="N719" i="2"/>
  <c r="O719" i="2"/>
  <c r="M720" i="2"/>
  <c r="N720" i="2"/>
  <c r="O720" i="2"/>
  <c r="M721" i="2"/>
  <c r="N721" i="2" s="1"/>
  <c r="O721" i="2"/>
  <c r="M722" i="2"/>
  <c r="N722" i="2"/>
  <c r="O722" i="2"/>
  <c r="M723" i="2"/>
  <c r="N723" i="2" s="1"/>
  <c r="O723" i="2"/>
  <c r="M724" i="2"/>
  <c r="N724" i="2"/>
  <c r="O724" i="2"/>
  <c r="M725" i="2"/>
  <c r="N725" i="2" s="1"/>
  <c r="O725" i="2"/>
  <c r="M726" i="2"/>
  <c r="N726" i="2"/>
  <c r="O726" i="2"/>
  <c r="M727" i="2"/>
  <c r="N727" i="2"/>
  <c r="O727" i="2"/>
  <c r="M728" i="2"/>
  <c r="N728" i="2" s="1"/>
  <c r="O728" i="2"/>
  <c r="M729" i="2"/>
  <c r="N729" i="2" s="1"/>
  <c r="O729" i="2"/>
  <c r="M730" i="2"/>
  <c r="N730" i="2"/>
  <c r="O730" i="2"/>
  <c r="M731" i="2"/>
  <c r="N731" i="2"/>
  <c r="O731" i="2"/>
  <c r="M732" i="2"/>
  <c r="N732" i="2"/>
  <c r="O732" i="2"/>
  <c r="M733" i="2"/>
  <c r="N733" i="2"/>
  <c r="O733" i="2"/>
  <c r="M734" i="2"/>
  <c r="N734" i="2"/>
  <c r="O734" i="2"/>
  <c r="M735" i="2"/>
  <c r="N735" i="2"/>
  <c r="O735" i="2"/>
  <c r="M736" i="2"/>
  <c r="N736" i="2"/>
  <c r="O736" i="2"/>
  <c r="M737" i="2"/>
  <c r="N737" i="2"/>
  <c r="O737" i="2"/>
  <c r="M738" i="2"/>
  <c r="N738" i="2"/>
  <c r="O738" i="2"/>
  <c r="M739" i="2"/>
  <c r="N739" i="2"/>
  <c r="O739" i="2"/>
  <c r="M740" i="2"/>
  <c r="N740" i="2"/>
  <c r="O740" i="2"/>
  <c r="M741" i="2"/>
  <c r="N741" i="2"/>
  <c r="O741" i="2"/>
  <c r="M742" i="2"/>
  <c r="N742" i="2"/>
  <c r="O742" i="2"/>
  <c r="M743" i="2"/>
  <c r="N743" i="2" s="1"/>
  <c r="O743" i="2"/>
  <c r="M744" i="2"/>
  <c r="N744" i="2" s="1"/>
  <c r="O744" i="2"/>
  <c r="M745" i="2"/>
  <c r="N745" i="2"/>
  <c r="O745" i="2"/>
  <c r="M746" i="2"/>
  <c r="N746" i="2"/>
  <c r="O746" i="2"/>
  <c r="M747" i="2"/>
  <c r="N747" i="2" s="1"/>
  <c r="O747" i="2"/>
  <c r="M748" i="2"/>
  <c r="N748" i="2"/>
  <c r="O748" i="2"/>
  <c r="M749" i="2"/>
  <c r="N749" i="2"/>
  <c r="O749" i="2"/>
  <c r="M750" i="2"/>
  <c r="N750" i="2"/>
  <c r="O750" i="2"/>
  <c r="M751" i="2"/>
  <c r="N751" i="2"/>
  <c r="O751" i="2"/>
  <c r="M752" i="2"/>
  <c r="N752" i="2" s="1"/>
  <c r="O752" i="2"/>
  <c r="M753" i="2"/>
  <c r="N753" i="2"/>
  <c r="O753" i="2"/>
  <c r="M754" i="2"/>
  <c r="N754" i="2"/>
  <c r="O754" i="2"/>
  <c r="M755" i="2"/>
  <c r="N755" i="2"/>
  <c r="O755" i="2"/>
  <c r="M756" i="2"/>
  <c r="N756" i="2"/>
  <c r="O756" i="2"/>
  <c r="M757" i="2"/>
  <c r="N757" i="2" s="1"/>
  <c r="O757" i="2"/>
  <c r="M758" i="2"/>
  <c r="N758" i="2"/>
  <c r="O758" i="2"/>
  <c r="M759" i="2"/>
  <c r="N759" i="2"/>
  <c r="O759" i="2"/>
  <c r="M760" i="2"/>
  <c r="N760" i="2"/>
  <c r="O760" i="2"/>
  <c r="M761" i="2"/>
  <c r="N761" i="2"/>
  <c r="O761" i="2"/>
  <c r="M762" i="2"/>
  <c r="N762" i="2" s="1"/>
  <c r="O762" i="2"/>
  <c r="M763" i="2"/>
  <c r="N763" i="2" s="1"/>
  <c r="O763" i="2"/>
  <c r="M764" i="2"/>
  <c r="N764" i="2"/>
  <c r="O764" i="2"/>
  <c r="M765" i="2"/>
  <c r="N765" i="2" s="1"/>
  <c r="O765" i="2"/>
  <c r="M766" i="2"/>
  <c r="N766" i="2" s="1"/>
  <c r="O766" i="2"/>
  <c r="M767" i="2"/>
  <c r="N767" i="2"/>
  <c r="O767" i="2"/>
  <c r="M768" i="2"/>
  <c r="N768" i="2" s="1"/>
  <c r="O768" i="2"/>
  <c r="M769" i="2"/>
  <c r="N769" i="2"/>
  <c r="O769" i="2"/>
  <c r="M770" i="2"/>
  <c r="N770" i="2" s="1"/>
  <c r="O770" i="2"/>
  <c r="M771" i="2"/>
  <c r="N771" i="2" s="1"/>
  <c r="O771" i="2"/>
  <c r="M772" i="2"/>
  <c r="N772" i="2" s="1"/>
  <c r="O772" i="2"/>
  <c r="M773" i="2"/>
  <c r="N773" i="2" s="1"/>
  <c r="O773" i="2"/>
  <c r="M774" i="2"/>
  <c r="N774" i="2"/>
  <c r="O774" i="2"/>
  <c r="M775" i="2"/>
  <c r="N775" i="2" s="1"/>
  <c r="O775" i="2"/>
  <c r="M776" i="2"/>
  <c r="N776" i="2"/>
  <c r="O776" i="2"/>
  <c r="M777" i="2"/>
  <c r="N777" i="2"/>
  <c r="O777" i="2"/>
  <c r="M778" i="2"/>
  <c r="N778" i="2" s="1"/>
  <c r="O778" i="2"/>
  <c r="M779" i="2"/>
  <c r="N779" i="2" s="1"/>
  <c r="O779" i="2"/>
  <c r="M780" i="2"/>
  <c r="N780" i="2" s="1"/>
  <c r="O780" i="2"/>
  <c r="M781" i="2"/>
  <c r="N781" i="2"/>
  <c r="O781" i="2"/>
  <c r="M782" i="2"/>
  <c r="N782" i="2" s="1"/>
  <c r="O782" i="2"/>
  <c r="M783" i="2"/>
  <c r="N783" i="2" s="1"/>
  <c r="O783" i="2"/>
  <c r="M784" i="2"/>
  <c r="N784" i="2" s="1"/>
  <c r="O784" i="2"/>
  <c r="M785" i="2"/>
  <c r="N785" i="2"/>
  <c r="O785" i="2"/>
  <c r="M786" i="2"/>
  <c r="N786" i="2" s="1"/>
  <c r="O786" i="2"/>
  <c r="M787" i="2"/>
  <c r="N787" i="2" s="1"/>
  <c r="O787" i="2"/>
  <c r="M788" i="2"/>
  <c r="N788" i="2" s="1"/>
  <c r="O788" i="2"/>
  <c r="M789" i="2"/>
  <c r="N789" i="2" s="1"/>
  <c r="O789" i="2"/>
  <c r="M790" i="2"/>
  <c r="N790" i="2" s="1"/>
  <c r="O790" i="2"/>
  <c r="M791" i="2"/>
  <c r="N791" i="2"/>
  <c r="O791" i="2"/>
  <c r="M792" i="2"/>
  <c r="N792" i="2" s="1"/>
  <c r="O792" i="2"/>
  <c r="M793" i="2"/>
  <c r="N793" i="2"/>
  <c r="O793" i="2"/>
  <c r="M794" i="2"/>
  <c r="N794" i="2" s="1"/>
  <c r="O794" i="2"/>
  <c r="M795" i="2"/>
  <c r="N795" i="2"/>
  <c r="O795" i="2"/>
  <c r="M796" i="2"/>
  <c r="N796" i="2" s="1"/>
  <c r="O796" i="2"/>
  <c r="M797" i="2"/>
  <c r="N797" i="2" s="1"/>
  <c r="O797" i="2"/>
  <c r="M798" i="2"/>
  <c r="N798" i="2" s="1"/>
  <c r="O798" i="2"/>
  <c r="M799" i="2"/>
  <c r="N799" i="2" s="1"/>
  <c r="O799" i="2"/>
  <c r="M800" i="2"/>
  <c r="N800" i="2" s="1"/>
  <c r="O800" i="2"/>
  <c r="M801" i="2"/>
  <c r="N801" i="2"/>
  <c r="O801" i="2"/>
  <c r="M802" i="2"/>
  <c r="N802" i="2"/>
  <c r="O802" i="2"/>
  <c r="M803" i="2"/>
  <c r="N803" i="2" s="1"/>
  <c r="O803" i="2"/>
  <c r="M804" i="2"/>
  <c r="N804" i="2"/>
  <c r="O804" i="2"/>
  <c r="M805" i="2"/>
  <c r="N805" i="2"/>
  <c r="O805" i="2"/>
  <c r="M806" i="2"/>
  <c r="N806" i="2" s="1"/>
  <c r="O806" i="2"/>
  <c r="M807" i="2"/>
  <c r="N807" i="2"/>
  <c r="O807" i="2"/>
  <c r="M808" i="2"/>
  <c r="N808" i="2" s="1"/>
  <c r="O808" i="2"/>
  <c r="M809" i="2"/>
  <c r="N809" i="2"/>
  <c r="O809" i="2"/>
  <c r="M810" i="2"/>
  <c r="N810" i="2" s="1"/>
  <c r="O810" i="2"/>
  <c r="M811" i="2"/>
  <c r="N811" i="2"/>
  <c r="O811" i="2"/>
  <c r="M812" i="2"/>
  <c r="N812" i="2" s="1"/>
  <c r="O812" i="2"/>
  <c r="M813" i="2"/>
  <c r="N813" i="2" s="1"/>
  <c r="O813" i="2"/>
  <c r="M814" i="2"/>
  <c r="N814" i="2"/>
  <c r="O814" i="2"/>
  <c r="M815" i="2"/>
  <c r="N815" i="2" s="1"/>
  <c r="O815" i="2"/>
  <c r="M816" i="2"/>
  <c r="N816" i="2" s="1"/>
  <c r="O816" i="2"/>
  <c r="M817" i="2"/>
  <c r="N817" i="2"/>
  <c r="O817" i="2"/>
  <c r="M818" i="2"/>
  <c r="N818" i="2"/>
  <c r="O818" i="2"/>
  <c r="M819" i="2"/>
  <c r="N819" i="2"/>
  <c r="O819" i="2"/>
  <c r="M820" i="2"/>
  <c r="N820" i="2"/>
  <c r="O820" i="2"/>
  <c r="M821" i="2"/>
  <c r="N821" i="2" s="1"/>
  <c r="O821" i="2"/>
  <c r="M822" i="2"/>
  <c r="N822" i="2"/>
  <c r="O822" i="2"/>
  <c r="M823" i="2"/>
  <c r="N823" i="2" s="1"/>
  <c r="O823" i="2"/>
  <c r="M824" i="2"/>
  <c r="N824" i="2" s="1"/>
  <c r="O824" i="2"/>
  <c r="M825" i="2"/>
  <c r="N825" i="2" s="1"/>
  <c r="O825" i="2"/>
  <c r="M826" i="2"/>
  <c r="N826" i="2"/>
  <c r="O826" i="2"/>
  <c r="M827" i="2"/>
  <c r="N827" i="2" s="1"/>
  <c r="O827" i="2"/>
  <c r="M828" i="2"/>
  <c r="N828" i="2"/>
  <c r="O828" i="2"/>
  <c r="M829" i="2"/>
  <c r="N829" i="2" s="1"/>
  <c r="O829" i="2"/>
  <c r="M830" i="2"/>
  <c r="N830" i="2"/>
  <c r="O830" i="2"/>
  <c r="M831" i="2"/>
  <c r="N831" i="2"/>
  <c r="O831" i="2"/>
  <c r="M832" i="2"/>
  <c r="N832" i="2"/>
  <c r="O832" i="2"/>
  <c r="M833" i="2"/>
  <c r="N833" i="2" s="1"/>
  <c r="O833" i="2"/>
  <c r="M834" i="2"/>
  <c r="N834" i="2" s="1"/>
  <c r="O834" i="2"/>
  <c r="M835" i="2"/>
  <c r="N835" i="2" s="1"/>
  <c r="O835" i="2"/>
  <c r="M836" i="2"/>
  <c r="N836" i="2" s="1"/>
  <c r="O836" i="2"/>
  <c r="M837" i="2"/>
  <c r="N837" i="2" s="1"/>
  <c r="O837" i="2"/>
  <c r="M838" i="2"/>
  <c r="N838" i="2" s="1"/>
  <c r="O838" i="2"/>
  <c r="M839" i="2"/>
  <c r="N839" i="2" s="1"/>
  <c r="O839" i="2"/>
  <c r="M840" i="2"/>
  <c r="N840" i="2" s="1"/>
  <c r="O840" i="2"/>
  <c r="M841" i="2"/>
  <c r="N841" i="2" s="1"/>
  <c r="O841" i="2"/>
  <c r="M842" i="2"/>
  <c r="N842" i="2" s="1"/>
  <c r="O842" i="2"/>
  <c r="M843" i="2"/>
  <c r="N843" i="2" s="1"/>
  <c r="O843" i="2"/>
  <c r="M844" i="2"/>
  <c r="N844" i="2" s="1"/>
  <c r="O844" i="2"/>
  <c r="M845" i="2"/>
  <c r="N845" i="2" s="1"/>
  <c r="O845" i="2"/>
  <c r="M846" i="2"/>
  <c r="N846" i="2"/>
  <c r="O846" i="2"/>
  <c r="M847" i="2"/>
  <c r="N847" i="2" s="1"/>
  <c r="O847" i="2"/>
  <c r="M848" i="2"/>
  <c r="N848" i="2" s="1"/>
  <c r="O848" i="2"/>
  <c r="M849" i="2"/>
  <c r="N849" i="2" s="1"/>
  <c r="O849" i="2"/>
  <c r="M850" i="2"/>
  <c r="N850" i="2" s="1"/>
  <c r="O850" i="2"/>
  <c r="M851" i="2"/>
  <c r="N851" i="2" s="1"/>
  <c r="O851" i="2"/>
  <c r="M852" i="2"/>
  <c r="N852" i="2" s="1"/>
  <c r="O852" i="2"/>
  <c r="M853" i="2"/>
  <c r="N853" i="2"/>
  <c r="O853" i="2"/>
  <c r="M854" i="2"/>
  <c r="N854" i="2" s="1"/>
  <c r="O854" i="2"/>
  <c r="M855" i="2"/>
  <c r="N855" i="2" s="1"/>
  <c r="O855" i="2"/>
  <c r="M856" i="2"/>
  <c r="N856" i="2" s="1"/>
  <c r="O856" i="2"/>
  <c r="M857" i="2"/>
  <c r="N857" i="2" s="1"/>
  <c r="O857" i="2"/>
  <c r="M858" i="2"/>
  <c r="N858" i="2" s="1"/>
  <c r="O858" i="2"/>
  <c r="M859" i="2"/>
  <c r="N859" i="2" s="1"/>
  <c r="O859" i="2"/>
  <c r="M860" i="2"/>
  <c r="N860" i="2" s="1"/>
  <c r="O860" i="2"/>
  <c r="M861" i="2"/>
  <c r="N861" i="2" s="1"/>
  <c r="O861" i="2"/>
  <c r="M862" i="2"/>
  <c r="N862" i="2"/>
  <c r="O862" i="2"/>
  <c r="M863" i="2"/>
  <c r="N863" i="2"/>
  <c r="O863" i="2"/>
  <c r="M864" i="2"/>
  <c r="N864" i="2"/>
  <c r="O864" i="2"/>
  <c r="M865" i="2"/>
  <c r="N865" i="2"/>
  <c r="O865" i="2"/>
  <c r="M866" i="2"/>
  <c r="N866" i="2" s="1"/>
  <c r="O866" i="2"/>
  <c r="M867" i="2"/>
  <c r="N867" i="2" s="1"/>
  <c r="O867" i="2"/>
  <c r="M868" i="2"/>
  <c r="N868" i="2"/>
  <c r="O868" i="2"/>
  <c r="M869" i="2"/>
  <c r="N869" i="2" s="1"/>
  <c r="O869" i="2"/>
  <c r="M870" i="2"/>
  <c r="N870" i="2" s="1"/>
  <c r="O870" i="2"/>
  <c r="M871" i="2"/>
  <c r="N871" i="2" s="1"/>
  <c r="O871" i="2"/>
  <c r="M872" i="2"/>
  <c r="N872" i="2"/>
  <c r="O872" i="2"/>
  <c r="M873" i="2"/>
  <c r="N873" i="2"/>
  <c r="O873" i="2"/>
  <c r="M874" i="2"/>
  <c r="N874" i="2" s="1"/>
  <c r="O874" i="2"/>
  <c r="M875" i="2"/>
  <c r="N875" i="2"/>
  <c r="O875" i="2"/>
  <c r="M876" i="2"/>
  <c r="N876" i="2" s="1"/>
  <c r="O876" i="2"/>
  <c r="M877" i="2"/>
  <c r="N877" i="2"/>
  <c r="O877" i="2"/>
  <c r="M878" i="2"/>
  <c r="N878" i="2" s="1"/>
  <c r="O878" i="2"/>
  <c r="M879" i="2"/>
  <c r="N879" i="2"/>
  <c r="O879" i="2"/>
  <c r="M880" i="2"/>
  <c r="N880" i="2"/>
  <c r="O880" i="2"/>
  <c r="M881" i="2"/>
  <c r="N881" i="2"/>
  <c r="O881" i="2"/>
  <c r="M882" i="2"/>
  <c r="N882" i="2"/>
  <c r="O882" i="2"/>
  <c r="M883" i="2"/>
  <c r="N883" i="2"/>
  <c r="O883" i="2"/>
  <c r="M884" i="2"/>
  <c r="N884" i="2"/>
  <c r="O884" i="2"/>
  <c r="M885" i="2"/>
  <c r="N885" i="2" s="1"/>
  <c r="O885" i="2"/>
  <c r="M886" i="2"/>
  <c r="N886" i="2"/>
  <c r="O886" i="2"/>
  <c r="M887" i="2"/>
  <c r="N887" i="2" s="1"/>
  <c r="O887" i="2"/>
  <c r="M888" i="2"/>
  <c r="N888" i="2" s="1"/>
  <c r="O888" i="2"/>
  <c r="M889" i="2"/>
  <c r="N889" i="2" s="1"/>
  <c r="O889" i="2"/>
  <c r="M890" i="2"/>
  <c r="N890" i="2" s="1"/>
  <c r="O890" i="2"/>
  <c r="M891" i="2"/>
  <c r="N891" i="2" s="1"/>
  <c r="O891" i="2"/>
  <c r="M892" i="2"/>
  <c r="N892" i="2" s="1"/>
  <c r="O892" i="2"/>
  <c r="M893" i="2"/>
  <c r="N893" i="2" s="1"/>
  <c r="O893" i="2"/>
  <c r="M894" i="2"/>
  <c r="N894" i="2" s="1"/>
  <c r="O894" i="2"/>
  <c r="M895" i="2"/>
  <c r="N895" i="2"/>
  <c r="O895" i="2"/>
  <c r="M896" i="2"/>
  <c r="N896" i="2"/>
  <c r="O896" i="2"/>
  <c r="M897" i="2"/>
  <c r="N897" i="2" s="1"/>
  <c r="O897" i="2"/>
  <c r="M898" i="2"/>
  <c r="N898" i="2" s="1"/>
  <c r="O898" i="2"/>
  <c r="M899" i="2"/>
  <c r="N899" i="2" s="1"/>
  <c r="O899" i="2"/>
  <c r="M900" i="2"/>
  <c r="N900" i="2" s="1"/>
  <c r="O900" i="2"/>
  <c r="M901" i="2"/>
  <c r="N901" i="2" s="1"/>
  <c r="O901" i="2"/>
  <c r="M902" i="2"/>
  <c r="N902" i="2"/>
  <c r="O902" i="2"/>
  <c r="M903" i="2"/>
  <c r="N903" i="2"/>
  <c r="O903" i="2"/>
  <c r="M904" i="2"/>
  <c r="N904" i="2" s="1"/>
  <c r="O904" i="2"/>
  <c r="M905" i="2"/>
  <c r="N905" i="2" s="1"/>
  <c r="O905" i="2"/>
  <c r="M906" i="2"/>
  <c r="N906" i="2" s="1"/>
  <c r="O906" i="2"/>
  <c r="M907" i="2"/>
  <c r="N907" i="2" s="1"/>
  <c r="O907" i="2"/>
  <c r="M908" i="2"/>
  <c r="N908" i="2"/>
  <c r="O908" i="2"/>
  <c r="M909" i="2"/>
  <c r="N909" i="2"/>
  <c r="O909" i="2"/>
  <c r="M910" i="2"/>
  <c r="N910" i="2"/>
  <c r="O910" i="2"/>
  <c r="M911" i="2"/>
  <c r="N911" i="2" s="1"/>
  <c r="O911" i="2"/>
  <c r="M912" i="2"/>
  <c r="N912" i="2" s="1"/>
  <c r="O912" i="2"/>
  <c r="M913" i="2"/>
  <c r="N913" i="2"/>
  <c r="O913" i="2"/>
  <c r="M914" i="2"/>
  <c r="N914" i="2" s="1"/>
  <c r="O914" i="2"/>
  <c r="M915" i="2"/>
  <c r="N915" i="2" s="1"/>
  <c r="O915" i="2"/>
  <c r="M916" i="2"/>
  <c r="N916" i="2" s="1"/>
  <c r="O916" i="2"/>
  <c r="M917" i="2"/>
  <c r="N917" i="2" s="1"/>
  <c r="O917" i="2"/>
  <c r="M918" i="2"/>
  <c r="N918" i="2" s="1"/>
  <c r="O918" i="2"/>
  <c r="M919" i="2"/>
  <c r="N919" i="2"/>
  <c r="O919" i="2"/>
  <c r="M920" i="2"/>
  <c r="N920" i="2" s="1"/>
  <c r="O920" i="2"/>
  <c r="M921" i="2"/>
  <c r="N921" i="2" s="1"/>
  <c r="O921" i="2"/>
  <c r="M922" i="2"/>
  <c r="N922" i="2" s="1"/>
  <c r="O922" i="2"/>
  <c r="M923" i="2"/>
  <c r="N923" i="2" s="1"/>
  <c r="O923" i="2"/>
  <c r="M924" i="2"/>
  <c r="N924" i="2"/>
  <c r="O924" i="2"/>
  <c r="M925" i="2"/>
  <c r="N925" i="2" s="1"/>
  <c r="O925" i="2"/>
  <c r="M926" i="2"/>
  <c r="N926" i="2" s="1"/>
  <c r="O926" i="2"/>
  <c r="M927" i="2"/>
  <c r="N927" i="2" s="1"/>
  <c r="O927" i="2"/>
  <c r="M928" i="2"/>
  <c r="N928" i="2" s="1"/>
  <c r="O928" i="2"/>
  <c r="M929" i="2"/>
  <c r="N929" i="2" s="1"/>
  <c r="O929" i="2"/>
  <c r="M930" i="2"/>
  <c r="N930" i="2" s="1"/>
  <c r="O930" i="2"/>
  <c r="M931" i="2"/>
  <c r="N931" i="2" s="1"/>
  <c r="O931" i="2"/>
  <c r="M932" i="2"/>
  <c r="N932" i="2" s="1"/>
  <c r="O932" i="2"/>
  <c r="M933" i="2"/>
  <c r="N933" i="2"/>
  <c r="O933" i="2"/>
  <c r="M934" i="2"/>
  <c r="N934" i="2" s="1"/>
  <c r="O934" i="2"/>
  <c r="M935" i="2"/>
  <c r="N935" i="2" s="1"/>
  <c r="O935" i="2"/>
  <c r="M936" i="2"/>
  <c r="N936" i="2"/>
  <c r="O936" i="2"/>
  <c r="M937" i="2"/>
  <c r="N937" i="2" s="1"/>
  <c r="O937" i="2"/>
  <c r="M938" i="2"/>
  <c r="N938" i="2" s="1"/>
  <c r="O938" i="2"/>
  <c r="M939" i="2"/>
  <c r="N939" i="2" s="1"/>
  <c r="O939" i="2"/>
  <c r="M940" i="2"/>
  <c r="N940" i="2" s="1"/>
  <c r="O940" i="2"/>
  <c r="M941" i="2"/>
  <c r="N941" i="2" s="1"/>
  <c r="O941" i="2"/>
  <c r="M942" i="2"/>
  <c r="N942" i="2" s="1"/>
  <c r="O942" i="2"/>
  <c r="M943" i="2"/>
  <c r="N943" i="2" s="1"/>
  <c r="O943" i="2"/>
  <c r="M944" i="2"/>
  <c r="N944" i="2" s="1"/>
  <c r="O944" i="2"/>
  <c r="M945" i="2"/>
  <c r="N945" i="2"/>
  <c r="O945" i="2"/>
  <c r="M946" i="2"/>
  <c r="N946" i="2" s="1"/>
  <c r="O946" i="2"/>
  <c r="M947" i="2"/>
  <c r="N947" i="2"/>
  <c r="O947" i="2"/>
  <c r="M948" i="2"/>
  <c r="N948" i="2"/>
  <c r="O948" i="2"/>
  <c r="M949" i="2"/>
  <c r="N949" i="2"/>
  <c r="O949" i="2"/>
  <c r="M950" i="2"/>
  <c r="N950" i="2" s="1"/>
  <c r="O950" i="2"/>
  <c r="M951" i="2"/>
  <c r="N951" i="2" s="1"/>
  <c r="O951" i="2"/>
  <c r="M952" i="2"/>
  <c r="N952" i="2" s="1"/>
  <c r="O952" i="2"/>
  <c r="M953" i="2"/>
  <c r="N953" i="2"/>
  <c r="O953" i="2"/>
  <c r="M954" i="2"/>
  <c r="N954" i="2" s="1"/>
  <c r="O954" i="2"/>
  <c r="M955" i="2"/>
  <c r="N955" i="2" s="1"/>
  <c r="O955" i="2"/>
  <c r="M956" i="2"/>
  <c r="N956" i="2" s="1"/>
  <c r="O956" i="2"/>
  <c r="M957" i="2"/>
  <c r="N957" i="2"/>
  <c r="O957" i="2"/>
  <c r="M958" i="2"/>
  <c r="N958" i="2"/>
  <c r="O958" i="2"/>
  <c r="M959" i="2"/>
  <c r="N959" i="2" s="1"/>
  <c r="O959" i="2"/>
  <c r="M960" i="2"/>
  <c r="N960" i="2"/>
  <c r="O960" i="2"/>
  <c r="M961" i="2"/>
  <c r="N961" i="2" s="1"/>
  <c r="O961" i="2"/>
  <c r="M962" i="2"/>
  <c r="N962" i="2" s="1"/>
  <c r="O962" i="2"/>
  <c r="M963" i="2"/>
  <c r="N963" i="2" s="1"/>
  <c r="O963" i="2"/>
  <c r="M964" i="2"/>
  <c r="N964" i="2" s="1"/>
  <c r="O964" i="2"/>
  <c r="M965" i="2"/>
  <c r="N965" i="2" s="1"/>
  <c r="O965" i="2"/>
  <c r="M966" i="2"/>
  <c r="N966" i="2" s="1"/>
  <c r="O966" i="2"/>
  <c r="M967" i="2"/>
  <c r="N967" i="2" s="1"/>
  <c r="O967" i="2"/>
  <c r="M968" i="2"/>
  <c r="N968" i="2" s="1"/>
  <c r="O968" i="2"/>
  <c r="M969" i="2"/>
  <c r="N969" i="2" s="1"/>
  <c r="O969" i="2"/>
  <c r="M970" i="2"/>
  <c r="N970" i="2" s="1"/>
  <c r="O970" i="2"/>
  <c r="M971" i="2"/>
  <c r="N971" i="2" s="1"/>
  <c r="O971" i="2"/>
  <c r="M972" i="2"/>
  <c r="N972" i="2" s="1"/>
  <c r="O972" i="2"/>
  <c r="M973" i="2"/>
  <c r="N973" i="2" s="1"/>
  <c r="O973" i="2"/>
  <c r="M974" i="2"/>
  <c r="N974" i="2"/>
  <c r="O974" i="2"/>
  <c r="M975" i="2"/>
  <c r="N975" i="2" s="1"/>
  <c r="O975" i="2"/>
  <c r="M976" i="2"/>
  <c r="N976" i="2" s="1"/>
  <c r="O976" i="2"/>
  <c r="M977" i="2"/>
  <c r="N977" i="2"/>
  <c r="O977" i="2"/>
  <c r="M978" i="2"/>
  <c r="N978" i="2" s="1"/>
  <c r="O978" i="2"/>
  <c r="M979" i="2"/>
  <c r="N979" i="2"/>
  <c r="O979" i="2"/>
  <c r="M980" i="2"/>
  <c r="N980" i="2" s="1"/>
  <c r="O980" i="2"/>
  <c r="M981" i="2"/>
  <c r="N981" i="2" s="1"/>
  <c r="O981" i="2"/>
  <c r="M982" i="2"/>
  <c r="N982" i="2"/>
  <c r="O982" i="2"/>
  <c r="M983" i="2"/>
  <c r="N983" i="2" s="1"/>
  <c r="O983" i="2"/>
  <c r="M984" i="2"/>
  <c r="N984" i="2" s="1"/>
  <c r="O984" i="2"/>
  <c r="M985" i="2"/>
  <c r="N985" i="2" s="1"/>
  <c r="O985" i="2"/>
  <c r="M986" i="2"/>
  <c r="N986" i="2" s="1"/>
  <c r="O986" i="2"/>
  <c r="M987" i="2"/>
  <c r="N987" i="2" s="1"/>
  <c r="O987" i="2"/>
  <c r="M988" i="2"/>
  <c r="N988" i="2"/>
  <c r="O988" i="2"/>
  <c r="M989" i="2"/>
  <c r="N989" i="2"/>
  <c r="O989" i="2"/>
  <c r="M990" i="2"/>
  <c r="N990" i="2" s="1"/>
  <c r="O990" i="2"/>
  <c r="M991" i="2"/>
  <c r="N991" i="2"/>
  <c r="O991" i="2"/>
  <c r="M992" i="2"/>
  <c r="N992" i="2"/>
  <c r="O992" i="2"/>
  <c r="M993" i="2"/>
  <c r="N993" i="2" s="1"/>
  <c r="O993" i="2"/>
  <c r="M994" i="2"/>
  <c r="N994" i="2" s="1"/>
  <c r="O994" i="2"/>
  <c r="M995" i="2"/>
  <c r="N995" i="2" s="1"/>
  <c r="O995" i="2"/>
  <c r="M996" i="2"/>
  <c r="N996" i="2" s="1"/>
  <c r="O996" i="2"/>
  <c r="M997" i="2"/>
  <c r="N997" i="2"/>
  <c r="O997" i="2"/>
  <c r="M998" i="2"/>
  <c r="N998" i="2" s="1"/>
  <c r="O998" i="2"/>
  <c r="M999" i="2"/>
  <c r="N999" i="2"/>
  <c r="O999" i="2"/>
  <c r="M1000" i="2"/>
  <c r="N1000" i="2" s="1"/>
  <c r="O1000" i="2"/>
  <c r="M1001" i="2"/>
  <c r="N1001" i="2"/>
  <c r="O1001" i="2"/>
  <c r="M1002" i="2"/>
  <c r="N1002" i="2" s="1"/>
  <c r="O1002" i="2"/>
  <c r="M1003" i="2"/>
  <c r="N1003" i="2" s="1"/>
  <c r="O1003" i="2"/>
  <c r="M1004" i="2"/>
  <c r="N1004" i="2" s="1"/>
  <c r="O1004" i="2"/>
  <c r="M1005" i="2"/>
  <c r="N1005" i="2" s="1"/>
  <c r="O1005" i="2"/>
  <c r="M1006" i="2"/>
  <c r="N1006" i="2" s="1"/>
  <c r="O1006" i="2"/>
  <c r="M1007" i="2"/>
  <c r="N1007" i="2"/>
  <c r="O1007" i="2"/>
  <c r="M1008" i="2"/>
  <c r="N1008" i="2" s="1"/>
  <c r="O1008" i="2"/>
  <c r="M1009" i="2"/>
  <c r="N1009" i="2" s="1"/>
  <c r="O1009" i="2"/>
  <c r="M1010" i="2"/>
  <c r="N1010" i="2" s="1"/>
  <c r="O1010" i="2"/>
  <c r="M1011" i="2"/>
  <c r="N1011" i="2" s="1"/>
  <c r="O1011" i="2"/>
  <c r="M1012" i="2"/>
  <c r="N1012" i="2" s="1"/>
  <c r="O1012" i="2"/>
  <c r="M1013" i="2"/>
  <c r="N1013" i="2" s="1"/>
  <c r="O1013" i="2"/>
  <c r="M1014" i="2"/>
  <c r="N1014" i="2" s="1"/>
  <c r="O1014" i="2"/>
  <c r="M1015" i="2"/>
  <c r="N1015" i="2" s="1"/>
  <c r="O1015" i="2"/>
  <c r="M1016" i="2"/>
  <c r="N1016" i="2" s="1"/>
  <c r="O1016" i="2"/>
  <c r="M1017" i="2"/>
  <c r="N1017" i="2" s="1"/>
  <c r="O1017" i="2"/>
  <c r="M1018" i="2"/>
  <c r="N1018" i="2" s="1"/>
  <c r="O1018" i="2"/>
  <c r="M1019" i="2"/>
  <c r="N1019" i="2"/>
  <c r="O1019" i="2"/>
  <c r="M1020" i="2"/>
  <c r="N1020" i="2" s="1"/>
  <c r="O1020" i="2"/>
  <c r="M1021" i="2"/>
  <c r="N1021" i="2" s="1"/>
  <c r="O1021" i="2"/>
  <c r="M1022" i="2"/>
  <c r="N1022" i="2"/>
  <c r="O1022" i="2"/>
  <c r="M1023" i="2"/>
  <c r="N1023" i="2" s="1"/>
  <c r="O1023" i="2"/>
  <c r="M1024" i="2"/>
  <c r="N1024" i="2" s="1"/>
  <c r="O1024" i="2"/>
  <c r="M1025" i="2"/>
  <c r="N1025" i="2" s="1"/>
  <c r="O1025" i="2"/>
  <c r="M1026" i="2"/>
  <c r="N1026" i="2" s="1"/>
  <c r="O1026" i="2"/>
  <c r="M1027" i="2"/>
  <c r="N1027" i="2" s="1"/>
  <c r="O1027" i="2"/>
  <c r="M1028" i="2"/>
  <c r="N1028" i="2"/>
  <c r="O1028" i="2"/>
  <c r="M1029" i="2"/>
  <c r="N1029" i="2"/>
  <c r="O1029" i="2"/>
  <c r="M1030" i="2"/>
  <c r="N1030" i="2"/>
  <c r="O1030" i="2"/>
  <c r="M1031" i="2"/>
  <c r="N1031" i="2" s="1"/>
  <c r="O1031" i="2"/>
  <c r="M1032" i="2"/>
  <c r="N1032" i="2"/>
  <c r="O1032" i="2"/>
  <c r="M1033" i="2"/>
  <c r="N1033" i="2"/>
  <c r="O1033" i="2"/>
  <c r="M1034" i="2"/>
  <c r="N1034" i="2" s="1"/>
  <c r="O1034" i="2"/>
  <c r="M1035" i="2"/>
  <c r="N1035" i="2"/>
  <c r="O1035" i="2"/>
  <c r="M1036" i="2"/>
  <c r="N1036" i="2" s="1"/>
  <c r="O1036" i="2"/>
  <c r="M1037" i="2"/>
  <c r="N1037" i="2" s="1"/>
  <c r="O1037" i="2"/>
  <c r="M1038" i="2"/>
  <c r="N1038" i="2" s="1"/>
  <c r="O1038" i="2"/>
  <c r="M1039" i="2"/>
  <c r="N1039" i="2" s="1"/>
  <c r="O1039" i="2"/>
  <c r="M1040" i="2"/>
  <c r="N1040" i="2" s="1"/>
  <c r="O1040" i="2"/>
  <c r="M1041" i="2"/>
  <c r="N1041" i="2"/>
  <c r="O1041" i="2"/>
  <c r="M1042" i="2"/>
  <c r="N1042" i="2" s="1"/>
  <c r="O1042" i="2"/>
  <c r="M1043" i="2"/>
  <c r="N1043" i="2" s="1"/>
  <c r="O1043" i="2"/>
  <c r="M1044" i="2"/>
  <c r="N1044" i="2" s="1"/>
  <c r="O1044" i="2"/>
  <c r="M1045" i="2"/>
  <c r="N1045" i="2" s="1"/>
  <c r="O1045" i="2"/>
  <c r="M1046" i="2"/>
  <c r="N1046" i="2" s="1"/>
  <c r="O1046" i="2"/>
  <c r="M1047" i="2"/>
  <c r="N1047" i="2" s="1"/>
  <c r="O1047" i="2"/>
  <c r="M1048" i="2"/>
  <c r="N1048" i="2"/>
  <c r="O1048" i="2"/>
  <c r="M1049" i="2"/>
  <c r="N1049" i="2"/>
  <c r="O1049" i="2"/>
  <c r="M1050" i="2"/>
  <c r="N1050" i="2" s="1"/>
  <c r="O1050" i="2"/>
  <c r="M1051" i="2"/>
  <c r="N1051" i="2"/>
  <c r="O1051" i="2"/>
  <c r="M1052" i="2"/>
  <c r="N1052" i="2" s="1"/>
  <c r="O1052" i="2"/>
  <c r="M1053" i="2"/>
  <c r="N1053" i="2"/>
  <c r="O1053" i="2"/>
  <c r="M1054" i="2"/>
  <c r="N1054" i="2"/>
  <c r="O1054" i="2"/>
  <c r="M1055" i="2"/>
  <c r="N1055" i="2"/>
  <c r="O1055" i="2"/>
  <c r="M1056" i="2"/>
  <c r="N1056" i="2"/>
  <c r="O1056" i="2"/>
  <c r="M1057" i="2"/>
  <c r="N1057" i="2" s="1"/>
  <c r="O1057" i="2"/>
  <c r="M1058" i="2"/>
  <c r="N1058" i="2" s="1"/>
  <c r="O1058" i="2"/>
  <c r="M1059" i="2"/>
  <c r="N1059" i="2" s="1"/>
  <c r="O1059" i="2"/>
  <c r="M1060" i="2"/>
  <c r="N1060" i="2" s="1"/>
  <c r="O1060" i="2"/>
  <c r="M1061" i="2"/>
  <c r="N1061" i="2"/>
  <c r="O1061" i="2"/>
  <c r="M1062" i="2"/>
  <c r="N1062" i="2" s="1"/>
  <c r="O1062" i="2"/>
  <c r="M1063" i="2"/>
  <c r="N1063" i="2" s="1"/>
  <c r="O1063" i="2"/>
  <c r="M1064" i="2"/>
  <c r="N1064" i="2"/>
  <c r="O1064" i="2"/>
  <c r="M1065" i="2"/>
  <c r="N1065" i="2"/>
  <c r="O1065" i="2"/>
  <c r="M1066" i="2"/>
  <c r="N1066" i="2"/>
  <c r="O1066" i="2"/>
  <c r="M1067" i="2"/>
  <c r="N1067" i="2"/>
  <c r="O1067" i="2"/>
  <c r="M1068" i="2"/>
  <c r="N1068" i="2"/>
  <c r="O1068" i="2"/>
  <c r="M1069" i="2"/>
  <c r="N1069" i="2"/>
  <c r="O1069" i="2"/>
  <c r="M1070" i="2"/>
  <c r="N1070" i="2" s="1"/>
  <c r="O1070" i="2"/>
  <c r="M1071" i="2"/>
  <c r="N1071" i="2" s="1"/>
  <c r="O1071" i="2"/>
  <c r="M1072" i="2"/>
  <c r="N1072" i="2" s="1"/>
  <c r="O1072" i="2"/>
  <c r="M1073" i="2"/>
  <c r="N1073" i="2" s="1"/>
  <c r="O1073" i="2"/>
  <c r="M1074" i="2"/>
  <c r="N1074" i="2" s="1"/>
  <c r="O1074" i="2"/>
  <c r="M1075" i="2"/>
  <c r="N1075" i="2" s="1"/>
  <c r="O1075" i="2"/>
  <c r="M1076" i="2"/>
  <c r="N1076" i="2"/>
  <c r="O1076" i="2"/>
  <c r="M1077" i="2"/>
  <c r="N1077" i="2" s="1"/>
  <c r="O1077" i="2"/>
  <c r="M1078" i="2"/>
  <c r="N1078" i="2" s="1"/>
  <c r="O1078" i="2"/>
  <c r="M1079" i="2"/>
  <c r="N1079" i="2" s="1"/>
  <c r="O1079" i="2"/>
  <c r="M1080" i="2"/>
  <c r="N1080" i="2" s="1"/>
  <c r="O1080" i="2"/>
  <c r="M1081" i="2"/>
  <c r="N1081" i="2" s="1"/>
  <c r="O1081" i="2"/>
  <c r="M1082" i="2"/>
  <c r="N1082" i="2" s="1"/>
  <c r="O1082" i="2"/>
  <c r="M1083" i="2"/>
  <c r="N1083" i="2" s="1"/>
  <c r="O1083" i="2"/>
  <c r="M1084" i="2"/>
  <c r="N1084" i="2" s="1"/>
  <c r="O1084" i="2"/>
  <c r="M1085" i="2"/>
  <c r="N1085" i="2" s="1"/>
  <c r="O1085" i="2"/>
  <c r="M1086" i="2"/>
  <c r="N1086" i="2"/>
  <c r="O1086" i="2"/>
  <c r="M1087" i="2"/>
  <c r="N1087" i="2" s="1"/>
  <c r="O1087" i="2"/>
  <c r="M1088" i="2"/>
  <c r="N1088" i="2" s="1"/>
  <c r="O1088" i="2"/>
  <c r="M1089" i="2"/>
  <c r="N1089" i="2" s="1"/>
  <c r="O1089" i="2"/>
  <c r="M1090" i="2"/>
  <c r="N1090" i="2" s="1"/>
  <c r="O1090" i="2"/>
  <c r="M1091" i="2"/>
  <c r="N1091" i="2"/>
  <c r="O1091" i="2"/>
  <c r="M1092" i="2"/>
  <c r="N1092" i="2" s="1"/>
  <c r="O1092" i="2"/>
  <c r="M1093" i="2"/>
  <c r="N1093" i="2" s="1"/>
  <c r="O1093" i="2"/>
  <c r="M1094" i="2"/>
  <c r="N1094" i="2" s="1"/>
  <c r="O1094" i="2"/>
  <c r="M1095" i="2"/>
  <c r="N1095" i="2"/>
  <c r="O1095" i="2"/>
  <c r="M1096" i="2"/>
  <c r="N1096" i="2"/>
  <c r="O1096" i="2"/>
  <c r="M1097" i="2"/>
  <c r="N1097" i="2" s="1"/>
  <c r="O1097" i="2"/>
  <c r="M1098" i="2"/>
  <c r="N1098" i="2" s="1"/>
  <c r="O1098" i="2"/>
  <c r="M1099" i="2"/>
  <c r="N1099" i="2"/>
  <c r="O1099" i="2"/>
  <c r="M1100" i="2"/>
  <c r="N1100" i="2" s="1"/>
  <c r="O1100" i="2"/>
  <c r="M1101" i="2"/>
  <c r="N1101" i="2" s="1"/>
  <c r="O1101" i="2"/>
  <c r="M1102" i="2"/>
  <c r="N1102" i="2" s="1"/>
  <c r="O1102" i="2"/>
  <c r="M1103" i="2"/>
  <c r="N1103" i="2" s="1"/>
  <c r="O1103" i="2"/>
  <c r="M1104" i="2"/>
  <c r="N1104" i="2" s="1"/>
  <c r="O1104" i="2"/>
  <c r="M1105" i="2"/>
  <c r="N1105" i="2"/>
  <c r="O1105" i="2"/>
  <c r="M1106" i="2"/>
  <c r="N1106" i="2" s="1"/>
  <c r="O1106" i="2"/>
  <c r="M1107" i="2"/>
  <c r="N1107" i="2" s="1"/>
  <c r="O1107" i="2"/>
  <c r="M1108" i="2"/>
  <c r="N1108" i="2"/>
  <c r="O1108" i="2"/>
  <c r="M1109" i="2"/>
  <c r="N1109" i="2"/>
  <c r="O1109" i="2"/>
  <c r="M1110" i="2"/>
  <c r="N1110" i="2"/>
  <c r="O1110" i="2"/>
  <c r="M1111" i="2"/>
  <c r="N1111" i="2" s="1"/>
  <c r="O1111" i="2"/>
  <c r="M1112" i="2"/>
  <c r="N1112" i="2"/>
  <c r="O1112" i="2"/>
  <c r="M1113" i="2"/>
  <c r="N1113" i="2" s="1"/>
  <c r="O1113" i="2"/>
  <c r="M1114" i="2"/>
  <c r="N1114" i="2" s="1"/>
  <c r="O1114" i="2"/>
  <c r="M1115" i="2"/>
  <c r="N1115" i="2" s="1"/>
  <c r="O1115" i="2"/>
  <c r="M1116" i="2"/>
  <c r="N1116" i="2" s="1"/>
  <c r="O1116" i="2"/>
  <c r="M1117" i="2"/>
  <c r="N1117" i="2" s="1"/>
  <c r="O1117" i="2"/>
  <c r="M1118" i="2"/>
  <c r="N1118" i="2"/>
  <c r="O1118" i="2"/>
  <c r="M1119" i="2"/>
  <c r="N1119" i="2"/>
  <c r="O1119" i="2"/>
  <c r="M1120" i="2"/>
  <c r="N1120" i="2" s="1"/>
  <c r="O1120" i="2"/>
  <c r="M1121" i="2"/>
  <c r="N1121" i="2" s="1"/>
  <c r="O1121" i="2"/>
  <c r="M1122" i="2"/>
  <c r="N1122" i="2" s="1"/>
  <c r="O1122" i="2"/>
  <c r="M1123" i="2"/>
  <c r="N1123" i="2"/>
  <c r="O1123" i="2"/>
  <c r="M1124" i="2"/>
  <c r="N1124" i="2" s="1"/>
  <c r="O1124" i="2"/>
  <c r="M1125" i="2"/>
  <c r="N1125" i="2" s="1"/>
  <c r="O1125" i="2"/>
  <c r="M1126" i="2"/>
  <c r="N1126" i="2"/>
  <c r="O1126" i="2"/>
  <c r="M1127" i="2"/>
  <c r="N1127" i="2"/>
  <c r="O1127" i="2"/>
  <c r="M1128" i="2"/>
  <c r="N1128" i="2"/>
  <c r="O1128" i="2"/>
  <c r="M1129" i="2"/>
  <c r="N1129" i="2"/>
  <c r="O1129" i="2"/>
  <c r="M1130" i="2"/>
  <c r="N1130" i="2" s="1"/>
  <c r="O1130" i="2"/>
  <c r="M1131" i="2"/>
  <c r="N1131" i="2" s="1"/>
  <c r="O1131" i="2"/>
  <c r="M1132" i="2"/>
  <c r="N1132" i="2" s="1"/>
  <c r="O1132" i="2"/>
  <c r="M1133" i="2"/>
  <c r="N1133" i="2" s="1"/>
  <c r="O1133" i="2"/>
  <c r="M1134" i="2"/>
  <c r="N1134" i="2" s="1"/>
  <c r="O1134" i="2"/>
  <c r="M1135" i="2"/>
  <c r="N1135" i="2" s="1"/>
  <c r="O1135" i="2"/>
  <c r="M1136" i="2"/>
  <c r="N1136" i="2" s="1"/>
  <c r="O1136" i="2"/>
  <c r="M1137" i="2"/>
  <c r="N1137" i="2"/>
  <c r="O1137" i="2"/>
  <c r="M1138" i="2"/>
  <c r="N1138" i="2" s="1"/>
  <c r="O1138" i="2"/>
  <c r="M1139" i="2"/>
  <c r="N1139" i="2" s="1"/>
  <c r="O1139" i="2"/>
  <c r="M1140" i="2"/>
  <c r="N1140" i="2"/>
  <c r="O1140" i="2"/>
  <c r="M1141" i="2"/>
  <c r="N1141" i="2" s="1"/>
  <c r="O1141" i="2"/>
  <c r="M1142" i="2"/>
  <c r="N1142" i="2" s="1"/>
  <c r="O1142" i="2"/>
  <c r="M1143" i="2"/>
  <c r="N1143" i="2" s="1"/>
  <c r="O1143" i="2"/>
  <c r="M1144" i="2"/>
  <c r="N1144" i="2" s="1"/>
  <c r="O1144" i="2"/>
  <c r="M1145" i="2"/>
  <c r="N1145" i="2" s="1"/>
  <c r="O1145" i="2"/>
  <c r="M1146" i="2"/>
  <c r="N1146" i="2" s="1"/>
  <c r="O1146" i="2"/>
  <c r="M1147" i="2"/>
  <c r="N1147" i="2"/>
  <c r="O1147" i="2"/>
  <c r="M1148" i="2"/>
  <c r="N1148" i="2" s="1"/>
  <c r="O1148" i="2"/>
  <c r="M1149" i="2"/>
  <c r="N1149" i="2"/>
  <c r="O1149" i="2"/>
  <c r="M1150" i="2"/>
  <c r="N1150" i="2"/>
  <c r="O1150" i="2"/>
  <c r="M1151" i="2"/>
  <c r="N1151" i="2" s="1"/>
  <c r="O1151" i="2"/>
  <c r="M1152" i="2"/>
  <c r="N1152" i="2" s="1"/>
  <c r="O1152" i="2"/>
  <c r="M1153" i="2"/>
  <c r="N1153" i="2" s="1"/>
  <c r="O1153" i="2"/>
  <c r="M1154" i="2"/>
  <c r="N1154" i="2" s="1"/>
  <c r="O1154" i="2"/>
  <c r="M1155" i="2"/>
  <c r="N1155" i="2" s="1"/>
  <c r="O1155" i="2"/>
  <c r="M1156" i="2"/>
  <c r="N1156" i="2" s="1"/>
  <c r="O1156" i="2"/>
  <c r="M1157" i="2"/>
  <c r="N1157" i="2" s="1"/>
  <c r="O1157" i="2"/>
  <c r="M1158" i="2"/>
  <c r="N1158" i="2"/>
  <c r="O1158" i="2"/>
  <c r="M1159" i="2"/>
  <c r="N1159" i="2"/>
  <c r="O1159" i="2"/>
  <c r="M1160" i="2"/>
  <c r="N1160" i="2" s="1"/>
  <c r="O1160" i="2"/>
  <c r="M1161" i="2"/>
  <c r="N1161" i="2" s="1"/>
  <c r="O1161" i="2"/>
  <c r="M1162" i="2"/>
  <c r="N1162" i="2" s="1"/>
  <c r="O1162" i="2"/>
  <c r="M1163" i="2"/>
  <c r="N1163" i="2"/>
  <c r="O1163" i="2"/>
  <c r="M1164" i="2"/>
  <c r="N1164" i="2"/>
  <c r="O1164" i="2"/>
  <c r="M1165" i="2"/>
  <c r="N1165" i="2" s="1"/>
  <c r="O1165" i="2"/>
  <c r="M1166" i="2"/>
  <c r="N1166" i="2"/>
  <c r="O1166" i="2"/>
  <c r="M1167" i="2"/>
  <c r="N1167" i="2"/>
  <c r="O1167" i="2"/>
  <c r="M1168" i="2"/>
  <c r="N1168" i="2"/>
  <c r="O1168" i="2"/>
  <c r="M1169" i="2"/>
  <c r="N1169" i="2"/>
  <c r="O1169" i="2"/>
  <c r="M1170" i="2"/>
  <c r="N1170" i="2" s="1"/>
  <c r="O1170" i="2"/>
  <c r="M1171" i="2"/>
  <c r="N1171" i="2" s="1"/>
  <c r="O1171" i="2"/>
  <c r="M1172" i="2"/>
  <c r="N1172" i="2"/>
  <c r="O1172" i="2"/>
  <c r="M1173" i="2"/>
  <c r="N1173" i="2"/>
  <c r="O1173" i="2"/>
  <c r="M1174" i="2"/>
  <c r="N1174" i="2"/>
  <c r="O1174" i="2"/>
  <c r="M1175" i="2"/>
  <c r="N1175" i="2"/>
  <c r="O1175" i="2"/>
  <c r="M1176" i="2"/>
  <c r="N1176" i="2" s="1"/>
  <c r="O1176" i="2"/>
  <c r="M1177" i="2"/>
  <c r="N1177" i="2" s="1"/>
  <c r="O1177" i="2"/>
  <c r="M1178" i="2"/>
  <c r="N1178" i="2" s="1"/>
  <c r="O1178" i="2"/>
  <c r="M1179" i="2"/>
  <c r="N1179" i="2" s="1"/>
  <c r="O1179" i="2"/>
  <c r="M1180" i="2"/>
  <c r="N1180" i="2"/>
  <c r="O1180" i="2"/>
  <c r="M1181" i="2"/>
  <c r="N1181" i="2" s="1"/>
  <c r="O1181" i="2"/>
  <c r="M1182" i="2"/>
  <c r="N1182" i="2" s="1"/>
  <c r="O1182" i="2"/>
  <c r="M1183" i="2"/>
  <c r="N1183" i="2" s="1"/>
  <c r="O1183" i="2"/>
  <c r="M1184" i="2"/>
  <c r="N1184" i="2"/>
  <c r="O1184" i="2"/>
  <c r="M1185" i="2"/>
  <c r="N1185" i="2" s="1"/>
  <c r="O1185" i="2"/>
  <c r="M1186" i="2"/>
  <c r="N1186" i="2" s="1"/>
  <c r="O1186" i="2"/>
  <c r="M1187" i="2"/>
  <c r="N1187" i="2" s="1"/>
  <c r="O1187" i="2"/>
  <c r="M1188" i="2"/>
  <c r="N1188" i="2" s="1"/>
  <c r="O1188" i="2"/>
  <c r="M1189" i="2"/>
  <c r="N1189" i="2" s="1"/>
  <c r="O1189" i="2"/>
  <c r="M1190" i="2"/>
  <c r="N1190" i="2" s="1"/>
  <c r="O1190" i="2"/>
  <c r="M1191" i="2"/>
  <c r="N1191" i="2" s="1"/>
  <c r="O1191" i="2"/>
  <c r="M1192" i="2"/>
  <c r="N1192" i="2" s="1"/>
  <c r="O1192" i="2"/>
  <c r="M1193" i="2"/>
  <c r="N1193" i="2" s="1"/>
  <c r="O1193" i="2"/>
  <c r="M1194" i="2"/>
  <c r="N1194" i="2" s="1"/>
  <c r="O1194" i="2"/>
  <c r="M1195" i="2"/>
  <c r="N1195" i="2" s="1"/>
  <c r="O1195" i="2"/>
  <c r="M1196" i="2"/>
  <c r="N1196" i="2" s="1"/>
  <c r="O1196" i="2"/>
  <c r="M1197" i="2"/>
  <c r="N1197" i="2" s="1"/>
  <c r="O1197" i="2"/>
  <c r="M1198" i="2"/>
  <c r="N1198" i="2" s="1"/>
  <c r="O1198" i="2"/>
  <c r="M1199" i="2"/>
  <c r="N1199" i="2" s="1"/>
  <c r="O1199" i="2"/>
  <c r="M1200" i="2"/>
  <c r="N1200" i="2" s="1"/>
  <c r="O1200" i="2"/>
  <c r="M1201" i="2"/>
  <c r="N1201" i="2" s="1"/>
  <c r="O1201" i="2"/>
  <c r="M1202" i="2"/>
  <c r="N1202" i="2" s="1"/>
  <c r="O1202" i="2"/>
  <c r="M1203" i="2"/>
  <c r="N1203" i="2" s="1"/>
  <c r="O1203" i="2"/>
  <c r="M1204" i="2"/>
  <c r="N1204" i="2"/>
  <c r="O1204" i="2"/>
  <c r="M1205" i="2"/>
  <c r="N1205" i="2" s="1"/>
  <c r="O1205" i="2"/>
  <c r="M1206" i="2"/>
  <c r="N1206" i="2" s="1"/>
  <c r="O1206" i="2"/>
  <c r="M1207" i="2"/>
  <c r="N1207" i="2" s="1"/>
  <c r="O1207" i="2"/>
  <c r="M1208" i="2"/>
  <c r="N1208" i="2"/>
  <c r="O1208" i="2"/>
  <c r="M1209" i="2"/>
  <c r="N1209" i="2" s="1"/>
  <c r="O1209" i="2"/>
  <c r="M1210" i="2"/>
  <c r="N1210" i="2" s="1"/>
  <c r="O1210" i="2"/>
  <c r="M1211" i="2"/>
  <c r="N1211" i="2" s="1"/>
  <c r="O1211" i="2"/>
  <c r="M1212" i="2"/>
  <c r="N1212" i="2"/>
  <c r="O1212" i="2"/>
  <c r="M1213" i="2"/>
  <c r="N1213" i="2"/>
  <c r="O1213" i="2"/>
  <c r="M1214" i="2"/>
  <c r="N1214" i="2"/>
  <c r="O1214" i="2"/>
  <c r="M1215" i="2"/>
  <c r="N1215" i="2" s="1"/>
  <c r="O1215" i="2"/>
  <c r="M1216" i="2"/>
  <c r="N1216" i="2" s="1"/>
  <c r="O1216" i="2"/>
  <c r="M1217" i="2"/>
  <c r="N1217" i="2" s="1"/>
  <c r="O1217" i="2"/>
  <c r="M1218" i="2"/>
  <c r="N1218" i="2"/>
  <c r="O1218" i="2"/>
  <c r="M1219" i="2"/>
  <c r="N1219" i="2" s="1"/>
  <c r="O1219" i="2"/>
  <c r="M1220" i="2"/>
  <c r="N1220" i="2" s="1"/>
  <c r="O1220" i="2"/>
  <c r="M1221" i="2"/>
  <c r="N1221" i="2" s="1"/>
  <c r="O1221" i="2"/>
  <c r="M1222" i="2"/>
  <c r="N1222" i="2" s="1"/>
  <c r="O1222" i="2"/>
  <c r="M1223" i="2"/>
  <c r="N1223" i="2"/>
  <c r="O1223" i="2"/>
  <c r="M1224" i="2"/>
  <c r="N1224" i="2"/>
  <c r="O1224" i="2"/>
  <c r="M1225" i="2"/>
  <c r="N1225" i="2"/>
  <c r="O1225" i="2"/>
  <c r="M1226" i="2"/>
  <c r="N1226" i="2" s="1"/>
  <c r="O1226" i="2"/>
  <c r="M1227" i="2"/>
  <c r="N1227" i="2" s="1"/>
  <c r="O1227" i="2"/>
  <c r="M1228" i="2"/>
  <c r="N1228" i="2"/>
  <c r="O1228" i="2"/>
  <c r="M1229" i="2"/>
  <c r="N1229" i="2"/>
  <c r="O1229" i="2"/>
  <c r="M1230" i="2"/>
  <c r="N1230" i="2"/>
  <c r="O1230" i="2"/>
  <c r="M1231" i="2"/>
  <c r="N1231" i="2" s="1"/>
  <c r="O1231" i="2"/>
  <c r="M1232" i="2"/>
  <c r="N1232" i="2"/>
  <c r="O1232" i="2"/>
  <c r="M1233" i="2"/>
  <c r="N1233" i="2" s="1"/>
  <c r="O1233" i="2"/>
  <c r="M1234" i="2"/>
  <c r="N1234" i="2"/>
  <c r="O1234" i="2"/>
  <c r="M1235" i="2"/>
  <c r="N1235" i="2" s="1"/>
  <c r="O1235" i="2"/>
  <c r="M1236" i="2"/>
  <c r="N1236" i="2" s="1"/>
  <c r="O1236" i="2"/>
  <c r="M1237" i="2"/>
  <c r="N1237" i="2" s="1"/>
  <c r="O1237" i="2"/>
  <c r="M1238" i="2"/>
  <c r="N1238" i="2"/>
  <c r="O1238" i="2"/>
  <c r="M1239" i="2"/>
  <c r="N1239" i="2" s="1"/>
  <c r="O1239" i="2"/>
  <c r="M1240" i="2"/>
  <c r="N1240" i="2"/>
  <c r="O1240" i="2"/>
  <c r="M1241" i="2"/>
  <c r="N1241" i="2"/>
  <c r="O1241" i="2"/>
  <c r="M1242" i="2"/>
  <c r="N1242" i="2"/>
  <c r="O1242" i="2"/>
  <c r="M1243" i="2"/>
  <c r="N1243" i="2" s="1"/>
  <c r="O1243" i="2"/>
  <c r="M1244" i="2"/>
  <c r="N1244" i="2" s="1"/>
  <c r="O1244" i="2"/>
  <c r="M1245" i="2"/>
  <c r="N1245" i="2"/>
  <c r="O1245" i="2"/>
  <c r="M1246" i="2"/>
  <c r="N1246" i="2"/>
  <c r="O1246" i="2"/>
  <c r="M1247" i="2"/>
  <c r="N1247" i="2" s="1"/>
  <c r="O1247" i="2"/>
  <c r="M1248" i="2"/>
  <c r="N1248" i="2" s="1"/>
  <c r="O1248" i="2"/>
  <c r="M1249" i="2"/>
  <c r="N1249" i="2" s="1"/>
  <c r="O1249" i="2"/>
  <c r="M1250" i="2"/>
  <c r="N1250" i="2" s="1"/>
  <c r="O1250" i="2"/>
  <c r="M1251" i="2"/>
  <c r="N1251" i="2" s="1"/>
  <c r="O1251" i="2"/>
  <c r="M1252" i="2"/>
  <c r="N1252" i="2" s="1"/>
  <c r="O1252" i="2"/>
  <c r="M1253" i="2"/>
  <c r="N1253" i="2" s="1"/>
  <c r="O1253" i="2"/>
  <c r="M1254" i="2"/>
  <c r="N1254" i="2"/>
  <c r="O1254" i="2"/>
  <c r="M1255" i="2"/>
  <c r="N1255" i="2"/>
  <c r="O1255" i="2"/>
  <c r="M1256" i="2"/>
  <c r="N1256" i="2" s="1"/>
  <c r="O1256" i="2"/>
  <c r="M1257" i="2"/>
  <c r="N1257" i="2"/>
  <c r="O1257" i="2"/>
  <c r="M1258" i="2"/>
  <c r="N1258" i="2" s="1"/>
  <c r="O1258" i="2"/>
  <c r="M1259" i="2"/>
  <c r="N1259" i="2" s="1"/>
  <c r="O1259" i="2"/>
  <c r="M1260" i="2"/>
  <c r="N1260" i="2" s="1"/>
  <c r="O1260" i="2"/>
  <c r="M1261" i="2"/>
  <c r="N1261" i="2" s="1"/>
  <c r="O1261" i="2"/>
  <c r="M1262" i="2"/>
  <c r="N1262" i="2" s="1"/>
  <c r="O1262" i="2"/>
  <c r="M1263" i="2"/>
  <c r="N1263" i="2" s="1"/>
  <c r="O1263" i="2"/>
  <c r="M1264" i="2"/>
  <c r="N1264" i="2"/>
  <c r="O1264" i="2"/>
  <c r="M1265" i="2"/>
  <c r="N1265" i="2"/>
  <c r="O1265" i="2"/>
  <c r="M1266" i="2"/>
  <c r="N1266" i="2"/>
  <c r="O1266" i="2"/>
  <c r="M1267" i="2"/>
  <c r="N1267" i="2"/>
  <c r="O1267" i="2"/>
  <c r="M1268" i="2"/>
  <c r="N1268" i="2"/>
  <c r="O1268" i="2"/>
  <c r="M1269" i="2"/>
  <c r="N1269" i="2"/>
  <c r="O1269" i="2"/>
  <c r="M1270" i="2"/>
  <c r="N1270" i="2"/>
  <c r="O1270" i="2"/>
  <c r="M1271" i="2"/>
  <c r="N1271" i="2"/>
  <c r="O1271" i="2"/>
  <c r="M1272" i="2"/>
  <c r="N1272" i="2"/>
  <c r="O1272" i="2"/>
  <c r="M1273" i="2"/>
  <c r="N1273" i="2"/>
  <c r="O1273" i="2"/>
  <c r="M1274" i="2"/>
  <c r="N1274" i="2"/>
  <c r="O1274" i="2"/>
  <c r="M1275" i="2"/>
  <c r="N1275" i="2"/>
  <c r="O1275" i="2"/>
  <c r="M1276" i="2"/>
  <c r="N1276" i="2"/>
  <c r="O1276" i="2"/>
  <c r="M1277" i="2"/>
  <c r="N1277" i="2"/>
  <c r="O1277" i="2"/>
  <c r="M1278" i="2"/>
  <c r="N1278" i="2"/>
  <c r="O1278" i="2"/>
  <c r="M1279" i="2"/>
  <c r="N1279" i="2"/>
  <c r="O1279" i="2"/>
  <c r="M1280" i="2"/>
  <c r="N1280" i="2"/>
  <c r="O1280" i="2"/>
  <c r="M1281" i="2"/>
  <c r="N1281" i="2"/>
  <c r="O1281" i="2"/>
  <c r="M1282" i="2"/>
  <c r="N1282" i="2"/>
  <c r="O1282" i="2"/>
  <c r="M1283" i="2"/>
  <c r="N1283" i="2"/>
  <c r="O1283" i="2"/>
  <c r="M1284" i="2"/>
  <c r="N1284" i="2"/>
  <c r="O1284" i="2"/>
  <c r="M1285" i="2"/>
  <c r="N1285" i="2"/>
  <c r="O1285" i="2"/>
  <c r="M1286" i="2"/>
  <c r="N1286" i="2"/>
  <c r="O1286" i="2"/>
  <c r="M1287" i="2"/>
  <c r="N1287" i="2"/>
  <c r="O1287" i="2"/>
  <c r="M1288" i="2"/>
  <c r="N1288" i="2"/>
  <c r="O1288" i="2"/>
  <c r="M1289" i="2"/>
  <c r="N1289" i="2"/>
  <c r="O1289" i="2"/>
  <c r="M1290" i="2"/>
  <c r="N1290" i="2"/>
  <c r="O1290" i="2"/>
  <c r="M1291" i="2"/>
  <c r="N1291" i="2"/>
  <c r="O1291" i="2"/>
  <c r="M1292" i="2"/>
  <c r="N1292" i="2"/>
  <c r="O1292" i="2"/>
  <c r="M1293" i="2"/>
  <c r="N1293" i="2"/>
  <c r="O1293" i="2"/>
  <c r="M1294" i="2"/>
  <c r="N1294" i="2"/>
  <c r="O1294" i="2"/>
  <c r="M1295" i="2"/>
  <c r="N1295" i="2"/>
  <c r="O1295" i="2"/>
  <c r="M1296" i="2"/>
  <c r="N1296" i="2"/>
  <c r="O1296" i="2"/>
  <c r="M1297" i="2"/>
  <c r="N1297" i="2"/>
  <c r="O1297" i="2"/>
  <c r="M1298" i="2"/>
  <c r="N1298" i="2"/>
  <c r="O1298" i="2"/>
  <c r="M1299" i="2"/>
  <c r="N1299" i="2"/>
  <c r="O1299" i="2"/>
  <c r="M1300" i="2"/>
  <c r="N1300" i="2"/>
  <c r="O1300" i="2"/>
  <c r="M1301" i="2"/>
  <c r="N1301" i="2"/>
  <c r="O1301" i="2"/>
  <c r="M1302" i="2"/>
  <c r="N1302" i="2"/>
  <c r="O1302" i="2"/>
  <c r="M1303" i="2"/>
  <c r="N1303" i="2"/>
  <c r="O1303" i="2"/>
  <c r="M1304" i="2"/>
  <c r="N1304" i="2"/>
  <c r="O1304" i="2"/>
  <c r="M1305" i="2"/>
  <c r="N1305" i="2"/>
  <c r="O1305" i="2"/>
  <c r="M1306" i="2"/>
  <c r="N1306" i="2"/>
  <c r="O1306" i="2"/>
  <c r="M1307" i="2"/>
  <c r="N1307" i="2"/>
  <c r="O1307" i="2"/>
  <c r="M1308" i="2"/>
  <c r="N1308" i="2"/>
  <c r="O1308" i="2"/>
  <c r="M1309" i="2"/>
  <c r="N1309" i="2"/>
  <c r="O1309" i="2"/>
  <c r="M1310" i="2"/>
  <c r="N1310" i="2"/>
  <c r="O1310" i="2"/>
  <c r="M1311" i="2"/>
  <c r="N1311" i="2"/>
  <c r="O1311" i="2"/>
  <c r="M1312" i="2"/>
  <c r="N1312" i="2"/>
  <c r="O1312" i="2"/>
  <c r="M1313" i="2"/>
  <c r="N1313" i="2"/>
  <c r="O1313" i="2"/>
  <c r="M1314" i="2"/>
  <c r="N1314" i="2"/>
  <c r="O1314" i="2"/>
  <c r="M1315" i="2"/>
  <c r="N1315" i="2"/>
  <c r="O1315" i="2"/>
  <c r="M1316" i="2"/>
  <c r="N1316" i="2"/>
  <c r="O1316" i="2"/>
  <c r="M1317" i="2"/>
  <c r="N1317" i="2"/>
  <c r="O1317" i="2"/>
  <c r="M1318" i="2"/>
  <c r="N1318" i="2"/>
  <c r="O1318" i="2"/>
  <c r="M1319" i="2"/>
  <c r="N1319" i="2"/>
  <c r="O1319" i="2"/>
  <c r="M1320" i="2"/>
  <c r="N1320" i="2"/>
  <c r="O1320" i="2"/>
  <c r="M1321" i="2"/>
  <c r="N1321" i="2"/>
  <c r="O1321" i="2"/>
  <c r="M1322" i="2"/>
  <c r="N1322" i="2"/>
  <c r="O1322" i="2"/>
  <c r="M1323" i="2"/>
  <c r="N1323" i="2"/>
  <c r="O1323" i="2"/>
  <c r="M1324" i="2"/>
  <c r="N1324" i="2"/>
  <c r="O1324" i="2"/>
  <c r="M1325" i="2"/>
  <c r="N1325" i="2"/>
  <c r="O1325" i="2"/>
  <c r="M1326" i="2"/>
  <c r="N1326" i="2"/>
  <c r="O1326" i="2"/>
  <c r="M1327" i="2"/>
  <c r="N1327" i="2"/>
  <c r="O1327" i="2"/>
  <c r="M1328" i="2"/>
  <c r="N1328" i="2"/>
  <c r="O1328" i="2"/>
  <c r="M1329" i="2"/>
  <c r="N1329" i="2"/>
  <c r="O1329" i="2"/>
  <c r="M1330" i="2"/>
  <c r="N1330" i="2"/>
  <c r="O1330" i="2"/>
  <c r="M1331" i="2"/>
  <c r="N1331" i="2"/>
  <c r="O1331" i="2"/>
  <c r="M1332" i="2"/>
  <c r="N1332" i="2"/>
  <c r="O1332" i="2"/>
  <c r="M1333" i="2"/>
  <c r="N1333" i="2"/>
  <c r="O1333" i="2"/>
  <c r="M1334" i="2"/>
  <c r="N1334" i="2"/>
  <c r="O1334" i="2"/>
  <c r="M1335" i="2"/>
  <c r="N1335" i="2"/>
  <c r="O1335" i="2"/>
  <c r="M1336" i="2"/>
  <c r="N1336" i="2"/>
  <c r="O1336" i="2"/>
  <c r="M1337" i="2"/>
  <c r="N1337" i="2"/>
  <c r="O1337" i="2"/>
  <c r="M1338" i="2"/>
  <c r="N1338" i="2"/>
  <c r="O1338" i="2"/>
  <c r="M1339" i="2"/>
  <c r="N1339" i="2"/>
  <c r="O1339" i="2"/>
  <c r="M1340" i="2"/>
  <c r="N1340" i="2"/>
  <c r="O1340" i="2"/>
  <c r="M1341" i="2"/>
  <c r="N1341" i="2"/>
  <c r="O1341" i="2"/>
  <c r="M1342" i="2"/>
  <c r="N1342" i="2"/>
  <c r="O1342" i="2"/>
  <c r="M1343" i="2"/>
  <c r="N1343" i="2"/>
  <c r="O1343" i="2"/>
  <c r="M1344" i="2"/>
  <c r="N1344" i="2"/>
  <c r="O1344" i="2"/>
  <c r="M1345" i="2"/>
  <c r="N1345" i="2"/>
  <c r="O1345" i="2"/>
  <c r="M1346" i="2"/>
  <c r="N1346" i="2"/>
  <c r="O1346" i="2"/>
  <c r="M1347" i="2"/>
  <c r="N1347" i="2"/>
  <c r="O1347" i="2"/>
  <c r="M1348" i="2"/>
  <c r="N1348" i="2"/>
  <c r="O1348" i="2"/>
  <c r="M1349" i="2"/>
  <c r="N1349" i="2"/>
  <c r="O1349" i="2"/>
  <c r="M1350" i="2"/>
  <c r="N1350" i="2"/>
  <c r="O1350" i="2"/>
  <c r="M1351" i="2"/>
  <c r="N1351" i="2"/>
  <c r="O1351" i="2"/>
  <c r="M1352" i="2"/>
  <c r="N1352" i="2"/>
  <c r="O1352" i="2"/>
  <c r="M1353" i="2"/>
  <c r="N1353" i="2"/>
  <c r="O1353" i="2"/>
  <c r="M1354" i="2"/>
  <c r="N1354" i="2"/>
  <c r="O1354" i="2"/>
  <c r="M1355" i="2"/>
  <c r="N1355" i="2"/>
  <c r="O1355" i="2"/>
  <c r="M1356" i="2"/>
  <c r="N1356" i="2"/>
  <c r="O1356" i="2"/>
  <c r="M1357" i="2"/>
  <c r="N1357" i="2"/>
  <c r="O1357" i="2"/>
  <c r="M1358" i="2"/>
  <c r="N1358" i="2"/>
  <c r="O1358" i="2"/>
  <c r="M1359" i="2"/>
  <c r="N1359" i="2"/>
  <c r="O1359" i="2"/>
  <c r="M1360" i="2"/>
  <c r="N1360" i="2"/>
  <c r="O1360" i="2"/>
  <c r="M1361" i="2"/>
  <c r="N1361" i="2"/>
  <c r="O1361" i="2"/>
  <c r="M1362" i="2"/>
  <c r="N1362" i="2"/>
  <c r="O1362" i="2"/>
  <c r="M1363" i="2"/>
  <c r="N1363" i="2"/>
  <c r="O1363" i="2"/>
  <c r="M1364" i="2"/>
  <c r="N1364" i="2"/>
  <c r="O1364" i="2"/>
  <c r="M1365" i="2"/>
  <c r="N1365" i="2"/>
  <c r="O1365" i="2"/>
  <c r="M1366" i="2"/>
  <c r="N1366" i="2"/>
  <c r="O1366" i="2"/>
  <c r="M1367" i="2"/>
  <c r="N1367" i="2"/>
  <c r="O1367" i="2"/>
  <c r="M1368" i="2"/>
  <c r="N1368" i="2"/>
  <c r="O1368" i="2"/>
  <c r="M1369" i="2"/>
  <c r="N1369" i="2"/>
  <c r="O1369" i="2"/>
  <c r="M1370" i="2"/>
  <c r="N1370" i="2"/>
  <c r="O1370" i="2"/>
  <c r="M1371" i="2"/>
  <c r="N1371" i="2"/>
  <c r="O1371" i="2"/>
  <c r="M1372" i="2"/>
  <c r="N1372" i="2"/>
  <c r="O1372" i="2"/>
  <c r="M1373" i="2"/>
  <c r="N1373" i="2"/>
  <c r="O1373" i="2"/>
  <c r="M1374" i="2"/>
  <c r="N1374" i="2"/>
  <c r="O1374" i="2"/>
  <c r="M1375" i="2"/>
  <c r="N1375" i="2"/>
  <c r="O1375" i="2"/>
  <c r="M1376" i="2"/>
  <c r="N1376" i="2"/>
  <c r="O1376" i="2"/>
  <c r="M1377" i="2"/>
  <c r="N1377" i="2"/>
  <c r="O1377" i="2"/>
  <c r="M1378" i="2"/>
  <c r="N1378" i="2"/>
  <c r="O1378" i="2"/>
  <c r="M1379" i="2"/>
  <c r="N1379" i="2"/>
  <c r="O1379" i="2"/>
  <c r="M1380" i="2"/>
  <c r="N1380" i="2"/>
  <c r="O1380" i="2"/>
  <c r="M1381" i="2"/>
  <c r="N1381" i="2"/>
  <c r="O1381" i="2"/>
  <c r="M1382" i="2"/>
  <c r="N1382" i="2"/>
  <c r="O1382" i="2"/>
  <c r="M1383" i="2"/>
  <c r="N1383" i="2"/>
  <c r="O1383" i="2"/>
  <c r="M1384" i="2"/>
  <c r="N1384" i="2"/>
  <c r="O1384" i="2"/>
  <c r="M1385" i="2"/>
  <c r="N1385" i="2"/>
  <c r="O1385" i="2"/>
  <c r="M1386" i="2"/>
  <c r="N1386" i="2"/>
  <c r="O1386" i="2"/>
  <c r="M1387" i="2"/>
  <c r="N1387" i="2"/>
  <c r="O1387" i="2"/>
  <c r="M1388" i="2"/>
  <c r="N1388" i="2"/>
  <c r="O1388" i="2"/>
  <c r="M1389" i="2"/>
  <c r="N1389" i="2"/>
  <c r="O1389" i="2"/>
  <c r="M1390" i="2"/>
  <c r="N1390" i="2"/>
  <c r="O1390" i="2"/>
  <c r="M1391" i="2"/>
  <c r="N1391" i="2"/>
  <c r="O1391" i="2"/>
  <c r="M1392" i="2"/>
  <c r="N1392" i="2"/>
  <c r="O1392" i="2"/>
  <c r="M1393" i="2"/>
  <c r="N1393" i="2"/>
  <c r="O1393" i="2"/>
  <c r="M1394" i="2"/>
  <c r="N1394" i="2"/>
  <c r="O1394" i="2"/>
  <c r="M1395" i="2"/>
  <c r="N1395" i="2"/>
  <c r="O1395" i="2"/>
  <c r="M1396" i="2"/>
  <c r="N1396" i="2"/>
  <c r="O1396" i="2"/>
  <c r="M1397" i="2"/>
  <c r="N1397" i="2"/>
  <c r="O1397" i="2"/>
  <c r="M1398" i="2"/>
  <c r="N1398" i="2"/>
  <c r="O1398" i="2"/>
  <c r="M1399" i="2"/>
  <c r="N1399" i="2"/>
  <c r="O1399" i="2"/>
  <c r="M1400" i="2"/>
  <c r="N1400" i="2"/>
  <c r="O1400" i="2"/>
  <c r="M1401" i="2"/>
  <c r="N1401" i="2"/>
  <c r="O1401" i="2"/>
  <c r="M1402" i="2"/>
  <c r="N1402" i="2"/>
  <c r="O1402" i="2"/>
  <c r="M1403" i="2"/>
  <c r="N1403" i="2"/>
  <c r="O1403" i="2"/>
  <c r="M1404" i="2"/>
  <c r="N1404" i="2"/>
  <c r="O1404" i="2"/>
  <c r="M1405" i="2"/>
  <c r="N1405" i="2"/>
  <c r="O1405" i="2"/>
  <c r="M1406" i="2"/>
  <c r="N1406" i="2"/>
  <c r="O1406" i="2"/>
  <c r="M1407" i="2"/>
  <c r="N1407" i="2"/>
  <c r="O1407" i="2"/>
  <c r="M1408" i="2"/>
  <c r="N1408" i="2"/>
  <c r="O1408" i="2"/>
  <c r="M1409" i="2"/>
  <c r="N1409" i="2"/>
  <c r="O1409" i="2"/>
  <c r="M1410" i="2"/>
  <c r="N1410" i="2"/>
  <c r="O1410" i="2"/>
  <c r="M1411" i="2"/>
  <c r="N1411" i="2"/>
  <c r="O1411" i="2"/>
  <c r="M1412" i="2"/>
  <c r="N1412" i="2"/>
  <c r="O1412" i="2"/>
  <c r="M1413" i="2"/>
  <c r="N1413" i="2"/>
  <c r="O1413" i="2"/>
  <c r="M1414" i="2"/>
  <c r="N1414" i="2"/>
  <c r="O1414" i="2"/>
  <c r="M1415" i="2"/>
  <c r="N1415" i="2"/>
  <c r="O1415" i="2"/>
  <c r="M1416" i="2"/>
  <c r="N1416" i="2"/>
  <c r="O1416" i="2"/>
  <c r="M1417" i="2"/>
  <c r="N1417" i="2"/>
  <c r="O1417" i="2"/>
  <c r="M1418" i="2"/>
  <c r="N1418" i="2"/>
  <c r="O1418" i="2"/>
  <c r="M1419" i="2"/>
  <c r="N1419" i="2"/>
  <c r="O1419" i="2"/>
  <c r="M1420" i="2"/>
  <c r="N1420" i="2"/>
  <c r="O1420" i="2"/>
  <c r="M1421" i="2"/>
  <c r="N1421" i="2"/>
  <c r="O1421" i="2"/>
  <c r="M1422" i="2"/>
  <c r="N1422" i="2"/>
  <c r="O1422" i="2"/>
  <c r="M1423" i="2"/>
  <c r="N1423" i="2"/>
  <c r="O1423" i="2"/>
  <c r="M1424" i="2"/>
  <c r="N1424" i="2"/>
  <c r="O1424" i="2"/>
  <c r="M1425" i="2"/>
  <c r="N1425" i="2"/>
  <c r="O1425" i="2"/>
  <c r="M1426" i="2"/>
  <c r="N1426" i="2"/>
  <c r="O1426" i="2"/>
  <c r="M1427" i="2"/>
  <c r="N1427" i="2"/>
  <c r="O1427" i="2"/>
  <c r="M1428" i="2"/>
  <c r="N1428" i="2"/>
  <c r="O1428" i="2"/>
  <c r="M1429" i="2"/>
  <c r="N1429" i="2"/>
  <c r="O1429" i="2"/>
  <c r="M1430" i="2"/>
  <c r="N1430" i="2"/>
  <c r="O1430" i="2"/>
  <c r="M1431" i="2"/>
  <c r="N1431" i="2"/>
  <c r="O1431" i="2"/>
  <c r="M1432" i="2"/>
  <c r="N1432" i="2"/>
  <c r="O1432" i="2"/>
  <c r="M1433" i="2"/>
  <c r="N1433" i="2"/>
  <c r="O1433" i="2"/>
  <c r="M1434" i="2"/>
  <c r="N1434" i="2"/>
  <c r="O1434" i="2"/>
  <c r="M1435" i="2"/>
  <c r="N1435" i="2"/>
  <c r="O1435" i="2"/>
  <c r="M1436" i="2"/>
  <c r="N1436" i="2"/>
  <c r="O1436" i="2"/>
  <c r="M1437" i="2"/>
  <c r="N1437" i="2"/>
  <c r="O1437" i="2"/>
  <c r="M1438" i="2"/>
  <c r="N1438" i="2"/>
  <c r="O1438" i="2"/>
  <c r="M1439" i="2"/>
  <c r="N1439" i="2"/>
  <c r="O1439" i="2"/>
  <c r="M1440" i="2"/>
  <c r="N1440" i="2"/>
  <c r="O1440" i="2"/>
  <c r="M1441" i="2"/>
  <c r="N1441" i="2"/>
  <c r="O1441" i="2"/>
  <c r="M1442" i="2"/>
  <c r="N1442" i="2"/>
  <c r="O1442" i="2"/>
  <c r="M1443" i="2"/>
  <c r="N1443" i="2"/>
  <c r="O1443" i="2"/>
  <c r="M1444" i="2"/>
  <c r="N1444" i="2"/>
  <c r="O1444" i="2"/>
  <c r="M1445" i="2"/>
  <c r="N1445" i="2"/>
  <c r="O1445" i="2"/>
  <c r="M1446" i="2"/>
  <c r="N1446" i="2"/>
  <c r="O1446" i="2"/>
  <c r="M1447" i="2"/>
  <c r="N1447" i="2"/>
  <c r="O1447" i="2"/>
  <c r="M1448" i="2"/>
  <c r="N1448" i="2"/>
  <c r="O1448" i="2"/>
  <c r="M1449" i="2"/>
  <c r="N1449" i="2"/>
  <c r="O1449" i="2"/>
  <c r="M1450" i="2"/>
  <c r="N1450" i="2"/>
  <c r="O1450" i="2"/>
  <c r="M1451" i="2"/>
  <c r="N1451" i="2"/>
  <c r="O1451" i="2"/>
  <c r="M1452" i="2"/>
  <c r="N1452" i="2"/>
  <c r="O1452" i="2"/>
  <c r="M1453" i="2"/>
  <c r="N1453" i="2"/>
  <c r="O1453" i="2"/>
  <c r="M1454" i="2"/>
  <c r="N1454" i="2"/>
  <c r="O1454" i="2"/>
  <c r="M1455" i="2"/>
  <c r="N1455" i="2"/>
  <c r="O1455" i="2"/>
  <c r="M1456" i="2"/>
  <c r="N1456" i="2"/>
  <c r="O1456" i="2"/>
  <c r="M1457" i="2"/>
  <c r="N1457" i="2"/>
  <c r="O1457" i="2"/>
  <c r="M1458" i="2"/>
  <c r="N1458" i="2"/>
  <c r="O1458" i="2"/>
  <c r="M1459" i="2"/>
  <c r="N1459" i="2"/>
  <c r="O1459" i="2"/>
  <c r="M1460" i="2"/>
  <c r="N1460" i="2"/>
  <c r="O1460" i="2"/>
  <c r="M1461" i="2"/>
  <c r="N1461" i="2"/>
  <c r="O1461" i="2"/>
  <c r="M1462" i="2"/>
  <c r="N1462" i="2"/>
  <c r="O1462" i="2"/>
  <c r="M1463" i="2"/>
  <c r="N1463" i="2"/>
  <c r="O1463" i="2"/>
  <c r="M1464" i="2"/>
  <c r="N1464" i="2"/>
  <c r="O1464" i="2"/>
  <c r="M1465" i="2"/>
  <c r="N1465" i="2"/>
  <c r="O1465" i="2"/>
  <c r="M1466" i="2"/>
  <c r="N1466" i="2"/>
  <c r="O1466" i="2"/>
  <c r="M1467" i="2"/>
  <c r="N1467" i="2"/>
  <c r="O1467" i="2"/>
  <c r="M1468" i="2"/>
  <c r="N1468" i="2"/>
  <c r="O1468" i="2"/>
  <c r="M1469" i="2"/>
  <c r="N1469" i="2"/>
  <c r="O1469" i="2"/>
  <c r="M1470" i="2"/>
  <c r="N1470" i="2"/>
  <c r="O1470" i="2"/>
  <c r="M1471" i="2"/>
  <c r="N1471" i="2"/>
  <c r="O1471" i="2"/>
  <c r="M1472" i="2"/>
  <c r="N1472" i="2"/>
  <c r="O1472" i="2"/>
  <c r="M1473" i="2"/>
  <c r="N1473" i="2"/>
  <c r="O1473" i="2"/>
  <c r="M1474" i="2"/>
  <c r="N1474" i="2"/>
  <c r="O1474" i="2"/>
  <c r="M1475" i="2"/>
  <c r="N1475" i="2"/>
  <c r="O1475" i="2"/>
  <c r="M1476" i="2"/>
  <c r="N1476" i="2"/>
  <c r="O1476" i="2"/>
  <c r="M1477" i="2"/>
  <c r="N1477" i="2"/>
  <c r="O1477" i="2"/>
  <c r="M1478" i="2"/>
  <c r="N1478" i="2" s="1"/>
  <c r="O1478" i="2"/>
  <c r="M1479" i="2"/>
  <c r="N1479" i="2" s="1"/>
  <c r="O1479" i="2"/>
  <c r="M1480" i="2"/>
  <c r="N1480" i="2" s="1"/>
  <c r="O1480" i="2"/>
  <c r="M1481" i="2"/>
  <c r="N1481" i="2"/>
  <c r="O1481" i="2"/>
  <c r="M1482" i="2"/>
  <c r="N1482" i="2" s="1"/>
  <c r="O1482" i="2"/>
  <c r="M1483" i="2"/>
  <c r="N1483" i="2" s="1"/>
  <c r="O1483" i="2"/>
  <c r="M1484" i="2"/>
  <c r="N1484" i="2" s="1"/>
  <c r="O1484" i="2"/>
  <c r="M1485" i="2"/>
  <c r="N1485" i="2"/>
  <c r="O1485" i="2"/>
  <c r="M1486" i="2"/>
  <c r="N1486" i="2"/>
  <c r="O1486" i="2"/>
  <c r="M1487" i="2"/>
  <c r="N1487" i="2" s="1"/>
  <c r="O1487" i="2"/>
  <c r="M1488" i="2"/>
  <c r="N1488" i="2" s="1"/>
  <c r="O1488" i="2"/>
  <c r="M1489" i="2"/>
  <c r="N1489" i="2"/>
  <c r="O1489" i="2"/>
  <c r="M1490" i="2"/>
  <c r="N1490" i="2" s="1"/>
  <c r="O1490" i="2"/>
  <c r="M1491" i="2"/>
  <c r="N1491" i="2" s="1"/>
  <c r="O1491" i="2"/>
  <c r="M1492" i="2"/>
  <c r="N1492" i="2"/>
  <c r="O1492" i="2"/>
  <c r="M1493" i="2"/>
  <c r="N1493" i="2"/>
  <c r="O1493" i="2"/>
  <c r="M1494" i="2"/>
  <c r="N1494" i="2" s="1"/>
  <c r="O1494" i="2"/>
  <c r="M1495" i="2"/>
  <c r="N1495" i="2" s="1"/>
  <c r="O1495" i="2"/>
  <c r="M1496" i="2"/>
  <c r="N1496" i="2"/>
  <c r="O1496" i="2"/>
  <c r="M1497" i="2"/>
  <c r="N1497" i="2" s="1"/>
  <c r="O1497" i="2"/>
  <c r="M1498" i="2"/>
  <c r="N1498" i="2" s="1"/>
  <c r="O1498" i="2"/>
  <c r="M1499" i="2"/>
  <c r="N1499" i="2" s="1"/>
  <c r="O1499" i="2"/>
  <c r="M1500" i="2"/>
  <c r="N1500" i="2" s="1"/>
  <c r="O1500" i="2"/>
  <c r="M1501" i="2"/>
  <c r="N1501" i="2"/>
  <c r="O1501" i="2"/>
  <c r="M1502" i="2"/>
  <c r="N1502" i="2"/>
  <c r="O1502" i="2"/>
  <c r="M1503" i="2"/>
  <c r="N1503" i="2" s="1"/>
  <c r="O1503" i="2"/>
  <c r="M1504" i="2"/>
  <c r="N1504" i="2" s="1"/>
  <c r="O1504" i="2"/>
  <c r="M1505" i="2"/>
  <c r="N1505" i="2"/>
  <c r="O1505" i="2"/>
  <c r="M1506" i="2"/>
  <c r="N1506" i="2"/>
  <c r="O1506" i="2"/>
  <c r="M1507" i="2"/>
  <c r="N1507" i="2" s="1"/>
  <c r="O1507" i="2"/>
  <c r="M1508" i="2"/>
  <c r="N1508" i="2"/>
  <c r="O1508" i="2"/>
  <c r="M1509" i="2"/>
  <c r="N1509" i="2"/>
  <c r="O1509" i="2"/>
  <c r="M1510" i="2"/>
  <c r="N1510" i="2"/>
  <c r="O1510" i="2"/>
  <c r="M1511" i="2"/>
  <c r="N1511" i="2"/>
  <c r="O1511" i="2"/>
  <c r="M1512" i="2"/>
  <c r="N1512" i="2" s="1"/>
  <c r="O1512" i="2"/>
  <c r="M1513" i="2"/>
  <c r="N1513" i="2" s="1"/>
  <c r="O1513" i="2"/>
  <c r="M1514" i="2"/>
  <c r="N1514" i="2" s="1"/>
  <c r="O1514" i="2"/>
  <c r="M1515" i="2"/>
  <c r="N1515" i="2"/>
  <c r="O1515" i="2"/>
  <c r="M1516" i="2"/>
  <c r="N1516" i="2"/>
  <c r="O1516" i="2"/>
  <c r="M1517" i="2"/>
  <c r="N1517" i="2"/>
  <c r="O1517" i="2"/>
  <c r="M1518" i="2"/>
  <c r="N1518" i="2"/>
  <c r="O1518" i="2"/>
  <c r="M1519" i="2"/>
  <c r="N1519" i="2"/>
  <c r="O1519" i="2"/>
  <c r="M1520" i="2"/>
  <c r="N1520" i="2" s="1"/>
  <c r="O1520" i="2"/>
  <c r="M1521" i="2"/>
  <c r="N1521" i="2" s="1"/>
  <c r="O1521" i="2"/>
  <c r="M1522" i="2"/>
  <c r="N1522" i="2"/>
  <c r="O1522" i="2"/>
  <c r="M1523" i="2"/>
  <c r="N1523" i="2"/>
  <c r="O1523" i="2"/>
  <c r="M1524" i="2"/>
  <c r="N1524" i="2" s="1"/>
  <c r="O1524" i="2"/>
  <c r="M1525" i="2"/>
  <c r="N1525" i="2" s="1"/>
  <c r="O1525" i="2"/>
  <c r="M1526" i="2"/>
  <c r="N1526" i="2" s="1"/>
  <c r="O1526" i="2"/>
  <c r="M1527" i="2"/>
  <c r="N1527" i="2"/>
  <c r="O1527" i="2"/>
  <c r="M1528" i="2"/>
  <c r="N1528" i="2" s="1"/>
  <c r="O1528" i="2"/>
  <c r="M1529" i="2"/>
  <c r="N1529" i="2" s="1"/>
  <c r="O1529" i="2"/>
  <c r="M1530" i="2"/>
  <c r="N1530" i="2"/>
  <c r="O1530" i="2"/>
  <c r="M1531" i="2"/>
  <c r="N1531" i="2"/>
  <c r="O1531" i="2"/>
  <c r="M1532" i="2"/>
  <c r="N1532" i="2" s="1"/>
  <c r="O1532" i="2"/>
  <c r="M1533" i="2"/>
  <c r="N1533" i="2" s="1"/>
  <c r="O1533" i="2"/>
  <c r="M1534" i="2"/>
  <c r="N1534" i="2" s="1"/>
  <c r="O1534" i="2"/>
  <c r="M1535" i="2"/>
  <c r="N1535" i="2"/>
  <c r="O1535" i="2"/>
  <c r="M1536" i="2"/>
  <c r="N1536" i="2"/>
  <c r="O1536" i="2"/>
  <c r="M1537" i="2"/>
  <c r="N1537" i="2" s="1"/>
  <c r="O1537" i="2"/>
  <c r="M1538" i="2"/>
  <c r="N1538" i="2"/>
  <c r="O1538" i="2"/>
  <c r="M1539" i="2"/>
  <c r="N1539" i="2" s="1"/>
  <c r="O1539" i="2"/>
  <c r="M1540" i="2"/>
  <c r="N1540" i="2"/>
  <c r="O1540" i="2"/>
  <c r="M1541" i="2"/>
  <c r="N1541" i="2" s="1"/>
  <c r="O1541" i="2"/>
  <c r="M1542" i="2"/>
  <c r="N1542" i="2" s="1"/>
  <c r="O1542" i="2"/>
  <c r="M1543" i="2"/>
  <c r="N1543" i="2"/>
  <c r="O1543" i="2"/>
  <c r="M1544" i="2"/>
  <c r="N1544" i="2" s="1"/>
  <c r="O1544" i="2"/>
  <c r="M1545" i="2"/>
  <c r="N1545" i="2" s="1"/>
  <c r="O1545" i="2"/>
  <c r="M1546" i="2"/>
  <c r="N1546" i="2"/>
  <c r="O1546" i="2"/>
  <c r="M1547" i="2"/>
  <c r="N1547" i="2"/>
  <c r="O1547" i="2"/>
  <c r="M1548" i="2"/>
  <c r="N1548" i="2" s="1"/>
  <c r="O1548" i="2"/>
  <c r="M1549" i="2"/>
  <c r="N1549" i="2"/>
  <c r="O1549" i="2"/>
  <c r="M1550" i="2"/>
  <c r="N1550" i="2" s="1"/>
  <c r="O1550" i="2"/>
  <c r="M1551" i="2"/>
  <c r="N1551" i="2"/>
  <c r="O1551" i="2"/>
  <c r="M1552" i="2"/>
  <c r="N1552" i="2" s="1"/>
  <c r="O1552" i="2"/>
  <c r="M1553" i="2"/>
  <c r="N1553" i="2"/>
  <c r="O1553" i="2"/>
  <c r="M1554" i="2"/>
  <c r="N1554" i="2" s="1"/>
  <c r="O1554" i="2"/>
  <c r="M1555" i="2"/>
  <c r="N1555" i="2" s="1"/>
  <c r="O1555" i="2"/>
  <c r="M1556" i="2"/>
  <c r="N1556" i="2" s="1"/>
  <c r="O1556" i="2"/>
  <c r="M1557" i="2"/>
  <c r="N1557" i="2" s="1"/>
  <c r="O1557" i="2"/>
  <c r="M1558" i="2"/>
  <c r="N1558" i="2"/>
  <c r="O1558" i="2"/>
  <c r="M1559" i="2"/>
  <c r="N1559" i="2" s="1"/>
  <c r="O1559" i="2"/>
  <c r="M1560" i="2"/>
  <c r="N1560" i="2"/>
  <c r="O1560" i="2"/>
  <c r="M1561" i="2"/>
  <c r="N1561" i="2" s="1"/>
  <c r="O1561" i="2"/>
  <c r="M1562" i="2"/>
  <c r="N1562" i="2" s="1"/>
  <c r="O1562" i="2"/>
  <c r="M1563" i="2"/>
  <c r="N1563" i="2" s="1"/>
  <c r="O1563" i="2"/>
  <c r="M1564" i="2"/>
  <c r="N1564" i="2" s="1"/>
  <c r="O1564" i="2"/>
  <c r="M1565" i="2"/>
  <c r="N1565" i="2"/>
  <c r="O1565" i="2"/>
  <c r="M1566" i="2"/>
  <c r="N1566" i="2" s="1"/>
  <c r="O1566" i="2"/>
  <c r="M1567" i="2"/>
  <c r="N1567" i="2" s="1"/>
  <c r="O1567" i="2"/>
  <c r="M1568" i="2"/>
  <c r="N1568" i="2" s="1"/>
  <c r="O1568" i="2"/>
  <c r="M1569" i="2"/>
  <c r="N1569" i="2" s="1"/>
  <c r="O1569" i="2"/>
  <c r="M1570" i="2"/>
  <c r="N1570" i="2" s="1"/>
  <c r="O1570" i="2"/>
  <c r="M1571" i="2"/>
  <c r="N1571" i="2" s="1"/>
  <c r="O1571" i="2"/>
  <c r="M1572" i="2"/>
  <c r="N1572" i="2" s="1"/>
  <c r="O1572" i="2"/>
  <c r="M1573" i="2"/>
  <c r="N1573" i="2"/>
  <c r="O1573" i="2"/>
  <c r="M1574" i="2"/>
  <c r="N1574" i="2" s="1"/>
  <c r="O1574" i="2"/>
  <c r="M1575" i="2"/>
  <c r="N1575" i="2"/>
  <c r="O1575" i="2"/>
  <c r="M1576" i="2"/>
  <c r="N1576" i="2"/>
  <c r="O1576" i="2"/>
  <c r="M1577" i="2"/>
  <c r="N1577" i="2" s="1"/>
  <c r="O1577" i="2"/>
  <c r="M1578" i="2"/>
  <c r="N1578" i="2"/>
  <c r="O1578" i="2"/>
  <c r="M1579" i="2"/>
  <c r="N1579" i="2" s="1"/>
  <c r="O1579" i="2"/>
  <c r="M1580" i="2"/>
  <c r="N1580" i="2"/>
  <c r="O1580" i="2"/>
  <c r="M1581" i="2"/>
  <c r="N1581" i="2" s="1"/>
  <c r="O1581" i="2"/>
  <c r="M1582" i="2"/>
  <c r="N1582" i="2"/>
  <c r="O1582" i="2"/>
  <c r="M1583" i="2"/>
  <c r="N1583" i="2"/>
  <c r="O1583" i="2"/>
  <c r="M1584" i="2"/>
  <c r="N1584" i="2" s="1"/>
  <c r="O1584" i="2"/>
  <c r="M1585" i="2"/>
  <c r="N1585" i="2"/>
  <c r="O1585" i="2"/>
  <c r="M1586" i="2"/>
  <c r="N1586" i="2" s="1"/>
  <c r="O1586" i="2"/>
  <c r="M1587" i="2"/>
  <c r="N1587" i="2" s="1"/>
  <c r="O1587" i="2"/>
  <c r="M1588" i="2"/>
  <c r="N1588" i="2" s="1"/>
  <c r="O1588" i="2"/>
  <c r="M1589" i="2"/>
  <c r="N1589" i="2"/>
  <c r="O1589" i="2"/>
  <c r="M1590" i="2"/>
  <c r="N1590" i="2" s="1"/>
  <c r="O1590" i="2"/>
  <c r="M1591" i="2"/>
  <c r="N1591" i="2" s="1"/>
  <c r="O1591" i="2"/>
  <c r="M1592" i="2"/>
  <c r="N1592" i="2" s="1"/>
  <c r="O1592" i="2"/>
  <c r="M1593" i="2"/>
  <c r="N1593" i="2"/>
  <c r="O1593" i="2"/>
  <c r="M1594" i="2"/>
  <c r="N1594" i="2" s="1"/>
  <c r="O1594" i="2"/>
  <c r="M1595" i="2"/>
  <c r="N1595" i="2" s="1"/>
  <c r="O1595" i="2"/>
  <c r="M1596" i="2"/>
  <c r="N1596" i="2" s="1"/>
  <c r="O1596" i="2"/>
  <c r="M1597" i="2"/>
  <c r="N1597" i="2"/>
  <c r="O1597" i="2"/>
  <c r="M1598" i="2"/>
  <c r="N1598" i="2"/>
  <c r="O1598" i="2"/>
  <c r="M1599" i="2"/>
  <c r="N1599" i="2"/>
  <c r="O1599" i="2"/>
  <c r="M1600" i="2"/>
  <c r="N1600" i="2" s="1"/>
  <c r="O1600" i="2"/>
  <c r="M1601" i="2"/>
  <c r="N1601" i="2" s="1"/>
  <c r="O1601" i="2"/>
  <c r="M1602" i="2"/>
  <c r="N1602" i="2" s="1"/>
  <c r="O1602" i="2"/>
  <c r="M1603" i="2"/>
  <c r="N1603" i="2" s="1"/>
  <c r="O1603" i="2"/>
  <c r="M1604" i="2"/>
  <c r="N1604" i="2"/>
  <c r="O1604" i="2"/>
  <c r="M1605" i="2"/>
  <c r="N1605" i="2"/>
  <c r="O1605" i="2"/>
  <c r="M1606" i="2"/>
  <c r="N1606" i="2"/>
  <c r="O1606" i="2"/>
  <c r="M1607" i="2"/>
  <c r="N1607" i="2" s="1"/>
  <c r="O1607" i="2"/>
  <c r="M1608" i="2"/>
  <c r="N1608" i="2"/>
  <c r="O1608" i="2"/>
  <c r="M1609" i="2"/>
  <c r="N1609" i="2" s="1"/>
  <c r="O1609" i="2"/>
  <c r="M1610" i="2"/>
  <c r="N1610" i="2"/>
  <c r="O1610" i="2"/>
  <c r="M1611" i="2"/>
  <c r="N1611" i="2"/>
  <c r="O1611" i="2"/>
  <c r="M1612" i="2"/>
  <c r="N1612" i="2"/>
  <c r="O1612" i="2"/>
  <c r="M1613" i="2"/>
  <c r="N1613" i="2" s="1"/>
  <c r="O1613" i="2"/>
  <c r="M1614" i="2"/>
  <c r="N1614" i="2" s="1"/>
  <c r="O1614" i="2"/>
  <c r="M1615" i="2"/>
  <c r="N1615" i="2"/>
  <c r="O1615" i="2"/>
  <c r="M1616" i="2"/>
  <c r="N1616" i="2"/>
  <c r="O1616" i="2"/>
  <c r="M1617" i="2"/>
  <c r="N1617" i="2"/>
  <c r="O1617" i="2"/>
  <c r="M1618" i="2"/>
  <c r="N1618" i="2" s="1"/>
  <c r="O1618" i="2"/>
  <c r="M1619" i="2"/>
  <c r="N1619" i="2" s="1"/>
  <c r="O1619" i="2"/>
  <c r="M1620" i="2"/>
  <c r="N1620" i="2" s="1"/>
  <c r="O1620" i="2"/>
  <c r="M1621" i="2"/>
  <c r="N1621" i="2" s="1"/>
  <c r="O1621" i="2"/>
  <c r="M1622" i="2"/>
  <c r="N1622" i="2" s="1"/>
  <c r="O1622" i="2"/>
  <c r="M1623" i="2"/>
  <c r="N1623" i="2"/>
  <c r="O1623" i="2"/>
  <c r="M1624" i="2"/>
  <c r="N1624" i="2"/>
  <c r="O1624" i="2"/>
  <c r="M1625" i="2"/>
  <c r="N1625" i="2"/>
  <c r="O1625" i="2"/>
  <c r="M1626" i="2"/>
  <c r="N1626" i="2"/>
  <c r="O1626" i="2"/>
  <c r="M1627" i="2"/>
  <c r="N1627" i="2"/>
  <c r="O1627" i="2"/>
  <c r="M1628" i="2"/>
  <c r="N1628" i="2"/>
  <c r="O1628" i="2"/>
  <c r="M1629" i="2"/>
  <c r="N1629" i="2" s="1"/>
  <c r="O1629" i="2"/>
  <c r="M1630" i="2"/>
  <c r="N1630" i="2"/>
  <c r="O1630" i="2"/>
  <c r="M1631" i="2"/>
  <c r="N1631" i="2" s="1"/>
  <c r="O1631" i="2"/>
  <c r="M1632" i="2"/>
  <c r="N1632" i="2"/>
  <c r="O1632" i="2"/>
  <c r="M1633" i="2"/>
  <c r="N1633" i="2" s="1"/>
  <c r="O1633" i="2"/>
  <c r="M1634" i="2"/>
  <c r="N1634" i="2"/>
  <c r="O1634" i="2"/>
  <c r="M1635" i="2"/>
  <c r="N1635" i="2"/>
  <c r="O1635" i="2"/>
  <c r="M1636" i="2"/>
  <c r="N1636" i="2"/>
  <c r="O1636" i="2"/>
  <c r="M1637" i="2"/>
  <c r="N1637" i="2" s="1"/>
  <c r="O1637" i="2"/>
  <c r="M1638" i="2"/>
  <c r="N1638" i="2"/>
  <c r="O1638" i="2"/>
  <c r="M1639" i="2"/>
  <c r="N1639" i="2" s="1"/>
  <c r="O1639" i="2"/>
  <c r="M1640" i="2"/>
  <c r="N1640" i="2" s="1"/>
  <c r="O1640" i="2"/>
  <c r="M1641" i="2"/>
  <c r="N1641" i="2" s="1"/>
  <c r="O1641" i="2"/>
  <c r="M1642" i="2"/>
  <c r="N1642" i="2" s="1"/>
  <c r="O1642" i="2"/>
  <c r="M1643" i="2"/>
  <c r="N1643" i="2" s="1"/>
  <c r="O1643" i="2"/>
  <c r="M1644" i="2"/>
  <c r="N1644" i="2" s="1"/>
  <c r="O1644" i="2"/>
  <c r="M1645" i="2"/>
  <c r="N1645" i="2" s="1"/>
  <c r="O1645" i="2"/>
  <c r="M1646" i="2"/>
  <c r="N1646" i="2"/>
  <c r="O1646" i="2"/>
  <c r="M1647" i="2"/>
  <c r="N1647" i="2" s="1"/>
  <c r="O1647" i="2"/>
  <c r="M1648" i="2"/>
  <c r="N1648" i="2" s="1"/>
  <c r="O1648" i="2"/>
  <c r="M1649" i="2"/>
  <c r="N1649" i="2"/>
  <c r="O1649" i="2"/>
  <c r="M1650" i="2"/>
  <c r="N1650" i="2" s="1"/>
  <c r="O1650" i="2"/>
  <c r="M1651" i="2"/>
  <c r="N1651" i="2"/>
  <c r="O1651" i="2"/>
  <c r="M1652" i="2"/>
  <c r="N1652" i="2"/>
  <c r="O1652" i="2"/>
  <c r="M1653" i="2"/>
  <c r="N1653" i="2"/>
  <c r="O1653" i="2"/>
  <c r="M1654" i="2"/>
  <c r="N1654" i="2" s="1"/>
  <c r="O1654" i="2"/>
  <c r="M1655" i="2"/>
  <c r="N1655" i="2" s="1"/>
  <c r="O1655" i="2"/>
  <c r="M1656" i="2"/>
  <c r="N1656" i="2" s="1"/>
  <c r="O1656" i="2"/>
  <c r="M1657" i="2"/>
  <c r="N1657" i="2" s="1"/>
  <c r="O1657" i="2"/>
  <c r="M1658" i="2"/>
  <c r="N1658" i="2"/>
  <c r="O1658" i="2"/>
  <c r="M1659" i="2"/>
  <c r="N1659" i="2" s="1"/>
  <c r="O1659" i="2"/>
  <c r="M1660" i="2"/>
  <c r="N1660" i="2"/>
  <c r="O1660" i="2"/>
  <c r="M1661" i="2"/>
  <c r="N1661" i="2" s="1"/>
  <c r="O1661" i="2"/>
  <c r="M1662" i="2"/>
  <c r="N1662" i="2"/>
  <c r="O1662" i="2"/>
  <c r="M1663" i="2"/>
  <c r="N1663" i="2" s="1"/>
  <c r="O1663" i="2"/>
  <c r="M1664" i="2"/>
  <c r="N1664" i="2" s="1"/>
  <c r="O1664" i="2"/>
  <c r="M1665" i="2"/>
  <c r="N1665" i="2"/>
  <c r="O1665" i="2"/>
  <c r="M1666" i="2"/>
  <c r="N1666" i="2" s="1"/>
  <c r="O1666" i="2"/>
  <c r="M1667" i="2"/>
  <c r="N1667" i="2" s="1"/>
  <c r="O1667" i="2"/>
  <c r="M1668" i="2"/>
  <c r="N1668" i="2" s="1"/>
  <c r="O1668" i="2"/>
  <c r="M1669" i="2"/>
  <c r="N1669" i="2" s="1"/>
  <c r="O1669" i="2"/>
  <c r="M1670" i="2"/>
  <c r="N1670" i="2" s="1"/>
  <c r="O1670" i="2"/>
  <c r="M1671" i="2"/>
  <c r="N1671" i="2" s="1"/>
  <c r="O1671" i="2"/>
  <c r="M1672" i="2"/>
  <c r="N1672" i="2"/>
  <c r="O1672" i="2"/>
  <c r="M1673" i="2"/>
  <c r="N1673" i="2" s="1"/>
  <c r="O1673" i="2"/>
  <c r="M1674" i="2"/>
  <c r="N1674" i="2"/>
  <c r="O1674" i="2"/>
  <c r="M1675" i="2"/>
  <c r="N1675" i="2" s="1"/>
  <c r="O1675" i="2"/>
  <c r="M1676" i="2"/>
  <c r="N1676" i="2" s="1"/>
  <c r="O1676" i="2"/>
  <c r="M1677" i="2"/>
  <c r="N1677" i="2" s="1"/>
  <c r="O1677" i="2"/>
  <c r="M1678" i="2"/>
  <c r="N1678" i="2" s="1"/>
  <c r="O1678" i="2"/>
  <c r="M1679" i="2"/>
  <c r="N1679" i="2" s="1"/>
  <c r="O1679" i="2"/>
  <c r="M1680" i="2"/>
  <c r="N1680" i="2" s="1"/>
  <c r="O1680" i="2"/>
  <c r="M1681" i="2"/>
  <c r="N1681" i="2" s="1"/>
  <c r="O1681" i="2"/>
  <c r="M1682" i="2"/>
  <c r="N1682" i="2" s="1"/>
  <c r="O1682" i="2"/>
  <c r="M1683" i="2"/>
  <c r="N1683" i="2" s="1"/>
  <c r="O1683" i="2"/>
  <c r="M1684" i="2"/>
  <c r="N1684" i="2" s="1"/>
  <c r="O1684" i="2"/>
  <c r="M1685" i="2"/>
  <c r="N1685" i="2"/>
  <c r="O1685" i="2"/>
  <c r="M1686" i="2"/>
  <c r="N1686" i="2" s="1"/>
  <c r="O1686" i="2"/>
  <c r="M1687" i="2"/>
  <c r="N1687" i="2"/>
  <c r="O1687" i="2"/>
  <c r="M1688" i="2"/>
  <c r="N1688" i="2" s="1"/>
  <c r="O1688" i="2"/>
  <c r="M1689" i="2"/>
  <c r="N1689" i="2"/>
  <c r="O1689" i="2"/>
  <c r="M1690" i="2"/>
  <c r="N1690" i="2" s="1"/>
  <c r="O1690" i="2"/>
  <c r="M1691" i="2"/>
  <c r="N1691" i="2"/>
  <c r="O1691" i="2"/>
  <c r="M1692" i="2"/>
  <c r="N1692" i="2" s="1"/>
  <c r="O1692" i="2"/>
  <c r="M1693" i="2"/>
  <c r="N1693" i="2" s="1"/>
  <c r="O1693" i="2"/>
  <c r="M1694" i="2"/>
  <c r="N1694" i="2" s="1"/>
  <c r="O1694" i="2"/>
  <c r="M1695" i="2"/>
  <c r="N1695" i="2"/>
  <c r="O1695" i="2"/>
  <c r="M1696" i="2"/>
  <c r="N1696" i="2" s="1"/>
  <c r="O1696" i="2"/>
  <c r="M1697" i="2"/>
  <c r="N1697" i="2" s="1"/>
  <c r="O1697" i="2"/>
  <c r="M1698" i="2"/>
  <c r="N1698" i="2" s="1"/>
  <c r="O1698" i="2"/>
  <c r="M1699" i="2"/>
  <c r="N1699" i="2" s="1"/>
  <c r="O1699" i="2"/>
  <c r="M1700" i="2"/>
  <c r="N1700" i="2"/>
  <c r="O1700" i="2"/>
  <c r="M1701" i="2"/>
  <c r="N1701" i="2" s="1"/>
  <c r="O1701" i="2"/>
  <c r="M1702" i="2"/>
  <c r="N1702" i="2" s="1"/>
  <c r="O1702" i="2"/>
  <c r="M1703" i="2"/>
  <c r="N1703" i="2" s="1"/>
  <c r="O1703" i="2"/>
  <c r="M1704" i="2"/>
  <c r="N1704" i="2" s="1"/>
  <c r="O1704" i="2"/>
  <c r="M1705" i="2"/>
  <c r="N1705" i="2" s="1"/>
  <c r="O1705" i="2"/>
  <c r="M1706" i="2"/>
  <c r="N1706" i="2"/>
  <c r="O1706" i="2"/>
  <c r="M1707" i="2"/>
  <c r="N1707" i="2"/>
  <c r="O1707" i="2"/>
  <c r="M1708" i="2"/>
  <c r="N1708" i="2"/>
  <c r="O1708" i="2"/>
  <c r="M1709" i="2"/>
  <c r="N1709" i="2"/>
  <c r="O1709" i="2"/>
  <c r="M1710" i="2"/>
  <c r="N1710" i="2" s="1"/>
  <c r="O1710" i="2"/>
  <c r="M1711" i="2"/>
  <c r="N1711" i="2" s="1"/>
  <c r="O1711" i="2"/>
  <c r="M1712" i="2"/>
  <c r="N1712" i="2" s="1"/>
  <c r="O1712" i="2"/>
  <c r="M1713" i="2"/>
  <c r="N1713" i="2" s="1"/>
  <c r="O1713" i="2"/>
  <c r="M1714" i="2"/>
  <c r="N1714" i="2" s="1"/>
  <c r="O1714" i="2"/>
  <c r="M1715" i="2"/>
  <c r="N1715" i="2" s="1"/>
  <c r="O1715" i="2"/>
  <c r="M1716" i="2"/>
  <c r="N1716" i="2" s="1"/>
  <c r="O1716" i="2"/>
  <c r="M1717" i="2"/>
  <c r="N1717" i="2" s="1"/>
  <c r="O1717" i="2"/>
  <c r="M1718" i="2"/>
  <c r="N1718" i="2" s="1"/>
  <c r="O1718" i="2"/>
  <c r="M1719" i="2"/>
  <c r="N1719" i="2" s="1"/>
  <c r="O1719" i="2"/>
  <c r="M1720" i="2"/>
  <c r="N1720" i="2" s="1"/>
  <c r="O1720" i="2"/>
  <c r="M1721" i="2"/>
  <c r="N1721" i="2" s="1"/>
  <c r="O1721" i="2"/>
  <c r="M1722" i="2"/>
  <c r="N1722" i="2"/>
  <c r="O1722" i="2"/>
  <c r="M1723" i="2"/>
  <c r="N1723" i="2" s="1"/>
  <c r="O1723" i="2"/>
  <c r="M1724" i="2"/>
  <c r="N1724" i="2" s="1"/>
  <c r="O1724" i="2"/>
  <c r="M1725" i="2"/>
  <c r="N1725" i="2" s="1"/>
  <c r="O1725" i="2"/>
  <c r="M1726" i="2"/>
  <c r="N1726" i="2" s="1"/>
  <c r="O1726" i="2"/>
  <c r="M1727" i="2"/>
  <c r="N1727" i="2" s="1"/>
  <c r="O1727" i="2"/>
  <c r="M1728" i="2"/>
  <c r="N1728" i="2" s="1"/>
  <c r="O1728" i="2"/>
  <c r="M1729" i="2"/>
  <c r="N1729" i="2"/>
  <c r="O1729" i="2"/>
  <c r="M1730" i="2"/>
  <c r="N1730" i="2" s="1"/>
  <c r="O1730" i="2"/>
  <c r="M1731" i="2"/>
  <c r="N1731" i="2"/>
  <c r="O1731" i="2"/>
  <c r="M1732" i="2"/>
  <c r="N1732" i="2" s="1"/>
  <c r="O1732" i="2"/>
  <c r="M1733" i="2"/>
  <c r="N1733" i="2" s="1"/>
  <c r="O1733" i="2"/>
  <c r="M1734" i="2"/>
  <c r="N1734" i="2" s="1"/>
  <c r="O1734" i="2"/>
  <c r="M1735" i="2"/>
  <c r="N1735" i="2"/>
  <c r="O1735" i="2"/>
  <c r="M1736" i="2"/>
  <c r="N1736" i="2"/>
  <c r="O1736" i="2"/>
  <c r="M1737" i="2"/>
  <c r="N1737" i="2" s="1"/>
  <c r="O1737" i="2"/>
  <c r="M1738" i="2"/>
  <c r="N1738" i="2"/>
  <c r="O1738" i="2"/>
  <c r="M1739" i="2"/>
  <c r="N1739" i="2" s="1"/>
  <c r="O1739" i="2"/>
  <c r="M1740" i="2"/>
  <c r="N1740" i="2" s="1"/>
  <c r="O1740" i="2"/>
  <c r="M1741" i="2"/>
  <c r="N1741" i="2" s="1"/>
  <c r="O1741" i="2"/>
  <c r="M1742" i="2"/>
  <c r="N1742" i="2" s="1"/>
  <c r="O1742" i="2"/>
  <c r="M1743" i="2"/>
  <c r="N1743" i="2"/>
  <c r="O1743" i="2"/>
  <c r="M1744" i="2"/>
  <c r="N1744" i="2"/>
  <c r="O1744" i="2"/>
  <c r="M1745" i="2"/>
  <c r="N1745" i="2" s="1"/>
  <c r="O1745" i="2"/>
  <c r="M1746" i="2"/>
  <c r="N1746" i="2"/>
  <c r="O1746" i="2"/>
  <c r="M1747" i="2"/>
  <c r="N1747" i="2"/>
  <c r="O1747" i="2"/>
  <c r="M1748" i="2"/>
  <c r="N1748" i="2" s="1"/>
  <c r="O1748" i="2"/>
  <c r="M1749" i="2"/>
  <c r="N1749" i="2" s="1"/>
  <c r="O1749" i="2"/>
  <c r="M1750" i="2"/>
  <c r="N1750" i="2" s="1"/>
  <c r="O1750" i="2"/>
  <c r="M1751" i="2"/>
  <c r="N1751" i="2" s="1"/>
  <c r="O1751" i="2"/>
  <c r="M1752" i="2"/>
  <c r="N1752" i="2"/>
  <c r="O1752" i="2"/>
  <c r="M1753" i="2"/>
  <c r="N1753" i="2" s="1"/>
  <c r="O1753" i="2"/>
  <c r="M1754" i="2"/>
  <c r="N1754" i="2" s="1"/>
  <c r="O1754" i="2"/>
  <c r="M1755" i="2"/>
  <c r="N1755" i="2"/>
  <c r="O1755" i="2"/>
  <c r="M1756" i="2"/>
  <c r="N1756" i="2" s="1"/>
  <c r="O1756" i="2"/>
  <c r="M1757" i="2"/>
  <c r="N1757" i="2"/>
  <c r="O1757" i="2"/>
  <c r="M1758" i="2"/>
  <c r="N1758" i="2" s="1"/>
  <c r="O1758" i="2"/>
  <c r="M1759" i="2"/>
  <c r="N1759" i="2" s="1"/>
  <c r="O1759" i="2"/>
  <c r="M1760" i="2"/>
  <c r="N1760" i="2" s="1"/>
  <c r="O1760" i="2"/>
  <c r="M1761" i="2"/>
  <c r="N1761" i="2" s="1"/>
  <c r="O1761" i="2"/>
  <c r="M1762" i="2"/>
  <c r="N1762" i="2" s="1"/>
  <c r="O1762" i="2"/>
  <c r="M1763" i="2"/>
  <c r="N1763" i="2" s="1"/>
  <c r="O1763" i="2"/>
  <c r="M1764" i="2"/>
  <c r="N1764" i="2" s="1"/>
  <c r="O1764" i="2"/>
  <c r="M1765" i="2"/>
  <c r="N1765" i="2" s="1"/>
  <c r="O1765" i="2"/>
  <c r="M1766" i="2"/>
  <c r="N1766" i="2"/>
  <c r="O1766" i="2"/>
  <c r="M1767" i="2"/>
  <c r="N1767" i="2" s="1"/>
  <c r="O1767" i="2"/>
  <c r="M1768" i="2"/>
  <c r="N1768" i="2"/>
  <c r="O1768" i="2"/>
  <c r="M1769" i="2"/>
  <c r="N1769" i="2" s="1"/>
  <c r="O1769" i="2"/>
  <c r="M1770" i="2"/>
  <c r="N1770" i="2" s="1"/>
  <c r="O1770" i="2"/>
  <c r="M1771" i="2"/>
  <c r="N1771" i="2" s="1"/>
  <c r="O1771" i="2"/>
  <c r="M1772" i="2"/>
  <c r="N1772" i="2" s="1"/>
  <c r="O1772" i="2"/>
  <c r="M1773" i="2"/>
  <c r="N1773" i="2" s="1"/>
  <c r="O1773" i="2"/>
  <c r="M1774" i="2"/>
  <c r="N1774" i="2" s="1"/>
  <c r="O1774" i="2"/>
  <c r="M1775" i="2"/>
  <c r="N1775" i="2" s="1"/>
  <c r="O1775" i="2"/>
  <c r="M1776" i="2"/>
  <c r="N1776" i="2" s="1"/>
  <c r="O1776" i="2"/>
  <c r="M1777" i="2"/>
  <c r="N1777" i="2"/>
  <c r="O1777" i="2"/>
  <c r="M1778" i="2"/>
  <c r="N1778" i="2" s="1"/>
  <c r="O1778" i="2"/>
  <c r="M1779" i="2"/>
  <c r="N1779" i="2" s="1"/>
  <c r="O1779" i="2"/>
  <c r="M1780" i="2"/>
  <c r="N1780" i="2"/>
  <c r="O1780" i="2"/>
  <c r="M1781" i="2"/>
  <c r="N1781" i="2" s="1"/>
  <c r="O1781" i="2"/>
  <c r="M1782" i="2"/>
  <c r="N1782" i="2" s="1"/>
  <c r="O1782" i="2"/>
  <c r="M1783" i="2"/>
  <c r="N1783" i="2" s="1"/>
  <c r="O1783" i="2"/>
  <c r="M1784" i="2"/>
  <c r="N1784" i="2" s="1"/>
  <c r="O1784" i="2"/>
  <c r="M1785" i="2"/>
  <c r="N1785" i="2"/>
  <c r="O1785" i="2"/>
  <c r="M1786" i="2"/>
  <c r="N1786" i="2"/>
  <c r="O1786" i="2"/>
  <c r="M1787" i="2"/>
  <c r="N1787" i="2" s="1"/>
  <c r="O1787" i="2"/>
  <c r="M1788" i="2"/>
  <c r="N1788" i="2"/>
  <c r="O1788" i="2"/>
  <c r="M1789" i="2"/>
  <c r="N1789" i="2"/>
  <c r="O1789" i="2"/>
  <c r="M1790" i="2"/>
  <c r="N1790" i="2" s="1"/>
  <c r="O1790" i="2"/>
  <c r="M1791" i="2"/>
  <c r="N1791" i="2" s="1"/>
  <c r="O1791" i="2"/>
  <c r="M1792" i="2"/>
  <c r="N1792" i="2"/>
  <c r="O1792" i="2"/>
  <c r="M1793" i="2"/>
  <c r="N1793" i="2" s="1"/>
  <c r="O1793" i="2"/>
  <c r="M1794" i="2"/>
  <c r="N1794" i="2" s="1"/>
  <c r="O1794" i="2"/>
  <c r="M1795" i="2"/>
  <c r="N1795" i="2" s="1"/>
  <c r="O1795" i="2"/>
  <c r="M1796" i="2"/>
  <c r="N1796" i="2" s="1"/>
  <c r="O1796" i="2"/>
  <c r="M1797" i="2"/>
  <c r="N1797" i="2" s="1"/>
  <c r="O1797" i="2"/>
  <c r="M1798" i="2"/>
  <c r="N1798" i="2"/>
  <c r="O1798" i="2"/>
  <c r="M1799" i="2"/>
  <c r="N1799" i="2"/>
  <c r="O1799" i="2"/>
  <c r="M1800" i="2"/>
  <c r="N1800" i="2" s="1"/>
  <c r="O1800" i="2"/>
  <c r="M1801" i="2"/>
  <c r="N1801" i="2"/>
  <c r="O1801" i="2"/>
  <c r="M1802" i="2"/>
  <c r="N1802" i="2" s="1"/>
  <c r="O1802" i="2"/>
  <c r="M1803" i="2"/>
  <c r="N1803" i="2" s="1"/>
  <c r="O1803" i="2"/>
  <c r="M1804" i="2"/>
  <c r="N1804" i="2" s="1"/>
  <c r="O1804" i="2"/>
  <c r="M1805" i="2"/>
  <c r="N1805" i="2" s="1"/>
  <c r="O1805" i="2"/>
  <c r="M1806" i="2"/>
  <c r="N1806" i="2" s="1"/>
  <c r="O1806" i="2"/>
  <c r="M1807" i="2"/>
  <c r="N1807" i="2"/>
  <c r="O1807" i="2"/>
  <c r="M1808" i="2"/>
  <c r="N1808" i="2" s="1"/>
  <c r="O1808" i="2"/>
  <c r="M1809" i="2"/>
  <c r="N1809" i="2"/>
  <c r="O1809" i="2"/>
  <c r="M1810" i="2"/>
  <c r="N1810" i="2" s="1"/>
  <c r="O1810" i="2"/>
  <c r="M1811" i="2"/>
  <c r="N1811" i="2"/>
  <c r="O1811" i="2"/>
  <c r="M1812" i="2"/>
  <c r="N1812" i="2"/>
  <c r="O1812" i="2"/>
  <c r="M1813" i="2"/>
  <c r="N1813" i="2"/>
  <c r="O1813" i="2"/>
  <c r="M1814" i="2"/>
  <c r="N1814" i="2"/>
  <c r="O1814" i="2"/>
  <c r="M1815" i="2"/>
  <c r="N1815" i="2" s="1"/>
  <c r="O1815" i="2"/>
  <c r="M1816" i="2"/>
  <c r="N1816" i="2" s="1"/>
  <c r="O1816" i="2"/>
  <c r="M1817" i="2"/>
  <c r="N1817" i="2" s="1"/>
  <c r="O1817" i="2"/>
  <c r="M1818" i="2"/>
  <c r="N1818" i="2" s="1"/>
  <c r="O1818" i="2"/>
  <c r="M1819" i="2"/>
  <c r="N1819" i="2" s="1"/>
  <c r="O1819" i="2"/>
  <c r="M1820" i="2"/>
  <c r="N1820" i="2" s="1"/>
  <c r="O1820" i="2"/>
  <c r="M1821" i="2"/>
  <c r="N1821" i="2" s="1"/>
  <c r="O1821" i="2"/>
  <c r="M1822" i="2"/>
  <c r="N1822" i="2"/>
  <c r="O1822" i="2"/>
  <c r="M1823" i="2"/>
  <c r="N1823" i="2" s="1"/>
  <c r="O1823" i="2"/>
  <c r="M1824" i="2"/>
  <c r="N1824" i="2" s="1"/>
  <c r="O1824" i="2"/>
  <c r="M1825" i="2"/>
  <c r="N1825" i="2" s="1"/>
  <c r="O1825" i="2"/>
  <c r="M1826" i="2"/>
  <c r="N1826" i="2"/>
  <c r="O1826" i="2"/>
  <c r="M1827" i="2"/>
  <c r="N1827" i="2" s="1"/>
  <c r="O1827" i="2"/>
  <c r="M1828" i="2"/>
  <c r="N1828" i="2" s="1"/>
  <c r="O1828" i="2"/>
  <c r="M1829" i="2"/>
  <c r="N1829" i="2" s="1"/>
  <c r="O1829" i="2"/>
  <c r="M1830" i="2"/>
  <c r="N1830" i="2" s="1"/>
  <c r="O1830" i="2"/>
  <c r="M1831" i="2"/>
  <c r="N1831" i="2" s="1"/>
  <c r="O1831" i="2"/>
  <c r="M1832" i="2"/>
  <c r="N1832" i="2" s="1"/>
  <c r="O1832" i="2"/>
  <c r="M1833" i="2"/>
  <c r="N1833" i="2" s="1"/>
  <c r="O1833" i="2"/>
  <c r="M1834" i="2"/>
  <c r="N1834" i="2"/>
  <c r="O1834" i="2"/>
  <c r="M1835" i="2"/>
  <c r="N1835" i="2" s="1"/>
  <c r="O1835" i="2"/>
  <c r="M1836" i="2"/>
  <c r="N1836" i="2" s="1"/>
  <c r="O1836" i="2"/>
  <c r="M1837" i="2"/>
  <c r="N1837" i="2"/>
  <c r="O1837" i="2"/>
  <c r="M1838" i="2"/>
  <c r="N1838" i="2"/>
  <c r="O1838" i="2"/>
  <c r="M1839" i="2"/>
  <c r="N1839" i="2"/>
  <c r="O1839" i="2"/>
  <c r="M1840" i="2"/>
  <c r="N1840" i="2" s="1"/>
  <c r="O1840" i="2"/>
  <c r="M1841" i="2"/>
  <c r="N1841" i="2" s="1"/>
  <c r="O1841" i="2"/>
  <c r="M1842" i="2"/>
  <c r="N1842" i="2" s="1"/>
  <c r="O1842" i="2"/>
  <c r="M1843" i="2"/>
  <c r="N1843" i="2" s="1"/>
  <c r="O1843" i="2"/>
  <c r="M1844" i="2"/>
  <c r="N1844" i="2" s="1"/>
  <c r="O1844" i="2"/>
  <c r="M1845" i="2"/>
  <c r="N1845" i="2" s="1"/>
  <c r="O1845" i="2"/>
  <c r="M1846" i="2"/>
  <c r="N1846" i="2" s="1"/>
  <c r="O1846" i="2"/>
  <c r="M1847" i="2"/>
  <c r="N1847" i="2"/>
  <c r="O1847" i="2"/>
  <c r="M1848" i="2"/>
  <c r="N1848" i="2" s="1"/>
  <c r="O1848" i="2"/>
  <c r="M1849" i="2"/>
  <c r="N1849" i="2"/>
  <c r="O1849" i="2"/>
  <c r="M1850" i="2"/>
  <c r="N1850" i="2" s="1"/>
  <c r="O1850" i="2"/>
  <c r="M1851" i="2"/>
  <c r="N1851" i="2" s="1"/>
  <c r="O1851" i="2"/>
  <c r="M1852" i="2"/>
  <c r="N1852" i="2" s="1"/>
  <c r="O1852" i="2"/>
  <c r="M1853" i="2"/>
  <c r="N1853" i="2" s="1"/>
  <c r="O1853" i="2"/>
  <c r="M1854" i="2"/>
  <c r="N1854" i="2" s="1"/>
  <c r="O1854" i="2"/>
  <c r="M1855" i="2"/>
  <c r="N1855" i="2" s="1"/>
  <c r="O1855" i="2"/>
  <c r="M1856" i="2"/>
  <c r="N1856" i="2"/>
  <c r="O1856" i="2"/>
  <c r="M1857" i="2"/>
  <c r="N1857" i="2" s="1"/>
  <c r="O1857" i="2"/>
  <c r="M1858" i="2"/>
  <c r="N1858" i="2" s="1"/>
  <c r="O1858" i="2"/>
  <c r="M1859" i="2"/>
  <c r="N1859" i="2" s="1"/>
  <c r="O1859" i="2"/>
  <c r="M1860" i="2"/>
  <c r="N1860" i="2" s="1"/>
  <c r="O1860" i="2"/>
  <c r="M1861" i="2"/>
  <c r="N1861" i="2" s="1"/>
  <c r="O1861" i="2"/>
  <c r="M1862" i="2"/>
  <c r="N1862" i="2"/>
  <c r="O1862" i="2"/>
  <c r="M1863" i="2"/>
  <c r="N1863" i="2" s="1"/>
  <c r="O1863" i="2"/>
  <c r="M1864" i="2"/>
  <c r="N1864" i="2" s="1"/>
  <c r="O1864" i="2"/>
  <c r="M1865" i="2"/>
  <c r="N1865" i="2" s="1"/>
  <c r="O1865" i="2"/>
  <c r="M1866" i="2"/>
  <c r="N1866" i="2" s="1"/>
  <c r="O1866" i="2"/>
  <c r="M1867" i="2"/>
  <c r="N1867" i="2" s="1"/>
  <c r="O1867" i="2"/>
  <c r="M1868" i="2"/>
  <c r="N1868" i="2" s="1"/>
  <c r="O1868" i="2"/>
  <c r="M1869" i="2"/>
  <c r="N1869" i="2" s="1"/>
  <c r="O1869" i="2"/>
  <c r="M1870" i="2"/>
  <c r="N1870" i="2" s="1"/>
  <c r="O1870" i="2"/>
  <c r="M1871" i="2"/>
  <c r="N1871" i="2" s="1"/>
  <c r="O1871" i="2"/>
  <c r="M1872" i="2"/>
  <c r="N1872" i="2"/>
  <c r="O1872" i="2"/>
  <c r="M1873" i="2"/>
  <c r="N1873" i="2" s="1"/>
  <c r="O1873" i="2"/>
  <c r="M1874" i="2"/>
  <c r="N1874" i="2" s="1"/>
  <c r="O1874" i="2"/>
  <c r="M1875" i="2"/>
  <c r="N1875" i="2" s="1"/>
  <c r="O1875" i="2"/>
  <c r="M1876" i="2"/>
  <c r="N1876" i="2" s="1"/>
  <c r="O1876" i="2"/>
  <c r="M1877" i="2"/>
  <c r="N1877" i="2"/>
  <c r="O1877" i="2"/>
  <c r="M1878" i="2"/>
  <c r="N1878" i="2" s="1"/>
  <c r="O1878" i="2"/>
  <c r="M1879" i="2"/>
  <c r="N1879" i="2"/>
  <c r="O1879" i="2"/>
  <c r="M1880" i="2"/>
  <c r="N1880" i="2" s="1"/>
  <c r="O1880" i="2"/>
  <c r="M1881" i="2"/>
  <c r="N1881" i="2" s="1"/>
  <c r="O1881" i="2"/>
  <c r="M1882" i="2"/>
  <c r="N1882" i="2"/>
  <c r="O1882" i="2"/>
  <c r="M1883" i="2"/>
  <c r="N1883" i="2" s="1"/>
  <c r="O1883" i="2"/>
  <c r="M1884" i="2"/>
  <c r="N1884" i="2" s="1"/>
  <c r="O1884" i="2"/>
  <c r="M1885" i="2"/>
  <c r="N1885" i="2" s="1"/>
  <c r="O1885" i="2"/>
  <c r="M1886" i="2"/>
  <c r="N1886" i="2" s="1"/>
  <c r="O1886" i="2"/>
  <c r="M1887" i="2"/>
  <c r="N1887" i="2" s="1"/>
  <c r="O1887" i="2"/>
  <c r="M1888" i="2"/>
  <c r="N1888" i="2"/>
  <c r="O1888" i="2"/>
  <c r="M1889" i="2"/>
  <c r="N1889" i="2" s="1"/>
  <c r="O1889" i="2"/>
  <c r="M1890" i="2"/>
  <c r="N1890" i="2" s="1"/>
  <c r="O1890" i="2"/>
  <c r="M1891" i="2"/>
  <c r="N1891" i="2" s="1"/>
  <c r="O1891" i="2"/>
  <c r="M1892" i="2"/>
  <c r="N1892" i="2" s="1"/>
  <c r="O1892" i="2"/>
  <c r="M1893" i="2"/>
  <c r="N1893" i="2"/>
  <c r="O1893" i="2"/>
  <c r="M1894" i="2"/>
  <c r="N1894" i="2" s="1"/>
  <c r="O1894" i="2"/>
  <c r="M1895" i="2"/>
  <c r="N1895" i="2"/>
  <c r="O1895" i="2"/>
  <c r="M1896" i="2"/>
  <c r="N1896" i="2" s="1"/>
  <c r="O1896" i="2"/>
  <c r="M1897" i="2"/>
  <c r="N1897" i="2" s="1"/>
  <c r="O1897" i="2"/>
  <c r="M1898" i="2"/>
  <c r="N1898" i="2"/>
  <c r="O1898" i="2"/>
  <c r="M1899" i="2"/>
  <c r="N1899" i="2"/>
  <c r="O1899" i="2"/>
  <c r="M1900" i="2"/>
  <c r="N1900" i="2"/>
  <c r="O1900" i="2"/>
  <c r="M1901" i="2"/>
  <c r="N1901" i="2"/>
  <c r="O1901" i="2"/>
  <c r="M1902" i="2"/>
  <c r="N1902" i="2"/>
  <c r="O1902" i="2"/>
  <c r="M1903" i="2"/>
  <c r="N1903" i="2"/>
  <c r="O1903" i="2"/>
  <c r="M1904" i="2"/>
  <c r="N1904" i="2"/>
  <c r="O1904" i="2"/>
  <c r="M1905" i="2"/>
  <c r="N1905" i="2" s="1"/>
  <c r="O1905" i="2"/>
  <c r="M1906" i="2"/>
  <c r="N1906" i="2"/>
  <c r="O1906" i="2"/>
  <c r="M1907" i="2"/>
  <c r="N1907" i="2"/>
  <c r="O1907" i="2"/>
  <c r="M1908" i="2"/>
  <c r="N1908" i="2"/>
  <c r="O1908" i="2"/>
  <c r="M1909" i="2"/>
  <c r="N1909" i="2"/>
  <c r="O1909" i="2"/>
  <c r="M1910" i="2"/>
  <c r="N1910" i="2" s="1"/>
  <c r="O1910" i="2"/>
  <c r="M1911" i="2"/>
  <c r="N1911" i="2"/>
  <c r="O1911" i="2"/>
  <c r="M1912" i="2"/>
  <c r="N1912" i="2" s="1"/>
  <c r="O1912" i="2"/>
  <c r="M1913" i="2"/>
  <c r="N1913" i="2"/>
  <c r="O1913" i="2"/>
  <c r="M1914" i="2"/>
  <c r="N1914" i="2"/>
  <c r="O1914" i="2"/>
  <c r="M1915" i="2"/>
  <c r="N1915" i="2"/>
  <c r="O1915" i="2"/>
  <c r="M1916" i="2"/>
  <c r="N1916" i="2"/>
  <c r="O1916" i="2"/>
  <c r="M1917" i="2"/>
  <c r="N1917" i="2"/>
  <c r="O1917" i="2"/>
  <c r="M1918" i="2"/>
  <c r="N1918" i="2"/>
  <c r="O1918" i="2"/>
  <c r="M1919" i="2"/>
  <c r="N1919" i="2" s="1"/>
  <c r="O1919" i="2"/>
  <c r="M1920" i="2"/>
  <c r="N1920" i="2" s="1"/>
  <c r="O1920" i="2"/>
  <c r="M1921" i="2"/>
  <c r="N1921" i="2"/>
  <c r="O1921" i="2"/>
  <c r="M1922" i="2"/>
  <c r="N1922" i="2"/>
  <c r="O1922" i="2"/>
  <c r="M1923" i="2"/>
  <c r="N1923" i="2"/>
  <c r="O1923" i="2"/>
  <c r="M1924" i="2"/>
  <c r="N1924" i="2"/>
  <c r="O1924" i="2"/>
  <c r="M1925" i="2"/>
  <c r="N1925" i="2" s="1"/>
  <c r="O1925" i="2"/>
  <c r="M1926" i="2"/>
  <c r="N1926" i="2" s="1"/>
  <c r="O1926" i="2"/>
  <c r="M1927" i="2"/>
  <c r="N1927" i="2"/>
  <c r="O1927" i="2"/>
  <c r="M1928" i="2"/>
  <c r="N1928" i="2"/>
  <c r="O1928" i="2"/>
  <c r="M1929" i="2"/>
  <c r="N1929" i="2"/>
  <c r="O1929" i="2"/>
  <c r="M1930" i="2"/>
  <c r="N1930" i="2"/>
  <c r="O1930" i="2"/>
  <c r="M1931" i="2"/>
  <c r="N1931" i="2"/>
  <c r="O1931" i="2"/>
  <c r="M1932" i="2"/>
  <c r="N1932" i="2"/>
  <c r="O1932" i="2"/>
  <c r="M1933" i="2"/>
  <c r="N1933" i="2"/>
  <c r="O1933" i="2"/>
  <c r="M1934" i="2"/>
  <c r="N1934" i="2"/>
  <c r="O1934" i="2"/>
  <c r="M1935" i="2"/>
  <c r="N1935" i="2"/>
  <c r="O1935" i="2"/>
  <c r="M1936" i="2"/>
  <c r="N1936" i="2"/>
  <c r="O1936" i="2"/>
  <c r="M1937" i="2"/>
  <c r="N1937" i="2"/>
  <c r="O1937" i="2"/>
  <c r="M1938" i="2"/>
  <c r="N1938" i="2"/>
  <c r="O1938" i="2"/>
  <c r="M1939" i="2"/>
  <c r="N1939" i="2"/>
  <c r="O1939" i="2"/>
  <c r="M1940" i="2"/>
  <c r="N1940" i="2"/>
  <c r="O1940" i="2"/>
  <c r="M1941" i="2"/>
  <c r="N1941" i="2"/>
  <c r="O1941" i="2"/>
  <c r="M1942" i="2"/>
  <c r="N1942" i="2"/>
  <c r="O1942" i="2"/>
  <c r="M1943" i="2"/>
  <c r="N1943" i="2"/>
  <c r="O1943" i="2"/>
  <c r="M1944" i="2"/>
  <c r="N1944" i="2"/>
  <c r="O1944" i="2"/>
  <c r="M1945" i="2"/>
  <c r="N1945" i="2"/>
  <c r="O1945" i="2"/>
  <c r="M1946" i="2"/>
  <c r="N1946" i="2"/>
  <c r="O1946" i="2"/>
  <c r="M1947" i="2"/>
  <c r="N1947" i="2"/>
  <c r="O1947" i="2"/>
  <c r="M1948" i="2"/>
  <c r="N1948" i="2" s="1"/>
  <c r="O1948" i="2"/>
  <c r="M1949" i="2"/>
  <c r="N1949" i="2" s="1"/>
  <c r="O1949" i="2"/>
  <c r="M1950" i="2"/>
  <c r="N1950" i="2" s="1"/>
  <c r="O1950" i="2"/>
  <c r="M1951" i="2"/>
  <c r="N1951" i="2"/>
  <c r="O1951" i="2"/>
  <c r="M1952" i="2"/>
  <c r="N1952" i="2"/>
  <c r="O1952" i="2"/>
  <c r="M1953" i="2"/>
  <c r="N1953" i="2"/>
  <c r="O1953" i="2"/>
  <c r="M1954" i="2"/>
  <c r="N1954" i="2"/>
  <c r="O1954" i="2"/>
  <c r="M1955" i="2"/>
  <c r="N1955" i="2"/>
  <c r="O1955" i="2"/>
  <c r="M1956" i="2"/>
  <c r="N1956" i="2"/>
  <c r="O1956" i="2"/>
  <c r="M1957" i="2"/>
  <c r="N1957" i="2"/>
  <c r="O1957" i="2"/>
  <c r="M1958" i="2"/>
  <c r="N1958" i="2"/>
  <c r="O1958" i="2"/>
  <c r="M1959" i="2"/>
  <c r="N1959" i="2"/>
  <c r="O1959" i="2"/>
  <c r="M1960" i="2"/>
  <c r="N1960" i="2" s="1"/>
  <c r="O1960" i="2"/>
  <c r="M1961" i="2"/>
  <c r="N1961" i="2" s="1"/>
  <c r="O1961" i="2"/>
  <c r="M1962" i="2"/>
  <c r="N1962" i="2" s="1"/>
  <c r="O1962" i="2"/>
  <c r="M1963" i="2"/>
  <c r="N1963" i="2"/>
  <c r="O1963" i="2"/>
  <c r="M1964" i="2"/>
  <c r="N1964" i="2"/>
  <c r="O1964" i="2"/>
  <c r="M1965" i="2"/>
  <c r="N1965" i="2" s="1"/>
  <c r="O1965" i="2"/>
  <c r="M1966" i="2"/>
  <c r="N1966" i="2"/>
  <c r="O1966" i="2"/>
  <c r="M1967" i="2"/>
  <c r="N1967" i="2"/>
  <c r="O1967" i="2"/>
  <c r="M1968" i="2"/>
  <c r="N1968" i="2"/>
  <c r="O1968" i="2"/>
  <c r="M1969" i="2"/>
  <c r="N1969" i="2"/>
  <c r="O1969" i="2"/>
  <c r="M1970" i="2"/>
  <c r="N1970" i="2"/>
  <c r="O1970" i="2"/>
  <c r="M1971" i="2"/>
  <c r="N1971" i="2"/>
  <c r="O1971" i="2"/>
  <c r="M1972" i="2"/>
  <c r="N1972" i="2"/>
  <c r="O1972" i="2"/>
  <c r="M1973" i="2"/>
  <c r="N1973" i="2"/>
  <c r="O1973" i="2"/>
  <c r="M1974" i="2"/>
  <c r="N1974" i="2" s="1"/>
  <c r="O1974" i="2"/>
  <c r="M1975" i="2"/>
  <c r="N1975" i="2" s="1"/>
  <c r="O1975" i="2"/>
  <c r="M1976" i="2"/>
  <c r="N1976" i="2" s="1"/>
  <c r="O1976" i="2"/>
  <c r="M1977" i="2"/>
  <c r="N1977" i="2"/>
  <c r="O1977" i="2"/>
  <c r="M1978" i="2"/>
  <c r="N1978" i="2"/>
  <c r="O1978" i="2"/>
  <c r="M1979" i="2"/>
  <c r="N1979" i="2"/>
  <c r="O1979" i="2"/>
  <c r="M1980" i="2"/>
  <c r="N1980" i="2"/>
  <c r="O1980" i="2"/>
  <c r="M1981" i="2"/>
  <c r="N1981" i="2"/>
  <c r="O1981" i="2"/>
  <c r="M1982" i="2"/>
  <c r="N1982" i="2" s="1"/>
  <c r="O1982" i="2"/>
  <c r="M1983" i="2"/>
  <c r="N1983" i="2"/>
  <c r="O1983" i="2"/>
  <c r="M1984" i="2"/>
  <c r="N1984" i="2"/>
  <c r="O1984" i="2"/>
  <c r="M1985" i="2"/>
  <c r="N1985" i="2"/>
  <c r="O1985" i="2"/>
  <c r="M1986" i="2"/>
  <c r="N1986" i="2" s="1"/>
  <c r="O1986" i="2"/>
  <c r="M1987" i="2"/>
  <c r="N1987" i="2"/>
  <c r="O1987" i="2"/>
  <c r="M1988" i="2"/>
  <c r="N1988" i="2"/>
  <c r="O1988" i="2"/>
  <c r="M1989" i="2"/>
  <c r="N1989" i="2"/>
  <c r="O1989" i="2"/>
  <c r="M1990" i="2"/>
  <c r="N1990" i="2"/>
  <c r="O1990" i="2"/>
  <c r="M1991" i="2"/>
  <c r="N1991" i="2"/>
  <c r="O1991" i="2"/>
  <c r="M1992" i="2"/>
  <c r="N1992" i="2" s="1"/>
  <c r="O1992" i="2"/>
  <c r="M1993" i="2"/>
  <c r="N1993" i="2" s="1"/>
  <c r="O1993" i="2"/>
  <c r="M1994" i="2"/>
  <c r="N1994" i="2"/>
  <c r="O1994" i="2"/>
  <c r="M1995" i="2"/>
  <c r="N1995" i="2" s="1"/>
  <c r="O1995" i="2"/>
  <c r="M1996" i="2"/>
  <c r="N1996" i="2"/>
  <c r="O1996" i="2"/>
  <c r="M1997" i="2"/>
  <c r="N1997" i="2"/>
  <c r="O1997" i="2"/>
  <c r="M1998" i="2"/>
  <c r="N1998" i="2"/>
  <c r="O1998" i="2"/>
  <c r="M1999" i="2"/>
  <c r="N1999" i="2" s="1"/>
  <c r="O1999" i="2"/>
  <c r="M2000" i="2"/>
  <c r="N2000" i="2"/>
  <c r="O2000" i="2"/>
  <c r="M2001" i="2"/>
  <c r="N2001" i="2"/>
  <c r="O2001" i="2"/>
  <c r="M2002" i="2"/>
  <c r="N2002" i="2" s="1"/>
  <c r="O2002" i="2"/>
  <c r="M2003" i="2"/>
  <c r="N2003" i="2" s="1"/>
  <c r="O2003" i="2"/>
  <c r="M2004" i="2"/>
  <c r="N2004" i="2" s="1"/>
  <c r="O2004" i="2"/>
  <c r="M2005" i="2"/>
  <c r="N2005" i="2"/>
  <c r="O2005" i="2"/>
  <c r="M2006" i="2"/>
  <c r="N2006" i="2"/>
  <c r="O2006" i="2"/>
  <c r="M2007" i="2"/>
  <c r="N2007" i="2"/>
  <c r="O2007" i="2"/>
  <c r="M2008" i="2"/>
  <c r="N2008" i="2"/>
  <c r="O2008" i="2"/>
  <c r="M2009" i="2"/>
  <c r="N2009" i="2"/>
  <c r="O2009" i="2"/>
  <c r="M2010" i="2"/>
  <c r="N2010" i="2"/>
  <c r="O2010" i="2"/>
  <c r="M2011" i="2"/>
  <c r="N2011" i="2"/>
  <c r="O2011" i="2"/>
  <c r="M2012" i="2"/>
  <c r="N2012" i="2"/>
  <c r="O2012" i="2"/>
  <c r="M2013" i="2"/>
  <c r="N2013" i="2" s="1"/>
  <c r="O2013" i="2"/>
  <c r="M2014" i="2"/>
  <c r="N2014" i="2"/>
  <c r="O2014" i="2"/>
  <c r="M2015" i="2"/>
  <c r="N2015" i="2" s="1"/>
  <c r="O2015" i="2"/>
  <c r="M2016" i="2"/>
  <c r="N2016" i="2"/>
  <c r="O2016" i="2"/>
  <c r="M2017" i="2"/>
  <c r="N2017" i="2"/>
  <c r="O2017" i="2"/>
  <c r="M2018" i="2"/>
  <c r="N2018" i="2"/>
  <c r="O2018" i="2"/>
  <c r="M2019" i="2"/>
  <c r="N2019" i="2"/>
  <c r="O2019" i="2"/>
  <c r="M2020" i="2"/>
  <c r="N2020" i="2"/>
  <c r="O2020" i="2"/>
  <c r="M2021" i="2"/>
  <c r="N2021" i="2"/>
  <c r="O2021" i="2"/>
  <c r="M2022" i="2"/>
  <c r="N2022" i="2"/>
  <c r="O2022" i="2"/>
  <c r="M2023" i="2"/>
  <c r="N2023" i="2"/>
  <c r="O2023" i="2"/>
  <c r="M2024" i="2"/>
  <c r="N2024" i="2" s="1"/>
  <c r="O2024" i="2"/>
  <c r="M2025" i="2"/>
  <c r="N2025" i="2"/>
  <c r="O2025" i="2"/>
  <c r="M2026" i="2"/>
  <c r="N2026" i="2"/>
  <c r="O2026" i="2"/>
  <c r="M2027" i="2"/>
  <c r="N2027" i="2" s="1"/>
  <c r="O2027" i="2"/>
  <c r="M2028" i="2"/>
  <c r="N2028" i="2"/>
  <c r="O2028" i="2"/>
  <c r="M2029" i="2"/>
  <c r="N2029" i="2" s="1"/>
  <c r="O2029" i="2"/>
  <c r="M2030" i="2"/>
  <c r="N2030" i="2" s="1"/>
  <c r="O2030" i="2"/>
  <c r="M2031" i="2"/>
  <c r="N2031" i="2" s="1"/>
  <c r="O2031" i="2"/>
  <c r="M2032" i="2"/>
  <c r="N2032" i="2"/>
  <c r="O2032" i="2"/>
  <c r="M2033" i="2"/>
  <c r="N2033" i="2"/>
  <c r="O2033" i="2"/>
  <c r="M2034" i="2"/>
  <c r="N2034" i="2"/>
  <c r="O2034" i="2"/>
  <c r="M2035" i="2"/>
  <c r="N2035" i="2"/>
  <c r="O2035" i="2"/>
  <c r="M2036" i="2"/>
  <c r="N2036" i="2"/>
  <c r="O2036" i="2"/>
  <c r="M2037" i="2"/>
  <c r="N2037" i="2" s="1"/>
  <c r="O2037" i="2"/>
  <c r="M2038" i="2"/>
  <c r="N2038" i="2"/>
  <c r="O2038" i="2"/>
  <c r="M2039" i="2"/>
  <c r="N2039" i="2"/>
  <c r="O2039" i="2"/>
  <c r="M2040" i="2"/>
  <c r="N2040" i="2"/>
  <c r="O2040" i="2"/>
  <c r="M2041" i="2"/>
  <c r="N2041" i="2"/>
  <c r="O2041" i="2"/>
  <c r="M2042" i="2"/>
  <c r="N2042" i="2"/>
  <c r="O2042" i="2"/>
  <c r="M2043" i="2"/>
  <c r="N2043" i="2" s="1"/>
  <c r="O2043" i="2"/>
  <c r="M2044" i="2"/>
  <c r="N2044" i="2"/>
  <c r="O2044" i="2"/>
  <c r="M2045" i="2"/>
  <c r="N2045" i="2"/>
  <c r="O2045" i="2"/>
  <c r="M2046" i="2"/>
  <c r="N2046" i="2"/>
  <c r="O2046" i="2"/>
  <c r="M2047" i="2"/>
  <c r="N2047" i="2"/>
  <c r="O2047" i="2"/>
  <c r="M2048" i="2"/>
  <c r="N2048" i="2" s="1"/>
  <c r="O2048" i="2"/>
  <c r="M2049" i="2"/>
  <c r="N2049" i="2"/>
  <c r="O2049" i="2"/>
  <c r="M2050" i="2"/>
  <c r="N2050" i="2"/>
  <c r="O2050" i="2"/>
  <c r="M2051" i="2"/>
  <c r="N2051" i="2"/>
  <c r="O2051" i="2"/>
  <c r="M2052" i="2"/>
  <c r="N2052" i="2"/>
  <c r="O2052" i="2"/>
  <c r="M2053" i="2"/>
  <c r="N2053" i="2"/>
  <c r="O2053" i="2"/>
  <c r="M2054" i="2"/>
  <c r="N2054" i="2"/>
  <c r="O2054" i="2"/>
  <c r="M2055" i="2"/>
  <c r="N2055" i="2" s="1"/>
  <c r="O2055" i="2"/>
  <c r="M2056" i="2"/>
  <c r="N2056" i="2" s="1"/>
  <c r="O2056" i="2"/>
  <c r="M2057" i="2"/>
  <c r="N2057" i="2"/>
  <c r="O2057" i="2"/>
  <c r="M2058" i="2"/>
  <c r="N2058" i="2"/>
  <c r="O2058" i="2"/>
  <c r="M2059" i="2"/>
  <c r="N2059" i="2" s="1"/>
  <c r="O2059" i="2"/>
  <c r="M2060" i="2"/>
  <c r="N2060" i="2" s="1"/>
  <c r="O2060" i="2"/>
  <c r="M2061" i="2"/>
  <c r="N2061" i="2" s="1"/>
  <c r="O2061" i="2"/>
  <c r="M2062" i="2"/>
  <c r="N2062" i="2" s="1"/>
  <c r="O2062" i="2"/>
  <c r="M2063" i="2"/>
  <c r="N2063" i="2"/>
  <c r="O2063" i="2"/>
  <c r="M2064" i="2"/>
  <c r="N2064" i="2" s="1"/>
  <c r="O2064" i="2"/>
  <c r="M2065" i="2"/>
  <c r="N2065" i="2" s="1"/>
  <c r="O2065" i="2"/>
  <c r="M2066" i="2"/>
  <c r="N2066" i="2"/>
  <c r="O2066" i="2"/>
  <c r="M2067" i="2"/>
  <c r="N2067" i="2" s="1"/>
  <c r="O2067" i="2"/>
  <c r="M2068" i="2"/>
  <c r="N2068" i="2"/>
  <c r="O2068" i="2"/>
  <c r="M2069" i="2"/>
  <c r="N2069" i="2"/>
  <c r="O2069" i="2"/>
  <c r="M2070" i="2"/>
  <c r="N2070" i="2" s="1"/>
  <c r="O2070" i="2"/>
  <c r="M2071" i="2"/>
  <c r="N2071" i="2"/>
  <c r="O2071" i="2"/>
  <c r="M2072" i="2"/>
  <c r="N2072" i="2"/>
  <c r="O2072" i="2"/>
  <c r="M2073" i="2"/>
  <c r="N2073" i="2" s="1"/>
  <c r="O2073" i="2"/>
  <c r="M2074" i="2"/>
  <c r="N2074" i="2"/>
  <c r="O2074" i="2"/>
  <c r="M2075" i="2"/>
  <c r="N2075" i="2" s="1"/>
  <c r="O2075" i="2"/>
  <c r="M2076" i="2"/>
  <c r="N2076" i="2" s="1"/>
  <c r="O2076" i="2"/>
  <c r="M2077" i="2"/>
  <c r="N2077" i="2" s="1"/>
  <c r="O2077" i="2"/>
  <c r="M2078" i="2"/>
  <c r="N2078" i="2"/>
  <c r="O2078" i="2"/>
  <c r="M2079" i="2"/>
  <c r="N2079" i="2" s="1"/>
  <c r="O2079" i="2"/>
  <c r="M2080" i="2"/>
  <c r="N2080" i="2"/>
  <c r="O2080" i="2"/>
  <c r="M2081" i="2"/>
  <c r="N2081" i="2"/>
  <c r="O2081" i="2"/>
  <c r="M2082" i="2"/>
  <c r="N2082" i="2" s="1"/>
  <c r="O2082" i="2"/>
  <c r="M2083" i="2"/>
  <c r="N2083" i="2"/>
  <c r="O2083" i="2"/>
  <c r="M2084" i="2"/>
  <c r="N2084" i="2" s="1"/>
  <c r="O2084" i="2"/>
  <c r="M2085" i="2"/>
  <c r="N2085" i="2"/>
  <c r="O2085" i="2"/>
  <c r="M2086" i="2"/>
  <c r="N2086" i="2" s="1"/>
  <c r="O2086" i="2"/>
  <c r="M2087" i="2"/>
  <c r="N2087" i="2" s="1"/>
  <c r="O2087" i="2"/>
  <c r="M2088" i="2"/>
  <c r="N2088" i="2" s="1"/>
  <c r="O2088" i="2"/>
  <c r="M2089" i="2"/>
  <c r="N2089" i="2"/>
  <c r="O2089" i="2"/>
  <c r="M2090" i="2"/>
  <c r="N2090" i="2"/>
  <c r="O2090" i="2"/>
  <c r="M2091" i="2"/>
  <c r="N2091" i="2"/>
  <c r="O2091" i="2"/>
  <c r="M2092" i="2"/>
  <c r="N2092" i="2" s="1"/>
  <c r="O2092" i="2"/>
  <c r="M2093" i="2"/>
  <c r="N2093" i="2"/>
  <c r="O2093" i="2"/>
  <c r="M2094" i="2"/>
  <c r="N2094" i="2"/>
  <c r="O2094" i="2"/>
  <c r="M2095" i="2"/>
  <c r="N2095" i="2" s="1"/>
  <c r="O2095" i="2"/>
  <c r="M2096" i="2"/>
  <c r="N2096" i="2"/>
  <c r="O2096" i="2"/>
  <c r="M2097" i="2"/>
  <c r="N2097" i="2" s="1"/>
  <c r="O2097" i="2"/>
  <c r="M2098" i="2"/>
  <c r="N2098" i="2"/>
  <c r="O2098" i="2"/>
  <c r="M2099" i="2"/>
  <c r="N2099" i="2"/>
  <c r="O2099" i="2"/>
  <c r="M2100" i="2"/>
  <c r="N2100" i="2"/>
  <c r="O2100" i="2"/>
  <c r="M2101" i="2"/>
  <c r="N2101" i="2"/>
  <c r="O2101" i="2"/>
  <c r="M2102" i="2"/>
  <c r="N2102" i="2"/>
  <c r="O2102" i="2"/>
  <c r="M2103" i="2"/>
  <c r="N2103" i="2" s="1"/>
  <c r="O2103" i="2"/>
  <c r="M2104" i="2"/>
  <c r="N2104" i="2"/>
  <c r="O2104" i="2"/>
  <c r="M2105" i="2"/>
  <c r="N2105" i="2"/>
  <c r="O2105" i="2"/>
  <c r="M2106" i="2"/>
  <c r="N2106" i="2" s="1"/>
  <c r="O2106" i="2"/>
  <c r="M2107" i="2"/>
  <c r="N2107" i="2" s="1"/>
  <c r="O2107" i="2"/>
  <c r="M2108" i="2"/>
  <c r="N2108" i="2" s="1"/>
  <c r="O2108" i="2"/>
  <c r="M2109" i="2"/>
  <c r="N2109" i="2"/>
  <c r="O2109" i="2"/>
  <c r="M2110" i="2"/>
  <c r="N2110" i="2" s="1"/>
  <c r="O2110" i="2"/>
  <c r="M2111" i="2"/>
  <c r="N2111" i="2" s="1"/>
  <c r="O2111" i="2"/>
  <c r="M2112" i="2"/>
  <c r="N2112" i="2"/>
  <c r="O2112" i="2"/>
  <c r="M2113" i="2"/>
  <c r="N2113" i="2"/>
  <c r="O2113" i="2"/>
  <c r="M2114" i="2"/>
  <c r="N2114" i="2"/>
  <c r="O2114" i="2"/>
  <c r="M2115" i="2"/>
  <c r="N2115" i="2"/>
  <c r="O2115" i="2"/>
  <c r="M2116" i="2"/>
  <c r="N2116" i="2" s="1"/>
  <c r="O2116" i="2"/>
  <c r="M2117" i="2"/>
  <c r="N2117" i="2" s="1"/>
  <c r="O2117" i="2"/>
  <c r="M2118" i="2"/>
  <c r="N2118" i="2"/>
  <c r="O2118" i="2"/>
  <c r="M2119" i="2"/>
  <c r="N2119" i="2"/>
  <c r="O2119" i="2"/>
  <c r="M2120" i="2"/>
  <c r="N2120" i="2"/>
  <c r="O2120" i="2"/>
  <c r="M2121" i="2"/>
  <c r="N2121" i="2"/>
  <c r="O2121" i="2"/>
  <c r="M2122" i="2"/>
  <c r="N2122" i="2" s="1"/>
  <c r="O2122" i="2"/>
  <c r="M2123" i="2"/>
  <c r="N2123" i="2" s="1"/>
  <c r="O2123" i="2"/>
  <c r="M2124" i="2"/>
  <c r="N2124" i="2" s="1"/>
  <c r="O2124" i="2"/>
  <c r="M2125" i="2"/>
  <c r="N2125" i="2"/>
  <c r="O2125" i="2"/>
  <c r="M2126" i="2"/>
  <c r="N2126" i="2"/>
  <c r="O2126" i="2"/>
  <c r="M2127" i="2"/>
  <c r="N2127" i="2"/>
  <c r="O2127" i="2"/>
  <c r="M2128" i="2"/>
  <c r="N2128" i="2"/>
  <c r="O2128" i="2"/>
  <c r="M2129" i="2"/>
  <c r="N2129" i="2"/>
  <c r="O2129" i="2"/>
  <c r="M2130" i="2"/>
  <c r="N2130" i="2"/>
  <c r="O2130" i="2"/>
  <c r="M2131" i="2"/>
  <c r="N2131" i="2"/>
  <c r="O2131" i="2"/>
  <c r="M2132" i="2"/>
  <c r="N2132" i="2"/>
  <c r="O2132" i="2"/>
  <c r="M2133" i="2"/>
  <c r="N2133" i="2"/>
  <c r="O2133" i="2"/>
  <c r="M2134" i="2"/>
  <c r="N2134" i="2"/>
  <c r="O2134" i="2"/>
  <c r="M2135" i="2"/>
  <c r="N2135" i="2" s="1"/>
  <c r="O2135" i="2"/>
  <c r="M2136" i="2"/>
  <c r="N2136" i="2" s="1"/>
  <c r="O2136" i="2"/>
  <c r="M2137" i="2"/>
  <c r="N2137" i="2"/>
  <c r="O2137" i="2"/>
  <c r="M2138" i="2"/>
  <c r="N2138" i="2"/>
  <c r="O2138" i="2"/>
  <c r="M2139" i="2"/>
  <c r="N2139" i="2"/>
  <c r="O2139" i="2"/>
  <c r="M2140" i="2"/>
  <c r="N2140" i="2" s="1"/>
  <c r="O2140" i="2"/>
  <c r="M2141" i="2"/>
  <c r="N2141" i="2"/>
  <c r="O2141" i="2"/>
  <c r="M2142" i="2"/>
  <c r="N2142" i="2"/>
  <c r="O2142" i="2"/>
  <c r="M2143" i="2"/>
  <c r="N2143" i="2"/>
  <c r="O2143" i="2"/>
  <c r="M2144" i="2"/>
  <c r="N2144" i="2"/>
  <c r="O2144" i="2"/>
  <c r="M2145" i="2"/>
  <c r="N2145" i="2"/>
  <c r="O2145" i="2"/>
  <c r="M2146" i="2"/>
  <c r="N2146" i="2" s="1"/>
  <c r="O2146" i="2"/>
  <c r="M2147" i="2"/>
  <c r="N2147" i="2"/>
  <c r="O2147" i="2"/>
  <c r="M2148" i="2"/>
  <c r="N2148" i="2" s="1"/>
  <c r="O2148" i="2"/>
  <c r="M2149" i="2"/>
  <c r="N2149" i="2"/>
  <c r="O2149" i="2"/>
  <c r="M2150" i="2"/>
  <c r="N2150" i="2" s="1"/>
  <c r="O2150" i="2"/>
  <c r="M2151" i="2"/>
  <c r="N2151" i="2"/>
  <c r="O2151" i="2"/>
  <c r="M2152" i="2"/>
  <c r="N2152" i="2"/>
  <c r="O2152" i="2"/>
  <c r="M2153" i="2"/>
  <c r="N2153" i="2" s="1"/>
  <c r="O2153" i="2"/>
  <c r="M2154" i="2"/>
  <c r="N2154" i="2"/>
  <c r="O2154" i="2"/>
  <c r="M2155" i="2"/>
  <c r="N2155" i="2" s="1"/>
  <c r="O2155" i="2"/>
  <c r="M2156" i="2"/>
  <c r="N2156" i="2" s="1"/>
  <c r="O2156" i="2"/>
  <c r="M2157" i="2"/>
  <c r="N2157" i="2"/>
  <c r="O2157" i="2"/>
  <c r="M2158" i="2"/>
  <c r="N2158" i="2"/>
  <c r="O2158" i="2"/>
  <c r="M2159" i="2"/>
  <c r="N2159" i="2"/>
  <c r="O2159" i="2"/>
  <c r="M2160" i="2"/>
  <c r="N2160" i="2"/>
  <c r="O2160" i="2"/>
  <c r="M2161" i="2"/>
  <c r="N2161" i="2"/>
  <c r="O2161" i="2"/>
  <c r="M2162" i="2"/>
  <c r="N2162" i="2"/>
  <c r="O2162" i="2"/>
  <c r="M2163" i="2"/>
  <c r="N2163" i="2"/>
  <c r="O2163" i="2"/>
  <c r="M2164" i="2"/>
  <c r="N2164" i="2" s="1"/>
  <c r="O2164" i="2"/>
  <c r="M2165" i="2"/>
  <c r="N2165" i="2"/>
  <c r="O2165" i="2"/>
  <c r="M2166" i="2"/>
  <c r="N2166" i="2" s="1"/>
  <c r="O2166" i="2"/>
  <c r="M2167" i="2"/>
  <c r="N2167" i="2"/>
  <c r="O2167" i="2"/>
  <c r="M2168" i="2"/>
  <c r="N2168" i="2"/>
  <c r="O2168" i="2"/>
  <c r="M2169" i="2"/>
  <c r="N2169" i="2"/>
  <c r="O2169" i="2"/>
  <c r="M2170" i="2"/>
  <c r="N2170" i="2"/>
  <c r="O2170" i="2"/>
  <c r="M2171" i="2"/>
  <c r="N2171" i="2"/>
  <c r="O2171" i="2"/>
  <c r="M2172" i="2"/>
  <c r="N2172" i="2" s="1"/>
  <c r="O2172" i="2"/>
  <c r="M2173" i="2"/>
  <c r="N2173" i="2"/>
  <c r="O2173" i="2"/>
  <c r="M2174" i="2"/>
  <c r="N2174" i="2"/>
  <c r="O2174" i="2"/>
  <c r="M2175" i="2"/>
  <c r="N2175" i="2"/>
  <c r="O2175" i="2"/>
  <c r="M2176" i="2"/>
  <c r="N2176" i="2"/>
  <c r="O2176" i="2"/>
  <c r="M2177" i="2"/>
  <c r="N2177" i="2"/>
  <c r="O2177" i="2"/>
  <c r="M2178" i="2"/>
  <c r="N2178" i="2" s="1"/>
  <c r="O2178" i="2"/>
  <c r="M2179" i="2"/>
  <c r="N2179" i="2" s="1"/>
  <c r="O2179" i="2"/>
  <c r="M2180" i="2"/>
  <c r="N2180" i="2"/>
  <c r="O2180" i="2"/>
  <c r="M2181" i="2"/>
  <c r="N2181" i="2" s="1"/>
  <c r="O2181" i="2"/>
  <c r="M2182" i="2"/>
  <c r="N2182" i="2" s="1"/>
  <c r="O2182" i="2"/>
  <c r="M2183" i="2"/>
  <c r="N2183" i="2"/>
  <c r="O2183" i="2"/>
  <c r="M2184" i="2"/>
  <c r="N2184" i="2"/>
  <c r="O2184" i="2"/>
  <c r="M2185" i="2"/>
  <c r="N2185" i="2" s="1"/>
  <c r="O2185" i="2"/>
  <c r="M2186" i="2"/>
  <c r="N2186" i="2" s="1"/>
  <c r="O2186" i="2"/>
  <c r="M2187" i="2"/>
  <c r="N2187" i="2" s="1"/>
  <c r="O2187" i="2"/>
  <c r="M2188" i="2"/>
  <c r="N2188" i="2"/>
  <c r="O2188" i="2"/>
  <c r="M2189" i="2"/>
  <c r="N2189" i="2" s="1"/>
  <c r="O2189" i="2"/>
  <c r="M2190" i="2"/>
  <c r="N2190" i="2" s="1"/>
  <c r="O2190" i="2"/>
  <c r="M2191" i="2"/>
  <c r="N2191" i="2"/>
  <c r="O2191" i="2"/>
  <c r="M2192" i="2"/>
  <c r="N2192" i="2" s="1"/>
  <c r="O2192" i="2"/>
  <c r="M2193" i="2"/>
  <c r="N2193" i="2" s="1"/>
  <c r="O2193" i="2"/>
  <c r="M2194" i="2"/>
  <c r="N2194" i="2"/>
  <c r="O2194" i="2"/>
  <c r="M2195" i="2"/>
  <c r="N2195" i="2" s="1"/>
  <c r="O2195" i="2"/>
  <c r="M2196" i="2"/>
  <c r="N2196" i="2" s="1"/>
  <c r="O2196" i="2"/>
  <c r="M2197" i="2"/>
  <c r="N2197" i="2"/>
  <c r="O2197" i="2"/>
  <c r="M2198" i="2"/>
  <c r="N2198" i="2"/>
  <c r="O2198" i="2"/>
  <c r="M2199" i="2"/>
  <c r="N2199" i="2"/>
  <c r="O2199" i="2"/>
  <c r="M2200" i="2"/>
  <c r="N2200" i="2" s="1"/>
  <c r="O2200" i="2"/>
  <c r="M2201" i="2"/>
  <c r="N2201" i="2"/>
  <c r="O2201" i="2"/>
  <c r="M2202" i="2"/>
  <c r="N2202" i="2" s="1"/>
  <c r="O2202" i="2"/>
  <c r="M2203" i="2"/>
  <c r="N2203" i="2"/>
  <c r="O2203" i="2"/>
  <c r="M2204" i="2"/>
  <c r="N2204" i="2"/>
  <c r="O2204" i="2"/>
  <c r="M2205" i="2"/>
  <c r="N2205" i="2"/>
  <c r="O2205" i="2"/>
  <c r="M2206" i="2"/>
  <c r="N2206" i="2" s="1"/>
  <c r="O2206" i="2"/>
  <c r="M2207" i="2"/>
  <c r="N2207" i="2" s="1"/>
  <c r="O2207" i="2"/>
  <c r="M2208" i="2"/>
  <c r="N2208" i="2" s="1"/>
  <c r="O2208" i="2"/>
  <c r="M2209" i="2"/>
  <c r="N2209" i="2" s="1"/>
  <c r="O2209" i="2"/>
  <c r="M2210" i="2"/>
  <c r="N2210" i="2" s="1"/>
  <c r="O2210" i="2"/>
  <c r="M2211" i="2"/>
  <c r="N2211" i="2" s="1"/>
  <c r="O2211" i="2"/>
  <c r="M2212" i="2"/>
  <c r="N2212" i="2"/>
  <c r="O2212" i="2"/>
  <c r="M2213" i="2"/>
  <c r="N2213" i="2" s="1"/>
  <c r="O2213" i="2"/>
  <c r="M2214" i="2"/>
  <c r="N2214" i="2" s="1"/>
  <c r="O2214" i="2"/>
  <c r="M2215" i="2"/>
  <c r="N2215" i="2" s="1"/>
  <c r="O2215" i="2"/>
  <c r="M2216" i="2"/>
  <c r="N2216" i="2" s="1"/>
  <c r="O2216" i="2"/>
  <c r="M2217" i="2"/>
  <c r="N2217" i="2"/>
  <c r="O2217" i="2"/>
  <c r="M2218" i="2"/>
  <c r="N2218" i="2" s="1"/>
  <c r="O2218" i="2"/>
  <c r="M2219" i="2"/>
  <c r="N2219" i="2"/>
  <c r="O2219" i="2"/>
  <c r="M2220" i="2"/>
  <c r="N2220" i="2" s="1"/>
  <c r="O2220" i="2"/>
  <c r="M2221" i="2"/>
  <c r="N2221" i="2" s="1"/>
  <c r="O2221" i="2"/>
  <c r="M2222" i="2"/>
  <c r="N2222" i="2"/>
  <c r="O2222" i="2"/>
  <c r="M2223" i="2"/>
  <c r="N2223" i="2" s="1"/>
  <c r="O2223" i="2"/>
  <c r="M2224" i="2"/>
  <c r="N2224" i="2" s="1"/>
  <c r="O2224" i="2"/>
  <c r="M2225" i="2"/>
  <c r="N2225" i="2" s="1"/>
  <c r="O2225" i="2"/>
  <c r="M2226" i="2"/>
  <c r="N2226" i="2" s="1"/>
  <c r="O2226" i="2"/>
  <c r="M2227" i="2"/>
  <c r="N2227" i="2"/>
  <c r="O2227" i="2"/>
  <c r="M2228" i="2"/>
  <c r="N2228" i="2"/>
  <c r="O2228" i="2"/>
  <c r="M2229" i="2"/>
  <c r="N2229" i="2" s="1"/>
  <c r="O2229" i="2"/>
  <c r="M2230" i="2"/>
  <c r="N2230" i="2" s="1"/>
  <c r="O2230" i="2"/>
  <c r="M2231" i="2"/>
  <c r="N2231" i="2" s="1"/>
  <c r="O2231" i="2"/>
  <c r="M2232" i="2"/>
  <c r="N2232" i="2" s="1"/>
  <c r="O2232" i="2"/>
  <c r="M2233" i="2"/>
  <c r="N2233" i="2" s="1"/>
  <c r="O2233" i="2"/>
  <c r="M2234" i="2"/>
  <c r="N2234" i="2" s="1"/>
  <c r="O2234" i="2"/>
  <c r="M2235" i="2"/>
  <c r="N2235" i="2" s="1"/>
  <c r="O2235" i="2"/>
  <c r="M2236" i="2"/>
  <c r="N2236" i="2" s="1"/>
  <c r="O2236" i="2"/>
  <c r="M2237" i="2"/>
  <c r="N2237" i="2" s="1"/>
  <c r="O2237" i="2"/>
  <c r="M2238" i="2"/>
  <c r="N2238" i="2" s="1"/>
  <c r="O2238" i="2"/>
  <c r="M2239" i="2"/>
  <c r="N2239" i="2" s="1"/>
  <c r="O2239" i="2"/>
  <c r="M2240" i="2"/>
  <c r="N2240" i="2"/>
  <c r="O2240" i="2"/>
  <c r="M2241" i="2"/>
  <c r="N2241" i="2"/>
  <c r="O2241" i="2"/>
  <c r="M2242" i="2"/>
  <c r="N2242" i="2" s="1"/>
  <c r="O2242" i="2"/>
  <c r="M2243" i="2"/>
  <c r="N2243" i="2" s="1"/>
  <c r="O2243" i="2"/>
  <c r="M2244" i="2"/>
  <c r="N2244" i="2" s="1"/>
  <c r="O2244" i="2"/>
  <c r="M2245" i="2"/>
  <c r="N2245" i="2" s="1"/>
  <c r="O2245" i="2"/>
  <c r="M2246" i="2"/>
  <c r="N2246" i="2" s="1"/>
  <c r="O2246" i="2"/>
  <c r="M2247" i="2"/>
  <c r="N2247" i="2" s="1"/>
  <c r="O2247" i="2"/>
  <c r="M2248" i="2"/>
  <c r="N2248" i="2" s="1"/>
  <c r="O2248" i="2"/>
  <c r="M2249" i="2"/>
  <c r="N2249" i="2"/>
  <c r="O2249" i="2"/>
  <c r="M2250" i="2"/>
  <c r="N2250" i="2" s="1"/>
  <c r="O2250" i="2"/>
  <c r="M2251" i="2"/>
  <c r="N2251" i="2"/>
  <c r="O2251" i="2"/>
  <c r="M2252" i="2"/>
  <c r="N2252" i="2"/>
  <c r="O2252" i="2"/>
  <c r="M2253" i="2"/>
  <c r="N2253" i="2" s="1"/>
  <c r="O2253" i="2"/>
  <c r="M2254" i="2"/>
  <c r="N2254" i="2"/>
  <c r="O2254" i="2"/>
  <c r="M2255" i="2"/>
  <c r="N2255" i="2" s="1"/>
  <c r="O2255" i="2"/>
  <c r="M2256" i="2"/>
  <c r="N2256" i="2" s="1"/>
  <c r="O2256" i="2"/>
  <c r="M2257" i="2"/>
  <c r="N2257" i="2"/>
  <c r="O2257" i="2"/>
  <c r="M2258" i="2"/>
  <c r="N2258" i="2" s="1"/>
  <c r="O2258" i="2"/>
  <c r="M2259" i="2"/>
  <c r="N2259" i="2" s="1"/>
  <c r="O2259" i="2"/>
  <c r="M2260" i="2"/>
  <c r="N2260" i="2" s="1"/>
  <c r="O2260" i="2"/>
  <c r="M2261" i="2"/>
  <c r="N2261" i="2"/>
  <c r="O2261" i="2"/>
  <c r="M2262" i="2"/>
  <c r="N2262" i="2" s="1"/>
  <c r="O2262" i="2"/>
  <c r="M2263" i="2"/>
  <c r="N2263" i="2" s="1"/>
  <c r="O2263" i="2"/>
  <c r="M2264" i="2"/>
  <c r="N2264" i="2"/>
  <c r="O2264" i="2"/>
  <c r="M2265" i="2"/>
  <c r="N2265" i="2" s="1"/>
  <c r="O2265" i="2"/>
  <c r="M2266" i="2"/>
  <c r="N2266" i="2"/>
  <c r="O2266" i="2"/>
  <c r="M2267" i="2"/>
  <c r="N2267" i="2" s="1"/>
  <c r="O2267" i="2"/>
  <c r="M2268" i="2"/>
  <c r="N2268" i="2" s="1"/>
  <c r="O2268" i="2"/>
  <c r="M2269" i="2"/>
  <c r="N2269" i="2" s="1"/>
  <c r="O2269" i="2"/>
  <c r="M2270" i="2"/>
  <c r="N2270" i="2" s="1"/>
  <c r="O2270" i="2"/>
  <c r="M2271" i="2"/>
  <c r="N2271" i="2"/>
  <c r="O2271" i="2"/>
  <c r="M2272" i="2"/>
  <c r="N2272" i="2"/>
  <c r="O2272" i="2"/>
  <c r="M2273" i="2"/>
  <c r="N2273" i="2" s="1"/>
  <c r="O2273" i="2"/>
  <c r="M2274" i="2"/>
  <c r="N2274" i="2" s="1"/>
  <c r="O2274" i="2"/>
  <c r="M2275" i="2"/>
  <c r="N2275" i="2" s="1"/>
  <c r="O2275" i="2"/>
  <c r="M2276" i="2"/>
  <c r="N2276" i="2" s="1"/>
  <c r="O2276" i="2"/>
  <c r="M2277" i="2"/>
  <c r="N2277" i="2" s="1"/>
  <c r="O2277" i="2"/>
  <c r="M2278" i="2"/>
  <c r="N2278" i="2" s="1"/>
  <c r="O2278" i="2"/>
  <c r="M2279" i="2"/>
  <c r="N2279" i="2" s="1"/>
  <c r="O2279" i="2"/>
  <c r="M2280" i="2"/>
  <c r="N2280" i="2" s="1"/>
  <c r="O2280" i="2"/>
  <c r="M2281" i="2"/>
  <c r="N2281" i="2" s="1"/>
  <c r="O2281" i="2"/>
  <c r="M2282" i="2"/>
  <c r="N2282" i="2" s="1"/>
  <c r="O2282" i="2"/>
  <c r="M2283" i="2"/>
  <c r="N2283" i="2" s="1"/>
  <c r="O2283" i="2"/>
  <c r="M2284" i="2"/>
  <c r="N2284" i="2" s="1"/>
  <c r="O2284" i="2"/>
  <c r="M2285" i="2"/>
  <c r="N2285" i="2"/>
  <c r="O2285" i="2"/>
  <c r="M2286" i="2"/>
  <c r="N2286" i="2"/>
  <c r="O2286" i="2"/>
  <c r="M2287" i="2"/>
  <c r="N2287" i="2" s="1"/>
  <c r="O2287" i="2"/>
  <c r="M2288" i="2"/>
  <c r="N2288" i="2"/>
  <c r="O2288" i="2"/>
  <c r="M2289" i="2"/>
  <c r="N2289" i="2" s="1"/>
  <c r="O2289" i="2"/>
  <c r="M2290" i="2"/>
  <c r="N2290" i="2" s="1"/>
  <c r="O2290" i="2"/>
  <c r="M2291" i="2"/>
  <c r="N2291" i="2"/>
  <c r="O2291" i="2"/>
  <c r="M2292" i="2"/>
  <c r="N2292" i="2" s="1"/>
  <c r="O2292" i="2"/>
  <c r="M2293" i="2"/>
  <c r="N2293" i="2" s="1"/>
  <c r="O2293" i="2"/>
  <c r="M2294" i="2"/>
  <c r="N2294" i="2"/>
  <c r="O2294" i="2"/>
  <c r="M2295" i="2"/>
  <c r="N2295" i="2" s="1"/>
  <c r="O2295" i="2"/>
  <c r="M2296" i="2"/>
  <c r="N2296" i="2" s="1"/>
  <c r="O2296" i="2"/>
  <c r="M2297" i="2"/>
  <c r="N2297" i="2" s="1"/>
  <c r="O2297" i="2"/>
  <c r="M2298" i="2"/>
  <c r="N2298" i="2"/>
  <c r="O2298" i="2"/>
  <c r="M2299" i="2"/>
  <c r="N2299" i="2" s="1"/>
  <c r="O2299" i="2"/>
  <c r="M2300" i="2"/>
  <c r="N2300" i="2"/>
  <c r="O2300" i="2"/>
  <c r="M2301" i="2"/>
  <c r="N2301" i="2" s="1"/>
  <c r="O2301" i="2"/>
  <c r="M2302" i="2"/>
  <c r="N2302" i="2" s="1"/>
  <c r="O2302" i="2"/>
  <c r="M2303" i="2"/>
  <c r="N2303" i="2" s="1"/>
  <c r="O2303" i="2"/>
  <c r="M2304" i="2"/>
  <c r="N2304" i="2"/>
  <c r="O2304" i="2"/>
  <c r="M2305" i="2"/>
  <c r="N2305" i="2" s="1"/>
  <c r="O2305" i="2"/>
  <c r="M2306" i="2"/>
  <c r="N2306" i="2" s="1"/>
  <c r="O2306" i="2"/>
  <c r="M2307" i="2"/>
  <c r="N2307" i="2" s="1"/>
  <c r="O2307" i="2"/>
  <c r="M2308" i="2"/>
  <c r="N2308" i="2" s="1"/>
  <c r="O2308" i="2"/>
  <c r="M2309" i="2"/>
  <c r="N2309" i="2"/>
  <c r="O2309" i="2"/>
  <c r="M2310" i="2"/>
  <c r="N2310" i="2"/>
  <c r="O2310" i="2"/>
  <c r="M2311" i="2"/>
  <c r="N2311" i="2" s="1"/>
  <c r="O2311" i="2"/>
  <c r="M2312" i="2"/>
  <c r="N2312" i="2" s="1"/>
  <c r="O2312" i="2"/>
  <c r="M2313" i="2"/>
  <c r="N2313" i="2" s="1"/>
  <c r="O2313" i="2"/>
  <c r="M2314" i="2"/>
  <c r="N2314" i="2" s="1"/>
  <c r="O2314" i="2"/>
  <c r="M2315" i="2"/>
  <c r="N2315" i="2" s="1"/>
  <c r="O2315" i="2"/>
  <c r="M2316" i="2"/>
  <c r="N2316" i="2" s="1"/>
  <c r="O2316" i="2"/>
  <c r="M2317" i="2"/>
  <c r="N2317" i="2" s="1"/>
  <c r="O2317" i="2"/>
  <c r="M2318" i="2"/>
  <c r="N2318" i="2" s="1"/>
  <c r="O2318" i="2"/>
  <c r="M2319" i="2"/>
  <c r="N2319" i="2"/>
  <c r="O2319" i="2"/>
  <c r="M2320" i="2"/>
  <c r="N2320" i="2" s="1"/>
  <c r="O2320" i="2"/>
  <c r="M2321" i="2"/>
  <c r="N2321" i="2"/>
  <c r="O2321" i="2"/>
  <c r="M2322" i="2"/>
  <c r="N2322" i="2" s="1"/>
  <c r="O2322" i="2"/>
  <c r="M2323" i="2"/>
  <c r="N2323" i="2"/>
  <c r="O2323" i="2"/>
  <c r="M2324" i="2"/>
  <c r="N2324" i="2" s="1"/>
  <c r="O2324" i="2"/>
  <c r="M2325" i="2"/>
  <c r="N2325" i="2" s="1"/>
  <c r="O2325" i="2"/>
  <c r="M2326" i="2"/>
  <c r="N2326" i="2" s="1"/>
  <c r="O2326" i="2"/>
  <c r="M2327" i="2"/>
  <c r="N2327" i="2" s="1"/>
  <c r="O2327" i="2"/>
  <c r="M2328" i="2"/>
  <c r="N2328" i="2" s="1"/>
  <c r="O2328" i="2"/>
  <c r="M2329" i="2"/>
  <c r="N2329" i="2" s="1"/>
  <c r="O2329" i="2"/>
  <c r="M2330" i="2"/>
  <c r="N2330" i="2" s="1"/>
  <c r="O2330" i="2"/>
  <c r="M2331" i="2"/>
  <c r="N2331" i="2" s="1"/>
  <c r="O2331" i="2"/>
  <c r="M2332" i="2"/>
  <c r="N2332" i="2" s="1"/>
  <c r="O2332" i="2"/>
  <c r="M2333" i="2"/>
  <c r="N2333" i="2"/>
  <c r="O2333" i="2"/>
  <c r="M2334" i="2"/>
  <c r="N2334" i="2" s="1"/>
  <c r="O2334" i="2"/>
  <c r="M2335" i="2"/>
  <c r="N2335" i="2" s="1"/>
  <c r="O2335" i="2"/>
  <c r="M2336" i="2"/>
  <c r="N2336" i="2" s="1"/>
  <c r="O2336" i="2"/>
  <c r="M2337" i="2"/>
  <c r="N2337" i="2" s="1"/>
  <c r="O2337" i="2"/>
  <c r="M2338" i="2"/>
  <c r="N2338" i="2" s="1"/>
  <c r="O2338" i="2"/>
  <c r="M2339" i="2"/>
  <c r="N2339" i="2" s="1"/>
  <c r="O2339" i="2"/>
  <c r="M2340" i="2"/>
  <c r="N2340" i="2" s="1"/>
  <c r="O2340" i="2"/>
  <c r="M2341" i="2"/>
  <c r="N2341" i="2" s="1"/>
  <c r="O2341" i="2"/>
  <c r="M2342" i="2"/>
  <c r="N2342" i="2" s="1"/>
  <c r="O2342" i="2"/>
  <c r="M2343" i="2"/>
  <c r="N2343" i="2" s="1"/>
  <c r="O2343" i="2"/>
  <c r="M2344" i="2"/>
  <c r="N2344" i="2" s="1"/>
  <c r="O2344" i="2"/>
  <c r="M2345" i="2"/>
  <c r="N2345" i="2" s="1"/>
  <c r="O2345" i="2"/>
  <c r="M2346" i="2"/>
  <c r="N2346" i="2" s="1"/>
  <c r="O2346" i="2"/>
  <c r="M2347" i="2"/>
  <c r="N2347" i="2" s="1"/>
  <c r="O2347" i="2"/>
  <c r="M2348" i="2"/>
  <c r="N2348" i="2" s="1"/>
  <c r="O2348" i="2"/>
  <c r="M2349" i="2"/>
  <c r="N2349" i="2" s="1"/>
  <c r="O2349" i="2"/>
  <c r="M2350" i="2"/>
  <c r="N2350" i="2" s="1"/>
  <c r="O2350" i="2"/>
  <c r="M2351" i="2"/>
  <c r="N2351" i="2" s="1"/>
  <c r="O2351" i="2"/>
  <c r="M2352" i="2"/>
  <c r="N2352" i="2"/>
  <c r="O2352" i="2"/>
  <c r="M2353" i="2"/>
  <c r="N2353" i="2" s="1"/>
  <c r="O2353" i="2"/>
  <c r="M2354" i="2"/>
  <c r="N2354" i="2" s="1"/>
  <c r="O2354" i="2"/>
  <c r="M2355" i="2"/>
  <c r="N2355" i="2" s="1"/>
  <c r="O2355" i="2"/>
  <c r="M2356" i="2"/>
  <c r="N2356" i="2"/>
  <c r="O2356" i="2"/>
  <c r="M2357" i="2"/>
  <c r="N2357" i="2" s="1"/>
  <c r="O2357" i="2"/>
  <c r="M2358" i="2"/>
  <c r="N2358" i="2" s="1"/>
  <c r="O2358" i="2"/>
  <c r="M2359" i="2"/>
  <c r="N2359" i="2" s="1"/>
  <c r="O2359" i="2"/>
  <c r="M2360" i="2"/>
  <c r="N2360" i="2"/>
  <c r="O2360" i="2"/>
  <c r="M2361" i="2"/>
  <c r="N2361" i="2"/>
  <c r="O2361" i="2"/>
  <c r="M2362" i="2"/>
  <c r="N2362" i="2" s="1"/>
  <c r="O2362" i="2"/>
  <c r="M2363" i="2"/>
  <c r="N2363" i="2" s="1"/>
  <c r="O2363" i="2"/>
  <c r="M2364" i="2"/>
  <c r="N2364" i="2" s="1"/>
  <c r="O2364" i="2"/>
  <c r="M2365" i="2"/>
  <c r="N2365" i="2" s="1"/>
  <c r="O2365" i="2"/>
  <c r="M2366" i="2"/>
  <c r="N2366" i="2" s="1"/>
  <c r="O2366" i="2"/>
  <c r="M2367" i="2"/>
  <c r="N2367" i="2" s="1"/>
  <c r="O2367" i="2"/>
  <c r="M2368" i="2"/>
  <c r="N2368" i="2" s="1"/>
  <c r="O2368" i="2"/>
  <c r="M2369" i="2"/>
  <c r="N2369" i="2" s="1"/>
  <c r="O2369" i="2"/>
  <c r="M2370" i="2"/>
  <c r="N2370" i="2" s="1"/>
  <c r="O2370" i="2"/>
  <c r="M2371" i="2"/>
  <c r="N2371" i="2"/>
  <c r="O2371" i="2"/>
  <c r="M2372" i="2"/>
  <c r="N2372" i="2" s="1"/>
  <c r="O2372" i="2"/>
  <c r="M2373" i="2"/>
  <c r="N2373" i="2" s="1"/>
  <c r="O2373" i="2"/>
  <c r="M2374" i="2"/>
  <c r="N2374" i="2" s="1"/>
  <c r="O2374" i="2"/>
  <c r="M2375" i="2"/>
  <c r="N2375" i="2" s="1"/>
  <c r="O2375" i="2"/>
  <c r="M2376" i="2"/>
  <c r="N2376" i="2" s="1"/>
  <c r="O2376" i="2"/>
  <c r="M2377" i="2"/>
  <c r="N2377" i="2" s="1"/>
  <c r="O2377" i="2"/>
  <c r="M2378" i="2"/>
  <c r="N2378" i="2" s="1"/>
  <c r="O2378" i="2"/>
  <c r="M2379" i="2"/>
  <c r="N2379" i="2"/>
  <c r="O2379" i="2"/>
  <c r="M2380" i="2"/>
  <c r="N2380" i="2" s="1"/>
  <c r="O2380" i="2"/>
  <c r="M2381" i="2"/>
  <c r="N2381" i="2" s="1"/>
  <c r="O2381" i="2"/>
  <c r="M2382" i="2"/>
  <c r="N2382" i="2" s="1"/>
  <c r="O2382" i="2"/>
  <c r="M2383" i="2"/>
  <c r="N2383" i="2" s="1"/>
  <c r="O2383" i="2"/>
  <c r="M2384" i="2"/>
  <c r="N2384" i="2"/>
  <c r="O2384" i="2"/>
  <c r="M2385" i="2"/>
  <c r="N2385" i="2" s="1"/>
  <c r="O2385" i="2"/>
  <c r="M2386" i="2"/>
  <c r="N2386" i="2" s="1"/>
  <c r="O2386" i="2"/>
  <c r="M2387" i="2"/>
  <c r="N2387" i="2" s="1"/>
  <c r="O2387" i="2"/>
  <c r="M2388" i="2"/>
  <c r="N2388" i="2" s="1"/>
  <c r="O2388" i="2"/>
  <c r="M2389" i="2"/>
  <c r="N2389" i="2" s="1"/>
  <c r="O2389" i="2"/>
  <c r="M2390" i="2"/>
  <c r="N2390" i="2"/>
  <c r="O2390" i="2"/>
  <c r="M2391" i="2"/>
  <c r="N2391" i="2"/>
  <c r="O2391" i="2"/>
  <c r="M2392" i="2"/>
  <c r="N2392" i="2"/>
  <c r="O2392" i="2"/>
  <c r="M2393" i="2"/>
  <c r="N2393" i="2"/>
  <c r="O2393" i="2"/>
  <c r="M2394" i="2"/>
  <c r="N2394" i="2"/>
  <c r="O2394" i="2"/>
  <c r="M2395" i="2"/>
  <c r="N2395" i="2"/>
  <c r="O2395" i="2"/>
  <c r="M2396" i="2"/>
  <c r="N2396" i="2"/>
  <c r="O2396" i="2"/>
  <c r="M2397" i="2"/>
  <c r="N2397" i="2" s="1"/>
  <c r="O2397" i="2"/>
  <c r="M2398" i="2"/>
  <c r="N2398" i="2" s="1"/>
  <c r="O2398" i="2"/>
  <c r="M2399" i="2"/>
  <c r="N2399" i="2"/>
  <c r="O2399" i="2"/>
  <c r="M2400" i="2"/>
  <c r="N2400" i="2"/>
  <c r="O2400" i="2"/>
  <c r="M2401" i="2"/>
  <c r="N2401" i="2" s="1"/>
  <c r="O2401" i="2"/>
  <c r="M2402" i="2"/>
  <c r="N2402" i="2" s="1"/>
  <c r="O2402" i="2"/>
  <c r="M2403" i="2"/>
  <c r="N2403" i="2" s="1"/>
  <c r="O2403" i="2"/>
  <c r="M2404" i="2"/>
  <c r="N2404" i="2" s="1"/>
  <c r="O2404" i="2"/>
  <c r="M2405" i="2"/>
  <c r="N2405" i="2"/>
  <c r="O2405" i="2"/>
  <c r="M2406" i="2"/>
  <c r="N2406" i="2" s="1"/>
  <c r="O2406" i="2"/>
  <c r="M2407" i="2"/>
  <c r="N2407" i="2" s="1"/>
  <c r="O2407" i="2"/>
  <c r="M2408" i="2"/>
  <c r="N2408" i="2" s="1"/>
  <c r="O2408" i="2"/>
  <c r="M2409" i="2"/>
  <c r="N2409" i="2" s="1"/>
  <c r="O2409" i="2"/>
  <c r="M2410" i="2"/>
  <c r="N2410" i="2" s="1"/>
  <c r="O2410" i="2"/>
  <c r="M2411" i="2"/>
  <c r="N2411" i="2"/>
  <c r="O2411" i="2"/>
  <c r="M2412" i="2"/>
  <c r="N2412" i="2" s="1"/>
  <c r="O2412" i="2"/>
  <c r="M2413" i="2"/>
  <c r="N2413" i="2" s="1"/>
  <c r="O2413" i="2"/>
  <c r="M2414" i="2"/>
  <c r="N2414" i="2" s="1"/>
  <c r="O2414" i="2"/>
  <c r="M2415" i="2"/>
  <c r="N2415" i="2"/>
  <c r="O2415" i="2"/>
  <c r="M2416" i="2"/>
  <c r="N2416" i="2"/>
  <c r="O2416" i="2"/>
  <c r="M2417" i="2"/>
  <c r="N2417" i="2" s="1"/>
  <c r="O2417" i="2"/>
  <c r="M2418" i="2"/>
  <c r="N2418" i="2" s="1"/>
  <c r="O2418" i="2"/>
  <c r="M2419" i="2"/>
  <c r="N2419" i="2" s="1"/>
  <c r="O2419" i="2"/>
  <c r="M2420" i="2"/>
  <c r="N2420" i="2" s="1"/>
  <c r="O2420" i="2"/>
  <c r="M2421" i="2"/>
  <c r="N2421" i="2" s="1"/>
  <c r="O2421" i="2"/>
  <c r="M2422" i="2"/>
  <c r="N2422" i="2" s="1"/>
  <c r="O2422" i="2"/>
  <c r="M2423" i="2"/>
  <c r="N2423" i="2"/>
  <c r="O2423" i="2"/>
  <c r="M2424" i="2"/>
  <c r="N2424" i="2" s="1"/>
  <c r="O2424" i="2"/>
  <c r="M2425" i="2"/>
  <c r="N2425" i="2" s="1"/>
  <c r="O2425" i="2"/>
  <c r="M2426" i="2"/>
  <c r="N2426" i="2" s="1"/>
  <c r="O2426" i="2"/>
  <c r="M2427" i="2"/>
  <c r="N2427" i="2" s="1"/>
  <c r="O2427" i="2"/>
  <c r="M2428" i="2"/>
  <c r="N2428" i="2" s="1"/>
  <c r="O2428" i="2"/>
  <c r="M2429" i="2"/>
  <c r="N2429" i="2" s="1"/>
  <c r="O2429" i="2"/>
  <c r="M2430" i="2"/>
  <c r="N2430" i="2" s="1"/>
  <c r="O2430" i="2"/>
  <c r="M2431" i="2"/>
  <c r="N2431" i="2" s="1"/>
  <c r="O2431" i="2"/>
  <c r="M2432" i="2"/>
  <c r="N2432" i="2"/>
  <c r="O2432" i="2"/>
  <c r="M2433" i="2"/>
  <c r="N2433" i="2" s="1"/>
  <c r="O2433" i="2"/>
  <c r="M2434" i="2"/>
  <c r="N2434" i="2" s="1"/>
  <c r="O2434" i="2"/>
  <c r="M2435" i="2"/>
  <c r="N2435" i="2" s="1"/>
  <c r="O2435" i="2"/>
  <c r="M2436" i="2"/>
  <c r="N2436" i="2"/>
  <c r="O2436" i="2"/>
  <c r="M2437" i="2"/>
  <c r="N2437" i="2" s="1"/>
  <c r="O2437" i="2"/>
  <c r="M2438" i="2"/>
  <c r="N2438" i="2"/>
  <c r="O2438" i="2"/>
  <c r="M2439" i="2"/>
  <c r="N2439" i="2"/>
  <c r="O2439" i="2"/>
  <c r="M2440" i="2"/>
  <c r="N2440" i="2" s="1"/>
  <c r="O2440" i="2"/>
  <c r="M2441" i="2"/>
  <c r="N2441" i="2" s="1"/>
  <c r="O2441" i="2"/>
  <c r="M2442" i="2"/>
  <c r="N2442" i="2" s="1"/>
  <c r="O2442" i="2"/>
  <c r="M2443" i="2"/>
  <c r="N2443" i="2"/>
  <c r="O2443" i="2"/>
  <c r="M2444" i="2"/>
  <c r="N2444" i="2"/>
  <c r="O2444" i="2"/>
  <c r="M2445" i="2"/>
  <c r="N2445" i="2" s="1"/>
  <c r="O2445" i="2"/>
  <c r="M2446" i="2"/>
  <c r="N2446" i="2" s="1"/>
  <c r="O2446" i="2"/>
  <c r="M2447" i="2"/>
  <c r="N2447" i="2" s="1"/>
  <c r="O2447" i="2"/>
  <c r="M2448" i="2"/>
  <c r="N2448" i="2"/>
  <c r="O2448" i="2"/>
  <c r="M2449" i="2"/>
  <c r="N2449" i="2" s="1"/>
  <c r="O2449" i="2"/>
  <c r="M2450" i="2"/>
  <c r="N2450" i="2"/>
  <c r="O2450" i="2"/>
  <c r="M2451" i="2"/>
  <c r="N2451" i="2" s="1"/>
  <c r="O2451" i="2"/>
  <c r="M2452" i="2"/>
  <c r="N2452" i="2" s="1"/>
  <c r="O2452" i="2"/>
  <c r="M2453" i="2"/>
  <c r="N2453" i="2" s="1"/>
  <c r="O2453" i="2"/>
  <c r="M2454" i="2"/>
  <c r="N2454" i="2"/>
  <c r="O2454" i="2"/>
  <c r="M2455" i="2"/>
  <c r="N2455" i="2" s="1"/>
  <c r="O2455" i="2"/>
  <c r="M2456" i="2"/>
  <c r="N2456" i="2"/>
  <c r="O2456" i="2"/>
  <c r="M2457" i="2"/>
  <c r="N2457" i="2"/>
  <c r="O2457" i="2"/>
  <c r="M2458" i="2"/>
  <c r="N2458" i="2"/>
  <c r="O2458" i="2"/>
  <c r="M2459" i="2"/>
  <c r="N2459" i="2"/>
  <c r="O2459" i="2"/>
  <c r="M2460" i="2"/>
  <c r="N2460" i="2"/>
  <c r="O2460" i="2"/>
  <c r="M2461" i="2"/>
  <c r="N2461" i="2" s="1"/>
  <c r="O2461" i="2"/>
  <c r="M2462" i="2"/>
  <c r="N2462" i="2"/>
  <c r="O2462" i="2"/>
  <c r="M2463" i="2"/>
  <c r="N2463" i="2" s="1"/>
  <c r="O2463" i="2"/>
  <c r="M2464" i="2"/>
  <c r="N2464" i="2" s="1"/>
  <c r="O2464" i="2"/>
  <c r="M2465" i="2"/>
  <c r="N2465" i="2" s="1"/>
  <c r="O2465" i="2"/>
  <c r="M2466" i="2"/>
  <c r="N2466" i="2" s="1"/>
  <c r="O2466" i="2"/>
  <c r="M2467" i="2"/>
  <c r="N2467" i="2" s="1"/>
  <c r="O2467" i="2"/>
  <c r="M2468" i="2"/>
  <c r="N2468" i="2" s="1"/>
  <c r="O2468" i="2"/>
  <c r="M2469" i="2"/>
  <c r="N2469" i="2" s="1"/>
  <c r="O2469" i="2"/>
  <c r="M2470" i="2"/>
  <c r="N2470" i="2"/>
  <c r="O2470" i="2"/>
  <c r="M2471" i="2"/>
  <c r="N2471" i="2" s="1"/>
  <c r="O2471" i="2"/>
  <c r="M2472" i="2"/>
  <c r="N2472" i="2" s="1"/>
  <c r="O2472" i="2"/>
  <c r="M2473" i="2"/>
  <c r="N2473" i="2" s="1"/>
  <c r="O2473" i="2"/>
  <c r="M2474" i="2"/>
  <c r="N2474" i="2" s="1"/>
  <c r="O2474" i="2"/>
  <c r="M2475" i="2"/>
  <c r="N2475" i="2" s="1"/>
  <c r="O2475" i="2"/>
  <c r="M2476" i="2"/>
  <c r="N2476" i="2" s="1"/>
  <c r="O2476" i="2"/>
  <c r="M2477" i="2"/>
  <c r="N2477" i="2" s="1"/>
  <c r="O2477" i="2"/>
  <c r="M2478" i="2"/>
  <c r="N2478" i="2"/>
  <c r="O2478" i="2"/>
  <c r="M2479" i="2"/>
  <c r="N2479" i="2" s="1"/>
  <c r="O2479" i="2"/>
  <c r="M2480" i="2"/>
  <c r="N2480" i="2" s="1"/>
  <c r="O2480" i="2"/>
  <c r="M2481" i="2"/>
  <c r="N2481" i="2" s="1"/>
  <c r="O2481" i="2"/>
  <c r="M2482" i="2"/>
  <c r="N2482" i="2" s="1"/>
  <c r="O2482" i="2"/>
  <c r="M2483" i="2"/>
  <c r="N2483" i="2" s="1"/>
  <c r="O2483" i="2"/>
  <c r="M2484" i="2"/>
  <c r="N2484" i="2"/>
  <c r="O2484" i="2"/>
  <c r="M2485" i="2"/>
  <c r="N2485" i="2" s="1"/>
  <c r="O2485" i="2"/>
  <c r="M2486" i="2"/>
  <c r="N2486" i="2" s="1"/>
  <c r="O2486" i="2"/>
  <c r="M2487" i="2"/>
  <c r="N2487" i="2"/>
  <c r="O2487" i="2"/>
  <c r="M2488" i="2"/>
  <c r="N2488" i="2" s="1"/>
  <c r="O2488" i="2"/>
  <c r="M2489" i="2"/>
  <c r="N2489" i="2"/>
  <c r="O2489" i="2"/>
  <c r="M2490" i="2"/>
  <c r="N2490" i="2" s="1"/>
  <c r="O2490" i="2"/>
  <c r="M2491" i="2"/>
  <c r="N2491" i="2"/>
  <c r="O2491" i="2"/>
  <c r="M2492" i="2"/>
  <c r="N2492" i="2" s="1"/>
  <c r="O2492" i="2"/>
  <c r="M2493" i="2"/>
  <c r="N2493" i="2"/>
  <c r="O2493" i="2"/>
  <c r="M2494" i="2"/>
  <c r="N2494" i="2"/>
  <c r="O2494" i="2"/>
  <c r="M2495" i="2"/>
  <c r="N2495" i="2"/>
  <c r="O2495" i="2"/>
  <c r="M2496" i="2"/>
  <c r="N2496" i="2" s="1"/>
  <c r="O2496" i="2"/>
  <c r="M2497" i="2"/>
  <c r="N2497" i="2" s="1"/>
  <c r="O2497" i="2"/>
  <c r="M2498" i="2"/>
  <c r="N2498" i="2" s="1"/>
  <c r="O2498" i="2"/>
  <c r="M2499" i="2"/>
  <c r="N2499" i="2" s="1"/>
  <c r="O2499" i="2"/>
  <c r="M2500" i="2"/>
  <c r="N2500" i="2" s="1"/>
  <c r="O2500" i="2"/>
  <c r="M2501" i="2"/>
  <c r="N2501" i="2" s="1"/>
  <c r="O2501" i="2"/>
  <c r="M2502" i="2"/>
  <c r="N2502" i="2" s="1"/>
  <c r="O2502" i="2"/>
  <c r="M2503" i="2"/>
  <c r="N2503" i="2" s="1"/>
  <c r="O2503" i="2"/>
  <c r="M2504" i="2"/>
  <c r="N2504" i="2" s="1"/>
  <c r="O2504" i="2"/>
  <c r="M2505" i="2"/>
  <c r="N2505" i="2" s="1"/>
  <c r="O2505" i="2"/>
  <c r="M2506" i="2"/>
  <c r="N2506" i="2"/>
  <c r="O2506" i="2"/>
  <c r="M2507" i="2"/>
  <c r="N2507" i="2" s="1"/>
  <c r="O2507" i="2"/>
  <c r="M2508" i="2"/>
  <c r="N2508" i="2" s="1"/>
  <c r="O2508" i="2"/>
  <c r="M2509" i="2"/>
  <c r="N2509" i="2" s="1"/>
  <c r="O2509" i="2"/>
  <c r="M2510" i="2"/>
  <c r="N2510" i="2" s="1"/>
  <c r="O2510" i="2"/>
  <c r="M2511" i="2"/>
  <c r="N2511" i="2" s="1"/>
  <c r="O2511" i="2"/>
  <c r="M2512" i="2"/>
  <c r="N2512" i="2"/>
  <c r="O2512" i="2"/>
  <c r="M2513" i="2"/>
  <c r="N2513" i="2" s="1"/>
  <c r="O2513" i="2"/>
  <c r="M2514" i="2"/>
  <c r="N2514" i="2" s="1"/>
  <c r="O2514" i="2"/>
  <c r="M2515" i="2"/>
  <c r="N2515" i="2"/>
  <c r="O2515" i="2"/>
  <c r="M2516" i="2"/>
  <c r="N2516" i="2"/>
  <c r="O2516" i="2"/>
  <c r="M2517" i="2"/>
  <c r="N2517" i="2" s="1"/>
  <c r="O2517" i="2"/>
  <c r="M2518" i="2"/>
  <c r="N2518" i="2"/>
  <c r="O2518" i="2"/>
  <c r="M2519" i="2"/>
  <c r="N2519" i="2" s="1"/>
  <c r="O2519" i="2"/>
  <c r="M2520" i="2"/>
  <c r="N2520" i="2"/>
  <c r="O2520" i="2"/>
  <c r="M2521" i="2"/>
  <c r="N2521" i="2" s="1"/>
  <c r="O2521" i="2"/>
  <c r="M2522" i="2"/>
  <c r="N2522" i="2" s="1"/>
  <c r="O2522" i="2"/>
  <c r="M2523" i="2"/>
  <c r="N2523" i="2" s="1"/>
  <c r="O2523" i="2"/>
  <c r="M2524" i="2"/>
  <c r="N2524" i="2"/>
  <c r="O2524" i="2"/>
  <c r="M2525" i="2"/>
  <c r="N2525" i="2"/>
  <c r="O2525" i="2"/>
  <c r="M2526" i="2"/>
  <c r="N2526" i="2"/>
  <c r="O2526" i="2"/>
  <c r="M2527" i="2"/>
  <c r="N2527" i="2" s="1"/>
  <c r="O2527" i="2"/>
  <c r="M2528" i="2"/>
  <c r="N2528" i="2"/>
  <c r="O2528" i="2"/>
  <c r="M2529" i="2"/>
  <c r="N2529" i="2"/>
  <c r="O2529" i="2"/>
  <c r="M2530" i="2"/>
  <c r="N2530" i="2"/>
  <c r="O2530" i="2"/>
  <c r="M2531" i="2"/>
  <c r="N2531" i="2"/>
  <c r="O2531" i="2"/>
  <c r="M2532" i="2"/>
  <c r="N2532" i="2"/>
  <c r="O2532" i="2"/>
  <c r="M2533" i="2"/>
  <c r="N2533" i="2"/>
  <c r="O2533" i="2"/>
  <c r="M2534" i="2"/>
  <c r="N2534" i="2"/>
  <c r="O2534" i="2"/>
  <c r="M2535" i="2"/>
  <c r="N2535" i="2"/>
  <c r="O2535" i="2"/>
  <c r="M2536" i="2"/>
  <c r="N2536" i="2"/>
  <c r="O2536" i="2"/>
  <c r="M2537" i="2"/>
  <c r="N2537" i="2"/>
  <c r="O2537" i="2"/>
  <c r="M2538" i="2"/>
  <c r="N2538" i="2"/>
  <c r="O2538" i="2"/>
  <c r="M2539" i="2"/>
  <c r="N2539" i="2"/>
  <c r="O2539" i="2"/>
  <c r="M2540" i="2"/>
  <c r="N2540" i="2"/>
  <c r="O2540" i="2"/>
  <c r="M2541" i="2"/>
  <c r="N2541" i="2"/>
  <c r="O2541" i="2"/>
  <c r="M2542" i="2"/>
  <c r="N2542" i="2"/>
  <c r="O2542" i="2"/>
  <c r="M2543" i="2"/>
  <c r="N2543" i="2"/>
  <c r="O2543" i="2"/>
  <c r="M2544" i="2"/>
  <c r="N2544" i="2"/>
  <c r="O2544" i="2"/>
  <c r="M2545" i="2"/>
  <c r="N2545" i="2"/>
  <c r="O2545" i="2"/>
  <c r="M2546" i="2"/>
  <c r="N2546" i="2"/>
  <c r="O2546" i="2"/>
  <c r="M2547" i="2"/>
  <c r="N2547" i="2" s="1"/>
  <c r="O2547" i="2"/>
  <c r="M2548" i="2"/>
  <c r="N2548" i="2"/>
  <c r="O2548" i="2"/>
  <c r="M2549" i="2"/>
  <c r="N2549" i="2"/>
  <c r="O2549" i="2"/>
  <c r="M2550" i="2"/>
  <c r="N2550" i="2"/>
  <c r="O2550" i="2"/>
  <c r="M2551" i="2"/>
  <c r="N2551" i="2"/>
  <c r="O2551" i="2"/>
  <c r="M2552" i="2"/>
  <c r="N2552" i="2" s="1"/>
  <c r="O2552" i="2"/>
  <c r="M2553" i="2"/>
  <c r="N2553" i="2" s="1"/>
  <c r="O2553" i="2"/>
  <c r="M2554" i="2"/>
  <c r="N2554" i="2"/>
  <c r="O2554" i="2"/>
  <c r="M2555" i="2"/>
  <c r="N2555" i="2"/>
  <c r="O2555" i="2"/>
  <c r="M2556" i="2"/>
  <c r="N2556" i="2" s="1"/>
  <c r="O2556" i="2"/>
  <c r="M2557" i="2"/>
  <c r="N2557" i="2"/>
  <c r="O2557" i="2"/>
  <c r="M2558" i="2"/>
  <c r="N2558" i="2" s="1"/>
  <c r="O2558" i="2"/>
  <c r="M2559" i="2"/>
  <c r="N2559" i="2"/>
  <c r="O2559" i="2"/>
  <c r="M2560" i="2"/>
  <c r="N2560" i="2"/>
  <c r="O2560" i="2"/>
  <c r="M2561" i="2"/>
  <c r="N2561" i="2"/>
  <c r="O2561" i="2"/>
  <c r="M2562" i="2"/>
  <c r="N2562" i="2"/>
  <c r="O2562" i="2"/>
  <c r="M2563" i="2"/>
  <c r="N2563" i="2"/>
  <c r="O2563" i="2"/>
  <c r="M2564" i="2"/>
  <c r="N2564" i="2"/>
  <c r="O2564" i="2"/>
  <c r="M2565" i="2"/>
  <c r="N2565" i="2"/>
  <c r="O2565" i="2"/>
  <c r="M2566" i="2"/>
  <c r="N2566" i="2"/>
  <c r="O2566" i="2"/>
  <c r="M2567" i="2"/>
  <c r="N2567" i="2"/>
  <c r="O2567" i="2"/>
  <c r="M2568" i="2"/>
  <c r="N2568" i="2"/>
  <c r="O2568" i="2"/>
  <c r="M2569" i="2"/>
  <c r="N2569" i="2"/>
  <c r="O2569" i="2"/>
  <c r="M2570" i="2"/>
  <c r="N2570" i="2"/>
  <c r="O2570" i="2"/>
  <c r="M2571" i="2"/>
  <c r="N2571" i="2"/>
  <c r="O2571" i="2"/>
  <c r="M2572" i="2"/>
  <c r="N2572" i="2" s="1"/>
  <c r="O2572" i="2"/>
  <c r="M2573" i="2"/>
  <c r="N2573" i="2" s="1"/>
  <c r="O2573" i="2"/>
  <c r="M2574" i="2"/>
  <c r="N2574" i="2"/>
  <c r="O2574" i="2"/>
  <c r="M2575" i="2"/>
  <c r="N2575" i="2"/>
  <c r="O2575" i="2"/>
  <c r="M2576" i="2"/>
  <c r="N2576" i="2" s="1"/>
  <c r="O2576" i="2"/>
  <c r="M2577" i="2"/>
  <c r="N2577" i="2"/>
  <c r="O2577" i="2"/>
  <c r="M2578" i="2"/>
  <c r="N2578" i="2"/>
  <c r="O2578" i="2"/>
  <c r="M2579" i="2"/>
  <c r="N2579" i="2"/>
  <c r="O2579" i="2"/>
  <c r="M2580" i="2"/>
  <c r="N2580" i="2"/>
  <c r="O2580" i="2"/>
  <c r="M2581" i="2"/>
  <c r="N2581" i="2"/>
  <c r="O2581" i="2"/>
  <c r="M2582" i="2"/>
  <c r="N2582" i="2"/>
  <c r="O2582" i="2"/>
  <c r="M2583" i="2"/>
  <c r="N2583" i="2"/>
  <c r="O2583" i="2"/>
  <c r="M2584" i="2"/>
  <c r="N2584" i="2"/>
  <c r="O2584" i="2"/>
  <c r="M2585" i="2"/>
  <c r="N2585" i="2" s="1"/>
  <c r="O2585" i="2"/>
  <c r="M2586" i="2"/>
  <c r="N2586" i="2" s="1"/>
  <c r="O2586" i="2"/>
  <c r="M2587" i="2"/>
  <c r="N2587" i="2"/>
  <c r="O2587" i="2"/>
  <c r="M2588" i="2"/>
  <c r="N2588" i="2"/>
  <c r="O2588" i="2"/>
  <c r="M2589" i="2"/>
  <c r="N2589" i="2"/>
  <c r="O2589" i="2"/>
  <c r="M2590" i="2"/>
  <c r="N2590" i="2" s="1"/>
  <c r="O2590" i="2"/>
  <c r="M2591" i="2"/>
  <c r="N2591" i="2"/>
  <c r="O2591" i="2"/>
  <c r="M2592" i="2"/>
  <c r="N2592" i="2" s="1"/>
  <c r="O2592" i="2"/>
  <c r="M2593" i="2"/>
  <c r="N2593" i="2" s="1"/>
  <c r="O2593" i="2"/>
  <c r="M2594" i="2"/>
  <c r="N2594" i="2"/>
  <c r="O2594" i="2"/>
  <c r="M2595" i="2"/>
  <c r="N2595" i="2"/>
  <c r="O2595" i="2"/>
  <c r="M2596" i="2"/>
  <c r="N2596" i="2"/>
  <c r="O2596" i="2"/>
  <c r="M2597" i="2"/>
  <c r="N2597" i="2" s="1"/>
  <c r="O2597" i="2"/>
  <c r="M2598" i="2"/>
  <c r="N2598" i="2" s="1"/>
  <c r="O2598" i="2"/>
  <c r="M2599" i="2"/>
  <c r="N2599" i="2"/>
  <c r="O2599" i="2"/>
  <c r="M2600" i="2"/>
  <c r="N2600" i="2"/>
  <c r="O2600" i="2"/>
  <c r="M2601" i="2"/>
  <c r="N2601" i="2"/>
  <c r="O2601" i="2"/>
  <c r="M2602" i="2"/>
  <c r="N2602" i="2"/>
  <c r="O2602" i="2"/>
  <c r="M2603" i="2"/>
  <c r="N2603" i="2"/>
  <c r="O2603" i="2"/>
  <c r="M2604" i="2"/>
  <c r="N2604" i="2" s="1"/>
  <c r="O2604" i="2"/>
  <c r="M2605" i="2"/>
  <c r="N2605" i="2"/>
  <c r="O2605" i="2"/>
  <c r="M2606" i="2"/>
  <c r="N2606" i="2"/>
  <c r="O2606" i="2"/>
  <c r="M2607" i="2"/>
  <c r="N2607" i="2"/>
  <c r="O2607" i="2"/>
  <c r="M2608" i="2"/>
  <c r="N2608" i="2"/>
  <c r="O2608" i="2"/>
  <c r="M2609" i="2"/>
  <c r="N2609" i="2"/>
  <c r="O2609" i="2"/>
  <c r="M2610" i="2"/>
  <c r="N2610" i="2"/>
  <c r="O2610" i="2"/>
  <c r="M2611" i="2"/>
  <c r="N2611" i="2"/>
  <c r="O2611" i="2"/>
  <c r="M2612" i="2"/>
  <c r="N2612" i="2"/>
  <c r="O2612" i="2"/>
  <c r="M2613" i="2"/>
  <c r="N2613" i="2"/>
  <c r="O2613" i="2"/>
  <c r="M2614" i="2"/>
  <c r="N2614" i="2"/>
  <c r="O2614" i="2"/>
  <c r="M2615" i="2"/>
  <c r="N2615" i="2"/>
  <c r="O2615" i="2"/>
  <c r="M2616" i="2"/>
  <c r="N2616" i="2" s="1"/>
  <c r="O2616" i="2"/>
  <c r="M2617" i="2"/>
  <c r="N2617" i="2" s="1"/>
  <c r="O2617" i="2"/>
  <c r="M2618" i="2"/>
  <c r="N2618" i="2"/>
  <c r="O2618" i="2"/>
  <c r="M2619" i="2"/>
  <c r="N2619" i="2" s="1"/>
  <c r="O2619" i="2"/>
  <c r="M2620" i="2"/>
  <c r="N2620" i="2"/>
  <c r="O2620" i="2"/>
  <c r="M2621" i="2"/>
  <c r="N2621" i="2" s="1"/>
  <c r="O2621" i="2"/>
  <c r="M2622" i="2"/>
  <c r="N2622" i="2"/>
  <c r="O2622" i="2"/>
  <c r="M2623" i="2"/>
  <c r="N2623" i="2"/>
  <c r="O2623" i="2"/>
  <c r="M2624" i="2"/>
  <c r="N2624" i="2" s="1"/>
  <c r="O2624" i="2"/>
  <c r="M2625" i="2"/>
  <c r="N2625" i="2" s="1"/>
  <c r="O2625" i="2"/>
  <c r="M2626" i="2"/>
  <c r="N2626" i="2"/>
  <c r="O2626" i="2"/>
  <c r="M2627" i="2"/>
  <c r="N2627" i="2"/>
  <c r="O2627" i="2"/>
  <c r="M2628" i="2"/>
  <c r="N2628" i="2"/>
  <c r="O2628" i="2"/>
  <c r="M2629" i="2"/>
  <c r="N2629" i="2" s="1"/>
  <c r="O2629" i="2"/>
  <c r="M2630" i="2"/>
  <c r="N2630" i="2"/>
  <c r="O2630" i="2"/>
  <c r="M2631" i="2"/>
  <c r="N2631" i="2" s="1"/>
  <c r="O2631" i="2"/>
  <c r="M2632" i="2"/>
  <c r="N2632" i="2"/>
  <c r="O2632" i="2"/>
  <c r="M2633" i="2"/>
  <c r="N2633" i="2"/>
  <c r="O2633" i="2"/>
  <c r="M2634" i="2"/>
  <c r="N2634" i="2"/>
  <c r="O2634" i="2"/>
  <c r="M2635" i="2"/>
  <c r="N2635" i="2"/>
  <c r="O2635" i="2"/>
  <c r="M2636" i="2"/>
  <c r="N2636" i="2"/>
  <c r="O2636" i="2"/>
  <c r="M2637" i="2"/>
  <c r="N2637" i="2"/>
  <c r="O2637" i="2"/>
  <c r="M2638" i="2"/>
  <c r="N2638" i="2"/>
  <c r="O2638" i="2"/>
  <c r="M2639" i="2"/>
  <c r="N2639" i="2" s="1"/>
  <c r="O2639" i="2"/>
  <c r="M2640" i="2"/>
  <c r="N2640" i="2"/>
  <c r="O2640" i="2"/>
  <c r="M2641" i="2"/>
  <c r="N2641" i="2"/>
  <c r="O2641" i="2"/>
  <c r="M2642" i="2"/>
  <c r="N2642" i="2"/>
  <c r="O2642" i="2"/>
  <c r="M2643" i="2"/>
  <c r="N2643" i="2" s="1"/>
  <c r="O2643" i="2"/>
  <c r="M2644" i="2"/>
  <c r="N2644" i="2"/>
  <c r="O2644" i="2"/>
  <c r="M2645" i="2"/>
  <c r="N2645" i="2"/>
  <c r="O2645" i="2"/>
  <c r="M2646" i="2"/>
  <c r="N2646" i="2"/>
  <c r="O2646" i="2"/>
  <c r="M2647" i="2"/>
  <c r="N2647" i="2" s="1"/>
  <c r="O2647" i="2"/>
  <c r="M2648" i="2"/>
  <c r="N2648" i="2" s="1"/>
  <c r="O2648" i="2"/>
  <c r="M2649" i="2"/>
  <c r="N2649" i="2"/>
  <c r="O2649" i="2"/>
  <c r="M2650" i="2"/>
  <c r="N2650" i="2"/>
  <c r="O2650" i="2"/>
  <c r="M2651" i="2"/>
  <c r="N2651" i="2"/>
  <c r="O2651" i="2"/>
  <c r="M2652" i="2"/>
  <c r="N2652" i="2"/>
  <c r="O2652" i="2"/>
  <c r="M2653" i="2"/>
  <c r="N2653" i="2"/>
  <c r="O2653" i="2"/>
  <c r="M2654" i="2"/>
  <c r="N2654" i="2"/>
  <c r="O2654" i="2"/>
  <c r="M2655" i="2"/>
  <c r="N2655" i="2" s="1"/>
  <c r="O2655" i="2"/>
  <c r="M2656" i="2"/>
  <c r="N2656" i="2"/>
  <c r="O2656" i="2"/>
  <c r="M2657" i="2"/>
  <c r="N2657" i="2"/>
  <c r="O2657" i="2"/>
  <c r="M2658" i="2"/>
  <c r="N2658" i="2"/>
  <c r="O2658" i="2"/>
  <c r="M2659" i="2"/>
  <c r="N2659" i="2" s="1"/>
  <c r="O2659" i="2"/>
  <c r="M2660" i="2"/>
  <c r="N2660" i="2"/>
  <c r="O2660" i="2"/>
  <c r="M2661" i="2"/>
  <c r="N2661" i="2"/>
  <c r="O2661" i="2"/>
  <c r="M2662" i="2"/>
  <c r="N2662" i="2"/>
  <c r="O2662" i="2"/>
  <c r="M2663" i="2"/>
  <c r="N2663" i="2"/>
  <c r="O2663" i="2"/>
  <c r="M2664" i="2"/>
  <c r="N2664" i="2" s="1"/>
  <c r="O2664" i="2"/>
  <c r="M2665" i="2"/>
  <c r="N2665" i="2"/>
  <c r="O2665" i="2"/>
  <c r="M2666" i="2"/>
  <c r="N2666" i="2"/>
  <c r="O2666" i="2"/>
  <c r="M2667" i="2"/>
  <c r="N2667" i="2" s="1"/>
  <c r="O2667" i="2"/>
  <c r="M2668" i="2"/>
  <c r="N2668" i="2"/>
  <c r="O2668" i="2"/>
  <c r="M2669" i="2"/>
  <c r="N2669" i="2"/>
  <c r="O2669" i="2"/>
  <c r="M2670" i="2"/>
  <c r="N2670" i="2"/>
  <c r="O2670" i="2"/>
  <c r="M2671" i="2"/>
  <c r="N2671" i="2" s="1"/>
  <c r="O2671" i="2"/>
  <c r="M2672" i="2"/>
  <c r="N2672" i="2"/>
  <c r="O2672" i="2"/>
  <c r="M2673" i="2"/>
  <c r="N2673" i="2" s="1"/>
  <c r="O2673" i="2"/>
  <c r="M2674" i="2"/>
  <c r="N2674" i="2" s="1"/>
  <c r="O2674" i="2"/>
  <c r="M2675" i="2"/>
  <c r="N2675" i="2"/>
  <c r="O2675" i="2"/>
  <c r="M2676" i="2"/>
  <c r="N2676" i="2"/>
  <c r="O2676" i="2"/>
  <c r="M2677" i="2"/>
  <c r="N2677" i="2"/>
  <c r="O2677" i="2"/>
  <c r="M2678" i="2"/>
  <c r="N2678" i="2"/>
  <c r="O2678" i="2"/>
  <c r="M2679" i="2"/>
  <c r="N2679" i="2" s="1"/>
  <c r="O2679" i="2"/>
  <c r="M2680" i="2"/>
  <c r="N2680" i="2" s="1"/>
  <c r="O2680" i="2"/>
  <c r="M2681" i="2"/>
  <c r="N2681" i="2"/>
  <c r="O2681" i="2"/>
  <c r="M2682" i="2"/>
  <c r="N2682" i="2" s="1"/>
  <c r="O2682" i="2"/>
  <c r="M2683" i="2"/>
  <c r="N2683" i="2"/>
  <c r="O2683" i="2"/>
  <c r="M2684" i="2"/>
  <c r="N2684" i="2"/>
  <c r="O2684" i="2"/>
  <c r="M2685" i="2"/>
  <c r="N2685" i="2"/>
  <c r="O2685" i="2"/>
  <c r="M2686" i="2"/>
  <c r="N2686" i="2"/>
  <c r="O2686" i="2"/>
  <c r="M2687" i="2"/>
  <c r="N2687" i="2"/>
  <c r="O2687" i="2"/>
  <c r="M2688" i="2"/>
  <c r="N2688" i="2"/>
  <c r="O2688" i="2"/>
  <c r="M2689" i="2"/>
  <c r="N2689" i="2"/>
  <c r="O2689" i="2"/>
  <c r="M2690" i="2"/>
  <c r="N2690" i="2"/>
  <c r="O2690" i="2"/>
  <c r="M2691" i="2"/>
  <c r="N2691" i="2"/>
  <c r="O2691" i="2"/>
  <c r="M2692" i="2"/>
  <c r="N2692" i="2"/>
  <c r="O2692" i="2"/>
  <c r="M2693" i="2"/>
  <c r="N2693" i="2"/>
  <c r="O2693" i="2"/>
  <c r="M2694" i="2"/>
  <c r="N2694" i="2" s="1"/>
  <c r="O2694" i="2"/>
  <c r="M2695" i="2"/>
  <c r="N2695" i="2"/>
  <c r="O2695" i="2"/>
  <c r="M2696" i="2"/>
  <c r="N2696" i="2"/>
  <c r="O2696" i="2"/>
  <c r="M2697" i="2"/>
  <c r="N2697" i="2"/>
  <c r="O2697" i="2"/>
  <c r="M2698" i="2"/>
  <c r="N2698" i="2"/>
  <c r="O2698" i="2"/>
  <c r="M2699" i="2"/>
  <c r="N2699" i="2" s="1"/>
  <c r="O2699" i="2"/>
  <c r="M2700" i="2"/>
  <c r="N2700" i="2" s="1"/>
  <c r="O2700" i="2"/>
  <c r="M2701" i="2"/>
  <c r="N2701" i="2"/>
  <c r="O2701" i="2"/>
  <c r="M2702" i="2"/>
  <c r="N2702" i="2"/>
  <c r="O2702" i="2"/>
  <c r="M2703" i="2"/>
  <c r="N2703" i="2"/>
  <c r="O2703" i="2"/>
  <c r="M2704" i="2"/>
  <c r="N2704" i="2"/>
  <c r="O2704" i="2"/>
  <c r="M2705" i="2"/>
  <c r="N2705" i="2" s="1"/>
  <c r="O2705" i="2"/>
  <c r="M2706" i="2"/>
  <c r="N2706" i="2"/>
  <c r="O2706" i="2"/>
  <c r="M2707" i="2"/>
  <c r="N2707" i="2"/>
  <c r="O2707" i="2"/>
  <c r="M2708" i="2"/>
  <c r="N2708" i="2"/>
  <c r="O2708" i="2"/>
  <c r="M2709" i="2"/>
  <c r="N2709" i="2"/>
  <c r="O2709" i="2"/>
  <c r="M2710" i="2"/>
  <c r="N2710" i="2"/>
  <c r="O2710" i="2"/>
  <c r="M2711" i="2"/>
  <c r="N2711" i="2"/>
  <c r="O2711" i="2"/>
  <c r="M2712" i="2"/>
  <c r="N2712" i="2"/>
  <c r="O2712" i="2"/>
  <c r="M2713" i="2"/>
  <c r="N2713" i="2"/>
  <c r="O2713" i="2"/>
  <c r="M2714" i="2"/>
  <c r="N2714" i="2" s="1"/>
  <c r="O2714" i="2"/>
  <c r="M2715" i="2"/>
  <c r="N2715" i="2" s="1"/>
  <c r="O2715" i="2"/>
  <c r="M2716" i="2"/>
  <c r="N2716" i="2" s="1"/>
  <c r="O2716" i="2"/>
  <c r="M2717" i="2"/>
  <c r="N2717" i="2"/>
  <c r="O2717" i="2"/>
  <c r="M2718" i="2"/>
  <c r="N2718" i="2"/>
  <c r="O2718" i="2"/>
  <c r="M2719" i="2"/>
  <c r="N2719" i="2" s="1"/>
  <c r="O2719" i="2"/>
  <c r="M2720" i="2"/>
  <c r="N2720" i="2" s="1"/>
  <c r="O2720" i="2"/>
  <c r="M2721" i="2"/>
  <c r="N2721" i="2"/>
  <c r="O2721" i="2"/>
  <c r="M2722" i="2"/>
  <c r="N2722" i="2"/>
  <c r="O2722" i="2"/>
  <c r="M2723" i="2"/>
  <c r="N2723" i="2"/>
  <c r="O2723" i="2"/>
  <c r="M2724" i="2"/>
  <c r="N2724" i="2"/>
  <c r="O2724" i="2"/>
  <c r="M2725" i="2"/>
  <c r="N2725" i="2"/>
  <c r="O2725" i="2"/>
  <c r="M2726" i="2"/>
  <c r="N2726" i="2"/>
  <c r="O2726" i="2"/>
  <c r="M2727" i="2"/>
  <c r="N2727" i="2"/>
  <c r="O2727" i="2"/>
  <c r="M2728" i="2"/>
  <c r="N2728" i="2"/>
  <c r="O2728" i="2"/>
  <c r="M2729" i="2"/>
  <c r="N2729" i="2" s="1"/>
  <c r="O2729" i="2"/>
  <c r="M2730" i="2"/>
  <c r="N2730" i="2"/>
  <c r="O2730" i="2"/>
  <c r="M2731" i="2"/>
  <c r="N2731" i="2" s="1"/>
  <c r="O2731" i="2"/>
  <c r="M2732" i="2"/>
  <c r="N2732" i="2"/>
  <c r="O2732" i="2"/>
  <c r="M2733" i="2"/>
  <c r="N2733" i="2"/>
  <c r="O2733" i="2"/>
  <c r="M2734" i="2"/>
  <c r="N2734" i="2"/>
  <c r="O2734" i="2"/>
  <c r="M2735" i="2"/>
  <c r="N2735" i="2"/>
  <c r="O2735" i="2"/>
  <c r="M2736" i="2"/>
  <c r="N2736" i="2"/>
  <c r="O2736" i="2"/>
  <c r="M2737" i="2"/>
  <c r="N2737" i="2"/>
  <c r="O2737" i="2"/>
  <c r="M2738" i="2"/>
  <c r="N2738" i="2"/>
  <c r="O2738" i="2"/>
  <c r="M2739" i="2"/>
  <c r="N2739" i="2" s="1"/>
  <c r="O2739" i="2"/>
  <c r="M2740" i="2"/>
  <c r="N2740" i="2" s="1"/>
  <c r="O2740" i="2"/>
  <c r="M2741" i="2"/>
  <c r="N2741" i="2"/>
  <c r="O2741" i="2"/>
  <c r="M2742" i="2"/>
  <c r="N2742" i="2" s="1"/>
  <c r="O2742" i="2"/>
  <c r="M2743" i="2"/>
  <c r="N2743" i="2" s="1"/>
  <c r="O2743" i="2"/>
  <c r="M2744" i="2"/>
  <c r="N2744" i="2" s="1"/>
  <c r="O2744" i="2"/>
  <c r="M2745" i="2"/>
  <c r="N2745" i="2"/>
  <c r="O2745" i="2"/>
  <c r="M2746" i="2"/>
  <c r="N2746" i="2"/>
  <c r="O2746" i="2"/>
  <c r="M2747" i="2"/>
  <c r="N2747" i="2" s="1"/>
  <c r="O2747" i="2"/>
  <c r="M2748" i="2"/>
  <c r="N2748" i="2" s="1"/>
  <c r="O2748" i="2"/>
  <c r="M2749" i="2"/>
  <c r="N2749" i="2" s="1"/>
  <c r="O2749" i="2"/>
  <c r="M2750" i="2"/>
  <c r="N2750" i="2"/>
  <c r="O2750" i="2"/>
  <c r="M2751" i="2"/>
  <c r="N2751" i="2" s="1"/>
  <c r="O2751" i="2"/>
  <c r="M2752" i="2"/>
  <c r="N2752" i="2" s="1"/>
  <c r="O2752" i="2"/>
  <c r="M2753" i="2"/>
  <c r="N2753" i="2"/>
  <c r="O2753" i="2"/>
  <c r="M2754" i="2"/>
  <c r="N2754" i="2" s="1"/>
  <c r="O2754" i="2"/>
  <c r="M2755" i="2"/>
  <c r="N2755" i="2" s="1"/>
  <c r="O2755" i="2"/>
  <c r="M2756" i="2"/>
  <c r="N2756" i="2"/>
  <c r="O2756" i="2"/>
  <c r="M2757" i="2"/>
  <c r="N2757" i="2" s="1"/>
  <c r="O2757" i="2"/>
  <c r="M2758" i="2"/>
  <c r="N2758" i="2" s="1"/>
  <c r="O2758" i="2"/>
  <c r="M2759" i="2"/>
  <c r="N2759" i="2" s="1"/>
  <c r="O2759" i="2"/>
  <c r="M2760" i="2"/>
  <c r="N2760" i="2"/>
  <c r="O2760" i="2"/>
  <c r="M2761" i="2"/>
  <c r="N2761" i="2"/>
  <c r="O2761" i="2"/>
  <c r="M2762" i="2"/>
  <c r="N2762" i="2"/>
  <c r="O2762" i="2"/>
  <c r="M2763" i="2"/>
  <c r="N2763" i="2"/>
  <c r="O2763" i="2"/>
  <c r="M2764" i="2"/>
  <c r="N2764" i="2" s="1"/>
  <c r="O2764" i="2"/>
  <c r="M2765" i="2"/>
  <c r="N2765" i="2" s="1"/>
  <c r="O2765" i="2"/>
  <c r="M2766" i="2"/>
  <c r="N2766" i="2" s="1"/>
  <c r="O2766" i="2"/>
  <c r="M2767" i="2"/>
  <c r="N2767" i="2"/>
  <c r="O2767" i="2"/>
  <c r="M2768" i="2"/>
  <c r="N2768" i="2" s="1"/>
  <c r="O2768" i="2"/>
  <c r="M2769" i="2"/>
  <c r="N2769" i="2" s="1"/>
  <c r="O2769" i="2"/>
  <c r="M2770" i="2"/>
  <c r="N2770" i="2" s="1"/>
  <c r="O2770" i="2"/>
  <c r="M2771" i="2"/>
  <c r="N2771" i="2"/>
  <c r="O2771" i="2"/>
  <c r="M2772" i="2"/>
  <c r="N2772" i="2" s="1"/>
  <c r="O2772" i="2"/>
  <c r="M2773" i="2"/>
  <c r="N2773" i="2" s="1"/>
  <c r="O2773" i="2"/>
  <c r="M2774" i="2"/>
  <c r="N2774" i="2"/>
  <c r="O2774" i="2"/>
  <c r="M2775" i="2"/>
  <c r="N2775" i="2"/>
  <c r="O2775" i="2"/>
  <c r="M2776" i="2"/>
  <c r="N2776" i="2" s="1"/>
  <c r="O2776" i="2"/>
  <c r="M2777" i="2"/>
  <c r="N2777" i="2" s="1"/>
  <c r="O2777" i="2"/>
  <c r="M2778" i="2"/>
  <c r="N2778" i="2" s="1"/>
  <c r="O2778" i="2"/>
  <c r="M2779" i="2"/>
  <c r="N2779" i="2" s="1"/>
  <c r="O2779" i="2"/>
  <c r="M2780" i="2"/>
  <c r="N2780" i="2" s="1"/>
  <c r="O2780" i="2"/>
  <c r="M2781" i="2"/>
  <c r="N2781" i="2" s="1"/>
  <c r="O2781" i="2"/>
  <c r="M2782" i="2"/>
  <c r="N2782" i="2" s="1"/>
  <c r="O2782" i="2"/>
  <c r="M2783" i="2"/>
  <c r="N2783" i="2" s="1"/>
  <c r="O2783" i="2"/>
  <c r="M2784" i="2"/>
  <c r="N2784" i="2"/>
  <c r="O2784" i="2"/>
  <c r="M2785" i="2"/>
  <c r="N2785" i="2" s="1"/>
  <c r="O2785" i="2"/>
  <c r="M2786" i="2"/>
  <c r="N2786" i="2" s="1"/>
  <c r="O2786" i="2"/>
  <c r="M2787" i="2"/>
  <c r="N2787" i="2" s="1"/>
  <c r="O2787" i="2"/>
  <c r="M2788" i="2"/>
  <c r="N2788" i="2" s="1"/>
  <c r="O2788" i="2"/>
  <c r="M2789" i="2"/>
  <c r="N2789" i="2" s="1"/>
  <c r="O2789" i="2"/>
  <c r="M2790" i="2"/>
  <c r="N2790" i="2" s="1"/>
  <c r="O2790" i="2"/>
  <c r="M2791" i="2"/>
  <c r="N2791" i="2"/>
  <c r="O2791" i="2"/>
  <c r="M2792" i="2"/>
  <c r="N2792" i="2" s="1"/>
  <c r="O2792" i="2"/>
  <c r="M2793" i="2"/>
  <c r="N2793" i="2" s="1"/>
  <c r="O2793" i="2"/>
  <c r="M2794" i="2"/>
  <c r="N2794" i="2" s="1"/>
  <c r="O2794" i="2"/>
  <c r="M2795" i="2"/>
  <c r="N2795" i="2" s="1"/>
  <c r="O2795" i="2"/>
  <c r="M2796" i="2"/>
  <c r="N2796" i="2" s="1"/>
  <c r="O2796" i="2"/>
  <c r="M2797" i="2"/>
  <c r="N2797" i="2"/>
  <c r="O2797" i="2"/>
  <c r="M2798" i="2"/>
  <c r="N2798" i="2"/>
  <c r="O2798" i="2"/>
  <c r="M2799" i="2"/>
  <c r="N2799" i="2"/>
  <c r="O2799" i="2"/>
  <c r="M2800" i="2"/>
  <c r="N2800" i="2" s="1"/>
  <c r="O2800" i="2"/>
  <c r="M2801" i="2"/>
  <c r="N2801" i="2"/>
  <c r="O2801" i="2"/>
  <c r="M2802" i="2"/>
  <c r="N2802" i="2"/>
  <c r="O2802" i="2"/>
  <c r="M2803" i="2"/>
  <c r="N2803" i="2"/>
  <c r="O2803" i="2"/>
  <c r="M2804" i="2"/>
  <c r="N2804" i="2"/>
  <c r="O2804" i="2"/>
  <c r="M2805" i="2"/>
  <c r="N2805" i="2" s="1"/>
  <c r="O2805" i="2"/>
  <c r="M2806" i="2"/>
  <c r="N2806" i="2" s="1"/>
  <c r="O2806" i="2"/>
  <c r="M2807" i="2"/>
  <c r="N2807" i="2"/>
  <c r="O2807" i="2"/>
  <c r="M2808" i="2"/>
  <c r="N2808" i="2" s="1"/>
  <c r="O2808" i="2"/>
  <c r="M2809" i="2"/>
  <c r="N2809" i="2" s="1"/>
  <c r="O2809" i="2"/>
  <c r="M2810" i="2"/>
  <c r="N2810" i="2" s="1"/>
  <c r="O2810" i="2"/>
  <c r="M2811" i="2"/>
  <c r="N2811" i="2" s="1"/>
  <c r="O2811" i="2"/>
  <c r="M2812" i="2"/>
  <c r="N2812" i="2" s="1"/>
  <c r="O2812" i="2"/>
  <c r="M2813" i="2"/>
  <c r="N2813" i="2"/>
  <c r="O2813" i="2"/>
  <c r="M2814" i="2"/>
  <c r="N2814" i="2"/>
  <c r="O2814" i="2"/>
  <c r="M2815" i="2"/>
  <c r="N2815" i="2" s="1"/>
  <c r="O2815" i="2"/>
  <c r="M2816" i="2"/>
  <c r="N2816" i="2" s="1"/>
  <c r="O2816" i="2"/>
  <c r="M2817" i="2"/>
  <c r="N2817" i="2"/>
  <c r="O2817" i="2"/>
  <c r="M2818" i="2"/>
  <c r="N2818" i="2"/>
  <c r="O2818" i="2"/>
  <c r="M2819" i="2"/>
  <c r="N2819" i="2" s="1"/>
  <c r="O2819" i="2"/>
  <c r="M2820" i="2"/>
  <c r="N2820" i="2" s="1"/>
  <c r="O2820" i="2"/>
  <c r="M2821" i="2"/>
  <c r="N2821" i="2" s="1"/>
  <c r="O2821" i="2"/>
  <c r="M2822" i="2"/>
  <c r="N2822" i="2" s="1"/>
  <c r="O2822" i="2"/>
  <c r="M2823" i="2"/>
  <c r="N2823" i="2" s="1"/>
  <c r="O2823" i="2"/>
  <c r="M2824" i="2"/>
  <c r="N2824" i="2" s="1"/>
  <c r="O2824" i="2"/>
  <c r="M2825" i="2"/>
  <c r="N2825" i="2" s="1"/>
  <c r="O2825" i="2"/>
  <c r="M2826" i="2"/>
  <c r="N2826" i="2" s="1"/>
  <c r="O2826" i="2"/>
  <c r="M2827" i="2"/>
  <c r="N2827" i="2" s="1"/>
  <c r="O2827" i="2"/>
  <c r="M2828" i="2"/>
  <c r="N2828" i="2" s="1"/>
  <c r="O2828" i="2"/>
  <c r="M2829" i="2"/>
  <c r="N2829" i="2"/>
  <c r="O2829" i="2"/>
  <c r="M2830" i="2"/>
  <c r="N2830" i="2"/>
  <c r="O2830" i="2"/>
  <c r="M2831" i="2"/>
  <c r="N2831" i="2"/>
  <c r="O2831" i="2"/>
  <c r="M2832" i="2"/>
  <c r="N2832" i="2" s="1"/>
  <c r="O2832" i="2"/>
  <c r="M2833" i="2"/>
  <c r="N2833" i="2"/>
  <c r="O2833" i="2"/>
  <c r="M2834" i="2"/>
  <c r="N2834" i="2" s="1"/>
  <c r="O2834" i="2"/>
  <c r="M2835" i="2"/>
  <c r="N2835" i="2" s="1"/>
  <c r="O2835" i="2"/>
  <c r="M2836" i="2"/>
  <c r="N2836" i="2" s="1"/>
  <c r="O2836" i="2"/>
  <c r="M2837" i="2"/>
  <c r="N2837" i="2" s="1"/>
  <c r="O2837" i="2"/>
  <c r="M2838" i="2"/>
  <c r="N2838" i="2"/>
  <c r="O2838" i="2"/>
  <c r="M2839" i="2"/>
  <c r="N2839" i="2" s="1"/>
  <c r="O2839" i="2"/>
  <c r="M2840" i="2"/>
  <c r="N2840" i="2" s="1"/>
  <c r="O2840" i="2"/>
  <c r="M2841" i="2"/>
  <c r="N2841" i="2" s="1"/>
  <c r="O2841" i="2"/>
  <c r="M2842" i="2"/>
  <c r="N2842" i="2" s="1"/>
  <c r="O2842" i="2"/>
  <c r="M2843" i="2"/>
  <c r="N2843" i="2"/>
  <c r="O2843" i="2"/>
  <c r="M2844" i="2"/>
  <c r="N2844" i="2" s="1"/>
  <c r="O2844" i="2"/>
  <c r="M2845" i="2"/>
  <c r="N2845" i="2" s="1"/>
  <c r="O2845" i="2"/>
  <c r="M2846" i="2"/>
  <c r="N2846" i="2" s="1"/>
  <c r="O2846" i="2"/>
  <c r="M2847" i="2"/>
  <c r="N2847" i="2" s="1"/>
  <c r="O2847" i="2"/>
  <c r="M2848" i="2"/>
  <c r="N2848" i="2" s="1"/>
  <c r="O2848" i="2"/>
  <c r="M2849" i="2"/>
  <c r="N2849" i="2" s="1"/>
  <c r="O2849" i="2"/>
  <c r="M2850" i="2"/>
  <c r="N2850" i="2" s="1"/>
  <c r="O2850" i="2"/>
  <c r="M2851" i="2"/>
  <c r="N2851" i="2"/>
  <c r="O2851" i="2"/>
  <c r="M2852" i="2"/>
  <c r="N2852" i="2" s="1"/>
  <c r="O2852" i="2"/>
  <c r="M2853" i="2"/>
  <c r="N2853" i="2" s="1"/>
  <c r="O2853" i="2"/>
  <c r="M2854" i="2"/>
  <c r="N2854" i="2" s="1"/>
  <c r="O2854" i="2"/>
  <c r="M2855" i="2"/>
  <c r="N2855" i="2" s="1"/>
  <c r="O2855" i="2"/>
  <c r="M2856" i="2"/>
  <c r="N2856" i="2" s="1"/>
  <c r="O2856" i="2"/>
  <c r="M2857" i="2"/>
  <c r="N2857" i="2" s="1"/>
  <c r="O2857" i="2"/>
  <c r="M2858" i="2"/>
  <c r="N2858" i="2" s="1"/>
  <c r="O2858" i="2"/>
  <c r="M2859" i="2"/>
  <c r="N2859" i="2" s="1"/>
  <c r="O2859" i="2"/>
  <c r="M2860" i="2"/>
  <c r="N2860" i="2" s="1"/>
  <c r="O2860" i="2"/>
  <c r="M2861" i="2"/>
  <c r="N2861" i="2" s="1"/>
  <c r="O2861" i="2"/>
  <c r="M2862" i="2"/>
  <c r="N2862" i="2" s="1"/>
  <c r="O2862" i="2"/>
  <c r="M2863" i="2"/>
  <c r="N2863" i="2" s="1"/>
  <c r="O2863" i="2"/>
  <c r="M2864" i="2"/>
  <c r="N2864" i="2" s="1"/>
  <c r="O2864" i="2"/>
  <c r="M2865" i="2"/>
  <c r="N2865" i="2" s="1"/>
  <c r="O2865" i="2"/>
  <c r="M2866" i="2"/>
  <c r="N2866" i="2" s="1"/>
  <c r="O2866" i="2"/>
  <c r="M2867" i="2"/>
  <c r="N2867" i="2" s="1"/>
  <c r="O2867" i="2"/>
  <c r="M2868" i="2"/>
  <c r="N2868" i="2" s="1"/>
  <c r="O2868" i="2"/>
  <c r="M2869" i="2"/>
  <c r="N2869" i="2"/>
  <c r="O2869" i="2"/>
  <c r="M2870" i="2"/>
  <c r="N2870" i="2" s="1"/>
  <c r="O2870" i="2"/>
  <c r="M2871" i="2"/>
  <c r="N2871" i="2" s="1"/>
  <c r="O2871" i="2"/>
  <c r="M2872" i="2"/>
  <c r="N2872" i="2" s="1"/>
  <c r="O2872" i="2"/>
  <c r="M2873" i="2"/>
  <c r="N2873" i="2"/>
  <c r="O2873" i="2"/>
  <c r="M2874" i="2"/>
  <c r="N2874" i="2" s="1"/>
  <c r="O2874" i="2"/>
  <c r="M2875" i="2"/>
  <c r="N2875" i="2" s="1"/>
  <c r="O2875" i="2"/>
  <c r="M2876" i="2"/>
  <c r="N2876" i="2" s="1"/>
  <c r="O2876" i="2"/>
  <c r="M2877" i="2"/>
  <c r="N2877" i="2"/>
  <c r="O2877" i="2"/>
  <c r="M2878" i="2"/>
  <c r="N2878" i="2"/>
  <c r="O2878" i="2"/>
  <c r="M2879" i="2"/>
  <c r="N2879" i="2" s="1"/>
  <c r="O2879" i="2"/>
  <c r="M2880" i="2"/>
  <c r="N2880" i="2" s="1"/>
  <c r="O2880" i="2"/>
  <c r="M2881" i="2"/>
  <c r="N2881" i="2" s="1"/>
  <c r="O2881" i="2"/>
  <c r="M2882" i="2"/>
  <c r="N2882" i="2"/>
  <c r="O2882" i="2"/>
  <c r="M2883" i="2"/>
  <c r="N2883" i="2" s="1"/>
  <c r="O2883" i="2"/>
  <c r="M2884" i="2"/>
  <c r="N2884" i="2" s="1"/>
  <c r="O2884" i="2"/>
  <c r="M2885" i="2"/>
  <c r="N2885" i="2" s="1"/>
  <c r="O2885" i="2"/>
  <c r="M2886" i="2"/>
  <c r="N2886" i="2" s="1"/>
  <c r="O2886" i="2"/>
  <c r="M2887" i="2"/>
  <c r="N2887" i="2" s="1"/>
  <c r="O2887" i="2"/>
  <c r="M2888" i="2"/>
  <c r="N2888" i="2" s="1"/>
  <c r="O2888" i="2"/>
  <c r="M2889" i="2"/>
  <c r="N2889" i="2" s="1"/>
  <c r="O2889" i="2"/>
  <c r="M2890" i="2"/>
  <c r="N2890" i="2" s="1"/>
  <c r="O2890" i="2"/>
  <c r="M2891" i="2"/>
  <c r="N2891" i="2"/>
  <c r="O2891" i="2"/>
  <c r="M2892" i="2"/>
  <c r="N2892" i="2" s="1"/>
  <c r="O2892" i="2"/>
  <c r="M2893" i="2"/>
  <c r="N2893" i="2"/>
  <c r="O2893" i="2"/>
  <c r="M2894" i="2"/>
  <c r="N2894" i="2"/>
  <c r="O2894" i="2"/>
  <c r="M2895" i="2"/>
  <c r="N2895" i="2" s="1"/>
  <c r="O2895" i="2"/>
  <c r="M2896" i="2"/>
  <c r="N2896" i="2" s="1"/>
  <c r="O2896" i="2"/>
  <c r="M2897" i="2"/>
  <c r="N2897" i="2" s="1"/>
  <c r="O2897" i="2"/>
  <c r="M2898" i="2"/>
  <c r="N2898" i="2" s="1"/>
  <c r="O2898" i="2"/>
  <c r="M2899" i="2"/>
  <c r="N2899" i="2"/>
  <c r="O2899" i="2"/>
  <c r="M2900" i="2"/>
  <c r="N2900" i="2"/>
  <c r="O2900" i="2"/>
  <c r="M2901" i="2"/>
  <c r="N2901" i="2" s="1"/>
  <c r="O2901" i="2"/>
  <c r="M2902" i="2"/>
  <c r="N2902" i="2" s="1"/>
  <c r="O2902" i="2"/>
  <c r="M2903" i="2"/>
  <c r="N2903" i="2" s="1"/>
  <c r="O2903" i="2"/>
  <c r="M2904" i="2"/>
  <c r="N2904" i="2" s="1"/>
  <c r="O2904" i="2"/>
  <c r="M2905" i="2"/>
  <c r="N2905" i="2" s="1"/>
  <c r="O2905" i="2"/>
  <c r="M2906" i="2"/>
  <c r="N2906" i="2" s="1"/>
  <c r="O2906" i="2"/>
  <c r="M2907" i="2"/>
  <c r="N2907" i="2" s="1"/>
  <c r="O2907" i="2"/>
  <c r="M2908" i="2"/>
  <c r="N2908" i="2"/>
  <c r="O2908" i="2"/>
  <c r="M2909" i="2"/>
  <c r="N2909" i="2" s="1"/>
  <c r="O2909" i="2"/>
  <c r="M2910" i="2"/>
  <c r="N2910" i="2" s="1"/>
  <c r="O2910" i="2"/>
  <c r="M2911" i="2"/>
  <c r="N2911" i="2"/>
  <c r="O2911" i="2"/>
  <c r="M2912" i="2"/>
  <c r="N2912" i="2"/>
  <c r="O2912" i="2"/>
  <c r="M2913" i="2"/>
  <c r="N2913" i="2"/>
  <c r="O2913" i="2"/>
  <c r="M2914" i="2"/>
  <c r="N2914" i="2" s="1"/>
  <c r="O2914" i="2"/>
  <c r="M2915" i="2"/>
  <c r="N2915" i="2" s="1"/>
  <c r="O2915" i="2"/>
  <c r="M2916" i="2"/>
  <c r="N2916" i="2" s="1"/>
  <c r="O2916" i="2"/>
  <c r="M2917" i="2"/>
  <c r="N2917" i="2" s="1"/>
  <c r="O2917" i="2"/>
  <c r="M2918" i="2"/>
  <c r="N2918" i="2" s="1"/>
  <c r="O2918" i="2"/>
  <c r="M2919" i="2"/>
  <c r="N2919" i="2" s="1"/>
  <c r="O2919" i="2"/>
  <c r="M2920" i="2"/>
  <c r="N2920" i="2" s="1"/>
  <c r="O2920" i="2"/>
  <c r="M2921" i="2"/>
  <c r="N2921" i="2" s="1"/>
  <c r="O2921" i="2"/>
  <c r="M2922" i="2"/>
  <c r="N2922" i="2" s="1"/>
  <c r="O2922" i="2"/>
  <c r="M2923" i="2"/>
  <c r="N2923" i="2" s="1"/>
  <c r="O2923" i="2"/>
  <c r="M2924" i="2"/>
  <c r="N2924" i="2"/>
  <c r="O2924" i="2"/>
  <c r="M2925" i="2"/>
  <c r="N2925" i="2"/>
  <c r="O2925" i="2"/>
  <c r="M2926" i="2"/>
  <c r="N2926" i="2" s="1"/>
  <c r="O2926" i="2"/>
  <c r="M2927" i="2"/>
  <c r="N2927" i="2"/>
  <c r="O2927" i="2"/>
  <c r="M2928" i="2"/>
  <c r="N2928" i="2"/>
  <c r="O2928" i="2"/>
  <c r="M2929" i="2"/>
  <c r="N2929" i="2"/>
  <c r="O2929" i="2"/>
  <c r="M2930" i="2"/>
  <c r="N2930" i="2" s="1"/>
  <c r="O2930" i="2"/>
  <c r="M2931" i="2"/>
  <c r="N2931" i="2" s="1"/>
  <c r="O2931" i="2"/>
  <c r="M2932" i="2"/>
  <c r="N2932" i="2" s="1"/>
  <c r="O2932" i="2"/>
  <c r="M2933" i="2"/>
  <c r="N2933" i="2" s="1"/>
  <c r="O2933" i="2"/>
  <c r="M2934" i="2"/>
  <c r="N2934" i="2" s="1"/>
  <c r="O2934" i="2"/>
  <c r="M2935" i="2"/>
  <c r="N2935" i="2" s="1"/>
  <c r="O2935" i="2"/>
  <c r="M2936" i="2"/>
  <c r="N2936" i="2"/>
  <c r="O2936" i="2"/>
  <c r="M2937" i="2"/>
  <c r="N2937" i="2" s="1"/>
  <c r="O2937" i="2"/>
  <c r="M2938" i="2"/>
  <c r="N2938" i="2"/>
  <c r="O2938" i="2"/>
  <c r="M2939" i="2"/>
  <c r="N2939" i="2"/>
  <c r="O2939" i="2"/>
  <c r="M2940" i="2"/>
  <c r="N2940" i="2" s="1"/>
  <c r="O2940" i="2"/>
  <c r="M2941" i="2"/>
  <c r="N2941" i="2"/>
  <c r="O2941" i="2"/>
  <c r="M2942" i="2"/>
  <c r="N2942" i="2" s="1"/>
  <c r="O2942" i="2"/>
  <c r="M2943" i="2"/>
  <c r="N2943" i="2" s="1"/>
  <c r="O2943" i="2"/>
  <c r="M2944" i="2"/>
  <c r="N2944" i="2" s="1"/>
  <c r="O2944" i="2"/>
  <c r="M2945" i="2"/>
  <c r="N2945" i="2" s="1"/>
  <c r="O2945" i="2"/>
  <c r="M2946" i="2"/>
  <c r="N2946" i="2" s="1"/>
  <c r="O2946" i="2"/>
  <c r="M2947" i="2"/>
  <c r="N2947" i="2" s="1"/>
  <c r="O2947" i="2"/>
  <c r="M2948" i="2"/>
  <c r="N2948" i="2" s="1"/>
  <c r="O2948" i="2"/>
  <c r="M2949" i="2"/>
  <c r="N2949" i="2" s="1"/>
  <c r="O2949" i="2"/>
  <c r="M2950" i="2"/>
  <c r="N2950" i="2" s="1"/>
  <c r="O2950" i="2"/>
  <c r="M2951" i="2"/>
  <c r="N2951" i="2" s="1"/>
  <c r="O2951" i="2"/>
  <c r="M2952" i="2"/>
  <c r="N2952" i="2" s="1"/>
  <c r="O2952" i="2"/>
  <c r="M2953" i="2"/>
  <c r="N2953" i="2" s="1"/>
  <c r="O2953" i="2"/>
  <c r="M2954" i="2"/>
  <c r="N2954" i="2" s="1"/>
  <c r="O2954" i="2"/>
  <c r="M2955" i="2"/>
  <c r="N2955" i="2" s="1"/>
  <c r="O2955" i="2"/>
  <c r="M2956" i="2"/>
  <c r="N2956" i="2"/>
  <c r="O2956" i="2"/>
  <c r="M2957" i="2"/>
  <c r="N2957" i="2"/>
  <c r="O2957" i="2"/>
  <c r="M2958" i="2"/>
  <c r="N2958" i="2" s="1"/>
  <c r="O2958" i="2"/>
  <c r="M2959" i="2"/>
  <c r="N2959" i="2" s="1"/>
  <c r="O2959" i="2"/>
  <c r="M2960" i="2"/>
  <c r="N2960" i="2" s="1"/>
  <c r="O2960" i="2"/>
  <c r="M2961" i="2"/>
  <c r="N2961" i="2"/>
  <c r="O2961" i="2"/>
  <c r="M2962" i="2"/>
  <c r="N2962" i="2"/>
  <c r="O2962" i="2"/>
  <c r="M2963" i="2"/>
  <c r="N2963" i="2" s="1"/>
  <c r="O2963" i="2"/>
  <c r="M2964" i="2"/>
  <c r="N2964" i="2" s="1"/>
  <c r="O2964" i="2"/>
  <c r="M2965" i="2"/>
  <c r="N2965" i="2" s="1"/>
  <c r="O2965" i="2"/>
  <c r="M2966" i="2"/>
  <c r="N2966" i="2" s="1"/>
  <c r="O2966" i="2"/>
  <c r="M2967" i="2"/>
  <c r="N2967" i="2" s="1"/>
  <c r="O2967" i="2"/>
  <c r="M2968" i="2"/>
  <c r="N2968" i="2" s="1"/>
  <c r="O2968" i="2"/>
  <c r="M2969" i="2"/>
  <c r="N2969" i="2"/>
  <c r="O2969" i="2"/>
  <c r="M2970" i="2"/>
  <c r="N2970" i="2" s="1"/>
  <c r="O2970" i="2"/>
  <c r="M2971" i="2"/>
  <c r="N2971" i="2" s="1"/>
  <c r="O2971" i="2"/>
  <c r="M2972" i="2"/>
  <c r="N2972" i="2" s="1"/>
  <c r="O2972" i="2"/>
  <c r="M2973" i="2"/>
  <c r="N2973" i="2" s="1"/>
  <c r="O2973" i="2"/>
  <c r="M2974" i="2"/>
  <c r="N2974" i="2" s="1"/>
  <c r="O2974" i="2"/>
  <c r="M2975" i="2"/>
  <c r="N2975" i="2" s="1"/>
  <c r="O2975" i="2"/>
  <c r="M2976" i="2"/>
  <c r="N2976" i="2" s="1"/>
  <c r="O2976" i="2"/>
  <c r="M2977" i="2"/>
  <c r="N2977" i="2"/>
  <c r="O2977" i="2"/>
  <c r="M2978" i="2"/>
  <c r="N2978" i="2" s="1"/>
  <c r="O2978" i="2"/>
  <c r="M2979" i="2"/>
  <c r="N2979" i="2"/>
  <c r="O2979" i="2"/>
  <c r="M2980" i="2"/>
  <c r="N2980" i="2" s="1"/>
  <c r="O2980" i="2"/>
  <c r="M2981" i="2"/>
  <c r="N2981" i="2" s="1"/>
  <c r="O2981" i="2"/>
  <c r="M2982" i="2"/>
  <c r="N2982" i="2" s="1"/>
  <c r="O2982" i="2"/>
  <c r="M2983" i="2"/>
  <c r="N2983" i="2" s="1"/>
  <c r="O2983" i="2"/>
  <c r="M2984" i="2"/>
  <c r="N2984" i="2" s="1"/>
  <c r="O2984" i="2"/>
  <c r="M2985" i="2"/>
  <c r="N2985" i="2" s="1"/>
  <c r="O2985" i="2"/>
  <c r="M2986" i="2"/>
  <c r="N2986" i="2"/>
  <c r="O2986" i="2"/>
  <c r="M2987" i="2"/>
  <c r="N2987" i="2"/>
  <c r="O2987" i="2"/>
  <c r="M2988" i="2"/>
  <c r="N2988" i="2" s="1"/>
  <c r="O2988" i="2"/>
  <c r="M2989" i="2"/>
  <c r="N2989" i="2" s="1"/>
  <c r="O2989" i="2"/>
  <c r="M2990" i="2"/>
  <c r="N2990" i="2" s="1"/>
  <c r="O2990" i="2"/>
  <c r="M2991" i="2"/>
  <c r="N2991" i="2" s="1"/>
  <c r="O2991" i="2"/>
  <c r="M2992" i="2"/>
  <c r="N2992" i="2" s="1"/>
  <c r="O2992" i="2"/>
  <c r="M2993" i="2"/>
  <c r="N2993" i="2" s="1"/>
  <c r="O2993" i="2"/>
  <c r="M2994" i="2"/>
  <c r="N2994" i="2" s="1"/>
  <c r="O2994" i="2"/>
  <c r="M2995" i="2"/>
  <c r="N2995" i="2" s="1"/>
  <c r="O2995" i="2"/>
  <c r="M2996" i="2"/>
  <c r="N2996" i="2"/>
  <c r="O2996" i="2"/>
  <c r="M2997" i="2"/>
  <c r="N2997" i="2" s="1"/>
  <c r="O2997" i="2"/>
  <c r="M2998" i="2"/>
  <c r="N2998" i="2"/>
  <c r="O2998" i="2"/>
  <c r="M2999" i="2"/>
  <c r="N2999" i="2" s="1"/>
  <c r="O2999" i="2"/>
  <c r="M3000" i="2"/>
  <c r="N3000" i="2" s="1"/>
  <c r="O3000" i="2"/>
  <c r="M3001" i="2"/>
  <c r="N3001" i="2" s="1"/>
  <c r="O3001" i="2"/>
  <c r="M3002" i="2"/>
  <c r="N3002" i="2" s="1"/>
  <c r="O3002" i="2"/>
  <c r="M3003" i="2"/>
  <c r="N3003" i="2" s="1"/>
  <c r="O3003" i="2"/>
  <c r="M3004" i="2"/>
  <c r="N3004" i="2"/>
  <c r="O3004" i="2"/>
  <c r="M3005" i="2"/>
  <c r="N3005" i="2" s="1"/>
  <c r="O3005" i="2"/>
  <c r="M3006" i="2"/>
  <c r="N3006" i="2" s="1"/>
  <c r="O3006" i="2"/>
  <c r="M3007" i="2"/>
  <c r="N3007" i="2" s="1"/>
  <c r="O3007" i="2"/>
  <c r="M3008" i="2"/>
  <c r="N3008" i="2" s="1"/>
  <c r="O3008" i="2"/>
  <c r="M3009" i="2"/>
  <c r="N3009" i="2" s="1"/>
  <c r="O3009" i="2"/>
  <c r="M3010" i="2"/>
  <c r="N3010" i="2"/>
  <c r="O3010" i="2"/>
  <c r="M3011" i="2"/>
  <c r="N3011" i="2"/>
  <c r="O3011" i="2"/>
  <c r="M3012" i="2"/>
  <c r="N3012" i="2"/>
  <c r="O3012" i="2"/>
  <c r="M3013" i="2"/>
  <c r="N3013" i="2" s="1"/>
  <c r="O3013" i="2"/>
  <c r="M3014" i="2"/>
  <c r="N3014" i="2"/>
  <c r="O3014" i="2"/>
  <c r="M3015" i="2"/>
  <c r="N3015" i="2" s="1"/>
  <c r="O3015" i="2"/>
  <c r="M3016" i="2"/>
  <c r="N3016" i="2" s="1"/>
  <c r="O3016" i="2"/>
  <c r="M3017" i="2"/>
  <c r="N3017" i="2" s="1"/>
  <c r="O3017" i="2"/>
  <c r="M3018" i="2"/>
  <c r="N3018" i="2" s="1"/>
  <c r="O3018" i="2"/>
  <c r="M3019" i="2"/>
  <c r="N3019" i="2"/>
  <c r="O3019" i="2"/>
  <c r="M3020" i="2"/>
  <c r="N3020" i="2" s="1"/>
  <c r="O3020" i="2"/>
  <c r="M3021" i="2"/>
  <c r="N3021" i="2" s="1"/>
  <c r="O3021" i="2"/>
  <c r="M3022" i="2"/>
  <c r="N3022" i="2" s="1"/>
  <c r="O3022" i="2"/>
  <c r="M3023" i="2"/>
  <c r="N3023" i="2" s="1"/>
  <c r="O3023" i="2"/>
  <c r="M3024" i="2"/>
  <c r="N3024" i="2" s="1"/>
  <c r="O3024" i="2"/>
  <c r="M3025" i="2"/>
  <c r="N3025" i="2" s="1"/>
  <c r="O3025" i="2"/>
  <c r="M3026" i="2"/>
  <c r="N3026" i="2" s="1"/>
  <c r="O3026" i="2"/>
  <c r="M3027" i="2"/>
  <c r="N3027" i="2" s="1"/>
  <c r="O3027" i="2"/>
  <c r="M3028" i="2"/>
  <c r="N3028" i="2" s="1"/>
  <c r="O3028" i="2"/>
  <c r="M3029" i="2"/>
  <c r="N3029" i="2" s="1"/>
  <c r="O3029" i="2"/>
  <c r="M3030" i="2"/>
  <c r="N3030" i="2"/>
  <c r="O3030" i="2"/>
  <c r="M3031" i="2"/>
  <c r="N3031" i="2" s="1"/>
  <c r="O3031" i="2"/>
  <c r="M3032" i="2"/>
  <c r="N3032" i="2"/>
  <c r="O3032" i="2"/>
  <c r="M3033" i="2"/>
  <c r="N3033" i="2" s="1"/>
  <c r="O3033" i="2"/>
  <c r="M3034" i="2"/>
  <c r="N3034" i="2" s="1"/>
  <c r="O3034" i="2"/>
  <c r="M3035" i="2"/>
  <c r="N3035" i="2" s="1"/>
  <c r="O3035" i="2"/>
  <c r="M3036" i="2"/>
  <c r="N3036" i="2" s="1"/>
  <c r="O3036" i="2"/>
  <c r="M3037" i="2"/>
  <c r="N3037" i="2" s="1"/>
  <c r="O3037" i="2"/>
  <c r="M3038" i="2"/>
  <c r="N3038" i="2" s="1"/>
  <c r="O3038" i="2"/>
  <c r="M3039" i="2"/>
  <c r="N3039" i="2"/>
  <c r="O3039" i="2"/>
  <c r="M3040" i="2"/>
  <c r="N3040" i="2" s="1"/>
  <c r="O3040" i="2"/>
  <c r="M3041" i="2"/>
  <c r="N3041" i="2"/>
  <c r="O3041" i="2"/>
  <c r="M3042" i="2"/>
  <c r="N3042" i="2" s="1"/>
  <c r="O3042" i="2"/>
  <c r="M3043" i="2"/>
  <c r="N3043" i="2" s="1"/>
  <c r="O3043" i="2"/>
  <c r="M3044" i="2"/>
  <c r="N3044" i="2"/>
  <c r="O3044" i="2"/>
  <c r="M3045" i="2"/>
  <c r="N3045" i="2" s="1"/>
  <c r="O3045" i="2"/>
  <c r="M3046" i="2"/>
  <c r="N3046" i="2" s="1"/>
  <c r="O3046" i="2"/>
  <c r="M3047" i="2"/>
  <c r="N3047" i="2" s="1"/>
  <c r="O3047" i="2"/>
  <c r="M3048" i="2"/>
  <c r="N3048" i="2" s="1"/>
  <c r="O3048" i="2"/>
  <c r="M3049" i="2"/>
  <c r="N3049" i="2" s="1"/>
  <c r="O3049" i="2"/>
  <c r="M3050" i="2"/>
  <c r="N3050" i="2" s="1"/>
  <c r="O3050" i="2"/>
  <c r="M3051" i="2"/>
  <c r="N3051" i="2"/>
  <c r="O3051" i="2"/>
  <c r="M3052" i="2"/>
  <c r="N3052" i="2"/>
  <c r="O3052" i="2"/>
  <c r="M3053" i="2"/>
  <c r="N3053" i="2" s="1"/>
  <c r="O3053" i="2"/>
  <c r="M3054" i="2"/>
  <c r="N3054" i="2" s="1"/>
  <c r="O3054" i="2"/>
  <c r="M3055" i="2"/>
  <c r="N3055" i="2"/>
  <c r="O3055" i="2"/>
  <c r="M3056" i="2"/>
  <c r="N3056" i="2" s="1"/>
  <c r="O3056" i="2"/>
  <c r="M3057" i="2"/>
  <c r="N3057" i="2" s="1"/>
  <c r="O3057" i="2"/>
  <c r="M3058" i="2"/>
  <c r="N3058" i="2" s="1"/>
  <c r="O3058" i="2"/>
  <c r="M3059" i="2"/>
  <c r="N3059" i="2"/>
  <c r="O3059" i="2"/>
  <c r="M3060" i="2"/>
  <c r="N3060" i="2" s="1"/>
  <c r="O3060" i="2"/>
  <c r="M3061" i="2"/>
  <c r="N3061" i="2"/>
  <c r="O3061" i="2"/>
  <c r="M3062" i="2"/>
  <c r="N3062" i="2" s="1"/>
  <c r="O3062" i="2"/>
  <c r="M3063" i="2"/>
  <c r="N3063" i="2" s="1"/>
  <c r="O3063" i="2"/>
  <c r="M3064" i="2"/>
  <c r="N3064" i="2" s="1"/>
  <c r="O3064" i="2"/>
  <c r="M3065" i="2"/>
  <c r="N3065" i="2" s="1"/>
  <c r="O3065" i="2"/>
  <c r="M3066" i="2"/>
  <c r="N3066" i="2" s="1"/>
  <c r="O3066" i="2"/>
  <c r="M3067" i="2"/>
  <c r="N3067" i="2" s="1"/>
  <c r="O3067" i="2"/>
  <c r="M3068" i="2"/>
  <c r="N3068" i="2" s="1"/>
  <c r="O3068" i="2"/>
  <c r="M3069" i="2"/>
  <c r="N3069" i="2" s="1"/>
  <c r="O3069" i="2"/>
  <c r="M3070" i="2"/>
  <c r="N3070" i="2"/>
  <c r="O3070" i="2"/>
  <c r="M3071" i="2"/>
  <c r="N3071" i="2" s="1"/>
  <c r="O3071" i="2"/>
  <c r="M3072" i="2"/>
  <c r="N3072" i="2" s="1"/>
  <c r="O3072" i="2"/>
  <c r="M3073" i="2"/>
  <c r="N3073" i="2" s="1"/>
  <c r="O3073" i="2"/>
  <c r="M3074" i="2"/>
  <c r="N3074" i="2" s="1"/>
  <c r="O3074" i="2"/>
  <c r="M3075" i="2"/>
  <c r="N3075" i="2" s="1"/>
  <c r="O3075" i="2"/>
  <c r="M3076" i="2"/>
  <c r="N3076" i="2"/>
  <c r="O3076" i="2"/>
  <c r="M3077" i="2"/>
  <c r="N3077" i="2" s="1"/>
  <c r="O3077" i="2"/>
  <c r="M3078" i="2"/>
  <c r="N3078" i="2" s="1"/>
  <c r="O3078" i="2"/>
  <c r="M3079" i="2"/>
  <c r="N3079" i="2" s="1"/>
  <c r="O3079" i="2"/>
  <c r="M3080" i="2"/>
  <c r="N3080" i="2"/>
  <c r="O3080" i="2"/>
  <c r="M3081" i="2"/>
  <c r="N3081" i="2" s="1"/>
  <c r="O3081" i="2"/>
  <c r="M3082" i="2"/>
  <c r="N3082" i="2" s="1"/>
  <c r="O3082" i="2"/>
  <c r="M3083" i="2"/>
  <c r="N3083" i="2"/>
  <c r="O3083" i="2"/>
  <c r="M3084" i="2"/>
  <c r="N3084" i="2"/>
  <c r="O3084" i="2"/>
  <c r="M3085" i="2"/>
  <c r="N3085" i="2" s="1"/>
  <c r="O3085" i="2"/>
  <c r="M3086" i="2"/>
  <c r="N3086" i="2" s="1"/>
  <c r="O3086" i="2"/>
  <c r="M3087" i="2"/>
  <c r="N3087" i="2" s="1"/>
  <c r="O3087" i="2"/>
  <c r="M3088" i="2"/>
  <c r="N3088" i="2" s="1"/>
  <c r="O3088" i="2"/>
  <c r="M3089" i="2"/>
  <c r="N3089" i="2" s="1"/>
  <c r="O3089" i="2"/>
  <c r="M3090" i="2"/>
  <c r="N3090" i="2" s="1"/>
  <c r="O3090" i="2"/>
  <c r="M3091" i="2"/>
  <c r="N3091" i="2"/>
  <c r="O3091" i="2"/>
  <c r="M3092" i="2"/>
  <c r="N3092" i="2" s="1"/>
  <c r="O3092" i="2"/>
  <c r="M3093" i="2"/>
  <c r="N3093" i="2"/>
  <c r="O3093" i="2"/>
  <c r="M3094" i="2"/>
  <c r="N3094" i="2" s="1"/>
  <c r="O3094" i="2"/>
  <c r="M3095" i="2"/>
  <c r="N3095" i="2" s="1"/>
  <c r="O3095" i="2"/>
  <c r="M3096" i="2"/>
  <c r="N3096" i="2"/>
  <c r="O3096" i="2"/>
  <c r="M3097" i="2"/>
  <c r="N3097" i="2" s="1"/>
  <c r="O3097" i="2"/>
  <c r="M3098" i="2"/>
  <c r="N3098" i="2" s="1"/>
  <c r="O3098" i="2"/>
  <c r="M3099" i="2"/>
  <c r="N3099" i="2" s="1"/>
  <c r="O3099" i="2"/>
  <c r="M3100" i="2"/>
  <c r="N3100" i="2"/>
  <c r="O3100" i="2"/>
  <c r="M3101" i="2"/>
  <c r="N3101" i="2" s="1"/>
  <c r="O3101" i="2"/>
  <c r="M3102" i="2"/>
  <c r="N3102" i="2"/>
  <c r="O3102" i="2"/>
  <c r="M3103" i="2"/>
  <c r="N3103" i="2" s="1"/>
  <c r="O3103" i="2"/>
  <c r="M3104" i="2"/>
  <c r="N3104" i="2" s="1"/>
  <c r="O3104" i="2"/>
  <c r="M3105" i="2"/>
  <c r="N3105" i="2" s="1"/>
  <c r="O3105" i="2"/>
  <c r="M3106" i="2"/>
  <c r="N3106" i="2" s="1"/>
  <c r="O3106" i="2"/>
  <c r="M3107" i="2"/>
  <c r="N3107" i="2" s="1"/>
  <c r="O3107" i="2"/>
  <c r="M3108" i="2"/>
  <c r="N3108" i="2" s="1"/>
  <c r="O3108" i="2"/>
  <c r="M3109" i="2"/>
  <c r="N3109" i="2" s="1"/>
  <c r="O3109" i="2"/>
  <c r="M3110" i="2"/>
  <c r="N3110" i="2" s="1"/>
  <c r="O3110" i="2"/>
  <c r="M3111" i="2"/>
  <c r="N3111" i="2" s="1"/>
  <c r="O3111" i="2"/>
  <c r="M3112" i="2"/>
  <c r="N3112" i="2" s="1"/>
  <c r="O3112" i="2"/>
  <c r="M3113" i="2"/>
  <c r="N3113" i="2" s="1"/>
  <c r="O3113" i="2"/>
  <c r="M3114" i="2"/>
  <c r="N3114" i="2" s="1"/>
  <c r="O3114" i="2"/>
  <c r="M3115" i="2"/>
  <c r="N3115" i="2" s="1"/>
  <c r="O3115" i="2"/>
  <c r="M3116" i="2"/>
  <c r="N3116" i="2" s="1"/>
  <c r="O3116" i="2"/>
  <c r="M3117" i="2"/>
  <c r="N3117" i="2" s="1"/>
  <c r="O3117" i="2"/>
  <c r="M3118" i="2"/>
  <c r="N3118" i="2" s="1"/>
  <c r="O3118" i="2"/>
  <c r="M3119" i="2"/>
  <c r="N3119" i="2"/>
  <c r="O3119" i="2"/>
  <c r="M3120" i="2"/>
  <c r="N3120" i="2"/>
  <c r="O3120" i="2"/>
  <c r="M3121" i="2"/>
  <c r="N3121" i="2" s="1"/>
  <c r="O3121" i="2"/>
  <c r="M3122" i="2"/>
  <c r="N3122" i="2" s="1"/>
  <c r="O3122" i="2"/>
  <c r="M3123" i="2"/>
  <c r="N3123" i="2" s="1"/>
  <c r="O3123" i="2"/>
  <c r="M3124" i="2"/>
  <c r="N3124" i="2" s="1"/>
  <c r="O3124" i="2"/>
  <c r="M3125" i="2"/>
  <c r="N3125" i="2" s="1"/>
  <c r="O3125" i="2"/>
  <c r="M3126" i="2"/>
  <c r="N3126" i="2" s="1"/>
  <c r="O3126" i="2"/>
  <c r="M3127" i="2"/>
  <c r="N3127" i="2" s="1"/>
  <c r="O3127" i="2"/>
  <c r="M3128" i="2"/>
  <c r="N3128" i="2" s="1"/>
  <c r="O3128" i="2"/>
  <c r="M3129" i="2"/>
  <c r="N3129" i="2" s="1"/>
  <c r="O3129" i="2"/>
  <c r="M3130" i="2"/>
  <c r="N3130" i="2" s="1"/>
  <c r="O3130" i="2"/>
  <c r="M3131" i="2"/>
  <c r="N3131" i="2" s="1"/>
  <c r="O3131" i="2"/>
  <c r="M3132" i="2"/>
  <c r="N3132" i="2" s="1"/>
  <c r="O3132" i="2"/>
  <c r="M3133" i="2"/>
  <c r="N3133" i="2"/>
  <c r="O3133" i="2"/>
  <c r="M3134" i="2"/>
  <c r="N3134" i="2" s="1"/>
  <c r="O3134" i="2"/>
  <c r="M3135" i="2"/>
  <c r="N3135" i="2" s="1"/>
  <c r="O3135" i="2"/>
  <c r="M3136" i="2"/>
  <c r="N3136" i="2"/>
  <c r="O3136" i="2"/>
  <c r="M3137" i="2"/>
  <c r="N3137" i="2" s="1"/>
  <c r="O3137" i="2"/>
  <c r="M3138" i="2"/>
  <c r="N3138" i="2"/>
  <c r="O3138" i="2"/>
  <c r="M3139" i="2"/>
  <c r="N3139" i="2" s="1"/>
  <c r="O3139" i="2"/>
  <c r="M3140" i="2"/>
  <c r="N3140" i="2" s="1"/>
  <c r="O3140" i="2"/>
  <c r="M3141" i="2"/>
  <c r="N3141" i="2" s="1"/>
  <c r="O3141" i="2"/>
  <c r="M3142" i="2"/>
  <c r="N3142" i="2"/>
  <c r="O3142" i="2"/>
  <c r="M3143" i="2"/>
  <c r="N3143" i="2" s="1"/>
  <c r="O3143" i="2"/>
  <c r="M3144" i="2"/>
  <c r="N3144" i="2" s="1"/>
  <c r="O3144" i="2"/>
  <c r="M3145" i="2"/>
  <c r="N3145" i="2" s="1"/>
  <c r="O3145" i="2"/>
  <c r="M3146" i="2"/>
  <c r="N3146" i="2" s="1"/>
  <c r="O3146" i="2"/>
  <c r="M3147" i="2"/>
  <c r="N3147" i="2" s="1"/>
  <c r="O3147" i="2"/>
  <c r="M3148" i="2"/>
  <c r="N3148" i="2" s="1"/>
  <c r="O3148" i="2"/>
  <c r="M3149" i="2"/>
  <c r="N3149" i="2"/>
  <c r="O3149" i="2"/>
  <c r="M3150" i="2"/>
  <c r="N3150" i="2" s="1"/>
  <c r="O3150" i="2"/>
  <c r="M3151" i="2"/>
  <c r="N3151" i="2" s="1"/>
  <c r="O3151" i="2"/>
  <c r="M3152" i="2"/>
  <c r="N3152" i="2" s="1"/>
  <c r="O3152" i="2"/>
  <c r="M3153" i="2"/>
  <c r="N3153" i="2"/>
  <c r="O3153" i="2"/>
  <c r="M3154" i="2"/>
  <c r="N3154" i="2" s="1"/>
  <c r="O3154" i="2"/>
  <c r="M3155" i="2"/>
  <c r="N3155" i="2" s="1"/>
  <c r="O3155" i="2"/>
  <c r="M3156" i="2"/>
  <c r="N3156" i="2" s="1"/>
  <c r="O3156" i="2"/>
  <c r="M3157" i="2"/>
  <c r="N3157" i="2"/>
  <c r="O3157" i="2"/>
  <c r="M3158" i="2"/>
  <c r="N3158" i="2" s="1"/>
  <c r="O3158" i="2"/>
  <c r="M3159" i="2"/>
  <c r="N3159" i="2"/>
  <c r="O3159" i="2"/>
  <c r="M3160" i="2"/>
  <c r="N3160" i="2"/>
  <c r="O3160" i="2"/>
  <c r="M3161" i="2"/>
  <c r="N3161" i="2"/>
  <c r="O3161" i="2"/>
  <c r="M3162" i="2"/>
  <c r="N3162" i="2"/>
  <c r="O3162" i="2"/>
  <c r="M3163" i="2"/>
  <c r="N3163" i="2"/>
  <c r="O3163" i="2"/>
  <c r="M3164" i="2"/>
  <c r="N3164" i="2"/>
  <c r="O3164" i="2"/>
  <c r="M3165" i="2"/>
  <c r="N3165" i="2"/>
  <c r="O3165" i="2"/>
  <c r="M3166" i="2"/>
  <c r="N3166" i="2"/>
  <c r="O3166" i="2"/>
  <c r="M3167" i="2"/>
  <c r="N3167" i="2"/>
  <c r="O3167" i="2"/>
  <c r="M3168" i="2"/>
  <c r="N3168" i="2" s="1"/>
  <c r="O3168" i="2"/>
  <c r="M3169" i="2"/>
  <c r="N3169" i="2"/>
  <c r="O3169" i="2"/>
  <c r="M3170" i="2"/>
  <c r="N3170" i="2"/>
  <c r="O3170" i="2"/>
  <c r="M3171" i="2"/>
  <c r="N3171" i="2"/>
  <c r="O3171" i="2"/>
  <c r="M3172" i="2"/>
  <c r="N3172" i="2"/>
  <c r="O3172" i="2"/>
  <c r="M3173" i="2"/>
  <c r="N3173" i="2"/>
  <c r="O3173" i="2"/>
  <c r="M3174" i="2"/>
  <c r="N3174" i="2"/>
  <c r="O3174" i="2"/>
  <c r="M3175" i="2"/>
  <c r="N3175" i="2"/>
  <c r="O3175" i="2"/>
  <c r="M3176" i="2"/>
  <c r="N3176" i="2"/>
  <c r="O3176" i="2"/>
  <c r="M3177" i="2"/>
  <c r="N3177" i="2"/>
  <c r="O3177" i="2"/>
  <c r="M3178" i="2"/>
  <c r="N3178" i="2" s="1"/>
  <c r="O3178" i="2"/>
  <c r="M3179" i="2"/>
  <c r="N3179" i="2"/>
  <c r="O3179" i="2"/>
  <c r="M3180" i="2"/>
  <c r="N3180" i="2" s="1"/>
  <c r="O3180" i="2"/>
  <c r="M3181" i="2"/>
  <c r="N3181" i="2"/>
  <c r="O3181" i="2"/>
  <c r="M3182" i="2"/>
  <c r="N3182" i="2"/>
  <c r="O3182" i="2"/>
  <c r="M3183" i="2"/>
  <c r="N3183" i="2"/>
  <c r="O3183" i="2"/>
  <c r="M3184" i="2"/>
  <c r="N3184" i="2"/>
  <c r="O3184" i="2"/>
  <c r="M3185" i="2"/>
  <c r="N3185" i="2" s="1"/>
  <c r="O3185" i="2"/>
  <c r="M3186" i="2"/>
  <c r="N3186" i="2"/>
  <c r="O3186" i="2"/>
  <c r="M3187" i="2"/>
  <c r="N3187" i="2"/>
  <c r="O3187" i="2"/>
  <c r="M3188" i="2"/>
  <c r="N3188" i="2" s="1"/>
  <c r="O3188" i="2"/>
  <c r="M3189" i="2"/>
  <c r="N3189" i="2" s="1"/>
  <c r="O3189" i="2"/>
  <c r="M3190" i="2"/>
  <c r="N3190" i="2" s="1"/>
  <c r="O3190" i="2"/>
  <c r="M3191" i="2"/>
  <c r="N3191" i="2"/>
  <c r="O3191" i="2"/>
  <c r="M3192" i="2"/>
  <c r="N3192" i="2" s="1"/>
  <c r="O3192" i="2"/>
  <c r="M3193" i="2"/>
  <c r="N3193" i="2"/>
  <c r="O3193" i="2"/>
  <c r="M3194" i="2"/>
  <c r="N3194" i="2" s="1"/>
  <c r="O3194" i="2"/>
  <c r="M3195" i="2"/>
  <c r="N3195" i="2"/>
  <c r="O3195" i="2"/>
  <c r="M3196" i="2"/>
  <c r="N3196" i="2"/>
  <c r="O3196" i="2"/>
  <c r="M3197" i="2"/>
  <c r="N3197" i="2"/>
  <c r="O3197" i="2"/>
  <c r="M3198" i="2"/>
  <c r="N3198" i="2"/>
  <c r="O3198" i="2"/>
  <c r="M3199" i="2"/>
  <c r="N3199" i="2"/>
  <c r="O3199" i="2"/>
  <c r="M3200" i="2"/>
  <c r="N3200" i="2" s="1"/>
  <c r="O3200" i="2"/>
  <c r="M3201" i="2"/>
  <c r="N3201" i="2"/>
  <c r="O3201" i="2"/>
  <c r="M3202" i="2"/>
  <c r="N3202" i="2" s="1"/>
  <c r="O3202" i="2"/>
  <c r="M3203" i="2"/>
  <c r="N3203" i="2" s="1"/>
  <c r="O3203" i="2"/>
  <c r="M3204" i="2"/>
  <c r="N3204" i="2"/>
  <c r="O3204" i="2"/>
  <c r="M3205" i="2"/>
  <c r="N3205" i="2"/>
  <c r="O3205" i="2"/>
  <c r="M3206" i="2"/>
  <c r="N3206" i="2" s="1"/>
  <c r="O3206" i="2"/>
  <c r="M3207" i="2"/>
  <c r="N3207" i="2"/>
  <c r="O3207" i="2"/>
  <c r="M3208" i="2"/>
  <c r="N3208" i="2"/>
  <c r="O3208" i="2"/>
  <c r="M3209" i="2"/>
  <c r="N3209" i="2"/>
  <c r="O3209" i="2"/>
  <c r="M3210" i="2"/>
  <c r="N3210" i="2"/>
  <c r="O3210" i="2"/>
  <c r="M3211" i="2"/>
  <c r="N3211" i="2"/>
  <c r="O3211" i="2"/>
  <c r="M3212" i="2"/>
  <c r="N3212" i="2"/>
  <c r="O3212" i="2"/>
  <c r="M3213" i="2"/>
  <c r="N3213" i="2"/>
  <c r="O3213" i="2"/>
  <c r="M3214" i="2"/>
  <c r="N3214" i="2"/>
  <c r="O3214" i="2"/>
  <c r="M3215" i="2"/>
  <c r="N3215" i="2" s="1"/>
  <c r="O3215" i="2"/>
  <c r="M3216" i="2"/>
  <c r="N3216" i="2"/>
  <c r="O3216" i="2"/>
  <c r="M3217" i="2"/>
  <c r="N3217" i="2"/>
  <c r="O3217" i="2"/>
  <c r="M3218" i="2"/>
  <c r="N3218" i="2"/>
  <c r="O3218" i="2"/>
  <c r="M3219" i="2"/>
  <c r="N3219" i="2"/>
  <c r="O3219" i="2"/>
  <c r="M3220" i="2"/>
  <c r="N3220" i="2"/>
  <c r="O3220" i="2"/>
  <c r="M3221" i="2"/>
  <c r="N3221" i="2"/>
  <c r="O3221" i="2"/>
  <c r="M3222" i="2"/>
  <c r="N3222" i="2"/>
  <c r="O3222" i="2"/>
  <c r="M3223" i="2"/>
  <c r="N3223" i="2"/>
  <c r="O3223" i="2"/>
  <c r="M3224" i="2"/>
  <c r="N3224" i="2"/>
  <c r="O3224" i="2"/>
  <c r="M3225" i="2"/>
  <c r="N3225" i="2"/>
  <c r="O3225" i="2"/>
  <c r="M3226" i="2"/>
  <c r="N3226" i="2"/>
  <c r="O3226" i="2"/>
  <c r="M3227" i="2"/>
  <c r="N3227" i="2" s="1"/>
  <c r="O3227" i="2"/>
  <c r="M3228" i="2"/>
  <c r="N3228" i="2"/>
  <c r="O3228" i="2"/>
  <c r="M3229" i="2"/>
  <c r="N3229" i="2" s="1"/>
  <c r="O3229" i="2"/>
  <c r="M3230" i="2"/>
  <c r="N3230" i="2"/>
  <c r="O3230" i="2"/>
  <c r="M3231" i="2"/>
  <c r="N3231" i="2"/>
  <c r="O3231" i="2"/>
  <c r="M3232" i="2"/>
  <c r="N3232" i="2"/>
  <c r="O3232" i="2"/>
  <c r="M3233" i="2"/>
  <c r="N3233" i="2" s="1"/>
  <c r="O3233" i="2"/>
  <c r="M3234" i="2"/>
  <c r="N3234" i="2"/>
  <c r="O3234" i="2"/>
  <c r="M3235" i="2"/>
  <c r="N3235" i="2"/>
  <c r="O3235" i="2"/>
  <c r="M3236" i="2"/>
  <c r="N3236" i="2"/>
  <c r="O3236" i="2"/>
  <c r="M3237" i="2"/>
  <c r="N3237" i="2"/>
  <c r="O3237" i="2"/>
  <c r="M3238" i="2"/>
  <c r="N3238" i="2"/>
  <c r="O3238" i="2"/>
  <c r="M3239" i="2"/>
  <c r="N3239" i="2" s="1"/>
  <c r="O3239" i="2"/>
  <c r="M3240" i="2"/>
  <c r="N3240" i="2"/>
  <c r="O3240" i="2"/>
  <c r="M3241" i="2"/>
  <c r="N3241" i="2"/>
  <c r="O3241" i="2"/>
  <c r="M3242" i="2"/>
  <c r="N3242" i="2"/>
  <c r="O3242" i="2"/>
  <c r="M3243" i="2"/>
  <c r="N3243" i="2" s="1"/>
  <c r="O3243" i="2"/>
  <c r="M3244" i="2"/>
  <c r="N3244" i="2"/>
  <c r="O3244" i="2"/>
  <c r="M3245" i="2"/>
  <c r="N3245" i="2"/>
  <c r="O3245" i="2"/>
  <c r="M3246" i="2"/>
  <c r="N3246" i="2"/>
  <c r="O3246" i="2"/>
  <c r="M3247" i="2"/>
  <c r="N3247" i="2"/>
  <c r="O3247" i="2"/>
  <c r="M3248" i="2"/>
  <c r="N3248" i="2"/>
  <c r="O3248" i="2"/>
  <c r="M3249" i="2"/>
  <c r="N3249" i="2"/>
  <c r="O3249" i="2"/>
  <c r="M3250" i="2"/>
  <c r="N3250" i="2" s="1"/>
  <c r="O3250" i="2"/>
  <c r="M3251" i="2"/>
  <c r="N3251" i="2"/>
  <c r="O3251" i="2"/>
  <c r="M3252" i="2"/>
  <c r="N3252" i="2"/>
  <c r="O3252" i="2"/>
  <c r="M3253" i="2"/>
  <c r="N3253" i="2"/>
  <c r="O3253" i="2"/>
  <c r="M3254" i="2"/>
  <c r="N3254" i="2"/>
  <c r="O3254" i="2"/>
  <c r="M3255" i="2"/>
  <c r="N3255" i="2"/>
  <c r="O3255" i="2"/>
  <c r="M3256" i="2"/>
  <c r="N3256" i="2"/>
  <c r="O3256" i="2"/>
  <c r="M3257" i="2"/>
  <c r="N3257" i="2"/>
  <c r="O3257" i="2"/>
  <c r="M3258" i="2"/>
  <c r="N3258" i="2"/>
  <c r="O3258" i="2"/>
  <c r="M3259" i="2"/>
  <c r="N3259" i="2"/>
  <c r="O3259" i="2"/>
  <c r="M3260" i="2"/>
  <c r="N3260" i="2"/>
  <c r="O3260" i="2"/>
  <c r="M3261" i="2"/>
  <c r="N3261" i="2"/>
  <c r="O3261" i="2"/>
  <c r="M3262" i="2"/>
  <c r="N3262" i="2"/>
  <c r="O3262" i="2"/>
  <c r="M3263" i="2"/>
  <c r="N3263" i="2" s="1"/>
  <c r="O3263" i="2"/>
  <c r="M3264" i="2"/>
  <c r="N3264" i="2"/>
  <c r="O3264" i="2"/>
  <c r="M3265" i="2"/>
  <c r="N3265" i="2" s="1"/>
  <c r="O3265" i="2"/>
  <c r="M3266" i="2"/>
  <c r="N3266" i="2"/>
  <c r="O3266" i="2"/>
  <c r="M3267" i="2"/>
  <c r="N3267" i="2"/>
  <c r="O3267" i="2"/>
  <c r="M3268" i="2"/>
  <c r="N3268" i="2" s="1"/>
  <c r="O3268" i="2"/>
  <c r="M3269" i="2"/>
  <c r="N3269" i="2" s="1"/>
  <c r="O3269" i="2"/>
  <c r="M3270" i="2"/>
  <c r="N3270" i="2" s="1"/>
  <c r="O3270" i="2"/>
  <c r="M3271" i="2"/>
  <c r="N3271" i="2"/>
  <c r="O3271" i="2"/>
  <c r="M3272" i="2"/>
  <c r="N3272" i="2"/>
  <c r="O3272" i="2"/>
  <c r="M3273" i="2"/>
  <c r="N3273" i="2"/>
  <c r="O3273" i="2"/>
  <c r="M3274" i="2"/>
  <c r="N3274" i="2"/>
  <c r="O3274" i="2"/>
  <c r="M3275" i="2"/>
  <c r="N3275" i="2" s="1"/>
  <c r="O3275" i="2"/>
  <c r="M3276" i="2"/>
  <c r="N3276" i="2"/>
  <c r="O3276" i="2"/>
  <c r="M3277" i="2"/>
  <c r="N3277" i="2" s="1"/>
  <c r="O3277" i="2"/>
  <c r="M3278" i="2"/>
  <c r="N3278" i="2"/>
  <c r="O3278" i="2"/>
  <c r="M3279" i="2"/>
  <c r="N3279" i="2"/>
  <c r="O3279" i="2"/>
  <c r="M3280" i="2"/>
  <c r="N3280" i="2"/>
  <c r="O3280" i="2"/>
  <c r="M3281" i="2"/>
  <c r="N3281" i="2"/>
  <c r="O3281" i="2"/>
  <c r="M3282" i="2"/>
  <c r="N3282" i="2"/>
  <c r="O3282" i="2"/>
  <c r="M3283" i="2"/>
  <c r="N3283" i="2"/>
  <c r="O3283" i="2"/>
  <c r="M3284" i="2"/>
  <c r="N3284" i="2"/>
  <c r="O3284" i="2"/>
  <c r="M3285" i="2"/>
  <c r="N3285" i="2"/>
  <c r="O3285" i="2"/>
  <c r="M3286" i="2"/>
  <c r="N3286" i="2" s="1"/>
  <c r="O3286" i="2"/>
  <c r="M3287" i="2"/>
  <c r="N3287" i="2" s="1"/>
  <c r="O3287" i="2"/>
  <c r="M3288" i="2"/>
  <c r="N3288" i="2"/>
  <c r="O3288" i="2"/>
  <c r="M3289" i="2"/>
  <c r="N3289" i="2"/>
  <c r="O3289" i="2"/>
  <c r="M3290" i="2"/>
  <c r="N3290" i="2"/>
  <c r="O3290" i="2"/>
  <c r="M3291" i="2"/>
  <c r="N3291" i="2"/>
  <c r="O3291" i="2"/>
  <c r="M3292" i="2"/>
  <c r="N3292" i="2"/>
  <c r="O3292" i="2"/>
  <c r="M3293" i="2"/>
  <c r="N3293" i="2"/>
  <c r="O3293" i="2"/>
  <c r="M3294" i="2"/>
  <c r="N3294" i="2"/>
  <c r="O3294" i="2"/>
  <c r="M3295" i="2"/>
  <c r="N3295" i="2" s="1"/>
  <c r="O3295" i="2"/>
  <c r="M3296" i="2"/>
  <c r="N3296" i="2"/>
  <c r="O3296" i="2"/>
  <c r="M3297" i="2"/>
  <c r="N3297" i="2"/>
  <c r="O3297" i="2"/>
  <c r="M3298" i="2"/>
  <c r="N3298" i="2"/>
  <c r="O3298" i="2"/>
  <c r="M3299" i="2"/>
  <c r="N3299" i="2"/>
  <c r="O3299" i="2"/>
  <c r="M3300" i="2"/>
  <c r="N3300" i="2"/>
  <c r="O3300" i="2"/>
  <c r="M3301" i="2"/>
  <c r="N3301" i="2"/>
  <c r="O3301" i="2"/>
  <c r="M3302" i="2"/>
  <c r="N3302" i="2" s="1"/>
  <c r="O3302" i="2"/>
  <c r="M3303" i="2"/>
  <c r="N3303" i="2"/>
  <c r="O3303" i="2"/>
  <c r="M3304" i="2"/>
  <c r="N3304" i="2" s="1"/>
  <c r="O3304" i="2"/>
  <c r="M3305" i="2"/>
  <c r="N3305" i="2" s="1"/>
  <c r="O3305" i="2"/>
  <c r="M3306" i="2"/>
  <c r="N3306" i="2"/>
  <c r="O3306" i="2"/>
  <c r="M3307" i="2"/>
  <c r="N3307" i="2"/>
  <c r="O3307" i="2"/>
  <c r="M3308" i="2"/>
  <c r="N3308" i="2" s="1"/>
  <c r="O3308" i="2"/>
  <c r="M3309" i="2"/>
  <c r="N3309" i="2"/>
  <c r="O3309" i="2"/>
  <c r="M3310" i="2"/>
  <c r="N3310" i="2"/>
  <c r="O3310" i="2"/>
  <c r="M3311" i="2"/>
  <c r="N3311" i="2"/>
  <c r="O3311" i="2"/>
  <c r="M3312" i="2"/>
  <c r="N3312" i="2"/>
  <c r="O3312" i="2"/>
  <c r="M3313" i="2"/>
  <c r="N3313" i="2"/>
  <c r="O3313" i="2"/>
  <c r="M3314" i="2"/>
  <c r="N3314" i="2"/>
  <c r="O3314" i="2"/>
  <c r="M3315" i="2"/>
  <c r="N3315" i="2"/>
  <c r="O3315" i="2"/>
  <c r="M3316" i="2"/>
  <c r="N3316" i="2"/>
  <c r="O3316" i="2"/>
  <c r="M3317" i="2"/>
  <c r="N3317" i="2"/>
  <c r="O3317" i="2"/>
  <c r="M3318" i="2"/>
  <c r="N3318" i="2" s="1"/>
  <c r="O3318" i="2"/>
  <c r="M3319" i="2"/>
  <c r="N3319" i="2"/>
  <c r="O3319" i="2"/>
  <c r="M3320" i="2"/>
  <c r="N3320" i="2"/>
  <c r="O3320" i="2"/>
  <c r="M3321" i="2"/>
  <c r="N3321" i="2"/>
  <c r="O3321" i="2"/>
  <c r="M3322" i="2"/>
  <c r="N3322" i="2" s="1"/>
  <c r="O3322" i="2"/>
  <c r="M3323" i="2"/>
  <c r="N3323" i="2"/>
  <c r="O3323" i="2"/>
  <c r="M3324" i="2"/>
  <c r="N3324" i="2"/>
  <c r="O3324" i="2"/>
  <c r="M3325" i="2"/>
  <c r="N3325" i="2"/>
  <c r="O3325" i="2"/>
  <c r="M3326" i="2"/>
  <c r="N3326" i="2" s="1"/>
  <c r="O3326" i="2"/>
  <c r="M3327" i="2"/>
  <c r="N3327" i="2"/>
  <c r="O3327" i="2"/>
  <c r="M3328" i="2"/>
  <c r="N3328" i="2"/>
  <c r="O3328" i="2"/>
  <c r="M3329" i="2"/>
  <c r="N3329" i="2"/>
  <c r="O3329" i="2"/>
  <c r="M3330" i="2"/>
  <c r="N3330" i="2"/>
  <c r="O3330" i="2"/>
  <c r="M3331" i="2"/>
  <c r="N3331" i="2"/>
  <c r="O3331" i="2"/>
  <c r="M3332" i="2"/>
  <c r="N3332" i="2"/>
  <c r="O3332" i="2"/>
  <c r="M3333" i="2"/>
  <c r="N3333" i="2" s="1"/>
  <c r="O3333" i="2"/>
  <c r="M3334" i="2"/>
  <c r="N3334" i="2"/>
  <c r="O3334" i="2"/>
  <c r="M3335" i="2"/>
  <c r="N3335" i="2"/>
  <c r="O3335" i="2"/>
  <c r="M3336" i="2"/>
  <c r="N3336" i="2"/>
  <c r="O3336" i="2"/>
  <c r="M3337" i="2"/>
  <c r="N3337" i="2"/>
  <c r="O3337" i="2"/>
  <c r="M3338" i="2"/>
  <c r="N3338" i="2"/>
  <c r="O3338" i="2"/>
  <c r="M3339" i="2"/>
  <c r="N3339" i="2"/>
  <c r="O3339" i="2"/>
  <c r="M3340" i="2"/>
  <c r="N3340" i="2"/>
  <c r="O3340" i="2"/>
  <c r="M3341" i="2"/>
  <c r="N3341" i="2" s="1"/>
  <c r="O3341" i="2"/>
  <c r="M3342" i="2"/>
  <c r="N3342" i="2"/>
  <c r="O3342" i="2"/>
  <c r="M3343" i="2"/>
  <c r="N3343" i="2"/>
  <c r="O3343" i="2"/>
  <c r="M3344" i="2"/>
  <c r="N3344" i="2"/>
  <c r="O3344" i="2"/>
  <c r="M3345" i="2"/>
  <c r="N3345" i="2" s="1"/>
  <c r="O3345" i="2"/>
  <c r="M3346" i="2"/>
  <c r="N3346" i="2"/>
  <c r="O3346" i="2"/>
  <c r="M3347" i="2"/>
  <c r="N3347" i="2"/>
  <c r="O3347" i="2"/>
  <c r="M3348" i="2"/>
  <c r="N3348" i="2"/>
  <c r="O3348" i="2"/>
  <c r="M3349" i="2"/>
  <c r="N3349" i="2"/>
  <c r="O3349" i="2"/>
  <c r="M3350" i="2"/>
  <c r="N3350" i="2"/>
  <c r="O3350" i="2"/>
  <c r="M3351" i="2"/>
  <c r="N3351" i="2" s="1"/>
  <c r="O3351" i="2"/>
  <c r="M3352" i="2"/>
  <c r="N3352" i="2"/>
  <c r="O3352" i="2"/>
  <c r="M3353" i="2"/>
  <c r="N3353" i="2"/>
  <c r="O3353" i="2"/>
  <c r="M3354" i="2"/>
  <c r="N3354" i="2"/>
  <c r="O3354" i="2"/>
  <c r="M3355" i="2"/>
  <c r="N3355" i="2"/>
  <c r="O3355" i="2"/>
  <c r="M3356" i="2"/>
  <c r="N3356" i="2"/>
  <c r="O3356" i="2"/>
  <c r="M3357" i="2"/>
  <c r="N3357" i="2"/>
  <c r="O3357" i="2"/>
  <c r="M3358" i="2"/>
  <c r="N3358" i="2"/>
  <c r="O3358" i="2"/>
  <c r="M3359" i="2"/>
  <c r="N3359" i="2"/>
  <c r="O3359" i="2"/>
  <c r="M3360" i="2"/>
  <c r="N3360" i="2"/>
  <c r="O3360" i="2"/>
  <c r="M3361" i="2"/>
  <c r="N3361" i="2"/>
  <c r="O3361" i="2"/>
  <c r="M3362" i="2"/>
  <c r="N3362" i="2"/>
  <c r="O3362" i="2"/>
  <c r="M3363" i="2"/>
  <c r="N3363" i="2"/>
  <c r="O3363" i="2"/>
  <c r="M3364" i="2"/>
  <c r="N3364" i="2"/>
  <c r="O3364" i="2"/>
  <c r="M3365" i="2"/>
  <c r="N3365" i="2"/>
  <c r="O3365" i="2"/>
  <c r="M3366" i="2"/>
  <c r="N3366" i="2"/>
  <c r="O3366" i="2"/>
  <c r="M3367" i="2"/>
  <c r="N3367" i="2"/>
  <c r="O3367" i="2"/>
  <c r="M3368" i="2"/>
  <c r="N3368" i="2"/>
  <c r="O3368" i="2"/>
  <c r="M3369" i="2"/>
  <c r="N3369" i="2" s="1"/>
  <c r="O3369" i="2"/>
  <c r="M3370" i="2"/>
  <c r="N3370" i="2"/>
  <c r="O3370" i="2"/>
  <c r="M3371" i="2"/>
  <c r="N3371" i="2"/>
  <c r="O3371" i="2"/>
  <c r="M3372" i="2"/>
  <c r="N3372" i="2"/>
  <c r="O3372" i="2"/>
  <c r="M3373" i="2"/>
  <c r="N3373" i="2"/>
  <c r="O3373" i="2"/>
  <c r="M3374" i="2"/>
  <c r="N3374" i="2"/>
  <c r="O3374" i="2"/>
  <c r="M3375" i="2"/>
  <c r="N3375" i="2"/>
  <c r="O3375" i="2"/>
  <c r="M3376" i="2"/>
  <c r="N3376" i="2" s="1"/>
  <c r="O3376" i="2"/>
  <c r="M3377" i="2"/>
  <c r="N3377" i="2" s="1"/>
  <c r="O3377" i="2"/>
  <c r="M3378" i="2"/>
  <c r="N3378" i="2"/>
  <c r="O3378" i="2"/>
  <c r="M3379" i="2"/>
  <c r="N3379" i="2" s="1"/>
  <c r="O3379" i="2"/>
  <c r="M3380" i="2"/>
  <c r="N3380" i="2"/>
  <c r="O3380" i="2"/>
  <c r="M3381" i="2"/>
  <c r="N3381" i="2" s="1"/>
  <c r="O3381" i="2"/>
  <c r="M3382" i="2"/>
  <c r="N3382" i="2"/>
  <c r="O3382" i="2"/>
  <c r="M3383" i="2"/>
  <c r="N3383" i="2"/>
  <c r="O3383" i="2"/>
  <c r="M3384" i="2"/>
  <c r="N3384" i="2"/>
  <c r="O3384" i="2"/>
  <c r="M3385" i="2"/>
  <c r="N3385" i="2"/>
  <c r="O3385" i="2"/>
  <c r="M3386" i="2"/>
  <c r="N3386" i="2" s="1"/>
  <c r="O3386" i="2"/>
  <c r="M3387" i="2"/>
  <c r="N3387" i="2"/>
  <c r="O3387" i="2"/>
  <c r="M3388" i="2"/>
  <c r="N3388" i="2"/>
  <c r="O3388" i="2"/>
  <c r="M3389" i="2"/>
  <c r="N3389" i="2"/>
  <c r="O3389" i="2"/>
  <c r="M3390" i="2"/>
  <c r="N3390" i="2"/>
  <c r="O3390" i="2"/>
  <c r="M3391" i="2"/>
  <c r="N3391" i="2"/>
  <c r="O3391" i="2"/>
  <c r="M3392" i="2"/>
  <c r="N3392" i="2" s="1"/>
  <c r="O3392" i="2"/>
  <c r="M3393" i="2"/>
  <c r="N3393" i="2"/>
  <c r="O3393" i="2"/>
  <c r="M3394" i="2"/>
  <c r="N3394" i="2"/>
  <c r="O3394" i="2"/>
  <c r="M3395" i="2"/>
  <c r="N3395" i="2"/>
  <c r="O3395" i="2"/>
  <c r="M3396" i="2"/>
  <c r="N3396" i="2" s="1"/>
  <c r="O3396" i="2"/>
  <c r="M3397" i="2"/>
  <c r="N3397" i="2" s="1"/>
  <c r="O3397" i="2"/>
  <c r="M3398" i="2"/>
  <c r="N3398" i="2"/>
  <c r="O3398" i="2"/>
  <c r="M3399" i="2"/>
  <c r="N3399" i="2"/>
  <c r="O3399" i="2"/>
  <c r="M3400" i="2"/>
  <c r="N3400" i="2"/>
  <c r="O3400" i="2"/>
  <c r="M3401" i="2"/>
  <c r="N3401" i="2"/>
  <c r="O3401" i="2"/>
  <c r="M3402" i="2"/>
  <c r="N3402" i="2"/>
  <c r="O3402" i="2"/>
  <c r="M3403" i="2"/>
  <c r="N3403" i="2"/>
  <c r="O3403" i="2"/>
  <c r="M3404" i="2"/>
  <c r="N3404" i="2"/>
  <c r="O3404" i="2"/>
  <c r="M3405" i="2"/>
  <c r="N3405" i="2"/>
  <c r="O3405" i="2"/>
  <c r="M3406" i="2"/>
  <c r="N3406" i="2"/>
  <c r="O3406" i="2"/>
  <c r="M3407" i="2"/>
  <c r="N3407" i="2"/>
  <c r="O3407" i="2"/>
  <c r="M3408" i="2"/>
  <c r="N3408" i="2"/>
  <c r="O3408" i="2"/>
  <c r="M3409" i="2"/>
  <c r="N3409" i="2"/>
  <c r="O3409" i="2"/>
  <c r="M3410" i="2"/>
  <c r="N3410" i="2"/>
  <c r="O3410" i="2"/>
  <c r="M3411" i="2"/>
  <c r="N3411" i="2"/>
  <c r="O3411" i="2"/>
  <c r="M3412" i="2"/>
  <c r="N3412" i="2" s="1"/>
  <c r="O3412" i="2"/>
  <c r="M3413" i="2"/>
  <c r="N3413" i="2"/>
  <c r="O3413" i="2"/>
  <c r="M3414" i="2"/>
  <c r="N3414" i="2"/>
  <c r="O3414" i="2"/>
  <c r="M3415" i="2"/>
  <c r="N3415" i="2"/>
  <c r="O3415" i="2"/>
  <c r="M3416" i="2"/>
  <c r="N3416" i="2"/>
  <c r="O3416" i="2"/>
  <c r="M3417" i="2"/>
  <c r="N3417" i="2"/>
  <c r="O3417" i="2"/>
  <c r="M3418" i="2"/>
  <c r="N3418" i="2" s="1"/>
  <c r="O3418" i="2"/>
  <c r="M3419" i="2"/>
  <c r="N3419" i="2" s="1"/>
  <c r="O3419" i="2"/>
  <c r="M3420" i="2"/>
  <c r="N3420" i="2"/>
  <c r="O3420" i="2"/>
  <c r="M3421" i="2"/>
  <c r="N3421" i="2"/>
  <c r="O3421" i="2"/>
  <c r="M3422" i="2"/>
  <c r="N3422" i="2"/>
  <c r="O3422" i="2"/>
  <c r="M3423" i="2"/>
  <c r="N3423" i="2"/>
  <c r="O3423" i="2"/>
  <c r="M3424" i="2"/>
  <c r="N3424" i="2"/>
  <c r="O3424" i="2"/>
  <c r="M3425" i="2"/>
  <c r="N3425" i="2"/>
  <c r="O3425" i="2"/>
  <c r="M3426" i="2"/>
  <c r="N3426" i="2"/>
  <c r="O3426" i="2"/>
  <c r="M3427" i="2"/>
  <c r="N3427" i="2" s="1"/>
  <c r="O3427" i="2"/>
  <c r="M3428" i="2"/>
  <c r="N3428" i="2"/>
  <c r="O3428" i="2"/>
  <c r="M3429" i="2"/>
  <c r="N3429" i="2"/>
  <c r="O3429" i="2"/>
  <c r="M3430" i="2"/>
  <c r="N3430" i="2"/>
  <c r="O3430" i="2"/>
  <c r="M3431" i="2"/>
  <c r="N3431" i="2"/>
  <c r="O3431" i="2"/>
  <c r="M3432" i="2"/>
  <c r="N3432" i="2"/>
  <c r="O3432" i="2"/>
  <c r="M3433" i="2"/>
  <c r="N3433" i="2"/>
  <c r="O3433" i="2"/>
  <c r="M3434" i="2"/>
  <c r="N3434" i="2"/>
  <c r="O3434" i="2"/>
  <c r="M3435" i="2"/>
  <c r="N3435" i="2" s="1"/>
  <c r="O3435" i="2"/>
  <c r="M3436" i="2"/>
  <c r="N3436" i="2" s="1"/>
  <c r="O3436" i="2"/>
  <c r="M3437" i="2"/>
  <c r="N3437" i="2"/>
  <c r="O3437" i="2"/>
  <c r="M3438" i="2"/>
  <c r="N3438" i="2"/>
  <c r="O3438" i="2"/>
  <c r="M3439" i="2"/>
  <c r="N3439" i="2" s="1"/>
  <c r="O3439" i="2"/>
  <c r="M3440" i="2"/>
  <c r="N3440" i="2" s="1"/>
  <c r="O3440" i="2"/>
  <c r="M3441" i="2"/>
  <c r="N3441" i="2"/>
  <c r="O3441" i="2"/>
  <c r="M3442" i="2"/>
  <c r="N3442" i="2"/>
  <c r="O3442" i="2"/>
  <c r="M3443" i="2"/>
  <c r="N3443" i="2" s="1"/>
  <c r="O3443" i="2"/>
  <c r="M3444" i="2"/>
  <c r="N3444" i="2" s="1"/>
  <c r="O3444" i="2"/>
  <c r="M3445" i="2"/>
  <c r="N3445" i="2"/>
  <c r="O3445" i="2"/>
  <c r="M3446" i="2"/>
  <c r="N3446" i="2"/>
  <c r="O3446" i="2"/>
  <c r="M3447" i="2"/>
  <c r="N3447" i="2"/>
  <c r="O3447" i="2"/>
  <c r="M3448" i="2"/>
  <c r="N3448" i="2"/>
  <c r="O3448" i="2"/>
  <c r="M3449" i="2"/>
  <c r="N3449" i="2"/>
  <c r="O3449" i="2"/>
  <c r="M3450" i="2"/>
  <c r="N3450" i="2"/>
  <c r="O3450" i="2"/>
  <c r="M3451" i="2"/>
  <c r="N3451" i="2"/>
  <c r="O3451" i="2"/>
  <c r="M3452" i="2"/>
  <c r="N3452" i="2"/>
  <c r="O3452" i="2"/>
  <c r="M3453" i="2"/>
  <c r="N3453" i="2"/>
  <c r="O3453" i="2"/>
  <c r="M3454" i="2"/>
  <c r="N3454" i="2"/>
  <c r="O3454" i="2"/>
  <c r="M3455" i="2"/>
  <c r="N3455" i="2"/>
  <c r="O3455" i="2"/>
  <c r="M3456" i="2"/>
  <c r="N3456" i="2"/>
  <c r="O3456" i="2"/>
  <c r="M3457" i="2"/>
  <c r="N3457" i="2"/>
  <c r="O3457" i="2"/>
  <c r="M3458" i="2"/>
  <c r="N3458" i="2" s="1"/>
  <c r="O3458" i="2"/>
  <c r="M3459" i="2"/>
  <c r="N3459" i="2"/>
  <c r="O3459" i="2"/>
  <c r="M3460" i="2"/>
  <c r="N3460" i="2"/>
  <c r="O3460" i="2"/>
  <c r="M3461" i="2"/>
  <c r="N3461" i="2"/>
  <c r="O3461" i="2"/>
  <c r="M3462" i="2"/>
  <c r="N3462" i="2" s="1"/>
  <c r="O3462" i="2"/>
  <c r="M3463" i="2"/>
  <c r="N3463" i="2" s="1"/>
  <c r="O3463" i="2"/>
  <c r="M3464" i="2"/>
  <c r="N3464" i="2"/>
  <c r="O3464" i="2"/>
  <c r="M3465" i="2"/>
  <c r="N3465" i="2"/>
  <c r="O3465" i="2"/>
  <c r="M3466" i="2"/>
  <c r="N3466" i="2"/>
  <c r="O3466" i="2"/>
  <c r="M3467" i="2"/>
  <c r="N3467" i="2"/>
  <c r="O3467" i="2"/>
  <c r="M3468" i="2"/>
  <c r="N3468" i="2"/>
  <c r="O3468" i="2"/>
  <c r="M3469" i="2"/>
  <c r="N3469" i="2"/>
  <c r="O3469" i="2"/>
  <c r="M3470" i="2"/>
  <c r="N3470" i="2"/>
  <c r="O3470" i="2"/>
  <c r="M3471" i="2"/>
  <c r="N3471" i="2"/>
  <c r="O3471" i="2"/>
  <c r="M3472" i="2"/>
  <c r="N3472" i="2"/>
  <c r="O3472" i="2"/>
  <c r="M3473" i="2"/>
  <c r="N3473" i="2"/>
  <c r="O3473" i="2"/>
  <c r="M3474" i="2"/>
  <c r="N3474" i="2"/>
  <c r="O3474" i="2"/>
  <c r="M3475" i="2"/>
  <c r="N3475" i="2" s="1"/>
  <c r="O3475" i="2"/>
  <c r="M3476" i="2"/>
  <c r="N3476" i="2"/>
  <c r="O3476" i="2"/>
  <c r="M3477" i="2"/>
  <c r="N3477" i="2"/>
  <c r="O3477" i="2"/>
  <c r="M3478" i="2"/>
  <c r="N3478" i="2" s="1"/>
  <c r="O3478" i="2"/>
  <c r="M3479" i="2"/>
  <c r="N3479" i="2" s="1"/>
  <c r="O3479" i="2"/>
  <c r="M3480" i="2"/>
  <c r="N3480" i="2"/>
  <c r="O3480" i="2"/>
  <c r="M3481" i="2"/>
  <c r="N3481" i="2"/>
  <c r="O3481" i="2"/>
  <c r="M3482" i="2"/>
  <c r="N3482" i="2"/>
  <c r="O3482" i="2"/>
  <c r="M3483" i="2"/>
  <c r="N3483" i="2" s="1"/>
  <c r="O3483" i="2"/>
  <c r="M3484" i="2"/>
  <c r="N3484" i="2"/>
  <c r="O3484" i="2"/>
  <c r="M3485" i="2"/>
  <c r="N3485" i="2"/>
  <c r="O3485" i="2"/>
  <c r="M3486" i="2"/>
  <c r="N3486" i="2"/>
  <c r="O3486" i="2"/>
  <c r="M3487" i="2"/>
  <c r="N3487" i="2"/>
  <c r="O3487" i="2"/>
  <c r="M3488" i="2"/>
  <c r="N3488" i="2"/>
  <c r="O3488" i="2"/>
  <c r="M3489" i="2"/>
  <c r="N3489" i="2"/>
  <c r="O3489" i="2"/>
  <c r="M3490" i="2"/>
  <c r="N3490" i="2" s="1"/>
  <c r="O3490" i="2"/>
  <c r="M3491" i="2"/>
  <c r="N3491" i="2"/>
  <c r="O3491" i="2"/>
  <c r="M3492" i="2"/>
  <c r="N3492" i="2"/>
  <c r="O3492" i="2"/>
  <c r="M3493" i="2"/>
  <c r="N3493" i="2"/>
  <c r="O3493" i="2"/>
  <c r="M3494" i="2"/>
  <c r="N3494" i="2"/>
  <c r="O3494" i="2"/>
  <c r="M3495" i="2"/>
  <c r="N3495" i="2"/>
  <c r="O3495" i="2"/>
  <c r="M3496" i="2"/>
  <c r="N3496" i="2"/>
  <c r="O3496" i="2"/>
  <c r="M3497" i="2"/>
  <c r="N3497" i="2"/>
  <c r="O3497" i="2"/>
  <c r="M3498" i="2"/>
  <c r="N3498" i="2"/>
  <c r="O3498" i="2"/>
  <c r="M3499" i="2"/>
  <c r="N3499" i="2" s="1"/>
  <c r="O3499" i="2"/>
  <c r="M3500" i="2"/>
  <c r="N3500" i="2"/>
  <c r="O3500" i="2"/>
  <c r="M3501" i="2"/>
  <c r="N3501" i="2"/>
  <c r="O3501" i="2"/>
  <c r="M3502" i="2"/>
  <c r="N3502" i="2"/>
  <c r="O3502" i="2"/>
  <c r="M3503" i="2"/>
  <c r="N3503" i="2" s="1"/>
  <c r="O3503" i="2"/>
  <c r="M3504" i="2"/>
  <c r="N3504" i="2"/>
  <c r="O3504" i="2"/>
  <c r="M3505" i="2"/>
  <c r="N3505" i="2" s="1"/>
  <c r="O3505" i="2"/>
  <c r="M3506" i="2"/>
  <c r="N3506" i="2"/>
  <c r="O3506" i="2"/>
  <c r="M3507" i="2"/>
  <c r="N3507" i="2"/>
  <c r="O3507" i="2"/>
  <c r="M3508" i="2"/>
  <c r="N3508" i="2" s="1"/>
  <c r="O3508" i="2"/>
  <c r="M3509" i="2"/>
  <c r="N3509" i="2"/>
  <c r="O3509" i="2"/>
  <c r="M3510" i="2"/>
  <c r="N3510" i="2" s="1"/>
  <c r="O3510" i="2"/>
  <c r="M3511" i="2"/>
  <c r="N3511" i="2"/>
  <c r="O3511" i="2"/>
  <c r="M3512" i="2"/>
  <c r="N3512" i="2"/>
  <c r="O3512" i="2"/>
  <c r="M3513" i="2"/>
  <c r="N3513" i="2" s="1"/>
  <c r="O3513" i="2"/>
  <c r="M3514" i="2"/>
  <c r="N3514" i="2"/>
  <c r="O3514" i="2"/>
  <c r="M3515" i="2"/>
  <c r="N3515" i="2"/>
  <c r="O3515" i="2"/>
  <c r="M3516" i="2"/>
  <c r="N3516" i="2"/>
  <c r="O3516" i="2"/>
  <c r="M3517" i="2"/>
  <c r="N3517" i="2"/>
  <c r="O3517" i="2"/>
  <c r="M3518" i="2"/>
  <c r="N3518" i="2" s="1"/>
  <c r="O3518" i="2"/>
  <c r="M3519" i="2"/>
  <c r="N3519" i="2"/>
  <c r="O3519" i="2"/>
  <c r="M3520" i="2"/>
  <c r="N3520" i="2" s="1"/>
  <c r="O3520" i="2"/>
  <c r="M3521" i="2"/>
  <c r="N3521" i="2" s="1"/>
  <c r="O3521" i="2"/>
  <c r="M3522" i="2"/>
  <c r="N3522" i="2" s="1"/>
  <c r="O3522" i="2"/>
  <c r="M3523" i="2"/>
  <c r="N3523" i="2"/>
  <c r="O3523" i="2"/>
  <c r="M3524" i="2"/>
  <c r="N3524" i="2"/>
  <c r="O3524" i="2"/>
  <c r="M3525" i="2"/>
  <c r="N3525" i="2"/>
  <c r="O3525" i="2"/>
  <c r="M3526" i="2"/>
  <c r="N3526" i="2"/>
  <c r="O3526" i="2"/>
  <c r="M3527" i="2"/>
  <c r="N3527" i="2"/>
  <c r="O3527" i="2"/>
  <c r="M3528" i="2"/>
  <c r="N3528" i="2"/>
  <c r="O3528" i="2"/>
  <c r="M3529" i="2"/>
  <c r="N3529" i="2" s="1"/>
  <c r="O3529" i="2"/>
  <c r="M3530" i="2"/>
  <c r="N3530" i="2"/>
  <c r="O3530" i="2"/>
  <c r="M3531" i="2"/>
  <c r="N3531" i="2" s="1"/>
  <c r="O3531" i="2"/>
  <c r="M3532" i="2"/>
  <c r="N3532" i="2"/>
  <c r="O3532" i="2"/>
  <c r="M3533" i="2"/>
  <c r="N3533" i="2"/>
  <c r="O3533" i="2"/>
  <c r="M3534" i="2"/>
  <c r="N3534" i="2"/>
  <c r="O3534" i="2"/>
  <c r="M3535" i="2"/>
  <c r="N3535" i="2"/>
  <c r="O3535" i="2"/>
  <c r="M3536" i="2"/>
  <c r="N3536" i="2"/>
  <c r="O3536" i="2"/>
  <c r="M3537" i="2"/>
  <c r="N3537" i="2"/>
  <c r="O3537" i="2"/>
  <c r="M3538" i="2"/>
  <c r="N3538" i="2" s="1"/>
  <c r="O3538" i="2"/>
  <c r="M3539" i="2"/>
  <c r="N3539" i="2"/>
  <c r="O3539" i="2"/>
  <c r="M3540" i="2"/>
  <c r="N3540" i="2"/>
  <c r="O3540" i="2"/>
  <c r="M3541" i="2"/>
  <c r="N3541" i="2"/>
  <c r="O3541" i="2"/>
  <c r="M3542" i="2"/>
  <c r="N3542" i="2"/>
  <c r="O3542" i="2"/>
  <c r="M3543" i="2"/>
  <c r="N3543" i="2"/>
  <c r="O3543" i="2"/>
  <c r="M3544" i="2"/>
  <c r="N3544" i="2"/>
  <c r="O3544" i="2"/>
  <c r="M3545" i="2"/>
  <c r="N3545" i="2"/>
  <c r="O3545" i="2"/>
  <c r="M3546" i="2"/>
  <c r="N3546" i="2"/>
  <c r="O3546" i="2"/>
  <c r="M3547" i="2"/>
  <c r="N3547" i="2"/>
  <c r="O3547" i="2"/>
  <c r="M3548" i="2"/>
  <c r="N3548" i="2"/>
  <c r="O3548" i="2"/>
  <c r="M3549" i="2"/>
  <c r="N3549" i="2"/>
  <c r="O3549" i="2"/>
  <c r="M3550" i="2"/>
  <c r="N3550" i="2" s="1"/>
  <c r="O3550" i="2"/>
  <c r="M3551" i="2"/>
  <c r="N3551" i="2" s="1"/>
  <c r="O3551" i="2"/>
  <c r="M3552" i="2"/>
  <c r="N3552" i="2"/>
  <c r="O3552" i="2"/>
  <c r="M3553" i="2"/>
  <c r="N3553" i="2" s="1"/>
  <c r="O3553" i="2"/>
  <c r="M3554" i="2"/>
  <c r="N3554" i="2"/>
  <c r="O3554" i="2"/>
  <c r="M3555" i="2"/>
  <c r="N3555" i="2" s="1"/>
  <c r="O3555" i="2"/>
  <c r="M3556" i="2"/>
  <c r="N3556" i="2"/>
  <c r="O3556" i="2"/>
  <c r="M3557" i="2"/>
  <c r="N3557" i="2"/>
  <c r="O3557" i="2"/>
  <c r="M3558" i="2"/>
  <c r="N3558" i="2"/>
  <c r="O3558" i="2"/>
  <c r="M3559" i="2"/>
  <c r="N3559" i="2"/>
  <c r="O3559" i="2"/>
  <c r="M3560" i="2"/>
  <c r="N3560" i="2"/>
  <c r="O3560" i="2"/>
  <c r="M3561" i="2"/>
  <c r="N3561" i="2"/>
  <c r="O3561" i="2"/>
  <c r="M3562" i="2"/>
  <c r="N3562" i="2" s="1"/>
  <c r="O3562" i="2"/>
  <c r="M3563" i="2"/>
  <c r="N3563" i="2"/>
  <c r="O3563" i="2"/>
  <c r="M3564" i="2"/>
  <c r="N3564" i="2"/>
  <c r="O3564" i="2"/>
  <c r="M3565" i="2"/>
  <c r="N3565" i="2"/>
  <c r="O3565" i="2"/>
  <c r="M3566" i="2"/>
  <c r="N3566" i="2" s="1"/>
  <c r="O3566" i="2"/>
  <c r="M3567" i="2"/>
  <c r="N3567" i="2"/>
  <c r="O3567" i="2"/>
  <c r="M3568" i="2"/>
  <c r="N3568" i="2"/>
  <c r="O3568" i="2"/>
  <c r="M3569" i="2"/>
  <c r="N3569" i="2"/>
  <c r="O3569" i="2"/>
  <c r="M3570" i="2"/>
  <c r="N3570" i="2"/>
  <c r="O3570" i="2"/>
  <c r="M3571" i="2"/>
  <c r="N3571" i="2"/>
  <c r="O3571" i="2"/>
  <c r="M3572" i="2"/>
  <c r="N3572" i="2" s="1"/>
  <c r="O3572" i="2"/>
  <c r="M3573" i="2"/>
  <c r="N3573" i="2"/>
  <c r="O3573" i="2"/>
  <c r="M3574" i="2"/>
  <c r="N3574" i="2" s="1"/>
  <c r="O3574" i="2"/>
  <c r="M3575" i="2"/>
  <c r="N3575" i="2"/>
  <c r="O3575" i="2"/>
  <c r="M3576" i="2"/>
  <c r="N3576" i="2" s="1"/>
  <c r="O3576" i="2"/>
  <c r="M3577" i="2"/>
  <c r="N3577" i="2"/>
  <c r="O3577" i="2"/>
  <c r="M3578" i="2"/>
  <c r="N3578" i="2"/>
  <c r="O3578" i="2"/>
  <c r="M3579" i="2"/>
  <c r="N3579" i="2" s="1"/>
  <c r="O3579" i="2"/>
  <c r="M3580" i="2"/>
  <c r="N3580" i="2"/>
  <c r="O3580" i="2"/>
  <c r="M3581" i="2"/>
  <c r="N3581" i="2"/>
  <c r="O3581" i="2"/>
  <c r="M3582" i="2"/>
  <c r="N3582" i="2" s="1"/>
  <c r="O3582" i="2"/>
  <c r="M3583" i="2"/>
  <c r="N3583" i="2"/>
  <c r="O3583" i="2"/>
  <c r="M3584" i="2"/>
  <c r="N3584" i="2"/>
  <c r="O3584" i="2"/>
  <c r="M3585" i="2"/>
  <c r="N3585" i="2" s="1"/>
  <c r="O3585" i="2"/>
  <c r="M3586" i="2"/>
  <c r="N3586" i="2"/>
  <c r="O3586" i="2"/>
  <c r="M3587" i="2"/>
  <c r="N3587" i="2"/>
  <c r="O3587" i="2"/>
  <c r="M3588" i="2"/>
  <c r="N3588" i="2"/>
  <c r="O3588" i="2"/>
  <c r="M3589" i="2"/>
  <c r="N3589" i="2" s="1"/>
  <c r="O3589" i="2"/>
  <c r="M3590" i="2"/>
  <c r="N3590" i="2"/>
  <c r="O3590" i="2"/>
  <c r="M3591" i="2"/>
  <c r="N3591" i="2"/>
  <c r="O3591" i="2"/>
  <c r="M3592" i="2"/>
  <c r="N3592" i="2"/>
  <c r="O3592" i="2"/>
  <c r="M3593" i="2"/>
  <c r="N3593" i="2" s="1"/>
  <c r="O3593" i="2"/>
  <c r="M3594" i="2"/>
  <c r="N3594" i="2" s="1"/>
  <c r="O3594" i="2"/>
  <c r="M3595" i="2"/>
  <c r="N3595" i="2"/>
  <c r="O3595" i="2"/>
  <c r="M3596" i="2"/>
  <c r="N3596" i="2" s="1"/>
  <c r="O3596" i="2"/>
  <c r="M3597" i="2"/>
  <c r="N3597" i="2"/>
  <c r="O3597" i="2"/>
  <c r="M3598" i="2"/>
  <c r="N3598" i="2" s="1"/>
  <c r="O3598" i="2"/>
  <c r="M3599" i="2"/>
  <c r="N3599" i="2"/>
  <c r="O3599" i="2"/>
  <c r="M3600" i="2"/>
  <c r="N3600" i="2"/>
  <c r="O3600" i="2"/>
  <c r="M3601" i="2"/>
  <c r="N3601" i="2"/>
  <c r="O3601" i="2"/>
  <c r="M3602" i="2"/>
  <c r="N3602" i="2"/>
  <c r="O3602" i="2"/>
  <c r="M3603" i="2"/>
  <c r="N3603" i="2"/>
  <c r="O3603" i="2"/>
  <c r="M3604" i="2"/>
  <c r="N3604" i="2" s="1"/>
  <c r="O3604" i="2"/>
  <c r="M3605" i="2"/>
  <c r="N3605" i="2" s="1"/>
  <c r="O3605" i="2"/>
  <c r="M3606" i="2"/>
  <c r="N3606" i="2"/>
  <c r="O3606" i="2"/>
  <c r="M3607" i="2"/>
  <c r="N3607" i="2" s="1"/>
  <c r="O3607" i="2"/>
  <c r="M3608" i="2"/>
  <c r="N3608" i="2"/>
  <c r="O3608" i="2"/>
  <c r="M3609" i="2"/>
  <c r="N3609" i="2" s="1"/>
  <c r="O3609" i="2"/>
  <c r="M3610" i="2"/>
  <c r="N3610" i="2"/>
  <c r="O3610" i="2"/>
  <c r="M3611" i="2"/>
  <c r="N3611" i="2" s="1"/>
  <c r="O3611" i="2"/>
  <c r="M3612" i="2"/>
  <c r="N3612" i="2"/>
  <c r="O3612" i="2"/>
  <c r="M3613" i="2"/>
  <c r="N3613" i="2"/>
  <c r="O3613" i="2"/>
  <c r="M3614" i="2"/>
  <c r="N3614" i="2"/>
  <c r="O3614" i="2"/>
  <c r="M3615" i="2"/>
  <c r="N3615" i="2" s="1"/>
  <c r="O3615" i="2"/>
  <c r="M3616" i="2"/>
  <c r="N3616" i="2" s="1"/>
  <c r="O3616" i="2"/>
  <c r="M3617" i="2"/>
  <c r="N3617" i="2" s="1"/>
  <c r="O3617" i="2"/>
  <c r="M3618" i="2"/>
  <c r="N3618" i="2" s="1"/>
  <c r="O3618" i="2"/>
  <c r="M3619" i="2"/>
  <c r="N3619" i="2" s="1"/>
  <c r="O3619" i="2"/>
  <c r="M3620" i="2"/>
  <c r="N3620" i="2"/>
  <c r="O3620" i="2"/>
  <c r="M3621" i="2"/>
  <c r="N3621" i="2"/>
  <c r="O3621" i="2"/>
  <c r="M3622" i="2"/>
  <c r="N3622" i="2"/>
  <c r="O3622" i="2"/>
  <c r="M3623" i="2"/>
  <c r="N3623" i="2" s="1"/>
  <c r="O3623" i="2"/>
  <c r="M3624" i="2"/>
  <c r="N3624" i="2"/>
  <c r="O3624" i="2"/>
  <c r="M3625" i="2"/>
  <c r="N3625" i="2" s="1"/>
  <c r="O3625" i="2"/>
  <c r="M3626" i="2"/>
  <c r="N3626" i="2"/>
  <c r="O3626" i="2"/>
  <c r="M3627" i="2"/>
  <c r="N3627" i="2" s="1"/>
  <c r="O3627" i="2"/>
  <c r="M3628" i="2"/>
  <c r="N3628" i="2"/>
  <c r="O3628" i="2"/>
  <c r="M3629" i="2"/>
  <c r="N3629" i="2" s="1"/>
  <c r="O3629" i="2"/>
  <c r="M3630" i="2"/>
  <c r="N3630" i="2"/>
  <c r="O3630" i="2"/>
  <c r="M3631" i="2"/>
  <c r="N3631" i="2" s="1"/>
  <c r="O3631" i="2"/>
  <c r="M3632" i="2"/>
  <c r="N3632" i="2" s="1"/>
  <c r="O3632" i="2"/>
  <c r="M3633" i="2"/>
  <c r="N3633" i="2" s="1"/>
  <c r="O3633" i="2"/>
  <c r="M3634" i="2"/>
  <c r="N3634" i="2" s="1"/>
  <c r="O3634" i="2"/>
  <c r="M3635" i="2"/>
  <c r="N3635" i="2"/>
  <c r="O3635" i="2"/>
</calcChain>
</file>

<file path=xl/sharedStrings.xml><?xml version="1.0" encoding="utf-8"?>
<sst xmlns="http://schemas.openxmlformats.org/spreadsheetml/2006/main" count="30859" uniqueCount="7511">
  <si>
    <t>MCC</t>
  </si>
  <si>
    <t>Category</t>
  </si>
  <si>
    <t>5812</t>
  </si>
  <si>
    <t>Meals</t>
  </si>
  <si>
    <t>4511</t>
  </si>
  <si>
    <t>Travel</t>
  </si>
  <si>
    <t>7011</t>
  </si>
  <si>
    <t>Lodging</t>
  </si>
  <si>
    <t>4121</t>
  </si>
  <si>
    <t>Transportation</t>
  </si>
  <si>
    <t>5943</t>
  </si>
  <si>
    <t>Office Supplies</t>
  </si>
  <si>
    <t>5942</t>
  </si>
  <si>
    <t>5734</t>
  </si>
  <si>
    <t>Software</t>
  </si>
  <si>
    <t>7832</t>
  </si>
  <si>
    <t>Entertainment</t>
  </si>
  <si>
    <t>7997</t>
  </si>
  <si>
    <t>7999</t>
  </si>
  <si>
    <t>Events</t>
  </si>
  <si>
    <t>5811</t>
  </si>
  <si>
    <t>ExpID</t>
  </si>
  <si>
    <t>EmpID</t>
  </si>
  <si>
    <t>TransactionID</t>
  </si>
  <si>
    <t>ExpenseDate</t>
  </si>
  <si>
    <t>SubmissionDate</t>
  </si>
  <si>
    <t>Merchant</t>
  </si>
  <si>
    <t>Category_SelfReported</t>
  </si>
  <si>
    <t>Amount</t>
  </si>
  <si>
    <t>PaymentMethod</t>
  </si>
  <si>
    <t>ReasonIfPersonal</t>
  </si>
  <si>
    <t>ReceiptAttached</t>
  </si>
  <si>
    <t>FinalCategory</t>
  </si>
  <si>
    <t>CategoryCheck</t>
  </si>
  <si>
    <t>EXP100000</t>
  </si>
  <si>
    <t>E046</t>
  </si>
  <si>
    <t>AX796358997</t>
  </si>
  <si>
    <t>SOUTHWEST AIR 5261823</t>
  </si>
  <si>
    <t>Corporate Amex</t>
  </si>
  <si>
    <t>Y</t>
  </si>
  <si>
    <t>EXP100001</t>
  </si>
  <si>
    <t>E034</t>
  </si>
  <si>
    <t>AX702910218</t>
  </si>
  <si>
    <t>SQ *JOES COFFEE</t>
  </si>
  <si>
    <t>EXP100002</t>
  </si>
  <si>
    <t>E245</t>
  </si>
  <si>
    <t>ax306239836</t>
  </si>
  <si>
    <t>MARRIOTT #4471</t>
  </si>
  <si>
    <t>N</t>
  </si>
  <si>
    <t>EXP100003</t>
  </si>
  <si>
    <t>E003</t>
  </si>
  <si>
    <t>AX-471430209</t>
  </si>
  <si>
    <t>AMC THEATRES 0021</t>
  </si>
  <si>
    <t>EXP100004</t>
  </si>
  <si>
    <t>E060</t>
  </si>
  <si>
    <t>AX277703916</t>
  </si>
  <si>
    <t>DELTA AIR 00623891045</t>
  </si>
  <si>
    <t>travel</t>
  </si>
  <si>
    <t>EXP100005</t>
  </si>
  <si>
    <t>E051</t>
  </si>
  <si>
    <t>AX170388883</t>
  </si>
  <si>
    <t>ADOBE *CREATIVE CLOUD</t>
  </si>
  <si>
    <t>EXP100006</t>
  </si>
  <si>
    <t>E005</t>
  </si>
  <si>
    <t>AX256030931</t>
  </si>
  <si>
    <t>TOTAL PARTY RENTAL</t>
  </si>
  <si>
    <t>EXP100007</t>
  </si>
  <si>
    <t>E057</t>
  </si>
  <si>
    <t>AX-738070828</t>
  </si>
  <si>
    <t>LYFT RIDE THU</t>
  </si>
  <si>
    <t>EXP100008</t>
  </si>
  <si>
    <t>E029</t>
  </si>
  <si>
    <t>UBER TRIP HELP.UBER</t>
  </si>
  <si>
    <t>EXP100009</t>
  </si>
  <si>
    <t>E109</t>
  </si>
  <si>
    <t>AX455963115</t>
  </si>
  <si>
    <t>BRANDWATCH LTD</t>
  </si>
  <si>
    <t>EXP100010</t>
  </si>
  <si>
    <t>AX-880479202</t>
  </si>
  <si>
    <t>SPROUT SOCIAL</t>
  </si>
  <si>
    <t>EXP100011</t>
  </si>
  <si>
    <t>E015</t>
  </si>
  <si>
    <t>AX995549228</t>
  </si>
  <si>
    <t>PANERA BREAD #0231</t>
  </si>
  <si>
    <t>EXP100012</t>
  </si>
  <si>
    <t>AX726487324</t>
  </si>
  <si>
    <t>EXP100013</t>
  </si>
  <si>
    <t>E262</t>
  </si>
  <si>
    <t>ax225779385</t>
  </si>
  <si>
    <t>EXP100014</t>
  </si>
  <si>
    <t>E039</t>
  </si>
  <si>
    <t>AX484370441</t>
  </si>
  <si>
    <t>STAPLES #0231</t>
  </si>
  <si>
    <t>EXP100015</t>
  </si>
  <si>
    <t>E234</t>
  </si>
  <si>
    <t>HILTON GARDEN INN 2231</t>
  </si>
  <si>
    <t>EXP100016</t>
  </si>
  <si>
    <t>E040</t>
  </si>
  <si>
    <t>AX 549252229</t>
  </si>
  <si>
    <t>OLIVE GARDEN 00456</t>
  </si>
  <si>
    <t>EXP100017</t>
  </si>
  <si>
    <t>E103</t>
  </si>
  <si>
    <t>AX726344621</t>
  </si>
  <si>
    <t>EXP100018</t>
  </si>
  <si>
    <t>E011</t>
  </si>
  <si>
    <t>AX-613118642</t>
  </si>
  <si>
    <t>HOOTSUITE INC</t>
  </si>
  <si>
    <t>EXP100019</t>
  </si>
  <si>
    <t>E069</t>
  </si>
  <si>
    <t>EVENTBRITE</t>
  </si>
  <si>
    <t>EXP100020</t>
  </si>
  <si>
    <t>Personal (Reimbursement)</t>
  </si>
  <si>
    <t>International merchant - Amex not accepted</t>
  </si>
  <si>
    <t>EXP100021</t>
  </si>
  <si>
    <t>E088</t>
  </si>
  <si>
    <t>AX 440929016</t>
  </si>
  <si>
    <t>CHIPOTLE 2214</t>
  </si>
  <si>
    <t>EXP100022</t>
  </si>
  <si>
    <t>E079</t>
  </si>
  <si>
    <t>AX-418999135</t>
  </si>
  <si>
    <t>AMAZON MKTPLACE PMTS</t>
  </si>
  <si>
    <t>EXP100023</t>
  </si>
  <si>
    <t>E064</t>
  </si>
  <si>
    <t>AX937168052</t>
  </si>
  <si>
    <t>TOPGOLF #442</t>
  </si>
  <si>
    <t>EXP100025</t>
  </si>
  <si>
    <t>E228</t>
  </si>
  <si>
    <t>Card not yet issued</t>
  </si>
  <si>
    <t>EXP100026</t>
  </si>
  <si>
    <t>E054</t>
  </si>
  <si>
    <t>AX217887407</t>
  </si>
  <si>
    <t>OFFICE SUPPLIES</t>
  </si>
  <si>
    <t>EXP100027</t>
  </si>
  <si>
    <t>E190</t>
  </si>
  <si>
    <t>AX 583718208</t>
  </si>
  <si>
    <t>EXP100028</t>
  </si>
  <si>
    <t>E019</t>
  </si>
  <si>
    <t>ax550840415</t>
  </si>
  <si>
    <t>MEALS</t>
  </si>
  <si>
    <t>EXP100029</t>
  </si>
  <si>
    <t>E185</t>
  </si>
  <si>
    <t>EXP100030</t>
  </si>
  <si>
    <t>ax609743196</t>
  </si>
  <si>
    <t>EXP100031</t>
  </si>
  <si>
    <t>AX-722348588</t>
  </si>
  <si>
    <t>EXP100032</t>
  </si>
  <si>
    <t>E265</t>
  </si>
  <si>
    <t>ax928291530</t>
  </si>
  <si>
    <t>EXP100033</t>
  </si>
  <si>
    <t>E038</t>
  </si>
  <si>
    <t>ax110083781</t>
  </si>
  <si>
    <t>EXP100034</t>
  </si>
  <si>
    <t>E027</t>
  </si>
  <si>
    <t>AX409802117</t>
  </si>
  <si>
    <t>meals</t>
  </si>
  <si>
    <t>EXP100035</t>
  </si>
  <si>
    <t>E033</t>
  </si>
  <si>
    <t>ax164470418</t>
  </si>
  <si>
    <t>EXP100036</t>
  </si>
  <si>
    <t>E218</t>
  </si>
  <si>
    <t>HYATT REGENCY BOS</t>
  </si>
  <si>
    <t>Amex declined - vendor doesn't accept Amex</t>
  </si>
  <si>
    <t>EXP100038</t>
  </si>
  <si>
    <t>E171</t>
  </si>
  <si>
    <t>AX 167694832</t>
  </si>
  <si>
    <t>EXP100039</t>
  </si>
  <si>
    <t>E212</t>
  </si>
  <si>
    <t>AX 928412993</t>
  </si>
  <si>
    <t>EXP100040</t>
  </si>
  <si>
    <t>AX638500943</t>
  </si>
  <si>
    <t>EXP100041</t>
  </si>
  <si>
    <t>E129</t>
  </si>
  <si>
    <t>AX 862008562</t>
  </si>
  <si>
    <t>SQ *THE CORNER BISTRO</t>
  </si>
  <si>
    <t>EXP100042</t>
  </si>
  <si>
    <t>E128</t>
  </si>
  <si>
    <t>ax253212018</t>
  </si>
  <si>
    <t>MICROSOFT*365</t>
  </si>
  <si>
    <t>EXP100043</t>
  </si>
  <si>
    <t>E125</t>
  </si>
  <si>
    <t>ax989653379</t>
  </si>
  <si>
    <t>EXP100044</t>
  </si>
  <si>
    <t>E066</t>
  </si>
  <si>
    <t>ax999756965</t>
  </si>
  <si>
    <t>EXP100045</t>
  </si>
  <si>
    <t>E073</t>
  </si>
  <si>
    <t>EXP100046</t>
  </si>
  <si>
    <t>E270</t>
  </si>
  <si>
    <t>AX320909902</t>
  </si>
  <si>
    <t>EXP100047</t>
  </si>
  <si>
    <t>E020</t>
  </si>
  <si>
    <t>AX798307495</t>
  </si>
  <si>
    <t xml:space="preserve">  Software </t>
  </si>
  <si>
    <t>EXP100048</t>
  </si>
  <si>
    <t>E119</t>
  </si>
  <si>
    <t>EXP100049</t>
  </si>
  <si>
    <t>E042</t>
  </si>
  <si>
    <t>ax799797496</t>
  </si>
  <si>
    <t>EXP100050</t>
  </si>
  <si>
    <t>E026</t>
  </si>
  <si>
    <t>ax137097807</t>
  </si>
  <si>
    <t>UNITED AIRLINES 0162233</t>
  </si>
  <si>
    <t>EXP100051</t>
  </si>
  <si>
    <t>E184</t>
  </si>
  <si>
    <t>ax228002358</t>
  </si>
  <si>
    <t xml:space="preserve"> SQ *JOES COFFEE</t>
  </si>
  <si>
    <t>EXP100052</t>
  </si>
  <si>
    <t>E121</t>
  </si>
  <si>
    <t>AX-446730696</t>
  </si>
  <si>
    <t>EXP100053</t>
  </si>
  <si>
    <t>E052</t>
  </si>
  <si>
    <t>AX854149532</t>
  </si>
  <si>
    <t>EXP100054</t>
  </si>
  <si>
    <t>AX464080495</t>
  </si>
  <si>
    <t xml:space="preserve"> SQ *THE CORNER BISTRO</t>
  </si>
  <si>
    <t>EXP100055</t>
  </si>
  <si>
    <t>E009</t>
  </si>
  <si>
    <t>AX-721990041</t>
  </si>
  <si>
    <t>EXP100056</t>
  </si>
  <si>
    <t>E082</t>
  </si>
  <si>
    <t>AX-199743010</t>
  </si>
  <si>
    <t>EXP100057</t>
  </si>
  <si>
    <t>ax132629908</t>
  </si>
  <si>
    <t>EXP100058</t>
  </si>
  <si>
    <t>E198</t>
  </si>
  <si>
    <t>ax880702168</t>
  </si>
  <si>
    <t>EXP100059</t>
  </si>
  <si>
    <t>E117</t>
  </si>
  <si>
    <t>LODGING</t>
  </si>
  <si>
    <t>Forgot corporate card</t>
  </si>
  <si>
    <t>EXP100060</t>
  </si>
  <si>
    <t>E196</t>
  </si>
  <si>
    <t>AX181640836</t>
  </si>
  <si>
    <t xml:space="preserve"> CHIPOTLE 2214</t>
  </si>
  <si>
    <t>EXP100061</t>
  </si>
  <si>
    <t>EXP100062</t>
  </si>
  <si>
    <t>AX 430319821</t>
  </si>
  <si>
    <t>EXP100063</t>
  </si>
  <si>
    <t>AX-835037547</t>
  </si>
  <si>
    <t>EXP100064</t>
  </si>
  <si>
    <t>E149</t>
  </si>
  <si>
    <t>AX201229727</t>
  </si>
  <si>
    <t>ZOOM.US</t>
  </si>
  <si>
    <t>EXP100065</t>
  </si>
  <si>
    <t>E055</t>
  </si>
  <si>
    <t>ax811541859</t>
  </si>
  <si>
    <t>EXP100066</t>
  </si>
  <si>
    <t>E274</t>
  </si>
  <si>
    <t>AX591551384</t>
  </si>
  <si>
    <t>EXP100067</t>
  </si>
  <si>
    <t>E013</t>
  </si>
  <si>
    <t>AX 530067641</t>
  </si>
  <si>
    <t>EXP100068</t>
  </si>
  <si>
    <t>E122</t>
  </si>
  <si>
    <t>EXP100069</t>
  </si>
  <si>
    <t>E141</t>
  </si>
  <si>
    <t>AX218442879</t>
  </si>
  <si>
    <t>EXP100070</t>
  </si>
  <si>
    <t>ax161219278</t>
  </si>
  <si>
    <t>REGION CATERING CO</t>
  </si>
  <si>
    <t>EXP100071</t>
  </si>
  <si>
    <t>E028</t>
  </si>
  <si>
    <t>AX-467716616</t>
  </si>
  <si>
    <t>EXP100072</t>
  </si>
  <si>
    <t>E189</t>
  </si>
  <si>
    <t>AX391150669</t>
  </si>
  <si>
    <t>EXP100073</t>
  </si>
  <si>
    <t>E140</t>
  </si>
  <si>
    <t>AX 270123605</t>
  </si>
  <si>
    <t>Other</t>
  </si>
  <si>
    <t>EXP100074</t>
  </si>
  <si>
    <t>E167</t>
  </si>
  <si>
    <t>AX359240600</t>
  </si>
  <si>
    <t>EXP100075</t>
  </si>
  <si>
    <t>E201</t>
  </si>
  <si>
    <t>AX698675920</t>
  </si>
  <si>
    <t>EXP100076</t>
  </si>
  <si>
    <t>E116</t>
  </si>
  <si>
    <t>AX169870958</t>
  </si>
  <si>
    <t>EXP100077</t>
  </si>
  <si>
    <t>E126</t>
  </si>
  <si>
    <t>AX866381716</t>
  </si>
  <si>
    <t>EXP100078</t>
  </si>
  <si>
    <t>AX331800880</t>
  </si>
  <si>
    <t>EXP100079</t>
  </si>
  <si>
    <t>AX211489752</t>
  </si>
  <si>
    <t>EXP100080</t>
  </si>
  <si>
    <t>AX920019187</t>
  </si>
  <si>
    <t>EXP100081</t>
  </si>
  <si>
    <t>E193</t>
  </si>
  <si>
    <t>ax280732350</t>
  </si>
  <si>
    <t>EXP100082</t>
  </si>
  <si>
    <t>E018</t>
  </si>
  <si>
    <t>AX-222621979</t>
  </si>
  <si>
    <t>EXP100083</t>
  </si>
  <si>
    <t>office supplies</t>
  </si>
  <si>
    <t>EXP100084</t>
  </si>
  <si>
    <t>E083</t>
  </si>
  <si>
    <t>AX664295513</t>
  </si>
  <si>
    <t>EXP100085</t>
  </si>
  <si>
    <t>E063</t>
  </si>
  <si>
    <t>ax943826063</t>
  </si>
  <si>
    <t>EXP100086</t>
  </si>
  <si>
    <t>E048</t>
  </si>
  <si>
    <t>AX840885971</t>
  </si>
  <si>
    <t>STARBUCKS #4471</t>
  </si>
  <si>
    <t>EXP100087</t>
  </si>
  <si>
    <t>E205</t>
  </si>
  <si>
    <t>AX-315616588</t>
  </si>
  <si>
    <t xml:space="preserve"> HYATT REGENCY BOS</t>
  </si>
  <si>
    <t>EXP100088</t>
  </si>
  <si>
    <t>ax332976549</t>
  </si>
  <si>
    <t>EVENTS</t>
  </si>
  <si>
    <t>EXP100089</t>
  </si>
  <si>
    <t>E032</t>
  </si>
  <si>
    <t>AX 387015086</t>
  </si>
  <si>
    <t>EXP100090</t>
  </si>
  <si>
    <t>E068</t>
  </si>
  <si>
    <t>AX-470253935</t>
  </si>
  <si>
    <t>EXP100091</t>
  </si>
  <si>
    <t>AX657633897</t>
  </si>
  <si>
    <t>EXP100092</t>
  </si>
  <si>
    <t>E154</t>
  </si>
  <si>
    <t>ax307593447</t>
  </si>
  <si>
    <t>EXP100093</t>
  </si>
  <si>
    <t>E002</t>
  </si>
  <si>
    <t>AX-290307378</t>
  </si>
  <si>
    <t>EXP100094</t>
  </si>
  <si>
    <t>E096</t>
  </si>
  <si>
    <t>AX757484828</t>
  </si>
  <si>
    <t>EXP100095</t>
  </si>
  <si>
    <t>AX756985503</t>
  </si>
  <si>
    <t>events</t>
  </si>
  <si>
    <t>EXP100096</t>
  </si>
  <si>
    <t>AX-944990348</t>
  </si>
  <si>
    <t>EXP100097</t>
  </si>
  <si>
    <t>EXP100098</t>
  </si>
  <si>
    <t>ax315106555</t>
  </si>
  <si>
    <t>EXP100099</t>
  </si>
  <si>
    <t>E093</t>
  </si>
  <si>
    <t>AX 821801737</t>
  </si>
  <si>
    <t>EXP100100</t>
  </si>
  <si>
    <t xml:space="preserve"> LYFT RIDE THU</t>
  </si>
  <si>
    <t xml:space="preserve">  Transportation </t>
  </si>
  <si>
    <t>EXP100101</t>
  </si>
  <si>
    <t>EXP100102</t>
  </si>
  <si>
    <t>E222</t>
  </si>
  <si>
    <t>YELLOW CAB CO</t>
  </si>
  <si>
    <t>EXP100103</t>
  </si>
  <si>
    <t>E041</t>
  </si>
  <si>
    <t>AX-235240436</t>
  </si>
  <si>
    <t>EXP100104</t>
  </si>
  <si>
    <t>E036</t>
  </si>
  <si>
    <t>EXP100105</t>
  </si>
  <si>
    <t>E153</t>
  </si>
  <si>
    <t>AX 463659094</t>
  </si>
  <si>
    <t>EXP100106</t>
  </si>
  <si>
    <t>AX788316581</t>
  </si>
  <si>
    <t>EXP100107</t>
  </si>
  <si>
    <t>AX470120039</t>
  </si>
  <si>
    <t>EXP100108</t>
  </si>
  <si>
    <t>AX920553163</t>
  </si>
  <si>
    <t xml:space="preserve"> OLIVE GARDEN 00456</t>
  </si>
  <si>
    <t>EXP100109</t>
  </si>
  <si>
    <t>E007</t>
  </si>
  <si>
    <t>EXP100110</t>
  </si>
  <si>
    <t>AX-673490607</t>
  </si>
  <si>
    <t>EXP100111</t>
  </si>
  <si>
    <t>E208</t>
  </si>
  <si>
    <t>AX889287268</t>
  </si>
  <si>
    <t>EXP100112</t>
  </si>
  <si>
    <t>E179</t>
  </si>
  <si>
    <t>EXP100113</t>
  </si>
  <si>
    <t>E067</t>
  </si>
  <si>
    <t>EXP100114</t>
  </si>
  <si>
    <t>AX999799259</t>
  </si>
  <si>
    <t>EXP100115</t>
  </si>
  <si>
    <t>AX894680266</t>
  </si>
  <si>
    <t>EXP100116</t>
  </si>
  <si>
    <t>E008</t>
  </si>
  <si>
    <t>AX851635621</t>
  </si>
  <si>
    <t>EXP100117</t>
  </si>
  <si>
    <t>E053</t>
  </si>
  <si>
    <t>AX323882735</t>
  </si>
  <si>
    <t>EXP100118</t>
  </si>
  <si>
    <t>AX721594049</t>
  </si>
  <si>
    <t>EXP100119</t>
  </si>
  <si>
    <t>E250</t>
  </si>
  <si>
    <t>AX-747982738</t>
  </si>
  <si>
    <t>EXP100120</t>
  </si>
  <si>
    <t>EXP100121</t>
  </si>
  <si>
    <t>E155</t>
  </si>
  <si>
    <t>AX-302746894</t>
  </si>
  <si>
    <t>EXP100122</t>
  </si>
  <si>
    <t>E244</t>
  </si>
  <si>
    <t>ax225220033</t>
  </si>
  <si>
    <t>EXP100123</t>
  </si>
  <si>
    <t>E183</t>
  </si>
  <si>
    <t>EXP100124</t>
  </si>
  <si>
    <t>E251</t>
  </si>
  <si>
    <t>ax130592631</t>
  </si>
  <si>
    <t>EXP100125</t>
  </si>
  <si>
    <t>ax645894949</t>
  </si>
  <si>
    <t>ENTERTAINMENT</t>
  </si>
  <si>
    <t>EXP100126</t>
  </si>
  <si>
    <t>AX383300309</t>
  </si>
  <si>
    <t>EXP100127</t>
  </si>
  <si>
    <t>E258</t>
  </si>
  <si>
    <t>AX300641375</t>
  </si>
  <si>
    <t>EXP100128</t>
  </si>
  <si>
    <t>EXP100129</t>
  </si>
  <si>
    <t>AX232428051</t>
  </si>
  <si>
    <t>EXP100130</t>
  </si>
  <si>
    <t>E138</t>
  </si>
  <si>
    <t>AX872824732</t>
  </si>
  <si>
    <t>EXP100131</t>
  </si>
  <si>
    <t>ax923136816</t>
  </si>
  <si>
    <t>EXP100132</t>
  </si>
  <si>
    <t>AX290672496</t>
  </si>
  <si>
    <t>software</t>
  </si>
  <si>
    <t>EXP100133</t>
  </si>
  <si>
    <t>AX-690014463</t>
  </si>
  <si>
    <t>EXP100134</t>
  </si>
  <si>
    <t>E087</t>
  </si>
  <si>
    <t>ax177556934</t>
  </si>
  <si>
    <t>EXP100135</t>
  </si>
  <si>
    <t>E030</t>
  </si>
  <si>
    <t>AX 799945932</t>
  </si>
  <si>
    <t>EXP100136</t>
  </si>
  <si>
    <t>AX 986347969</t>
  </si>
  <si>
    <t>EXP100137</t>
  </si>
  <si>
    <t>ax344105479</t>
  </si>
  <si>
    <t>EXP100138</t>
  </si>
  <si>
    <t>E024</t>
  </si>
  <si>
    <t>AX720130633</t>
  </si>
  <si>
    <t>TRANSPORTATION</t>
  </si>
  <si>
    <t>EXP100139</t>
  </si>
  <si>
    <t>EXP100140</t>
  </si>
  <si>
    <t>AX244493055</t>
  </si>
  <si>
    <t>EXP100141</t>
  </si>
  <si>
    <t>E090</t>
  </si>
  <si>
    <t>AX 214510694</t>
  </si>
  <si>
    <t>EXP100142</t>
  </si>
  <si>
    <t>AX445047267</t>
  </si>
  <si>
    <t>EXP100143</t>
  </si>
  <si>
    <t>AX393633663</t>
  </si>
  <si>
    <t>EXP100144</t>
  </si>
  <si>
    <t>EXP100145</t>
  </si>
  <si>
    <t>E061</t>
  </si>
  <si>
    <t>ax111676892</t>
  </si>
  <si>
    <t>EXP100146</t>
  </si>
  <si>
    <t>E237</t>
  </si>
  <si>
    <t>EXP100147</t>
  </si>
  <si>
    <t>E248</t>
  </si>
  <si>
    <t>AX-132384443</t>
  </si>
  <si>
    <t>EXP100148</t>
  </si>
  <si>
    <t>EXP100149</t>
  </si>
  <si>
    <t>AX963366074</t>
  </si>
  <si>
    <t>EXP100150</t>
  </si>
  <si>
    <t>AX482592269</t>
  </si>
  <si>
    <t>EXP100151</t>
  </si>
  <si>
    <t>E202</t>
  </si>
  <si>
    <t>AX-795189866</t>
  </si>
  <si>
    <t>EXP100152</t>
  </si>
  <si>
    <t>AX-361917176</t>
  </si>
  <si>
    <t>EXP100153</t>
  </si>
  <si>
    <t>E191</t>
  </si>
  <si>
    <t>AX-579507506</t>
  </si>
  <si>
    <t>EXP100154</t>
  </si>
  <si>
    <t>E022</t>
  </si>
  <si>
    <t>SOFTWARE</t>
  </si>
  <si>
    <t>EXP100155</t>
  </si>
  <si>
    <t>E017</t>
  </si>
  <si>
    <t>ax205858521</t>
  </si>
  <si>
    <t>EXP100157</t>
  </si>
  <si>
    <t>E025</t>
  </si>
  <si>
    <t>AX255158265</t>
  </si>
  <si>
    <t>EXP100158</t>
  </si>
  <si>
    <t>AX 230362726</t>
  </si>
  <si>
    <t>EXP100159</t>
  </si>
  <si>
    <t>AX519743638</t>
  </si>
  <si>
    <t>EXP100160</t>
  </si>
  <si>
    <t>EXP100161</t>
  </si>
  <si>
    <t xml:space="preserve"> ADOBE *CREATIVE CLOUD</t>
  </si>
  <si>
    <t>EXP100162</t>
  </si>
  <si>
    <t>AX832693994</t>
  </si>
  <si>
    <t>EXP100163</t>
  </si>
  <si>
    <t>E249</t>
  </si>
  <si>
    <t>ax296698812</t>
  </si>
  <si>
    <t>EXP100164</t>
  </si>
  <si>
    <t>E217</t>
  </si>
  <si>
    <t>AX138870937</t>
  </si>
  <si>
    <t>EXP100165</t>
  </si>
  <si>
    <t>AX851501421</t>
  </si>
  <si>
    <t>transportation</t>
  </si>
  <si>
    <t>EXP100166</t>
  </si>
  <si>
    <t>E223</t>
  </si>
  <si>
    <t>AX-373349480</t>
  </si>
  <si>
    <t>EXP100167</t>
  </si>
  <si>
    <t>E045</t>
  </si>
  <si>
    <t>EXP100168</t>
  </si>
  <si>
    <t>AX531666240</t>
  </si>
  <si>
    <t>EXP100169</t>
  </si>
  <si>
    <t>AX167019537</t>
  </si>
  <si>
    <t xml:space="preserve"> ZOOM.US</t>
  </si>
  <si>
    <t>EXP100170</t>
  </si>
  <si>
    <t>E260</t>
  </si>
  <si>
    <t>ax691232882</t>
  </si>
  <si>
    <t>EXP100171</t>
  </si>
  <si>
    <t>EXP100172</t>
  </si>
  <si>
    <t>AX891177789</t>
  </si>
  <si>
    <t>EXP100173</t>
  </si>
  <si>
    <t>E044</t>
  </si>
  <si>
    <t>AX952587006</t>
  </si>
  <si>
    <t>EXP100174</t>
  </si>
  <si>
    <t>E215</t>
  </si>
  <si>
    <t>AX261032577</t>
  </si>
  <si>
    <t xml:space="preserve">  Events </t>
  </si>
  <si>
    <t>EXP100175</t>
  </si>
  <si>
    <t>E163</t>
  </si>
  <si>
    <t>AX 682880943</t>
  </si>
  <si>
    <t>EXP100176</t>
  </si>
  <si>
    <t>AX 154244861</t>
  </si>
  <si>
    <t>EXP100177</t>
  </si>
  <si>
    <t>E146</t>
  </si>
  <si>
    <t>AX351128946</t>
  </si>
  <si>
    <t>EXP100178</t>
  </si>
  <si>
    <t>E174</t>
  </si>
  <si>
    <t>AX402654670</t>
  </si>
  <si>
    <t>EXP100179</t>
  </si>
  <si>
    <t>EXP100180</t>
  </si>
  <si>
    <t>E059</t>
  </si>
  <si>
    <t>AX273246802</t>
  </si>
  <si>
    <t>EXP100181</t>
  </si>
  <si>
    <t>AX796839163</t>
  </si>
  <si>
    <t>EXP100182</t>
  </si>
  <si>
    <t>AX-826446147</t>
  </si>
  <si>
    <t>EXP100183</t>
  </si>
  <si>
    <t>AX202526222</t>
  </si>
  <si>
    <t>EXP100184</t>
  </si>
  <si>
    <t>E092</t>
  </si>
  <si>
    <t>EXP100185</t>
  </si>
  <si>
    <t>E076</t>
  </si>
  <si>
    <t>ax237893796</t>
  </si>
  <si>
    <t>EXP100186</t>
  </si>
  <si>
    <t>AX260494646</t>
  </si>
  <si>
    <t>EXP100187</t>
  </si>
  <si>
    <t>E043</t>
  </si>
  <si>
    <t>AX 262111062</t>
  </si>
  <si>
    <t>EXP100188</t>
  </si>
  <si>
    <t>E035</t>
  </si>
  <si>
    <t>AX637900447</t>
  </si>
  <si>
    <t>EXP100189</t>
  </si>
  <si>
    <t>E144</t>
  </si>
  <si>
    <t>AX845852520</t>
  </si>
  <si>
    <t>EXP100190</t>
  </si>
  <si>
    <t>AX310351173</t>
  </si>
  <si>
    <t>EXP100191</t>
  </si>
  <si>
    <t>E133</t>
  </si>
  <si>
    <t>EXP100192</t>
  </si>
  <si>
    <t>EXP100193</t>
  </si>
  <si>
    <t>AX-706775386</t>
  </si>
  <si>
    <t>EXP100194</t>
  </si>
  <si>
    <t>EXP100195</t>
  </si>
  <si>
    <t>E047</t>
  </si>
  <si>
    <t>AX-125909334</t>
  </si>
  <si>
    <t>EXP100196</t>
  </si>
  <si>
    <t>ax402119234</t>
  </si>
  <si>
    <t>EXP100197</t>
  </si>
  <si>
    <t>AX639487871</t>
  </si>
  <si>
    <t>EXP100198</t>
  </si>
  <si>
    <t>E187</t>
  </si>
  <si>
    <t>AX894667368</t>
  </si>
  <si>
    <t xml:space="preserve"> TOTAL PARTY RENTAL</t>
  </si>
  <si>
    <t>EXP100199</t>
  </si>
  <si>
    <t>E099</t>
  </si>
  <si>
    <t>AX273871309</t>
  </si>
  <si>
    <t>EXP100200</t>
  </si>
  <si>
    <t>AX-398830738</t>
  </si>
  <si>
    <t>EXP100201</t>
  </si>
  <si>
    <t>EXP100202</t>
  </si>
  <si>
    <t>AX-991157197</t>
  </si>
  <si>
    <t>EXP100203</t>
  </si>
  <si>
    <t>AX-987619312</t>
  </si>
  <si>
    <t>EXP100204</t>
  </si>
  <si>
    <t>E161</t>
  </si>
  <si>
    <t>AX645226600</t>
  </si>
  <si>
    <t>EXP100205</t>
  </si>
  <si>
    <t>E120</t>
  </si>
  <si>
    <t>AX 195578830</t>
  </si>
  <si>
    <t>EXP100206</t>
  </si>
  <si>
    <t>ax109627159</t>
  </si>
  <si>
    <t>EXP100207</t>
  </si>
  <si>
    <t>E070</t>
  </si>
  <si>
    <t>EXP100208</t>
  </si>
  <si>
    <t>E254</t>
  </si>
  <si>
    <t>EXP100209</t>
  </si>
  <si>
    <t>E006</t>
  </si>
  <si>
    <t>AX199013911</t>
  </si>
  <si>
    <t>EXP100210</t>
  </si>
  <si>
    <t>E211</t>
  </si>
  <si>
    <t>AX 754828558</t>
  </si>
  <si>
    <t>EXP100211</t>
  </si>
  <si>
    <t>E115</t>
  </si>
  <si>
    <t>AX941070497</t>
  </si>
  <si>
    <t>EXP100212</t>
  </si>
  <si>
    <t>ax758125989</t>
  </si>
  <si>
    <t>EXP100213</t>
  </si>
  <si>
    <t>E241</t>
  </si>
  <si>
    <t>EXP100214</t>
  </si>
  <si>
    <t>E231</t>
  </si>
  <si>
    <t>AX 411007474</t>
  </si>
  <si>
    <t>EXP100215</t>
  </si>
  <si>
    <t>ax971573228</t>
  </si>
  <si>
    <t>EXP100216</t>
  </si>
  <si>
    <t>E113</t>
  </si>
  <si>
    <t>AX283948446</t>
  </si>
  <si>
    <t>EXP100217</t>
  </si>
  <si>
    <t>AX342027928</t>
  </si>
  <si>
    <t>EXP100218</t>
  </si>
  <si>
    <t>AX 450284964</t>
  </si>
  <si>
    <t>EXP100219</t>
  </si>
  <si>
    <t>EXP100220</t>
  </si>
  <si>
    <t>E102</t>
  </si>
  <si>
    <t>ax798751420</t>
  </si>
  <si>
    <t>EXP100221</t>
  </si>
  <si>
    <t>AX578496258</t>
  </si>
  <si>
    <t>EXP100222</t>
  </si>
  <si>
    <t>EXP100223</t>
  </si>
  <si>
    <t>AX108049551</t>
  </si>
  <si>
    <t>EXP100224</t>
  </si>
  <si>
    <t>E137</t>
  </si>
  <si>
    <t>ax700917059</t>
  </si>
  <si>
    <t>EXP100225</t>
  </si>
  <si>
    <t>AX452862449</t>
  </si>
  <si>
    <t>EXP100226</t>
  </si>
  <si>
    <t>EXP100227</t>
  </si>
  <si>
    <t>E221</t>
  </si>
  <si>
    <t>ax441048730</t>
  </si>
  <si>
    <t>EXP100228</t>
  </si>
  <si>
    <t>E095</t>
  </si>
  <si>
    <t>AX-535566578</t>
  </si>
  <si>
    <t>EXP100230</t>
  </si>
  <si>
    <t>E065</t>
  </si>
  <si>
    <t>AX-101093454</t>
  </si>
  <si>
    <t>EXP100231</t>
  </si>
  <si>
    <t>AX 223438045</t>
  </si>
  <si>
    <t>EXP100232</t>
  </si>
  <si>
    <t>E049</t>
  </si>
  <si>
    <t>AX773387644</t>
  </si>
  <si>
    <t>EXP100233</t>
  </si>
  <si>
    <t>E240</t>
  </si>
  <si>
    <t>AX 990556047</t>
  </si>
  <si>
    <t>EXP100234</t>
  </si>
  <si>
    <t>AX656728354</t>
  </si>
  <si>
    <t>EXP100235</t>
  </si>
  <si>
    <t>E147</t>
  </si>
  <si>
    <t>AX955553678</t>
  </si>
  <si>
    <t>EXP100236</t>
  </si>
  <si>
    <t>EXP100237</t>
  </si>
  <si>
    <t>EXP100238</t>
  </si>
  <si>
    <t>E062</t>
  </si>
  <si>
    <t>AX905881776</t>
  </si>
  <si>
    <t>EXP100239</t>
  </si>
  <si>
    <t>E213</t>
  </si>
  <si>
    <t>ax914321621</t>
  </si>
  <si>
    <t>EXP100240</t>
  </si>
  <si>
    <t>E031</t>
  </si>
  <si>
    <t>AX754894604</t>
  </si>
  <si>
    <t>EXP100241</t>
  </si>
  <si>
    <t>EXP100242</t>
  </si>
  <si>
    <t>ax438373569</t>
  </si>
  <si>
    <t>EXP100243</t>
  </si>
  <si>
    <t>E269</t>
  </si>
  <si>
    <t>AX554445464</t>
  </si>
  <si>
    <t>EXP100244</t>
  </si>
  <si>
    <t>EXP100245</t>
  </si>
  <si>
    <t>E010</t>
  </si>
  <si>
    <t>EXP100246</t>
  </si>
  <si>
    <t>E016</t>
  </si>
  <si>
    <t>EXP100247</t>
  </si>
  <si>
    <t>E086</t>
  </si>
  <si>
    <t>AX 336670900</t>
  </si>
  <si>
    <t>EXP100248</t>
  </si>
  <si>
    <t>E091</t>
  </si>
  <si>
    <t>AX 959670615</t>
  </si>
  <si>
    <t>EXP100249</t>
  </si>
  <si>
    <t>E255</t>
  </si>
  <si>
    <t>AX849141654</t>
  </si>
  <si>
    <t>EXP100250</t>
  </si>
  <si>
    <t>entertainment</t>
  </si>
  <si>
    <t>EXP100251</t>
  </si>
  <si>
    <t>AX720077543</t>
  </si>
  <si>
    <t>EXP100252</t>
  </si>
  <si>
    <t>ax475651710</t>
  </si>
  <si>
    <t>EXP100253</t>
  </si>
  <si>
    <t>AX740496239</t>
  </si>
  <si>
    <t>EXP100254</t>
  </si>
  <si>
    <t>EXP100255</t>
  </si>
  <si>
    <t>EXP100256</t>
  </si>
  <si>
    <t>ax791883837</t>
  </si>
  <si>
    <t>EXP100257</t>
  </si>
  <si>
    <t>AX 748278548</t>
  </si>
  <si>
    <t>EXP100258</t>
  </si>
  <si>
    <t>AX514383573</t>
  </si>
  <si>
    <t>EXP100259</t>
  </si>
  <si>
    <t>E081</t>
  </si>
  <si>
    <t>AX-772691504</t>
  </si>
  <si>
    <t>EXP100260</t>
  </si>
  <si>
    <t>E112</t>
  </si>
  <si>
    <t>AX376754252</t>
  </si>
  <si>
    <t>EXP100261</t>
  </si>
  <si>
    <t>E094</t>
  </si>
  <si>
    <t>ax838129979</t>
  </si>
  <si>
    <t xml:space="preserve">  Travel </t>
  </si>
  <si>
    <t>EXP100262</t>
  </si>
  <si>
    <t>E118</t>
  </si>
  <si>
    <t>AX948819643</t>
  </si>
  <si>
    <t>EXP100263</t>
  </si>
  <si>
    <t>AX172267692</t>
  </si>
  <si>
    <t>EXP100264</t>
  </si>
  <si>
    <t>AX715054391</t>
  </si>
  <si>
    <t>EXP100265</t>
  </si>
  <si>
    <t>AX369878535</t>
  </si>
  <si>
    <t>EXP100266</t>
  </si>
  <si>
    <t>ax186731574</t>
  </si>
  <si>
    <t>lodging</t>
  </si>
  <si>
    <t>EXP100267</t>
  </si>
  <si>
    <t>AX 761876024</t>
  </si>
  <si>
    <t>EXP100268</t>
  </si>
  <si>
    <t>ax320339370</t>
  </si>
  <si>
    <t>EXP100269</t>
  </si>
  <si>
    <t>E077</t>
  </si>
  <si>
    <t>AX851978844</t>
  </si>
  <si>
    <t>TRAVEL</t>
  </si>
  <si>
    <t>EXP100270</t>
  </si>
  <si>
    <t>AX495469257</t>
  </si>
  <si>
    <t>EXP100271</t>
  </si>
  <si>
    <t>E050</t>
  </si>
  <si>
    <t>AX137913356</t>
  </si>
  <si>
    <t>EXP100272</t>
  </si>
  <si>
    <t>E151</t>
  </si>
  <si>
    <t>EXP100273</t>
  </si>
  <si>
    <t>AX699024460</t>
  </si>
  <si>
    <t>EXP100274</t>
  </si>
  <si>
    <t>AX978927663</t>
  </si>
  <si>
    <t>EXP100275</t>
  </si>
  <si>
    <t>AX778909715</t>
  </si>
  <si>
    <t>EXP100276</t>
  </si>
  <si>
    <t>E209</t>
  </si>
  <si>
    <t>AX 619590552</t>
  </si>
  <si>
    <t>EXP100277</t>
  </si>
  <si>
    <t>AX397078201</t>
  </si>
  <si>
    <t>EXP100278</t>
  </si>
  <si>
    <t>AX-154369938</t>
  </si>
  <si>
    <t>EXP100279</t>
  </si>
  <si>
    <t>E131</t>
  </si>
  <si>
    <t>AX218778680</t>
  </si>
  <si>
    <t>EXP100280</t>
  </si>
  <si>
    <t>AX 328244775</t>
  </si>
  <si>
    <t>EXP100281</t>
  </si>
  <si>
    <t>E199</t>
  </si>
  <si>
    <t>EXP100282</t>
  </si>
  <si>
    <t>E256</t>
  </si>
  <si>
    <t>AX548287372</t>
  </si>
  <si>
    <t>EXP100283</t>
  </si>
  <si>
    <t>AX 713575831</t>
  </si>
  <si>
    <t>EXP100284</t>
  </si>
  <si>
    <t>AX-439701871</t>
  </si>
  <si>
    <t xml:space="preserve"> EVENTBRITE</t>
  </si>
  <si>
    <t>EXP100285</t>
  </si>
  <si>
    <t>EXP100286</t>
  </si>
  <si>
    <t>E075</t>
  </si>
  <si>
    <t>AX 249881641</t>
  </si>
  <si>
    <t>EXP100287</t>
  </si>
  <si>
    <t>ax231556690</t>
  </si>
  <si>
    <t>EXP100288</t>
  </si>
  <si>
    <t>ax595672861</t>
  </si>
  <si>
    <t>EXP100289</t>
  </si>
  <si>
    <t>AX417222516</t>
  </si>
  <si>
    <t>EXP100290</t>
  </si>
  <si>
    <t>EXP100291</t>
  </si>
  <si>
    <t>EXP100292</t>
  </si>
  <si>
    <t>AX527019286</t>
  </si>
  <si>
    <t>EXP100293</t>
  </si>
  <si>
    <t>AX982095647</t>
  </si>
  <si>
    <t>EXP100294</t>
  </si>
  <si>
    <t>AX145633280</t>
  </si>
  <si>
    <t>EXP100295</t>
  </si>
  <si>
    <t>E226</t>
  </si>
  <si>
    <t>AX679163929</t>
  </si>
  <si>
    <t>EXP100296</t>
  </si>
  <si>
    <t>E085</t>
  </si>
  <si>
    <t>AX960116492</t>
  </si>
  <si>
    <t xml:space="preserve">  Meals </t>
  </si>
  <si>
    <t>EXP100297</t>
  </si>
  <si>
    <t>AX757847734</t>
  </si>
  <si>
    <t>EXP100298</t>
  </si>
  <si>
    <t>ax869191850</t>
  </si>
  <si>
    <t>EXP100299</t>
  </si>
  <si>
    <t>EXP100300</t>
  </si>
  <si>
    <t>AX130195995</t>
  </si>
  <si>
    <t>EXP100301</t>
  </si>
  <si>
    <t>AX 106974841</t>
  </si>
  <si>
    <t>EXP100302</t>
  </si>
  <si>
    <t>AX961654757</t>
  </si>
  <si>
    <t>EXP100303</t>
  </si>
  <si>
    <t>EXP100304</t>
  </si>
  <si>
    <t>AX715957443</t>
  </si>
  <si>
    <t>EXP100305</t>
  </si>
  <si>
    <t>E023</t>
  </si>
  <si>
    <t>AX-947011854</t>
  </si>
  <si>
    <t>EXP100306</t>
  </si>
  <si>
    <t>ax256769314</t>
  </si>
  <si>
    <t>EXP100307</t>
  </si>
  <si>
    <t>E135</t>
  </si>
  <si>
    <t>ax740043032</t>
  </si>
  <si>
    <t>EXP100308</t>
  </si>
  <si>
    <t>EXP100309</t>
  </si>
  <si>
    <t>AX108360753</t>
  </si>
  <si>
    <t>EXP100310</t>
  </si>
  <si>
    <t>E143</t>
  </si>
  <si>
    <t>ax765972970</t>
  </si>
  <si>
    <t xml:space="preserve"> SOUTHWEST AIR 5261823</t>
  </si>
  <si>
    <t>EXP100311</t>
  </si>
  <si>
    <t>ax699353459</t>
  </si>
  <si>
    <t>EXP100312</t>
  </si>
  <si>
    <t>AX619363214</t>
  </si>
  <si>
    <t>EXP100313</t>
  </si>
  <si>
    <t>EXP100314</t>
  </si>
  <si>
    <t>AX-920059277</t>
  </si>
  <si>
    <t>EXP100315</t>
  </si>
  <si>
    <t>E056</t>
  </si>
  <si>
    <t>AX144994930</t>
  </si>
  <si>
    <t>EXP100316</t>
  </si>
  <si>
    <t>EXP100317</t>
  </si>
  <si>
    <t>E058</t>
  </si>
  <si>
    <t>AX316325086</t>
  </si>
  <si>
    <t>EXP100318</t>
  </si>
  <si>
    <t>AX599178230</t>
  </si>
  <si>
    <t>EXP100319</t>
  </si>
  <si>
    <t>EXP100320</t>
  </si>
  <si>
    <t>EXP100321</t>
  </si>
  <si>
    <t>E157</t>
  </si>
  <si>
    <t>AX169116238</t>
  </si>
  <si>
    <t>EXP100322</t>
  </si>
  <si>
    <t>E004</t>
  </si>
  <si>
    <t>ax902244812</t>
  </si>
  <si>
    <t>EXP100323</t>
  </si>
  <si>
    <t>AX 409778005</t>
  </si>
  <si>
    <t>EXP100324</t>
  </si>
  <si>
    <t>AX-890013602</t>
  </si>
  <si>
    <t>EXP100325</t>
  </si>
  <si>
    <t>ax601027181</t>
  </si>
  <si>
    <t>EXP100326</t>
  </si>
  <si>
    <t>E078</t>
  </si>
  <si>
    <t>ax587873480</t>
  </si>
  <si>
    <t>EXP100327</t>
  </si>
  <si>
    <t>AX971554861</t>
  </si>
  <si>
    <t>EXP100328</t>
  </si>
  <si>
    <t>AX 917334189</t>
  </si>
  <si>
    <t>EXP100329</t>
  </si>
  <si>
    <t>AX985806598</t>
  </si>
  <si>
    <t>EXP100330</t>
  </si>
  <si>
    <t>AX-934869880</t>
  </si>
  <si>
    <t>EXP100331</t>
  </si>
  <si>
    <t>ax211026780</t>
  </si>
  <si>
    <t>EXP100332</t>
  </si>
  <si>
    <t>E037</t>
  </si>
  <si>
    <t>ax710784387</t>
  </si>
  <si>
    <t>EXP100334</t>
  </si>
  <si>
    <t>ax878203964</t>
  </si>
  <si>
    <t>EXP100335</t>
  </si>
  <si>
    <t>AX-244305932</t>
  </si>
  <si>
    <t>EXP100336</t>
  </si>
  <si>
    <t>ax565936014</t>
  </si>
  <si>
    <t>EXP100337</t>
  </si>
  <si>
    <t>EXP100338</t>
  </si>
  <si>
    <t>AX996147851</t>
  </si>
  <si>
    <t>EXP100339</t>
  </si>
  <si>
    <t>EXP100341</t>
  </si>
  <si>
    <t>AX 985460570</t>
  </si>
  <si>
    <t>EXP100342</t>
  </si>
  <si>
    <t>E216</t>
  </si>
  <si>
    <t>AX-934236561</t>
  </si>
  <si>
    <t>EXP100343</t>
  </si>
  <si>
    <t>AX892911976</t>
  </si>
  <si>
    <t>EXP100344</t>
  </si>
  <si>
    <t>E142</t>
  </si>
  <si>
    <t>EXP100345</t>
  </si>
  <si>
    <t>E012</t>
  </si>
  <si>
    <t>AX-830597614</t>
  </si>
  <si>
    <t>EXP100346</t>
  </si>
  <si>
    <t>ax962923104</t>
  </si>
  <si>
    <t>EXP100347</t>
  </si>
  <si>
    <t>ax435859339</t>
  </si>
  <si>
    <t>EXP100348</t>
  </si>
  <si>
    <t>ax496324916</t>
  </si>
  <si>
    <t>EXP100349</t>
  </si>
  <si>
    <t>E247</t>
  </si>
  <si>
    <t>AX259633613</t>
  </si>
  <si>
    <t>EXP100350</t>
  </si>
  <si>
    <t>E261</t>
  </si>
  <si>
    <t>EXP100351</t>
  </si>
  <si>
    <t>AX558069556</t>
  </si>
  <si>
    <t>EXP100352</t>
  </si>
  <si>
    <t>AX642275593</t>
  </si>
  <si>
    <t>EXP100353</t>
  </si>
  <si>
    <t>E123</t>
  </si>
  <si>
    <t>AX755383723</t>
  </si>
  <si>
    <t>EXP100354</t>
  </si>
  <si>
    <t>AX 709897786</t>
  </si>
  <si>
    <t>EXP100355</t>
  </si>
  <si>
    <t>AX 769497880</t>
  </si>
  <si>
    <t>EXP100357</t>
  </si>
  <si>
    <t>E001</t>
  </si>
  <si>
    <t>EXP100358</t>
  </si>
  <si>
    <t>AX783292709</t>
  </si>
  <si>
    <t>EXP100359</t>
  </si>
  <si>
    <t>ax768168962</t>
  </si>
  <si>
    <t>EXP100360</t>
  </si>
  <si>
    <t>AX-453946693</t>
  </si>
  <si>
    <t>EXP100361</t>
  </si>
  <si>
    <t>EXP100362</t>
  </si>
  <si>
    <t>E266</t>
  </si>
  <si>
    <t>AX-212209297</t>
  </si>
  <si>
    <t>EXP100363</t>
  </si>
  <si>
    <t>AX792406585</t>
  </si>
  <si>
    <t>EXP100364</t>
  </si>
  <si>
    <t>ax361729428</t>
  </si>
  <si>
    <t>EXP100365</t>
  </si>
  <si>
    <t>E182</t>
  </si>
  <si>
    <t>AX-117314911</t>
  </si>
  <si>
    <t>EXP100366</t>
  </si>
  <si>
    <t>EXP100367</t>
  </si>
  <si>
    <t>AX466986612</t>
  </si>
  <si>
    <t>EXP100368</t>
  </si>
  <si>
    <t>AX828790838</t>
  </si>
  <si>
    <t>EXP100369</t>
  </si>
  <si>
    <t>AX 976381037</t>
  </si>
  <si>
    <t>EXP100370</t>
  </si>
  <si>
    <t>AX504857531</t>
  </si>
  <si>
    <t>EXP100371</t>
  </si>
  <si>
    <t>AX329880509</t>
  </si>
  <si>
    <t>EXP100372</t>
  </si>
  <si>
    <t>ax344081250</t>
  </si>
  <si>
    <t>EXP100373</t>
  </si>
  <si>
    <t>E014</t>
  </si>
  <si>
    <t>AX605724295</t>
  </si>
  <si>
    <t>EXP100374</t>
  </si>
  <si>
    <t>AX205021746</t>
  </si>
  <si>
    <t>EXP100375</t>
  </si>
  <si>
    <t>EXP100376</t>
  </si>
  <si>
    <t>AX-253879439</t>
  </si>
  <si>
    <t>EXP100377</t>
  </si>
  <si>
    <t>EXP100378</t>
  </si>
  <si>
    <t>EXP100379</t>
  </si>
  <si>
    <t>AX369160188</t>
  </si>
  <si>
    <t>EXP100380</t>
  </si>
  <si>
    <t>EXP100381</t>
  </si>
  <si>
    <t>AX388225637</t>
  </si>
  <si>
    <t>EXP100382</t>
  </si>
  <si>
    <t>AX864584948</t>
  </si>
  <si>
    <t>EXP100383</t>
  </si>
  <si>
    <t>AX 533181598</t>
  </si>
  <si>
    <t>EXP100384</t>
  </si>
  <si>
    <t>E192</t>
  </si>
  <si>
    <t>ax627081589</t>
  </si>
  <si>
    <t>EXP100385</t>
  </si>
  <si>
    <t>E271</t>
  </si>
  <si>
    <t>ax814622173</t>
  </si>
  <si>
    <t>EXP100386</t>
  </si>
  <si>
    <t>AX-750221734</t>
  </si>
  <si>
    <t>EXP100387</t>
  </si>
  <si>
    <t>AX442583138</t>
  </si>
  <si>
    <t>EXP100388</t>
  </si>
  <si>
    <t>AX-748476088</t>
  </si>
  <si>
    <t>EXP100389</t>
  </si>
  <si>
    <t>AX-259563058</t>
  </si>
  <si>
    <t>EXP100390</t>
  </si>
  <si>
    <t>AX922523651</t>
  </si>
  <si>
    <t>EXP100391</t>
  </si>
  <si>
    <t>ax737924724</t>
  </si>
  <si>
    <t>EXP100392</t>
  </si>
  <si>
    <t>AX902030704</t>
  </si>
  <si>
    <t>EXP100393</t>
  </si>
  <si>
    <t>AX906606439</t>
  </si>
  <si>
    <t>EXP100394</t>
  </si>
  <si>
    <t>EXP100395</t>
  </si>
  <si>
    <t>AX626736650</t>
  </si>
  <si>
    <t>EXP100396</t>
  </si>
  <si>
    <t>E132</t>
  </si>
  <si>
    <t>AX796507133</t>
  </si>
  <si>
    <t>EXP100397</t>
  </si>
  <si>
    <t>AX564180654</t>
  </si>
  <si>
    <t>EXP100398</t>
  </si>
  <si>
    <t>AX574438003</t>
  </si>
  <si>
    <t>EXP100399</t>
  </si>
  <si>
    <t>AX237340691</t>
  </si>
  <si>
    <t>EXP100400</t>
  </si>
  <si>
    <t>AX789788830</t>
  </si>
  <si>
    <t>EXP100401</t>
  </si>
  <si>
    <t>AX127225149</t>
  </si>
  <si>
    <t>EXP100402</t>
  </si>
  <si>
    <t>EXP100403</t>
  </si>
  <si>
    <t>AX839324640</t>
  </si>
  <si>
    <t>EXP100404</t>
  </si>
  <si>
    <t>AX240555916</t>
  </si>
  <si>
    <t>EXP100405</t>
  </si>
  <si>
    <t>AX165119127</t>
  </si>
  <si>
    <t>EXP100406</t>
  </si>
  <si>
    <t>EXP100407</t>
  </si>
  <si>
    <t>AX 934036997</t>
  </si>
  <si>
    <t>EXP100408</t>
  </si>
  <si>
    <t>ax782732853</t>
  </si>
  <si>
    <t>EXP100409</t>
  </si>
  <si>
    <t>AX-333548923</t>
  </si>
  <si>
    <t>EXP100410</t>
  </si>
  <si>
    <t>ax771759935</t>
  </si>
  <si>
    <t>EXP100411</t>
  </si>
  <si>
    <t>AX 361751609</t>
  </si>
  <si>
    <t>EXP100412</t>
  </si>
  <si>
    <t>EXP100413</t>
  </si>
  <si>
    <t>AX243334664</t>
  </si>
  <si>
    <t>EXP100414</t>
  </si>
  <si>
    <t>AX 164684494</t>
  </si>
  <si>
    <t>EXP100415</t>
  </si>
  <si>
    <t>ax245674061</t>
  </si>
  <si>
    <t>EXP100416</t>
  </si>
  <si>
    <t>AX-901629905</t>
  </si>
  <si>
    <t>EXP100417</t>
  </si>
  <si>
    <t>AX738173546</t>
  </si>
  <si>
    <t>EXP100418</t>
  </si>
  <si>
    <t>AX261738259</t>
  </si>
  <si>
    <t>EXP100419</t>
  </si>
  <si>
    <t>AX870727580</t>
  </si>
  <si>
    <t>EXP100420</t>
  </si>
  <si>
    <t>ax513329270</t>
  </si>
  <si>
    <t>EXP100421</t>
  </si>
  <si>
    <t>ax457192162</t>
  </si>
  <si>
    <t>EXP100422</t>
  </si>
  <si>
    <t>ax400525252</t>
  </si>
  <si>
    <t>EXP100423</t>
  </si>
  <si>
    <t>EXP100424</t>
  </si>
  <si>
    <t>EXP100425</t>
  </si>
  <si>
    <t>AX 464347681</t>
  </si>
  <si>
    <t>EXP100426</t>
  </si>
  <si>
    <t>ax725759297</t>
  </si>
  <si>
    <t>EXP100427</t>
  </si>
  <si>
    <t>AX462317494</t>
  </si>
  <si>
    <t>EXP100428</t>
  </si>
  <si>
    <t>E206</t>
  </si>
  <si>
    <t>AX774113342</t>
  </si>
  <si>
    <t>EXP100429</t>
  </si>
  <si>
    <t>AX641166805</t>
  </si>
  <si>
    <t>EXP100430</t>
  </si>
  <si>
    <t>EXP100431</t>
  </si>
  <si>
    <t>AX813256384</t>
  </si>
  <si>
    <t>EXP100432</t>
  </si>
  <si>
    <t>AX 968405738</t>
  </si>
  <si>
    <t>EXP100433</t>
  </si>
  <si>
    <t>E139</t>
  </si>
  <si>
    <t>AX663532117</t>
  </si>
  <si>
    <t>EXP100434</t>
  </si>
  <si>
    <t>E224</t>
  </si>
  <si>
    <t>AX633505417</t>
  </si>
  <si>
    <t>EXP100435</t>
  </si>
  <si>
    <t>EXP100436</t>
  </si>
  <si>
    <t xml:space="preserve"> REGION CATERING CO</t>
  </si>
  <si>
    <t>EXP100437</t>
  </si>
  <si>
    <t>ax365469468</t>
  </si>
  <si>
    <t>EXP100438</t>
  </si>
  <si>
    <t>ax786747582</t>
  </si>
  <si>
    <t>EXP100439</t>
  </si>
  <si>
    <t>AX622809469</t>
  </si>
  <si>
    <t>EXP100440</t>
  </si>
  <si>
    <t>AX159546846</t>
  </si>
  <si>
    <t>EXP100441</t>
  </si>
  <si>
    <t>EXP100442</t>
  </si>
  <si>
    <t>AX-447170593</t>
  </si>
  <si>
    <t>EXP100443</t>
  </si>
  <si>
    <t>AX 181434036</t>
  </si>
  <si>
    <t>EXP100444</t>
  </si>
  <si>
    <t>EXP100445</t>
  </si>
  <si>
    <t>AX480366000</t>
  </si>
  <si>
    <t>EXP100446</t>
  </si>
  <si>
    <t>AX675237259</t>
  </si>
  <si>
    <t>EXP100447</t>
  </si>
  <si>
    <t>AX 389885503</t>
  </si>
  <si>
    <t>EXP100448</t>
  </si>
  <si>
    <t>AX893395877</t>
  </si>
  <si>
    <t>EXP100449</t>
  </si>
  <si>
    <t>AX454692899</t>
  </si>
  <si>
    <t>EXP100450</t>
  </si>
  <si>
    <t>ax925939263</t>
  </si>
  <si>
    <t>EXP100451</t>
  </si>
  <si>
    <t>AX-390028976</t>
  </si>
  <si>
    <t>EXP100452</t>
  </si>
  <si>
    <t>AX570980987</t>
  </si>
  <si>
    <t>EXP100453</t>
  </si>
  <si>
    <t>AX132498530</t>
  </si>
  <si>
    <t>EXP100454</t>
  </si>
  <si>
    <t>ax953328624</t>
  </si>
  <si>
    <t>EXP100455</t>
  </si>
  <si>
    <t>EXP100456</t>
  </si>
  <si>
    <t>AX 806062404</t>
  </si>
  <si>
    <t>EXP100457</t>
  </si>
  <si>
    <t>E145</t>
  </si>
  <si>
    <t>AX902655890</t>
  </si>
  <si>
    <t>EXP100458</t>
  </si>
  <si>
    <t>E259</t>
  </si>
  <si>
    <t>AX729261396</t>
  </si>
  <si>
    <t>EXP100459</t>
  </si>
  <si>
    <t>E230</t>
  </si>
  <si>
    <t>AX671742221</t>
  </si>
  <si>
    <t>EXP100460</t>
  </si>
  <si>
    <t>E098</t>
  </si>
  <si>
    <t>AX960488985</t>
  </si>
  <si>
    <t>EXP100461</t>
  </si>
  <si>
    <t>E173</t>
  </si>
  <si>
    <t>AX571220588</t>
  </si>
  <si>
    <t>EXP100462</t>
  </si>
  <si>
    <t>E166</t>
  </si>
  <si>
    <t>AX 317959784</t>
  </si>
  <si>
    <t>EXP100463</t>
  </si>
  <si>
    <t>AX610917640</t>
  </si>
  <si>
    <t>EXP100464</t>
  </si>
  <si>
    <t>EXP100465</t>
  </si>
  <si>
    <t>E170</t>
  </si>
  <si>
    <t>AX 721526681</t>
  </si>
  <si>
    <t>EXP100466</t>
  </si>
  <si>
    <t>ax657617608</t>
  </si>
  <si>
    <t>EXP100467</t>
  </si>
  <si>
    <t>AX779153673</t>
  </si>
  <si>
    <t>EXP100468</t>
  </si>
  <si>
    <t>AX-298325109</t>
  </si>
  <si>
    <t>EXP100469</t>
  </si>
  <si>
    <t>ax814821365</t>
  </si>
  <si>
    <t>EXP100470</t>
  </si>
  <si>
    <t>AX 533592927</t>
  </si>
  <si>
    <t>EXP100471</t>
  </si>
  <si>
    <t>AX-332006700</t>
  </si>
  <si>
    <t>EXP100472</t>
  </si>
  <si>
    <t>AX 988038069</t>
  </si>
  <si>
    <t>EXP100473</t>
  </si>
  <si>
    <t>EXP100474</t>
  </si>
  <si>
    <t>EXP100475</t>
  </si>
  <si>
    <t>E194</t>
  </si>
  <si>
    <t>AX300163469</t>
  </si>
  <si>
    <t>EXP100476</t>
  </si>
  <si>
    <t>E197</t>
  </si>
  <si>
    <t>AX704458560</t>
  </si>
  <si>
    <t>EXP100478</t>
  </si>
  <si>
    <t>AX 870648971</t>
  </si>
  <si>
    <t>EXP100479</t>
  </si>
  <si>
    <t>AX587638650</t>
  </si>
  <si>
    <t>EXP100480</t>
  </si>
  <si>
    <t>ax185748038</t>
  </si>
  <si>
    <t>EXP100481</t>
  </si>
  <si>
    <t>E176</t>
  </si>
  <si>
    <t>AX766683555</t>
  </si>
  <si>
    <t>EXP100482</t>
  </si>
  <si>
    <t>ax701481781</t>
  </si>
  <si>
    <t>EXP100483</t>
  </si>
  <si>
    <t>AX-702910462</t>
  </si>
  <si>
    <t>EXP100484</t>
  </si>
  <si>
    <t>AX130857469</t>
  </si>
  <si>
    <t>EXP100485</t>
  </si>
  <si>
    <t>ax497099579</t>
  </si>
  <si>
    <t>EXP100486</t>
  </si>
  <si>
    <t>E186</t>
  </si>
  <si>
    <t>AX723722166</t>
  </si>
  <si>
    <t>EXP100487</t>
  </si>
  <si>
    <t>ax920950929</t>
  </si>
  <si>
    <t>EXP100488</t>
  </si>
  <si>
    <t>E105</t>
  </si>
  <si>
    <t>AX 416519824</t>
  </si>
  <si>
    <t>EXP100489</t>
  </si>
  <si>
    <t>AX-437948137</t>
  </si>
  <si>
    <t>EXP100490</t>
  </si>
  <si>
    <t>E239</t>
  </si>
  <si>
    <t>AX722156498</t>
  </si>
  <si>
    <t>EXP100491</t>
  </si>
  <si>
    <t>AX 979469427</t>
  </si>
  <si>
    <t>EXP100492</t>
  </si>
  <si>
    <t>EXP100493</t>
  </si>
  <si>
    <t>ax866159480</t>
  </si>
  <si>
    <t>EXP100494</t>
  </si>
  <si>
    <t>E257</t>
  </si>
  <si>
    <t>AX233782604</t>
  </si>
  <si>
    <t>EXP100495</t>
  </si>
  <si>
    <t>AX129742506</t>
  </si>
  <si>
    <t>EXP100496</t>
  </si>
  <si>
    <t>AX358068518</t>
  </si>
  <si>
    <t>EXP100497</t>
  </si>
  <si>
    <t>AX-376005387</t>
  </si>
  <si>
    <t>EXP100498</t>
  </si>
  <si>
    <t>EXP100499</t>
  </si>
  <si>
    <t>AX428548249</t>
  </si>
  <si>
    <t>EXP100500</t>
  </si>
  <si>
    <t>EXP100501</t>
  </si>
  <si>
    <t>E220</t>
  </si>
  <si>
    <t>AX121329005</t>
  </si>
  <si>
    <t>EXP100502</t>
  </si>
  <si>
    <t>AX958119103</t>
  </si>
  <si>
    <t>EXP100503</t>
  </si>
  <si>
    <t>E160</t>
  </si>
  <si>
    <t>EXP100504</t>
  </si>
  <si>
    <t>E275</t>
  </si>
  <si>
    <t>EXP100505</t>
  </si>
  <si>
    <t>ax276686025</t>
  </si>
  <si>
    <t>EXP100506</t>
  </si>
  <si>
    <t>AX209015771</t>
  </si>
  <si>
    <t>EXP100507</t>
  </si>
  <si>
    <t>AX683728672</t>
  </si>
  <si>
    <t>EXP100508</t>
  </si>
  <si>
    <t>AX-806123090</t>
  </si>
  <si>
    <t>EXP100509</t>
  </si>
  <si>
    <t>AX576146209</t>
  </si>
  <si>
    <t>EXP100510</t>
  </si>
  <si>
    <t>AX607515684</t>
  </si>
  <si>
    <t>EXP100511</t>
  </si>
  <si>
    <t>EXP100512</t>
  </si>
  <si>
    <t>AX788525185</t>
  </si>
  <si>
    <t>EXP100513</t>
  </si>
  <si>
    <t>ax176217868</t>
  </si>
  <si>
    <t>EXP100514</t>
  </si>
  <si>
    <t>AX 185053467</t>
  </si>
  <si>
    <t>EXP100515</t>
  </si>
  <si>
    <t>AX 454173996</t>
  </si>
  <si>
    <t>EXP100516</t>
  </si>
  <si>
    <t>ax223992379</t>
  </si>
  <si>
    <t>EXP100517</t>
  </si>
  <si>
    <t>EXP100518</t>
  </si>
  <si>
    <t>AX476527762</t>
  </si>
  <si>
    <t>EXP100520</t>
  </si>
  <si>
    <t>ax403842097</t>
  </si>
  <si>
    <t>EXP100521</t>
  </si>
  <si>
    <t>AX-710439656</t>
  </si>
  <si>
    <t>EXP100522</t>
  </si>
  <si>
    <t>ax464837791</t>
  </si>
  <si>
    <t>EXP100523</t>
  </si>
  <si>
    <t>EXP100524</t>
  </si>
  <si>
    <t>EXP100525</t>
  </si>
  <si>
    <t>AX551055468</t>
  </si>
  <si>
    <t>EXP100526</t>
  </si>
  <si>
    <t>AX297381539</t>
  </si>
  <si>
    <t>EXP100527</t>
  </si>
  <si>
    <t>ax456636080</t>
  </si>
  <si>
    <t>EXP100528</t>
  </si>
  <si>
    <t>AX 539270391</t>
  </si>
  <si>
    <t>EXP100529</t>
  </si>
  <si>
    <t>E097</t>
  </si>
  <si>
    <t>AX-168456147</t>
  </si>
  <si>
    <t>EXP100530</t>
  </si>
  <si>
    <t>ax867992510</t>
  </si>
  <si>
    <t>EXP100531</t>
  </si>
  <si>
    <t>AX219418239</t>
  </si>
  <si>
    <t>EXP100532</t>
  </si>
  <si>
    <t>AX678877356</t>
  </si>
  <si>
    <t>EXP100533</t>
  </si>
  <si>
    <t>AX 651009837</t>
  </si>
  <si>
    <t>EXP100534</t>
  </si>
  <si>
    <t>AX199754208</t>
  </si>
  <si>
    <t>EXP100535</t>
  </si>
  <si>
    <t>AX 982847258</t>
  </si>
  <si>
    <t>EXP100536</t>
  </si>
  <si>
    <t>AX215333978</t>
  </si>
  <si>
    <t>EXP100537</t>
  </si>
  <si>
    <t>AX360615614</t>
  </si>
  <si>
    <t>EXP100538</t>
  </si>
  <si>
    <t>AX377741879</t>
  </si>
  <si>
    <t>EXP100539</t>
  </si>
  <si>
    <t>AX291466752</t>
  </si>
  <si>
    <t>EXP100540</t>
  </si>
  <si>
    <t>AX616046912</t>
  </si>
  <si>
    <t>EXP100541</t>
  </si>
  <si>
    <t>AX451424338</t>
  </si>
  <si>
    <t>EXP100542</t>
  </si>
  <si>
    <t>E236</t>
  </si>
  <si>
    <t>AX710454817</t>
  </si>
  <si>
    <t>EXP100543</t>
  </si>
  <si>
    <t>AX237810594</t>
  </si>
  <si>
    <t>EXP100544</t>
  </si>
  <si>
    <t>AX805714767</t>
  </si>
  <si>
    <t>EXP100545</t>
  </si>
  <si>
    <t>E180</t>
  </si>
  <si>
    <t>ax215343899</t>
  </si>
  <si>
    <t>EXP100546</t>
  </si>
  <si>
    <t>AX352441764</t>
  </si>
  <si>
    <t>EXP100547</t>
  </si>
  <si>
    <t>AX295874037</t>
  </si>
  <si>
    <t>EXP100548</t>
  </si>
  <si>
    <t>EXP100549</t>
  </si>
  <si>
    <t>EXP100550</t>
  </si>
  <si>
    <t>AX975307358</t>
  </si>
  <si>
    <t>EXP100551</t>
  </si>
  <si>
    <t>AX 622199379</t>
  </si>
  <si>
    <t>EXP100552</t>
  </si>
  <si>
    <t>AX228259133</t>
  </si>
  <si>
    <t>EXP100553</t>
  </si>
  <si>
    <t>EXP100554</t>
  </si>
  <si>
    <t>E268</t>
  </si>
  <si>
    <t>AX488456373</t>
  </si>
  <si>
    <t>EXP100555</t>
  </si>
  <si>
    <t>AX116641095</t>
  </si>
  <si>
    <t>EXP100556</t>
  </si>
  <si>
    <t>ax737746647</t>
  </si>
  <si>
    <t>EXP100557</t>
  </si>
  <si>
    <t>AX279638818</t>
  </si>
  <si>
    <t>EXP100558</t>
  </si>
  <si>
    <t>ax710093666</t>
  </si>
  <si>
    <t>EXP100559</t>
  </si>
  <si>
    <t>AX260914891</t>
  </si>
  <si>
    <t>EXP100560</t>
  </si>
  <si>
    <t>EXP100561</t>
  </si>
  <si>
    <t>AX269292808</t>
  </si>
  <si>
    <t>EXP100562</t>
  </si>
  <si>
    <t>AX312392100</t>
  </si>
  <si>
    <t>EXP100563</t>
  </si>
  <si>
    <t>AX847138342</t>
  </si>
  <si>
    <t>EXP100564</t>
  </si>
  <si>
    <t>EXP100565</t>
  </si>
  <si>
    <t>ax311017119</t>
  </si>
  <si>
    <t>EXP100566</t>
  </si>
  <si>
    <t>AX-344252643</t>
  </si>
  <si>
    <t>EXP100567</t>
  </si>
  <si>
    <t>AX280266437</t>
  </si>
  <si>
    <t>EXP100568</t>
  </si>
  <si>
    <t>AX683727841</t>
  </si>
  <si>
    <t>EXP100569</t>
  </si>
  <si>
    <t>AX727585579</t>
  </si>
  <si>
    <t>EXP100570</t>
  </si>
  <si>
    <t>AX680056553</t>
  </si>
  <si>
    <t>EXP100571</t>
  </si>
  <si>
    <t>EXP100572</t>
  </si>
  <si>
    <t>AX 668795915</t>
  </si>
  <si>
    <t>EXP100573</t>
  </si>
  <si>
    <t>EXP100574</t>
  </si>
  <si>
    <t>ax796718159</t>
  </si>
  <si>
    <t>EXP100575</t>
  </si>
  <si>
    <t>AX550387186</t>
  </si>
  <si>
    <t>EXP100576</t>
  </si>
  <si>
    <t>AX-950321609</t>
  </si>
  <si>
    <t>EXP100577</t>
  </si>
  <si>
    <t>AX697486654</t>
  </si>
  <si>
    <t>EXP100578</t>
  </si>
  <si>
    <t>AX 718342049</t>
  </si>
  <si>
    <t>EXP100579</t>
  </si>
  <si>
    <t>AX749445483</t>
  </si>
  <si>
    <t>EXP100580</t>
  </si>
  <si>
    <t>AX-948846674</t>
  </si>
  <si>
    <t>EXP100581</t>
  </si>
  <si>
    <t>AX210265159</t>
  </si>
  <si>
    <t>EXP100582</t>
  </si>
  <si>
    <t>AX190248063</t>
  </si>
  <si>
    <t>EXP100583</t>
  </si>
  <si>
    <t>AX392566120</t>
  </si>
  <si>
    <t>EXP100584</t>
  </si>
  <si>
    <t>EXP100585</t>
  </si>
  <si>
    <t>AX925302067</t>
  </si>
  <si>
    <t>EXP100586</t>
  </si>
  <si>
    <t xml:space="preserve"> HILTON GARDEN INN 2231</t>
  </si>
  <si>
    <t>EXP100587</t>
  </si>
  <si>
    <t>AX-650022094</t>
  </si>
  <si>
    <t>EXP100588</t>
  </si>
  <si>
    <t>AX-219512927</t>
  </si>
  <si>
    <t>EXP100589</t>
  </si>
  <si>
    <t>AX 262726127</t>
  </si>
  <si>
    <t>EXP100590</t>
  </si>
  <si>
    <t>EXP100591</t>
  </si>
  <si>
    <t>AX-765180295</t>
  </si>
  <si>
    <t>EXP100592</t>
  </si>
  <si>
    <t>AX-587874181</t>
  </si>
  <si>
    <t>EXP100593</t>
  </si>
  <si>
    <t>AX863273027</t>
  </si>
  <si>
    <t>EXP100594</t>
  </si>
  <si>
    <t>AX602618650</t>
  </si>
  <si>
    <t>EXP100595</t>
  </si>
  <si>
    <t>ax234366572</t>
  </si>
  <si>
    <t>EXP100596</t>
  </si>
  <si>
    <t>AX247053360</t>
  </si>
  <si>
    <t>EXP100597</t>
  </si>
  <si>
    <t>AX413824624</t>
  </si>
  <si>
    <t>EXP100598</t>
  </si>
  <si>
    <t>ax722063695</t>
  </si>
  <si>
    <t>EXP100599</t>
  </si>
  <si>
    <t>AX540889532</t>
  </si>
  <si>
    <t>EXP100600</t>
  </si>
  <si>
    <t>AX-572388757</t>
  </si>
  <si>
    <t>EXP100601</t>
  </si>
  <si>
    <t>AX438472254</t>
  </si>
  <si>
    <t>EXP100602</t>
  </si>
  <si>
    <t>AX177558678</t>
  </si>
  <si>
    <t>EXP100603</t>
  </si>
  <si>
    <t>AX237661685</t>
  </si>
  <si>
    <t>EXP100605</t>
  </si>
  <si>
    <t>ax875989948</t>
  </si>
  <si>
    <t>EXP100606</t>
  </si>
  <si>
    <t>E084</t>
  </si>
  <si>
    <t>AX437355966</t>
  </si>
  <si>
    <t>EXP100607</t>
  </si>
  <si>
    <t>ax750287250</t>
  </si>
  <si>
    <t>EXP100608</t>
  </si>
  <si>
    <t>AX250803812</t>
  </si>
  <si>
    <t>EXP100609</t>
  </si>
  <si>
    <t>AX-288931524</t>
  </si>
  <si>
    <t>EXP100610</t>
  </si>
  <si>
    <t>ax385298074</t>
  </si>
  <si>
    <t>EXP100611</t>
  </si>
  <si>
    <t>AX 269890929</t>
  </si>
  <si>
    <t>EXP100612</t>
  </si>
  <si>
    <t>AX 418586550</t>
  </si>
  <si>
    <t>EXP100613</t>
  </si>
  <si>
    <t>AX248597153</t>
  </si>
  <si>
    <t>EXP100614</t>
  </si>
  <si>
    <t>EXP100615</t>
  </si>
  <si>
    <t>EXP100616</t>
  </si>
  <si>
    <t>ax538938709</t>
  </si>
  <si>
    <t>EXP100617</t>
  </si>
  <si>
    <t xml:space="preserve"> MARRIOTT #4471</t>
  </si>
  <si>
    <t>EXP100618</t>
  </si>
  <si>
    <t>E072</t>
  </si>
  <si>
    <t>AX 920187373</t>
  </si>
  <si>
    <t>EXP100619</t>
  </si>
  <si>
    <t>AX-871944690</t>
  </si>
  <si>
    <t>EXP100620</t>
  </si>
  <si>
    <t>E207</t>
  </si>
  <si>
    <t>AX426931324</t>
  </si>
  <si>
    <t>EXP100621</t>
  </si>
  <si>
    <t>AX647435152</t>
  </si>
  <si>
    <t>EXP100622</t>
  </si>
  <si>
    <t>EXP100623</t>
  </si>
  <si>
    <t>AX756316021</t>
  </si>
  <si>
    <t>EXP100624</t>
  </si>
  <si>
    <t>EXP100625</t>
  </si>
  <si>
    <t>EXP100626</t>
  </si>
  <si>
    <t>EXP100627</t>
  </si>
  <si>
    <t>ax490538666</t>
  </si>
  <si>
    <t>EXP100628</t>
  </si>
  <si>
    <t>E130</t>
  </si>
  <si>
    <t>ax184481097</t>
  </si>
  <si>
    <t xml:space="preserve">  Entertainment </t>
  </si>
  <si>
    <t>EXP100629</t>
  </si>
  <si>
    <t>EXP100630</t>
  </si>
  <si>
    <t>AX566897928</t>
  </si>
  <si>
    <t>EXP100631</t>
  </si>
  <si>
    <t>AX 811632852</t>
  </si>
  <si>
    <t>EXP100632</t>
  </si>
  <si>
    <t>AX-410471315</t>
  </si>
  <si>
    <t>EXP100633</t>
  </si>
  <si>
    <t>AX-938349528</t>
  </si>
  <si>
    <t>EXP100634</t>
  </si>
  <si>
    <t>AX271671351</t>
  </si>
  <si>
    <t>EXP100635</t>
  </si>
  <si>
    <t>ax288613038</t>
  </si>
  <si>
    <t>EXP100636</t>
  </si>
  <si>
    <t>AX-939156567</t>
  </si>
  <si>
    <t>EXP100637</t>
  </si>
  <si>
    <t>AX 481177835</t>
  </si>
  <si>
    <t>EXP100638</t>
  </si>
  <si>
    <t>AX873901053</t>
  </si>
  <si>
    <t>EXP100639</t>
  </si>
  <si>
    <t>AX608173744</t>
  </si>
  <si>
    <t>EXP100640</t>
  </si>
  <si>
    <t>AX-619121831</t>
  </si>
  <si>
    <t xml:space="preserve"> TOPGOLF #442</t>
  </si>
  <si>
    <t>EXP100641</t>
  </si>
  <si>
    <t>EXP100642</t>
  </si>
  <si>
    <t>AX 902848744</t>
  </si>
  <si>
    <t>EXP100643</t>
  </si>
  <si>
    <t>AX567348223</t>
  </si>
  <si>
    <t>EXP100644</t>
  </si>
  <si>
    <t>AX536327460</t>
  </si>
  <si>
    <t>EXP100645</t>
  </si>
  <si>
    <t>AX512888430</t>
  </si>
  <si>
    <t xml:space="preserve">  Lodging </t>
  </si>
  <si>
    <t>EXP100646</t>
  </si>
  <si>
    <t>AX 571051276</t>
  </si>
  <si>
    <t>EXP100647</t>
  </si>
  <si>
    <t>AX333904751</t>
  </si>
  <si>
    <t>EXP100648</t>
  </si>
  <si>
    <t>AX950624061</t>
  </si>
  <si>
    <t>EXP100649</t>
  </si>
  <si>
    <t>AX 195627847</t>
  </si>
  <si>
    <t>EXP100650</t>
  </si>
  <si>
    <t>AX 448099549</t>
  </si>
  <si>
    <t>EXP100651</t>
  </si>
  <si>
    <t>E134</t>
  </si>
  <si>
    <t>AX162543273</t>
  </si>
  <si>
    <t>EXP100652</t>
  </si>
  <si>
    <t>E229</t>
  </si>
  <si>
    <t>AX 186844027</t>
  </si>
  <si>
    <t>EXP100653</t>
  </si>
  <si>
    <t>AX 821697159</t>
  </si>
  <si>
    <t>EXP100654</t>
  </si>
  <si>
    <t>E111</t>
  </si>
  <si>
    <t>AX310335676</t>
  </si>
  <si>
    <t>EXP100655</t>
  </si>
  <si>
    <t>EXP100656</t>
  </si>
  <si>
    <t>ax393351879</t>
  </si>
  <si>
    <t>EXP100657</t>
  </si>
  <si>
    <t>AX259885663</t>
  </si>
  <si>
    <t>EXP100658</t>
  </si>
  <si>
    <t>E021</t>
  </si>
  <si>
    <t>AX 769278138</t>
  </si>
  <si>
    <t>EXP100659</t>
  </si>
  <si>
    <t xml:space="preserve"> STAPLES #0231</t>
  </si>
  <si>
    <t>EXP100660</t>
  </si>
  <si>
    <t>E127</t>
  </si>
  <si>
    <t>ax157972647</t>
  </si>
  <si>
    <t>EXP100661</t>
  </si>
  <si>
    <t>EXP100662</t>
  </si>
  <si>
    <t>AX-805227812</t>
  </si>
  <si>
    <t>EXP100663</t>
  </si>
  <si>
    <t>AX467986096</t>
  </si>
  <si>
    <t>EXP100664</t>
  </si>
  <si>
    <t>EXP100665</t>
  </si>
  <si>
    <t>E272</t>
  </si>
  <si>
    <t>AX988932524</t>
  </si>
  <si>
    <t>EXP100666</t>
  </si>
  <si>
    <t>AX-906459285</t>
  </si>
  <si>
    <t>EXP100667</t>
  </si>
  <si>
    <t>AX567553795</t>
  </si>
  <si>
    <t>EXP100668</t>
  </si>
  <si>
    <t>EXP100669</t>
  </si>
  <si>
    <t>AX-870455989</t>
  </si>
  <si>
    <t>EXP100670</t>
  </si>
  <si>
    <t>AX795733868</t>
  </si>
  <si>
    <t>EXP100671</t>
  </si>
  <si>
    <t>AX-106953319</t>
  </si>
  <si>
    <t>EXP100672</t>
  </si>
  <si>
    <t>AX-551319515</t>
  </si>
  <si>
    <t>EXP100673</t>
  </si>
  <si>
    <t>AX371803539</t>
  </si>
  <si>
    <t>EXP100674</t>
  </si>
  <si>
    <t>AX160385041</t>
  </si>
  <si>
    <t>EXP100675</t>
  </si>
  <si>
    <t>EXP100676</t>
  </si>
  <si>
    <t>AX175521129</t>
  </si>
  <si>
    <t>EXP100677</t>
  </si>
  <si>
    <t>ax794891722</t>
  </si>
  <si>
    <t>EXP100678</t>
  </si>
  <si>
    <t>EXP100679</t>
  </si>
  <si>
    <t>AX 896335251</t>
  </si>
  <si>
    <t>EXP100680</t>
  </si>
  <si>
    <t>AX-867343205</t>
  </si>
  <si>
    <t>EXP100681</t>
  </si>
  <si>
    <t>AX422495424</t>
  </si>
  <si>
    <t>EXP100682</t>
  </si>
  <si>
    <t>AX533168269</t>
  </si>
  <si>
    <t>EXP100683</t>
  </si>
  <si>
    <t>E074</t>
  </si>
  <si>
    <t>ax241159363</t>
  </si>
  <si>
    <t>EXP100684</t>
  </si>
  <si>
    <t>AX171832231</t>
  </si>
  <si>
    <t>EXP100685</t>
  </si>
  <si>
    <t>AX-887085514</t>
  </si>
  <si>
    <t>EXP100686</t>
  </si>
  <si>
    <t>AX-250145898</t>
  </si>
  <si>
    <t>EXP100687</t>
  </si>
  <si>
    <t>AX 997847189</t>
  </si>
  <si>
    <t>EXP100688</t>
  </si>
  <si>
    <t>AX-638034848</t>
  </si>
  <si>
    <t>EXP100689</t>
  </si>
  <si>
    <t>AX745048610</t>
  </si>
  <si>
    <t>EXP100690</t>
  </si>
  <si>
    <t>E080</t>
  </si>
  <si>
    <t>AX390409486</t>
  </si>
  <si>
    <t>EXP100691</t>
  </si>
  <si>
    <t>AX702053439</t>
  </si>
  <si>
    <t>EXP100692</t>
  </si>
  <si>
    <t>EXP100693</t>
  </si>
  <si>
    <t>AX908579977</t>
  </si>
  <si>
    <t>EXP100694</t>
  </si>
  <si>
    <t>AX 148880680</t>
  </si>
  <si>
    <t>EXP100695</t>
  </si>
  <si>
    <t>EXP100696</t>
  </si>
  <si>
    <t>ax923560977</t>
  </si>
  <si>
    <t>EXP100697</t>
  </si>
  <si>
    <t>ax966856897</t>
  </si>
  <si>
    <t>EXP100698</t>
  </si>
  <si>
    <t>AX-197278575</t>
  </si>
  <si>
    <t>EXP100699</t>
  </si>
  <si>
    <t>EXP100700</t>
  </si>
  <si>
    <t>EXP100701</t>
  </si>
  <si>
    <t>AX838021740</t>
  </si>
  <si>
    <t>EXP100702</t>
  </si>
  <si>
    <t>AX913068363</t>
  </si>
  <si>
    <t>EXP100703</t>
  </si>
  <si>
    <t>AX340722314</t>
  </si>
  <si>
    <t>EXP100704</t>
  </si>
  <si>
    <t>AX-753886994</t>
  </si>
  <si>
    <t>EXP100705</t>
  </si>
  <si>
    <t>EXP100706</t>
  </si>
  <si>
    <t>E273</t>
  </si>
  <si>
    <t>AX279331336</t>
  </si>
  <si>
    <t>EXP100707</t>
  </si>
  <si>
    <t>AX859274099</t>
  </si>
  <si>
    <t>EXP100708</t>
  </si>
  <si>
    <t>AX178211729</t>
  </si>
  <si>
    <t>EXP100709</t>
  </si>
  <si>
    <t>AX800104155</t>
  </si>
  <si>
    <t>EXP100710</t>
  </si>
  <si>
    <t>AX-153746930</t>
  </si>
  <si>
    <t>EXP100711</t>
  </si>
  <si>
    <t>AX675259353</t>
  </si>
  <si>
    <t>EXP100712</t>
  </si>
  <si>
    <t>AX 314677075</t>
  </si>
  <si>
    <t>EXP100713</t>
  </si>
  <si>
    <t>AX958339474</t>
  </si>
  <si>
    <t>EXP100714</t>
  </si>
  <si>
    <t>AX-776907548</t>
  </si>
  <si>
    <t>EXP100715</t>
  </si>
  <si>
    <t>AX524911337</t>
  </si>
  <si>
    <t>EXP100716</t>
  </si>
  <si>
    <t>ax993212222</t>
  </si>
  <si>
    <t>EXP100717</t>
  </si>
  <si>
    <t>ax606911660</t>
  </si>
  <si>
    <t>EXP100718</t>
  </si>
  <si>
    <t>AX 509248172</t>
  </si>
  <si>
    <t>EXP100719</t>
  </si>
  <si>
    <t>AX850614521</t>
  </si>
  <si>
    <t>EXP100720</t>
  </si>
  <si>
    <t>EXP100721</t>
  </si>
  <si>
    <t>AX 322996668</t>
  </si>
  <si>
    <t>EXP100723</t>
  </si>
  <si>
    <t>AX778186934</t>
  </si>
  <si>
    <t>EXP100724</t>
  </si>
  <si>
    <t>EXP100725</t>
  </si>
  <si>
    <t>ax143962740</t>
  </si>
  <si>
    <t>EXP100726</t>
  </si>
  <si>
    <t>E263</t>
  </si>
  <si>
    <t>EXP100727</t>
  </si>
  <si>
    <t>E175</t>
  </si>
  <si>
    <t>AX-260951067</t>
  </si>
  <si>
    <t>EXP100728</t>
  </si>
  <si>
    <t>E114</t>
  </si>
  <si>
    <t>AX468148206</t>
  </si>
  <si>
    <t>EXP100729</t>
  </si>
  <si>
    <t>AX 697015147</t>
  </si>
  <si>
    <t>EXP100730</t>
  </si>
  <si>
    <t>E106</t>
  </si>
  <si>
    <t>AX146683205</t>
  </si>
  <si>
    <t>EXP100731</t>
  </si>
  <si>
    <t>ax707512362</t>
  </si>
  <si>
    <t>EXP100732</t>
  </si>
  <si>
    <t>EXP100733</t>
  </si>
  <si>
    <t>ax836600502</t>
  </si>
  <si>
    <t>EXP100734</t>
  </si>
  <si>
    <t>E267</t>
  </si>
  <si>
    <t>AX 932425850</t>
  </si>
  <si>
    <t>EXP100735</t>
  </si>
  <si>
    <t>AX660910370</t>
  </si>
  <si>
    <t>EXP100736</t>
  </si>
  <si>
    <t>EXP100737</t>
  </si>
  <si>
    <t>AX991448701</t>
  </si>
  <si>
    <t>EXP100738</t>
  </si>
  <si>
    <t>AX-670734602</t>
  </si>
  <si>
    <t>EXP100739</t>
  </si>
  <si>
    <t>EXP100740</t>
  </si>
  <si>
    <t>ax449804300</t>
  </si>
  <si>
    <t>EXP100741</t>
  </si>
  <si>
    <t>AX 364804521</t>
  </si>
  <si>
    <t>EXP100742</t>
  </si>
  <si>
    <t>AX320943700</t>
  </si>
  <si>
    <t>EXP100743</t>
  </si>
  <si>
    <t>AX 518914417</t>
  </si>
  <si>
    <t>EXP100744</t>
  </si>
  <si>
    <t>AX207402375</t>
  </si>
  <si>
    <t>EXP100745</t>
  </si>
  <si>
    <t>AX 319627022</t>
  </si>
  <si>
    <t>EXP100746</t>
  </si>
  <si>
    <t>AX759843096</t>
  </si>
  <si>
    <t>EXP100747</t>
  </si>
  <si>
    <t>AX970137433</t>
  </si>
  <si>
    <t>EXP100748</t>
  </si>
  <si>
    <t>AX716461342</t>
  </si>
  <si>
    <t>EXP100749</t>
  </si>
  <si>
    <t>EXP100750</t>
  </si>
  <si>
    <t>ax882877330</t>
  </si>
  <si>
    <t>EXP100751</t>
  </si>
  <si>
    <t>ax217847465</t>
  </si>
  <si>
    <t>EXP100752</t>
  </si>
  <si>
    <t>AX352496272</t>
  </si>
  <si>
    <t>EXP100753</t>
  </si>
  <si>
    <t>AX-471790455</t>
  </si>
  <si>
    <t>EXP100754</t>
  </si>
  <si>
    <t>AX 856376995</t>
  </si>
  <si>
    <t>EXP100755</t>
  </si>
  <si>
    <t>AX 391947987</t>
  </si>
  <si>
    <t>EXP100756</t>
  </si>
  <si>
    <t>AX104729974</t>
  </si>
  <si>
    <t>EXP100757</t>
  </si>
  <si>
    <t>ax226063789</t>
  </si>
  <si>
    <t>EXP100758</t>
  </si>
  <si>
    <t>EXP100759</t>
  </si>
  <si>
    <t>AX-560119408</t>
  </si>
  <si>
    <t>EXP100760</t>
  </si>
  <si>
    <t>EXP100761</t>
  </si>
  <si>
    <t>AX617314718</t>
  </si>
  <si>
    <t>EXP100762</t>
  </si>
  <si>
    <t>E227</t>
  </si>
  <si>
    <t>AX 277326067</t>
  </si>
  <si>
    <t>EXP100763</t>
  </si>
  <si>
    <t>ax784546913</t>
  </si>
  <si>
    <t>EXP100764</t>
  </si>
  <si>
    <t>EXP100765</t>
  </si>
  <si>
    <t>AX982932230</t>
  </si>
  <si>
    <t>EXP100766</t>
  </si>
  <si>
    <t>AX130046680</t>
  </si>
  <si>
    <t>EXP100767</t>
  </si>
  <si>
    <t>AX-834255796</t>
  </si>
  <si>
    <t>EXP100768</t>
  </si>
  <si>
    <t>E243</t>
  </si>
  <si>
    <t>EXP100769</t>
  </si>
  <si>
    <t>AX 522553489</t>
  </si>
  <si>
    <t>EXP100770</t>
  </si>
  <si>
    <t>AX 279213260</t>
  </si>
  <si>
    <t>EXP100771</t>
  </si>
  <si>
    <t>EXP100772</t>
  </si>
  <si>
    <t>EXP100773</t>
  </si>
  <si>
    <t>AX 422464517</t>
  </si>
  <si>
    <t>EXP100775</t>
  </si>
  <si>
    <t>AX 363432499</t>
  </si>
  <si>
    <t>EXP100776</t>
  </si>
  <si>
    <t>E169</t>
  </si>
  <si>
    <t>EXP100777</t>
  </si>
  <si>
    <t>AX 713621394</t>
  </si>
  <si>
    <t>EXP100778</t>
  </si>
  <si>
    <t>AX718725423</t>
  </si>
  <si>
    <t>EXP100779</t>
  </si>
  <si>
    <t>EXP100780</t>
  </si>
  <si>
    <t>AX995774128</t>
  </si>
  <si>
    <t>EXP100781</t>
  </si>
  <si>
    <t>AX 979701831</t>
  </si>
  <si>
    <t>EXP100782</t>
  </si>
  <si>
    <t>EXP100783</t>
  </si>
  <si>
    <t>AX 760534335</t>
  </si>
  <si>
    <t>EXP100784</t>
  </si>
  <si>
    <t>E235</t>
  </si>
  <si>
    <t>AX783473700</t>
  </si>
  <si>
    <t>EXP100785</t>
  </si>
  <si>
    <t>EXP100786</t>
  </si>
  <si>
    <t>AX312432312</t>
  </si>
  <si>
    <t>EXP100787</t>
  </si>
  <si>
    <t>ax732605641</t>
  </si>
  <si>
    <t>EXP100788</t>
  </si>
  <si>
    <t>AX547734007</t>
  </si>
  <si>
    <t>EXP100789</t>
  </si>
  <si>
    <t>AX285143807</t>
  </si>
  <si>
    <t>EXP100790</t>
  </si>
  <si>
    <t>EXP100791</t>
  </si>
  <si>
    <t>E233</t>
  </si>
  <si>
    <t>ax397150235</t>
  </si>
  <si>
    <t>EXP100792</t>
  </si>
  <si>
    <t>AX-968403341</t>
  </si>
  <si>
    <t>EXP100793</t>
  </si>
  <si>
    <t>AX532466843</t>
  </si>
  <si>
    <t>EXP100794</t>
  </si>
  <si>
    <t>AX-237159657</t>
  </si>
  <si>
    <t>EXP100795</t>
  </si>
  <si>
    <t>AX863364313</t>
  </si>
  <si>
    <t>EXP100796</t>
  </si>
  <si>
    <t>AX886774462</t>
  </si>
  <si>
    <t>EXP100797</t>
  </si>
  <si>
    <t>EXP100798</t>
  </si>
  <si>
    <t>AX887425276</t>
  </si>
  <si>
    <t>EXP100799</t>
  </si>
  <si>
    <t>AX768361550</t>
  </si>
  <si>
    <t>EXP100800</t>
  </si>
  <si>
    <t>AX939771800</t>
  </si>
  <si>
    <t>EXP100801</t>
  </si>
  <si>
    <t>AX217221398</t>
  </si>
  <si>
    <t>EXP100802</t>
  </si>
  <si>
    <t>AX882635729</t>
  </si>
  <si>
    <t>EXP100803</t>
  </si>
  <si>
    <t>AX714436422</t>
  </si>
  <si>
    <t>EXP100804</t>
  </si>
  <si>
    <t>ax342714866</t>
  </si>
  <si>
    <t>EXP100805</t>
  </si>
  <si>
    <t>EXP100806</t>
  </si>
  <si>
    <t>ax389461814</t>
  </si>
  <si>
    <t>EXP100807</t>
  </si>
  <si>
    <t>AX113543638</t>
  </si>
  <si>
    <t>EXP100808</t>
  </si>
  <si>
    <t>ax773888787</t>
  </si>
  <si>
    <t>EXP100809</t>
  </si>
  <si>
    <t>AX 492464441</t>
  </si>
  <si>
    <t>EXP100810</t>
  </si>
  <si>
    <t>ax561957883</t>
  </si>
  <si>
    <t>EXP100811</t>
  </si>
  <si>
    <t>AX823523375</t>
  </si>
  <si>
    <t xml:space="preserve"> AMAZON MKTPLACE PMTS</t>
  </si>
  <si>
    <t>EXP100812</t>
  </si>
  <si>
    <t>EXP100814</t>
  </si>
  <si>
    <t>AX428537704</t>
  </si>
  <si>
    <t>EXP100815</t>
  </si>
  <si>
    <t>AX166642109</t>
  </si>
  <si>
    <t>EXP100816</t>
  </si>
  <si>
    <t>ax654554883</t>
  </si>
  <si>
    <t>EXP100817</t>
  </si>
  <si>
    <t>ax740293737</t>
  </si>
  <si>
    <t>EXP100818</t>
  </si>
  <si>
    <t>AX597543381</t>
  </si>
  <si>
    <t>EXP100819</t>
  </si>
  <si>
    <t>ax560812488</t>
  </si>
  <si>
    <t>EXP100820</t>
  </si>
  <si>
    <t>AX-679579299</t>
  </si>
  <si>
    <t>EXP100821</t>
  </si>
  <si>
    <t>EXP100822</t>
  </si>
  <si>
    <t>AX 912229071</t>
  </si>
  <si>
    <t>EXP100823</t>
  </si>
  <si>
    <t>EXP100824</t>
  </si>
  <si>
    <t>E108</t>
  </si>
  <si>
    <t>AX516065364</t>
  </si>
  <si>
    <t>EXP100825</t>
  </si>
  <si>
    <t>ax378428973</t>
  </si>
  <si>
    <t>EXP100826</t>
  </si>
  <si>
    <t>AX247756447</t>
  </si>
  <si>
    <t>EXP100827</t>
  </si>
  <si>
    <t>E188</t>
  </si>
  <si>
    <t>AX 626738477</t>
  </si>
  <si>
    <t>EXP100828</t>
  </si>
  <si>
    <t>E150</t>
  </si>
  <si>
    <t>AX103342081</t>
  </si>
  <si>
    <t>EXP100829</t>
  </si>
  <si>
    <t>AX352542232</t>
  </si>
  <si>
    <t>EXP100830</t>
  </si>
  <si>
    <t>EXP100831</t>
  </si>
  <si>
    <t>ax946007913</t>
  </si>
  <si>
    <t>EXP100832</t>
  </si>
  <si>
    <t>AX394083892</t>
  </si>
  <si>
    <t>EXP100833</t>
  </si>
  <si>
    <t>AX642129210</t>
  </si>
  <si>
    <t>EXP100834</t>
  </si>
  <si>
    <t>EXP100835</t>
  </si>
  <si>
    <t>AX-857565230</t>
  </si>
  <si>
    <t xml:space="preserve">  software </t>
  </si>
  <si>
    <t>EXP100836</t>
  </si>
  <si>
    <t>AX-358868583</t>
  </si>
  <si>
    <t>EXP100837</t>
  </si>
  <si>
    <t>ax598877389</t>
  </si>
  <si>
    <t>EXP100838</t>
  </si>
  <si>
    <t>AX 552176715</t>
  </si>
  <si>
    <t>EXP100839</t>
  </si>
  <si>
    <t>AX407724819</t>
  </si>
  <si>
    <t>EXP100840</t>
  </si>
  <si>
    <t>AX-723676561</t>
  </si>
  <si>
    <t>EXP100841</t>
  </si>
  <si>
    <t>AX499645949</t>
  </si>
  <si>
    <t>EXP100842</t>
  </si>
  <si>
    <t>AX143247928</t>
  </si>
  <si>
    <t>EXP100843</t>
  </si>
  <si>
    <t>AX 146373834</t>
  </si>
  <si>
    <t>EXP100844</t>
  </si>
  <si>
    <t>AX151567136</t>
  </si>
  <si>
    <t>EXP100845</t>
  </si>
  <si>
    <t>AX472329814</t>
  </si>
  <si>
    <t>EXP100846</t>
  </si>
  <si>
    <t>AX451803969</t>
  </si>
  <si>
    <t>EXP100847</t>
  </si>
  <si>
    <t>AX825783516</t>
  </si>
  <si>
    <t>EXP100848</t>
  </si>
  <si>
    <t>AX-691833082</t>
  </si>
  <si>
    <t>EXP100849</t>
  </si>
  <si>
    <t>AX-511963941</t>
  </si>
  <si>
    <t>EXP100850</t>
  </si>
  <si>
    <t>ax134125146</t>
  </si>
  <si>
    <t>EXP100851</t>
  </si>
  <si>
    <t>ax696111457</t>
  </si>
  <si>
    <t>EXP100852</t>
  </si>
  <si>
    <t>AX415397281</t>
  </si>
  <si>
    <t xml:space="preserve"> DELTA AIR 00623891045</t>
  </si>
  <si>
    <t>EXP100853</t>
  </si>
  <si>
    <t>EXP100854</t>
  </si>
  <si>
    <t>E252</t>
  </si>
  <si>
    <t>ax649357379</t>
  </si>
  <si>
    <t>EXP100855</t>
  </si>
  <si>
    <t>AX-659974652</t>
  </si>
  <si>
    <t>EXP100856</t>
  </si>
  <si>
    <t>EXP100857</t>
  </si>
  <si>
    <t>AX349102933</t>
  </si>
  <si>
    <t>EXP100858</t>
  </si>
  <si>
    <t>AX896244726</t>
  </si>
  <si>
    <t>EXP100859</t>
  </si>
  <si>
    <t>E210</t>
  </si>
  <si>
    <t>AX 803845170</t>
  </si>
  <si>
    <t>EXP100860</t>
  </si>
  <si>
    <t>AX176703343</t>
  </si>
  <si>
    <t>EXP100861</t>
  </si>
  <si>
    <t>AX811289655</t>
  </si>
  <si>
    <t>EXP100862</t>
  </si>
  <si>
    <t>AX144639006</t>
  </si>
  <si>
    <t>EXP100863</t>
  </si>
  <si>
    <t>AX 510732445</t>
  </si>
  <si>
    <t>EXP100864</t>
  </si>
  <si>
    <t>AX288465119</t>
  </si>
  <si>
    <t>EXP100865</t>
  </si>
  <si>
    <t>EXP100866</t>
  </si>
  <si>
    <t>ax670006503</t>
  </si>
  <si>
    <t>EXP100867</t>
  </si>
  <si>
    <t>AX 839344295</t>
  </si>
  <si>
    <t>EXP100868</t>
  </si>
  <si>
    <t>EXP100869</t>
  </si>
  <si>
    <t>AX-989405536</t>
  </si>
  <si>
    <t>EXP100870</t>
  </si>
  <si>
    <t>AX-739718108</t>
  </si>
  <si>
    <t>EXP100871</t>
  </si>
  <si>
    <t>ax677160296</t>
  </si>
  <si>
    <t>EXP100872</t>
  </si>
  <si>
    <t>AX502945047</t>
  </si>
  <si>
    <t>EXP100873</t>
  </si>
  <si>
    <t>AX476023415</t>
  </si>
  <si>
    <t>EXP100874</t>
  </si>
  <si>
    <t>EXP100875</t>
  </si>
  <si>
    <t>AX594912756</t>
  </si>
  <si>
    <t>EXP100876</t>
  </si>
  <si>
    <t>AX-541722904</t>
  </si>
  <si>
    <t>EXP100877</t>
  </si>
  <si>
    <t>AX282639912</t>
  </si>
  <si>
    <t>EXP100878</t>
  </si>
  <si>
    <t>AX188595848</t>
  </si>
  <si>
    <t>EXP100879</t>
  </si>
  <si>
    <t>AX 904167793</t>
  </si>
  <si>
    <t>EXP100880</t>
  </si>
  <si>
    <t>ax262484366</t>
  </si>
  <si>
    <t>EXP100881</t>
  </si>
  <si>
    <t>ax990309447</t>
  </si>
  <si>
    <t>EXP100882</t>
  </si>
  <si>
    <t>ax423075469</t>
  </si>
  <si>
    <t>EXP100883</t>
  </si>
  <si>
    <t>AX 800848091</t>
  </si>
  <si>
    <t>EXP100884</t>
  </si>
  <si>
    <t>EXP100885</t>
  </si>
  <si>
    <t>AX300399688</t>
  </si>
  <si>
    <t>EXP100886</t>
  </si>
  <si>
    <t>ax377444116</t>
  </si>
  <si>
    <t>EXP100887</t>
  </si>
  <si>
    <t>AX107273399</t>
  </si>
  <si>
    <t>EXP100888</t>
  </si>
  <si>
    <t>ax869994684</t>
  </si>
  <si>
    <t>EXP100889</t>
  </si>
  <si>
    <t>AX-645023114</t>
  </si>
  <si>
    <t>EXP100890</t>
  </si>
  <si>
    <t>AX940308396</t>
  </si>
  <si>
    <t>EXP100891</t>
  </si>
  <si>
    <t>AX941693687</t>
  </si>
  <si>
    <t>EXP100892</t>
  </si>
  <si>
    <t>EXP100893</t>
  </si>
  <si>
    <t>AX223872541</t>
  </si>
  <si>
    <t>EXP100894</t>
  </si>
  <si>
    <t>AX500169693</t>
  </si>
  <si>
    <t xml:space="preserve"> UBER TRIP HELP.UBER</t>
  </si>
  <si>
    <t>EXP100895</t>
  </si>
  <si>
    <t>EXP100896</t>
  </si>
  <si>
    <t>AX965584991</t>
  </si>
  <si>
    <t>EXP100897</t>
  </si>
  <si>
    <t>ax332215222</t>
  </si>
  <si>
    <t>EXP100898</t>
  </si>
  <si>
    <t>EXP100899</t>
  </si>
  <si>
    <t>ax528752018</t>
  </si>
  <si>
    <t>EXP100900</t>
  </si>
  <si>
    <t>AX380959722</t>
  </si>
  <si>
    <t>EXP100901</t>
  </si>
  <si>
    <t>AX892030081</t>
  </si>
  <si>
    <t>EXP100902</t>
  </si>
  <si>
    <t>AX-741265271</t>
  </si>
  <si>
    <t>EXP100903</t>
  </si>
  <si>
    <t>EXP100904</t>
  </si>
  <si>
    <t>AX297305728</t>
  </si>
  <si>
    <t>EXP100905</t>
  </si>
  <si>
    <t>AX741433428</t>
  </si>
  <si>
    <t>EXP100906</t>
  </si>
  <si>
    <t>AX345588891</t>
  </si>
  <si>
    <t>EXP100907</t>
  </si>
  <si>
    <t>AX579549271</t>
  </si>
  <si>
    <t>EXP100908</t>
  </si>
  <si>
    <t>AX592322914</t>
  </si>
  <si>
    <t>EXP100909</t>
  </si>
  <si>
    <t>AX-938611281</t>
  </si>
  <si>
    <t>EXP100910</t>
  </si>
  <si>
    <t>ax285095704</t>
  </si>
  <si>
    <t>EXP100911</t>
  </si>
  <si>
    <t>AX620579335</t>
  </si>
  <si>
    <t>EXP100912</t>
  </si>
  <si>
    <t>AX-675976074</t>
  </si>
  <si>
    <t>EXP100913</t>
  </si>
  <si>
    <t>EXP100914</t>
  </si>
  <si>
    <t>EXP100915</t>
  </si>
  <si>
    <t>EXP100917</t>
  </si>
  <si>
    <t>AX676119159</t>
  </si>
  <si>
    <t>EXP100918</t>
  </si>
  <si>
    <t>AX746426315</t>
  </si>
  <si>
    <t>EXP100919</t>
  </si>
  <si>
    <t>AX544556982</t>
  </si>
  <si>
    <t>EXP100920</t>
  </si>
  <si>
    <t>AX181813706</t>
  </si>
  <si>
    <t>EXP100921</t>
  </si>
  <si>
    <t>AX766369340</t>
  </si>
  <si>
    <t>EXP100922</t>
  </si>
  <si>
    <t>AX 498103332</t>
  </si>
  <si>
    <t>EXP100923</t>
  </si>
  <si>
    <t>AX253310454</t>
  </si>
  <si>
    <t>EXP100924</t>
  </si>
  <si>
    <t>AX418607911</t>
  </si>
  <si>
    <t>EXP100925</t>
  </si>
  <si>
    <t>AX363485167</t>
  </si>
  <si>
    <t>EXP100926</t>
  </si>
  <si>
    <t>E204</t>
  </si>
  <si>
    <t>EXP100927</t>
  </si>
  <si>
    <t>EXP100928</t>
  </si>
  <si>
    <t>AX446320383</t>
  </si>
  <si>
    <t>EXP100929</t>
  </si>
  <si>
    <t>AX 297570024</t>
  </si>
  <si>
    <t>EXP100930</t>
  </si>
  <si>
    <t>ax451110794</t>
  </si>
  <si>
    <t>EXP100931</t>
  </si>
  <si>
    <t>EXP100932</t>
  </si>
  <si>
    <t>AX719232711</t>
  </si>
  <si>
    <t>EXP100933</t>
  </si>
  <si>
    <t>AX577808179</t>
  </si>
  <si>
    <t>EXP100934</t>
  </si>
  <si>
    <t>AX696022009</t>
  </si>
  <si>
    <t>EXP100935</t>
  </si>
  <si>
    <t>AX638904241</t>
  </si>
  <si>
    <t>EXP100936</t>
  </si>
  <si>
    <t>E177</t>
  </si>
  <si>
    <t>AX 811032909</t>
  </si>
  <si>
    <t>EXP100937</t>
  </si>
  <si>
    <t>EXP100938</t>
  </si>
  <si>
    <t>AX100645767</t>
  </si>
  <si>
    <t>EXP100939</t>
  </si>
  <si>
    <t>AX 261956268</t>
  </si>
  <si>
    <t>EXP100940</t>
  </si>
  <si>
    <t>AX-567234915</t>
  </si>
  <si>
    <t>EXP100941</t>
  </si>
  <si>
    <t>E165</t>
  </si>
  <si>
    <t>AX159066299</t>
  </si>
  <si>
    <t>EXP100943</t>
  </si>
  <si>
    <t>EXP100944</t>
  </si>
  <si>
    <t>EXP100945</t>
  </si>
  <si>
    <t>AX413512157</t>
  </si>
  <si>
    <t>EXP100946</t>
  </si>
  <si>
    <t>AX-681384636</t>
  </si>
  <si>
    <t>EXP100947</t>
  </si>
  <si>
    <t>E148</t>
  </si>
  <si>
    <t>AX656528020</t>
  </si>
  <si>
    <t>EXP100948</t>
  </si>
  <si>
    <t>EXP100949</t>
  </si>
  <si>
    <t>ax242789105</t>
  </si>
  <si>
    <t>EXP100950</t>
  </si>
  <si>
    <t>AX988556165</t>
  </si>
  <si>
    <t>EXP100951</t>
  </si>
  <si>
    <t>AX586229417</t>
  </si>
  <si>
    <t>EXP100952</t>
  </si>
  <si>
    <t>AX300835423</t>
  </si>
  <si>
    <t>EXP100953</t>
  </si>
  <si>
    <t>AX235447218</t>
  </si>
  <si>
    <t xml:space="preserve"> HOOTSUITE INC</t>
  </si>
  <si>
    <t>EXP100954</t>
  </si>
  <si>
    <t>AX-827079423</t>
  </si>
  <si>
    <t>EXP100956</t>
  </si>
  <si>
    <t>AX-963287743</t>
  </si>
  <si>
    <t>EXP100957</t>
  </si>
  <si>
    <t>EXP100958</t>
  </si>
  <si>
    <t>AX578316181</t>
  </si>
  <si>
    <t>EXP100959</t>
  </si>
  <si>
    <t>AX528004780</t>
  </si>
  <si>
    <t>EXP100960</t>
  </si>
  <si>
    <t>ax137234718</t>
  </si>
  <si>
    <t>EXP100961</t>
  </si>
  <si>
    <t>AX901273424</t>
  </si>
  <si>
    <t>EXP100962</t>
  </si>
  <si>
    <t>AX102037789</t>
  </si>
  <si>
    <t>EXP100963</t>
  </si>
  <si>
    <t>AX248591142</t>
  </si>
  <si>
    <t>EXP100964</t>
  </si>
  <si>
    <t>AX450681983</t>
  </si>
  <si>
    <t>EXP100965</t>
  </si>
  <si>
    <t>AX-586119897</t>
  </si>
  <si>
    <t>EXP100966</t>
  </si>
  <si>
    <t>ax677646778</t>
  </si>
  <si>
    <t>EXP100967</t>
  </si>
  <si>
    <t>ax156904864</t>
  </si>
  <si>
    <t>EXP100968</t>
  </si>
  <si>
    <t>EXP100969</t>
  </si>
  <si>
    <t>EXP100970</t>
  </si>
  <si>
    <t>ax815797129</t>
  </si>
  <si>
    <t>EXP100971</t>
  </si>
  <si>
    <t>E089</t>
  </si>
  <si>
    <t>AX 866594512</t>
  </si>
  <si>
    <t>EXP100972</t>
  </si>
  <si>
    <t>AX 252347997</t>
  </si>
  <si>
    <t>EXP100973</t>
  </si>
  <si>
    <t>AX623109422</t>
  </si>
  <si>
    <t>EXP100974</t>
  </si>
  <si>
    <t>AX262017711</t>
  </si>
  <si>
    <t>EXP100975</t>
  </si>
  <si>
    <t>AX533149898</t>
  </si>
  <si>
    <t>EXP100976</t>
  </si>
  <si>
    <t>AX 189562005</t>
  </si>
  <si>
    <t>EXP100977</t>
  </si>
  <si>
    <t>AX520304275</t>
  </si>
  <si>
    <t>EXP100978</t>
  </si>
  <si>
    <t>E214</t>
  </si>
  <si>
    <t>AX914966886</t>
  </si>
  <si>
    <t>EXP100979</t>
  </si>
  <si>
    <t>ax205289344</t>
  </si>
  <si>
    <t>EXP100980</t>
  </si>
  <si>
    <t>AX856755558</t>
  </si>
  <si>
    <t>EXP100981</t>
  </si>
  <si>
    <t>EXP100982</t>
  </si>
  <si>
    <t>EXP100983</t>
  </si>
  <si>
    <t>EXP100984</t>
  </si>
  <si>
    <t>EXP100986</t>
  </si>
  <si>
    <t>AX686804509</t>
  </si>
  <si>
    <t>EXP100987</t>
  </si>
  <si>
    <t>AX-885106165</t>
  </si>
  <si>
    <t>EXP100988</t>
  </si>
  <si>
    <t>AX 686627514</t>
  </si>
  <si>
    <t>EXP100989</t>
  </si>
  <si>
    <t>AX505276073</t>
  </si>
  <si>
    <t>EXP100990</t>
  </si>
  <si>
    <t>EXP100991</t>
  </si>
  <si>
    <t>AX-980650365</t>
  </si>
  <si>
    <t>EXP100992</t>
  </si>
  <si>
    <t>AX-279167293</t>
  </si>
  <si>
    <t>EXP100993</t>
  </si>
  <si>
    <t>EXP100994</t>
  </si>
  <si>
    <t>AX-332571020</t>
  </si>
  <si>
    <t>EXP100995</t>
  </si>
  <si>
    <t>AX187859354</t>
  </si>
  <si>
    <t>EXP100996</t>
  </si>
  <si>
    <t>ax343799657</t>
  </si>
  <si>
    <t>EXP100997</t>
  </si>
  <si>
    <t>AX-484276806</t>
  </si>
  <si>
    <t>EXP100998</t>
  </si>
  <si>
    <t>ax587592794</t>
  </si>
  <si>
    <t>EXP100999</t>
  </si>
  <si>
    <t>ax163962451</t>
  </si>
  <si>
    <t>EXP101000</t>
  </si>
  <si>
    <t>AX599885441</t>
  </si>
  <si>
    <t>EXP101001</t>
  </si>
  <si>
    <t>AX140720021</t>
  </si>
  <si>
    <t>EXP101002</t>
  </si>
  <si>
    <t>AX 601611285</t>
  </si>
  <si>
    <t>EXP101003</t>
  </si>
  <si>
    <t>AX 944491769</t>
  </si>
  <si>
    <t>EXP101004</t>
  </si>
  <si>
    <t>EXP101005</t>
  </si>
  <si>
    <t>AX 526941830</t>
  </si>
  <si>
    <t>EXP101006</t>
  </si>
  <si>
    <t>AX446167825</t>
  </si>
  <si>
    <t>EXP101007</t>
  </si>
  <si>
    <t>AX 641231170</t>
  </si>
  <si>
    <t>EXP101008</t>
  </si>
  <si>
    <t>AX551642982</t>
  </si>
  <si>
    <t>EXP101009</t>
  </si>
  <si>
    <t>AX657045530</t>
  </si>
  <si>
    <t>EXP101010</t>
  </si>
  <si>
    <t>AX 426293928</t>
  </si>
  <si>
    <t>EXP101011</t>
  </si>
  <si>
    <t>AX 603357384</t>
  </si>
  <si>
    <t>EXP101012</t>
  </si>
  <si>
    <t>EXP101013</t>
  </si>
  <si>
    <t>ax743245185</t>
  </si>
  <si>
    <t>EXP101014</t>
  </si>
  <si>
    <t>AX553855439</t>
  </si>
  <si>
    <t>EXP101015</t>
  </si>
  <si>
    <t>ax409695921</t>
  </si>
  <si>
    <t>EXP101016</t>
  </si>
  <si>
    <t>AX 994463126</t>
  </si>
  <si>
    <t>EXP101017</t>
  </si>
  <si>
    <t>AX-569303672</t>
  </si>
  <si>
    <t>EXP101018</t>
  </si>
  <si>
    <t>AX540789571</t>
  </si>
  <si>
    <t>EXP101019</t>
  </si>
  <si>
    <t>E164</t>
  </si>
  <si>
    <t>EXP101020</t>
  </si>
  <si>
    <t>AX760294343</t>
  </si>
  <si>
    <t>EXP101021</t>
  </si>
  <si>
    <t>AX137761501</t>
  </si>
  <si>
    <t>EXP101022</t>
  </si>
  <si>
    <t>AX 952078454</t>
  </si>
  <si>
    <t>EXP101023</t>
  </si>
  <si>
    <t>AX805690960</t>
  </si>
  <si>
    <t>EXP101024</t>
  </si>
  <si>
    <t>ax837219831</t>
  </si>
  <si>
    <t>EXP101025</t>
  </si>
  <si>
    <t>EXP101026</t>
  </si>
  <si>
    <t>AX-568679043</t>
  </si>
  <si>
    <t>EXP101027</t>
  </si>
  <si>
    <t>AX-621627067</t>
  </si>
  <si>
    <t>EXP101028</t>
  </si>
  <si>
    <t>EXP101029</t>
  </si>
  <si>
    <t>AX155102070</t>
  </si>
  <si>
    <t>EXP101030</t>
  </si>
  <si>
    <t>EXP101031</t>
  </si>
  <si>
    <t>AX 452082390</t>
  </si>
  <si>
    <t>EXP101032</t>
  </si>
  <si>
    <t>AX222523495</t>
  </si>
  <si>
    <t>EXP101033</t>
  </si>
  <si>
    <t>AX-741242022</t>
  </si>
  <si>
    <t>EXP101034</t>
  </si>
  <si>
    <t>ax823276204</t>
  </si>
  <si>
    <t>EXP101035</t>
  </si>
  <si>
    <t>AX310403016</t>
  </si>
  <si>
    <t>EXP101036</t>
  </si>
  <si>
    <t>AX475723191</t>
  </si>
  <si>
    <t>EXP101037</t>
  </si>
  <si>
    <t>EXP101038</t>
  </si>
  <si>
    <t>EXP101039</t>
  </si>
  <si>
    <t>AX825673668</t>
  </si>
  <si>
    <t>EXP101040</t>
  </si>
  <si>
    <t>ax505876851</t>
  </si>
  <si>
    <t>EXP101041</t>
  </si>
  <si>
    <t>EXP101042</t>
  </si>
  <si>
    <t>AX427367632</t>
  </si>
  <si>
    <t>EXP101043</t>
  </si>
  <si>
    <t>AX442085718</t>
  </si>
  <si>
    <t xml:space="preserve">  SOFTWARE </t>
  </si>
  <si>
    <t>EXP101044</t>
  </si>
  <si>
    <t>AX403547922</t>
  </si>
  <si>
    <t>EXP101045</t>
  </si>
  <si>
    <t>AX738908619</t>
  </si>
  <si>
    <t xml:space="preserve">  Office Supplies </t>
  </si>
  <si>
    <t>EXP101046</t>
  </si>
  <si>
    <t>AX772838419</t>
  </si>
  <si>
    <t>EXP101047</t>
  </si>
  <si>
    <t>AX878192149</t>
  </si>
  <si>
    <t>EXP101048</t>
  </si>
  <si>
    <t>AX533613692</t>
  </si>
  <si>
    <t>EXP101049</t>
  </si>
  <si>
    <t>AX146400072</t>
  </si>
  <si>
    <t>EXP101050</t>
  </si>
  <si>
    <t>AX713838213</t>
  </si>
  <si>
    <t>EXP101051</t>
  </si>
  <si>
    <t>AX 235418431</t>
  </si>
  <si>
    <t>EXP101052</t>
  </si>
  <si>
    <t>AX702624826</t>
  </si>
  <si>
    <t>EXP101053</t>
  </si>
  <si>
    <t>EXP101054</t>
  </si>
  <si>
    <t>AX347099995</t>
  </si>
  <si>
    <t>EXP101055</t>
  </si>
  <si>
    <t>EXP101056</t>
  </si>
  <si>
    <t>EXP101057</t>
  </si>
  <si>
    <t>EXP101058</t>
  </si>
  <si>
    <t>EXP101059</t>
  </si>
  <si>
    <t>ax324946939</t>
  </si>
  <si>
    <t>EXP101060</t>
  </si>
  <si>
    <t>AX-128735549</t>
  </si>
  <si>
    <t>EXP101061</t>
  </si>
  <si>
    <t>ax575186038</t>
  </si>
  <si>
    <t>EXP101062</t>
  </si>
  <si>
    <t>AX169887375</t>
  </si>
  <si>
    <t>EXP101063</t>
  </si>
  <si>
    <t>AX426083266</t>
  </si>
  <si>
    <t>EXP101064</t>
  </si>
  <si>
    <t>AX521235170</t>
  </si>
  <si>
    <t>EXP101065</t>
  </si>
  <si>
    <t>ax429191928</t>
  </si>
  <si>
    <t>EXP101066</t>
  </si>
  <si>
    <t>EXP101067</t>
  </si>
  <si>
    <t>AX 616172322</t>
  </si>
  <si>
    <t>EXP101068</t>
  </si>
  <si>
    <t>AX584230144</t>
  </si>
  <si>
    <t>EXP101069</t>
  </si>
  <si>
    <t>EXP101070</t>
  </si>
  <si>
    <t>AX 498457947</t>
  </si>
  <si>
    <t>EXP101071</t>
  </si>
  <si>
    <t>AX866890848</t>
  </si>
  <si>
    <t>EXP101072</t>
  </si>
  <si>
    <t>ax500321619</t>
  </si>
  <si>
    <t>EXP101073</t>
  </si>
  <si>
    <t>EXP101074</t>
  </si>
  <si>
    <t>ax330292724</t>
  </si>
  <si>
    <t>EXP101075</t>
  </si>
  <si>
    <t>AX967070140</t>
  </si>
  <si>
    <t>EXP101076</t>
  </si>
  <si>
    <t>AX-183682090</t>
  </si>
  <si>
    <t>EXP101077</t>
  </si>
  <si>
    <t>AX251245025</t>
  </si>
  <si>
    <t>EXP101078</t>
  </si>
  <si>
    <t>AX167126449</t>
  </si>
  <si>
    <t>EXP101079</t>
  </si>
  <si>
    <t>AX582101026</t>
  </si>
  <si>
    <t>EXP101080</t>
  </si>
  <si>
    <t>AX843942812</t>
  </si>
  <si>
    <t>EXP101081</t>
  </si>
  <si>
    <t>AX467100200</t>
  </si>
  <si>
    <t>EXP101082</t>
  </si>
  <si>
    <t>AX709307001</t>
  </si>
  <si>
    <t>EXP101083</t>
  </si>
  <si>
    <t>AX633266730</t>
  </si>
  <si>
    <t>EXP101084</t>
  </si>
  <si>
    <t>AX605550315</t>
  </si>
  <si>
    <t>EXP101085</t>
  </si>
  <si>
    <t>ax164349179</t>
  </si>
  <si>
    <t>EXP101086</t>
  </si>
  <si>
    <t>AX568035765</t>
  </si>
  <si>
    <t>EXP101087</t>
  </si>
  <si>
    <t>EXP101088</t>
  </si>
  <si>
    <t>AX-384357129</t>
  </si>
  <si>
    <t>EXP101089</t>
  </si>
  <si>
    <t>AX 466139863</t>
  </si>
  <si>
    <t>EXP101090</t>
  </si>
  <si>
    <t>AX554257193</t>
  </si>
  <si>
    <t>EXP101091</t>
  </si>
  <si>
    <t>AX783552300</t>
  </si>
  <si>
    <t>EXP101092</t>
  </si>
  <si>
    <t>AX312041275</t>
  </si>
  <si>
    <t>EXP101093</t>
  </si>
  <si>
    <t>ax964313127</t>
  </si>
  <si>
    <t>EXP101094</t>
  </si>
  <si>
    <t>AX-575211407</t>
  </si>
  <si>
    <t>EXP101095</t>
  </si>
  <si>
    <t>AX 854859001</t>
  </si>
  <si>
    <t>EXP101096</t>
  </si>
  <si>
    <t xml:space="preserve"> AMC THEATRES 0021</t>
  </si>
  <si>
    <t>EXP101097</t>
  </si>
  <si>
    <t>AX307494895</t>
  </si>
  <si>
    <t>EXP101098</t>
  </si>
  <si>
    <t>AX775461507</t>
  </si>
  <si>
    <t xml:space="preserve"> BRANDWATCH LTD</t>
  </si>
  <si>
    <t>EXP101099</t>
  </si>
  <si>
    <t>AX 549417469</t>
  </si>
  <si>
    <t>EXP101100</t>
  </si>
  <si>
    <t>AX-547734043</t>
  </si>
  <si>
    <t>EXP101101</t>
  </si>
  <si>
    <t>AX289502635</t>
  </si>
  <si>
    <t>EXP101102</t>
  </si>
  <si>
    <t>EXP101103</t>
  </si>
  <si>
    <t>E264</t>
  </si>
  <si>
    <t>AX653250142</t>
  </si>
  <si>
    <t>EXP101104</t>
  </si>
  <si>
    <t>AX974570554</t>
  </si>
  <si>
    <t>EXP101105</t>
  </si>
  <si>
    <t>AX224593385</t>
  </si>
  <si>
    <t>EXP101106</t>
  </si>
  <si>
    <t>AX693284624</t>
  </si>
  <si>
    <t>EXP101107</t>
  </si>
  <si>
    <t>ax500191208</t>
  </si>
  <si>
    <t>EXP101108</t>
  </si>
  <si>
    <t>E136</t>
  </si>
  <si>
    <t>ax124784833</t>
  </si>
  <si>
    <t>EXP101109</t>
  </si>
  <si>
    <t>AX648302525</t>
  </si>
  <si>
    <t>EXP101110</t>
  </si>
  <si>
    <t>AX 800820968</t>
  </si>
  <si>
    <t>EXP101111</t>
  </si>
  <si>
    <t>EXP101112</t>
  </si>
  <si>
    <t>AX905959420</t>
  </si>
  <si>
    <t>EXP101113</t>
  </si>
  <si>
    <t>AX 531783353</t>
  </si>
  <si>
    <t>EXP101114</t>
  </si>
  <si>
    <t>AX946923752</t>
  </si>
  <si>
    <t>EXP101115</t>
  </si>
  <si>
    <t>AX-284680292</t>
  </si>
  <si>
    <t>EXP101116</t>
  </si>
  <si>
    <t>EXP101117</t>
  </si>
  <si>
    <t>AX 168507405</t>
  </si>
  <si>
    <t>EXP101118</t>
  </si>
  <si>
    <t>AX897334584</t>
  </si>
  <si>
    <t>EXP101119</t>
  </si>
  <si>
    <t>ax877157502</t>
  </si>
  <si>
    <t>EXP101120</t>
  </si>
  <si>
    <t>AX427650715</t>
  </si>
  <si>
    <t>EXP101121</t>
  </si>
  <si>
    <t>EXP101123</t>
  </si>
  <si>
    <t>AX312306236</t>
  </si>
  <si>
    <t>EXP101124</t>
  </si>
  <si>
    <t>ax298258163</t>
  </si>
  <si>
    <t>EXP101125</t>
  </si>
  <si>
    <t>AX728353869</t>
  </si>
  <si>
    <t>EXP101126</t>
  </si>
  <si>
    <t>AX462549146</t>
  </si>
  <si>
    <t>EXP101127</t>
  </si>
  <si>
    <t>AX466317485</t>
  </si>
  <si>
    <t>EXP101128</t>
  </si>
  <si>
    <t>AX790412823</t>
  </si>
  <si>
    <t>EXP101129</t>
  </si>
  <si>
    <t>AX-811606723</t>
  </si>
  <si>
    <t>EXP101130</t>
  </si>
  <si>
    <t>ax809203502</t>
  </si>
  <si>
    <t>EXP101131</t>
  </si>
  <si>
    <t>AX489863519</t>
  </si>
  <si>
    <t>EXP101132</t>
  </si>
  <si>
    <t>AX303462826</t>
  </si>
  <si>
    <t>EXP101133</t>
  </si>
  <si>
    <t>AX558353583</t>
  </si>
  <si>
    <t>EXP101134</t>
  </si>
  <si>
    <t>ax405735958</t>
  </si>
  <si>
    <t>EXP101135</t>
  </si>
  <si>
    <t>ax363787233</t>
  </si>
  <si>
    <t>EXP101136</t>
  </si>
  <si>
    <t>AX945640081</t>
  </si>
  <si>
    <t>EXP101137</t>
  </si>
  <si>
    <t>AX318169783</t>
  </si>
  <si>
    <t>EXP101138</t>
  </si>
  <si>
    <t>AX246741841</t>
  </si>
  <si>
    <t>EXP101139</t>
  </si>
  <si>
    <t>EXP101140</t>
  </si>
  <si>
    <t>ax475348779</t>
  </si>
  <si>
    <t>EXP101141</t>
  </si>
  <si>
    <t>ax925001400</t>
  </si>
  <si>
    <t>EXP101142</t>
  </si>
  <si>
    <t>AX407087078</t>
  </si>
  <si>
    <t>EXP101143</t>
  </si>
  <si>
    <t>EXP101144</t>
  </si>
  <si>
    <t>ax669411459</t>
  </si>
  <si>
    <t>EXP101145</t>
  </si>
  <si>
    <t>ax286783234</t>
  </si>
  <si>
    <t>EXP101146</t>
  </si>
  <si>
    <t>AX978461492</t>
  </si>
  <si>
    <t>EXP101147</t>
  </si>
  <si>
    <t>EXP101148</t>
  </si>
  <si>
    <t>ax362544883</t>
  </si>
  <si>
    <t xml:space="preserve"> PANERA BREAD #0231</t>
  </si>
  <si>
    <t>EXP101149</t>
  </si>
  <si>
    <t>AX-487167503</t>
  </si>
  <si>
    <t>EXP101150</t>
  </si>
  <si>
    <t>AX706660616</t>
  </si>
  <si>
    <t>EXP101151</t>
  </si>
  <si>
    <t>AX 562153087</t>
  </si>
  <si>
    <t>EXP101152</t>
  </si>
  <si>
    <t>AX 945865457</t>
  </si>
  <si>
    <t>EXP101153</t>
  </si>
  <si>
    <t>AX814064468</t>
  </si>
  <si>
    <t>EXP101154</t>
  </si>
  <si>
    <t>EXP101155</t>
  </si>
  <si>
    <t>AX-552485879</t>
  </si>
  <si>
    <t>EXP101156</t>
  </si>
  <si>
    <t>AX-978459905</t>
  </si>
  <si>
    <t>EXP101157</t>
  </si>
  <si>
    <t>EXP101158</t>
  </si>
  <si>
    <t>ax880447802</t>
  </si>
  <si>
    <t>EXP101159</t>
  </si>
  <si>
    <t>AX562800427</t>
  </si>
  <si>
    <t>EXP101160</t>
  </si>
  <si>
    <t>AX-503005643</t>
  </si>
  <si>
    <t>EXP101161</t>
  </si>
  <si>
    <t>AX857542009</t>
  </si>
  <si>
    <t>EXP101162</t>
  </si>
  <si>
    <t>EXP101163</t>
  </si>
  <si>
    <t>AX 884806275</t>
  </si>
  <si>
    <t>EXP101164</t>
  </si>
  <si>
    <t>ax320439224</t>
  </si>
  <si>
    <t>EXP101165</t>
  </si>
  <si>
    <t>AX916218103</t>
  </si>
  <si>
    <t>EXP101166</t>
  </si>
  <si>
    <t>EXP101167</t>
  </si>
  <si>
    <t>EXP101168</t>
  </si>
  <si>
    <t>AX-756028170</t>
  </si>
  <si>
    <t>EXP101169</t>
  </si>
  <si>
    <t>AX 396593443</t>
  </si>
  <si>
    <t>EXP101170</t>
  </si>
  <si>
    <t>ax953070605</t>
  </si>
  <si>
    <t>EXP101171</t>
  </si>
  <si>
    <t>EXP101172</t>
  </si>
  <si>
    <t>AX-941691121</t>
  </si>
  <si>
    <t>EXP101173</t>
  </si>
  <si>
    <t>AX 257629012</t>
  </si>
  <si>
    <t>EXP101174</t>
  </si>
  <si>
    <t>AX217786483</t>
  </si>
  <si>
    <t>EXP101175</t>
  </si>
  <si>
    <t>AX470600627</t>
  </si>
  <si>
    <t>EXP101176</t>
  </si>
  <si>
    <t>AX991491135</t>
  </si>
  <si>
    <t>EXP101177</t>
  </si>
  <si>
    <t>ax648729229</t>
  </si>
  <si>
    <t>EXP101178</t>
  </si>
  <si>
    <t>AX 455854725</t>
  </si>
  <si>
    <t>EXP101179</t>
  </si>
  <si>
    <t>ax344732965</t>
  </si>
  <si>
    <t>EXP101180</t>
  </si>
  <si>
    <t>AX951342149</t>
  </si>
  <si>
    <t>EXP101181</t>
  </si>
  <si>
    <t>AX981647333</t>
  </si>
  <si>
    <t>EXP101182</t>
  </si>
  <si>
    <t>AX812591241</t>
  </si>
  <si>
    <t>EXP101183</t>
  </si>
  <si>
    <t>AX 561634381</t>
  </si>
  <si>
    <t>EXP101184</t>
  </si>
  <si>
    <t>ax127676119</t>
  </si>
  <si>
    <t>EXP101185</t>
  </si>
  <si>
    <t>AX269205100</t>
  </si>
  <si>
    <t>EXP101186</t>
  </si>
  <si>
    <t>EXP101187</t>
  </si>
  <si>
    <t>AX270575376</t>
  </si>
  <si>
    <t>EXP101188</t>
  </si>
  <si>
    <t>AX402925307</t>
  </si>
  <si>
    <t>EXP101189</t>
  </si>
  <si>
    <t>AX462271645</t>
  </si>
  <si>
    <t>EXP101190</t>
  </si>
  <si>
    <t>AX623485642</t>
  </si>
  <si>
    <t>EXP101191</t>
  </si>
  <si>
    <t>EXP101192</t>
  </si>
  <si>
    <t>AX494298594</t>
  </si>
  <si>
    <t>EXP101193</t>
  </si>
  <si>
    <t>AX 842902532</t>
  </si>
  <si>
    <t>EXP101194</t>
  </si>
  <si>
    <t>ax994347743</t>
  </si>
  <si>
    <t>EXP101195</t>
  </si>
  <si>
    <t>AX521103373</t>
  </si>
  <si>
    <t>EXP101196</t>
  </si>
  <si>
    <t>ax498148954</t>
  </si>
  <si>
    <t>EXP101197</t>
  </si>
  <si>
    <t>AX351853181</t>
  </si>
  <si>
    <t>EXP101198</t>
  </si>
  <si>
    <t>EXP101199</t>
  </si>
  <si>
    <t>AX604072209</t>
  </si>
  <si>
    <t>EXP101200</t>
  </si>
  <si>
    <t>ax947119367</t>
  </si>
  <si>
    <t>EXP101201</t>
  </si>
  <si>
    <t>ax612148708</t>
  </si>
  <si>
    <t>EXP101202</t>
  </si>
  <si>
    <t>AX162741168</t>
  </si>
  <si>
    <t>EXP101203</t>
  </si>
  <si>
    <t>AX836856088</t>
  </si>
  <si>
    <t>EXP101204</t>
  </si>
  <si>
    <t>AX-792227695</t>
  </si>
  <si>
    <t>EXP101205</t>
  </si>
  <si>
    <t>ax986788348</t>
  </si>
  <si>
    <t>EXP101206</t>
  </si>
  <si>
    <t>AX-345711342</t>
  </si>
  <si>
    <t>EXP101207</t>
  </si>
  <si>
    <t>AX603478787</t>
  </si>
  <si>
    <t>EXP101208</t>
  </si>
  <si>
    <t>ax877031803</t>
  </si>
  <si>
    <t>EXP101209</t>
  </si>
  <si>
    <t>AX102228510</t>
  </si>
  <si>
    <t>EXP101210</t>
  </si>
  <si>
    <t>AX783834395</t>
  </si>
  <si>
    <t>EXP101211</t>
  </si>
  <si>
    <t>AX401433286</t>
  </si>
  <si>
    <t>EXP101212</t>
  </si>
  <si>
    <t>ax814357657</t>
  </si>
  <si>
    <t>EXP101213</t>
  </si>
  <si>
    <t>EXP101214</t>
  </si>
  <si>
    <t>EXP101215</t>
  </si>
  <si>
    <t>AX987686835</t>
  </si>
  <si>
    <t>EXP101216</t>
  </si>
  <si>
    <t>ax505401122</t>
  </si>
  <si>
    <t>EXP101217</t>
  </si>
  <si>
    <t>AX696788620</t>
  </si>
  <si>
    <t>EXP101218</t>
  </si>
  <si>
    <t>AX723998316</t>
  </si>
  <si>
    <t>EXP101219</t>
  </si>
  <si>
    <t>AX-801541400</t>
  </si>
  <si>
    <t>EXP101220</t>
  </si>
  <si>
    <t>EXP101221</t>
  </si>
  <si>
    <t>AX482453623</t>
  </si>
  <si>
    <t>EXP101222</t>
  </si>
  <si>
    <t>ax711622610</t>
  </si>
  <si>
    <t>EXP101223</t>
  </si>
  <si>
    <t>AX181557087</t>
  </si>
  <si>
    <t>EXP101225</t>
  </si>
  <si>
    <t>AX-438277867</t>
  </si>
  <si>
    <t>EXP101226</t>
  </si>
  <si>
    <t>AX107994746</t>
  </si>
  <si>
    <t>EXP101227</t>
  </si>
  <si>
    <t>AX736264113</t>
  </si>
  <si>
    <t>EXP101228</t>
  </si>
  <si>
    <t>E071</t>
  </si>
  <si>
    <t>AX826623993</t>
  </si>
  <si>
    <t>EXP101229</t>
  </si>
  <si>
    <t>AX847732108</t>
  </si>
  <si>
    <t>EXP101230</t>
  </si>
  <si>
    <t>AX-590584420</t>
  </si>
  <si>
    <t>EXP101231</t>
  </si>
  <si>
    <t>AX858071381</t>
  </si>
  <si>
    <t>EXP101232</t>
  </si>
  <si>
    <t>ax341479566</t>
  </si>
  <si>
    <t>EXP101233</t>
  </si>
  <si>
    <t>ax666081242</t>
  </si>
  <si>
    <t>EXP101234</t>
  </si>
  <si>
    <t>AX489416643</t>
  </si>
  <si>
    <t>EXP101235</t>
  </si>
  <si>
    <t>AX-282842934</t>
  </si>
  <si>
    <t>EXP101236</t>
  </si>
  <si>
    <t>AX 375869133</t>
  </si>
  <si>
    <t>EXP101237</t>
  </si>
  <si>
    <t>AX-384869865</t>
  </si>
  <si>
    <t>EXP101238</t>
  </si>
  <si>
    <t>ax389607178</t>
  </si>
  <si>
    <t>EXP101239</t>
  </si>
  <si>
    <t>AX 356619295</t>
  </si>
  <si>
    <t>EXP101240</t>
  </si>
  <si>
    <t>AX 187756330</t>
  </si>
  <si>
    <t>EXP101241</t>
  </si>
  <si>
    <t>AX 405390827</t>
  </si>
  <si>
    <t>EXP101242</t>
  </si>
  <si>
    <t>E232</t>
  </si>
  <si>
    <t>AX 834261624</t>
  </si>
  <si>
    <t>EXP101243</t>
  </si>
  <si>
    <t>AX-632156942</t>
  </si>
  <si>
    <t>EXP101244</t>
  </si>
  <si>
    <t>E104</t>
  </si>
  <si>
    <t>AX-278530996</t>
  </si>
  <si>
    <t>EXP101245</t>
  </si>
  <si>
    <t>AX173163628</t>
  </si>
  <si>
    <t>EXP101246</t>
  </si>
  <si>
    <t>ax191098138</t>
  </si>
  <si>
    <t>EXP101247</t>
  </si>
  <si>
    <t>AX899287239</t>
  </si>
  <si>
    <t>EXP101248</t>
  </si>
  <si>
    <t>AX-943050326</t>
  </si>
  <si>
    <t>EXP101249</t>
  </si>
  <si>
    <t>EXP101250</t>
  </si>
  <si>
    <t>AX232748671</t>
  </si>
  <si>
    <t>EXP101251</t>
  </si>
  <si>
    <t>ax813189919</t>
  </si>
  <si>
    <t>EXP101252</t>
  </si>
  <si>
    <t>AX688222363</t>
  </si>
  <si>
    <t>EXP101253</t>
  </si>
  <si>
    <t>EXP101254</t>
  </si>
  <si>
    <t>AX348632338</t>
  </si>
  <si>
    <t>EXP101255</t>
  </si>
  <si>
    <t>AX 184256944</t>
  </si>
  <si>
    <t>EXP101256</t>
  </si>
  <si>
    <t>AX345997393</t>
  </si>
  <si>
    <t>EXP101257</t>
  </si>
  <si>
    <t>EXP101258</t>
  </si>
  <si>
    <t>EXP101259</t>
  </si>
  <si>
    <t>AX-658885052</t>
  </si>
  <si>
    <t>EXP101260</t>
  </si>
  <si>
    <t>AX487179264</t>
  </si>
  <si>
    <t>EXP101261</t>
  </si>
  <si>
    <t>AX449457219</t>
  </si>
  <si>
    <t>EXP101262</t>
  </si>
  <si>
    <t>AX857894681</t>
  </si>
  <si>
    <t>EXP101263</t>
  </si>
  <si>
    <t>ax598865744</t>
  </si>
  <si>
    <t>EXP101264</t>
  </si>
  <si>
    <t>ax626729891</t>
  </si>
  <si>
    <t>EXP101265</t>
  </si>
  <si>
    <t>EXP101266</t>
  </si>
  <si>
    <t>AX247764716</t>
  </si>
  <si>
    <t>EXP101267</t>
  </si>
  <si>
    <t>EXP101268</t>
  </si>
  <si>
    <t>ax973795075</t>
  </si>
  <si>
    <t>EXP101269</t>
  </si>
  <si>
    <t>AX-279832281</t>
  </si>
  <si>
    <t>EXP101270</t>
  </si>
  <si>
    <t>AX-984667068</t>
  </si>
  <si>
    <t>EXP101271</t>
  </si>
  <si>
    <t>AX 514200357</t>
  </si>
  <si>
    <t>EXP101272</t>
  </si>
  <si>
    <t>EXP101273</t>
  </si>
  <si>
    <t>AX456995013</t>
  </si>
  <si>
    <t>EXP101274</t>
  </si>
  <si>
    <t>EXP101275</t>
  </si>
  <si>
    <t>AX795165068</t>
  </si>
  <si>
    <t>EXP101276</t>
  </si>
  <si>
    <t>AX343492431</t>
  </si>
  <si>
    <t>EXP101277</t>
  </si>
  <si>
    <t>AX600026627</t>
  </si>
  <si>
    <t>EXP101278</t>
  </si>
  <si>
    <t>EXP101280</t>
  </si>
  <si>
    <t>ax751548521</t>
  </si>
  <si>
    <t>EXP101281</t>
  </si>
  <si>
    <t>AX935913176</t>
  </si>
  <si>
    <t>EXP101282</t>
  </si>
  <si>
    <t>EXP101283</t>
  </si>
  <si>
    <t>ax398958681</t>
  </si>
  <si>
    <t>EXP101284</t>
  </si>
  <si>
    <t>AX336138812</t>
  </si>
  <si>
    <t>EXP101285</t>
  </si>
  <si>
    <t>AX713518389</t>
  </si>
  <si>
    <t>EXP101286</t>
  </si>
  <si>
    <t>EXP101287</t>
  </si>
  <si>
    <t>AX718729859</t>
  </si>
  <si>
    <t>EXP101288</t>
  </si>
  <si>
    <t>AX994602049</t>
  </si>
  <si>
    <t>EXP101289</t>
  </si>
  <si>
    <t>AX590679824</t>
  </si>
  <si>
    <t>EXP101290</t>
  </si>
  <si>
    <t>AX-640441497</t>
  </si>
  <si>
    <t>EXP101291</t>
  </si>
  <si>
    <t>AX-944399162</t>
  </si>
  <si>
    <t>EXP101292</t>
  </si>
  <si>
    <t>AX-509662764</t>
  </si>
  <si>
    <t>EXP101293</t>
  </si>
  <si>
    <t>ax913191923</t>
  </si>
  <si>
    <t>EXP101294</t>
  </si>
  <si>
    <t>AX614103131</t>
  </si>
  <si>
    <t>EXP101295</t>
  </si>
  <si>
    <t>AX677051057</t>
  </si>
  <si>
    <t>EXP101296</t>
  </si>
  <si>
    <t>AX177081397</t>
  </si>
  <si>
    <t>EXP101297</t>
  </si>
  <si>
    <t>AX-621379105</t>
  </si>
  <si>
    <t>EXP101298</t>
  </si>
  <si>
    <t>EXP101299</t>
  </si>
  <si>
    <t>AX-588370685</t>
  </si>
  <si>
    <t>EXP101300</t>
  </si>
  <si>
    <t>EXP101301</t>
  </si>
  <si>
    <t>ax732476581</t>
  </si>
  <si>
    <t>EXP101302</t>
  </si>
  <si>
    <t>ax828373014</t>
  </si>
  <si>
    <t>EXP101303</t>
  </si>
  <si>
    <t>EXP101304</t>
  </si>
  <si>
    <t>AX416731679</t>
  </si>
  <si>
    <t>EXP101305</t>
  </si>
  <si>
    <t>AX175921068</t>
  </si>
  <si>
    <t>EXP101306</t>
  </si>
  <si>
    <t>AX239065346</t>
  </si>
  <si>
    <t>EXP101307</t>
  </si>
  <si>
    <t>AX548213890</t>
  </si>
  <si>
    <t>EXP101308</t>
  </si>
  <si>
    <t>AX892231403</t>
  </si>
  <si>
    <t>EXP101309</t>
  </si>
  <si>
    <t>AX 951608767</t>
  </si>
  <si>
    <t>EXP101310</t>
  </si>
  <si>
    <t>EXP101311</t>
  </si>
  <si>
    <t>AX309795343</t>
  </si>
  <si>
    <t>EXP101312</t>
  </si>
  <si>
    <t>AX398391163</t>
  </si>
  <si>
    <t>EXP101313</t>
  </si>
  <si>
    <t>AX 199803432</t>
  </si>
  <si>
    <t>EXP101314</t>
  </si>
  <si>
    <t>AX356011183</t>
  </si>
  <si>
    <t>EXP101315</t>
  </si>
  <si>
    <t>EXP101316</t>
  </si>
  <si>
    <t>AX852596664</t>
  </si>
  <si>
    <t>EXP101317</t>
  </si>
  <si>
    <t>ax607927358</t>
  </si>
  <si>
    <t>EXP101318</t>
  </si>
  <si>
    <t>AX532700112</t>
  </si>
  <si>
    <t>EXP101319</t>
  </si>
  <si>
    <t>ax503991755</t>
  </si>
  <si>
    <t>EXP101320</t>
  </si>
  <si>
    <t>ax298021341</t>
  </si>
  <si>
    <t>EXP101321</t>
  </si>
  <si>
    <t>AX-907546761</t>
  </si>
  <si>
    <t>EXP101322</t>
  </si>
  <si>
    <t>AX995952173</t>
  </si>
  <si>
    <t>EXP101323</t>
  </si>
  <si>
    <t>AX511269439</t>
  </si>
  <si>
    <t>EXP101324</t>
  </si>
  <si>
    <t>AX499062313</t>
  </si>
  <si>
    <t>EXP101325</t>
  </si>
  <si>
    <t>EXP101326</t>
  </si>
  <si>
    <t>AX-170659454</t>
  </si>
  <si>
    <t>EXP101327</t>
  </si>
  <si>
    <t>ax275953086</t>
  </si>
  <si>
    <t>EXP101328</t>
  </si>
  <si>
    <t>AX688926551</t>
  </si>
  <si>
    <t>EXP101329</t>
  </si>
  <si>
    <t>AX833823323</t>
  </si>
  <si>
    <t>EXP101330</t>
  </si>
  <si>
    <t>AX546834903</t>
  </si>
  <si>
    <t>EXP101331</t>
  </si>
  <si>
    <t>AX 184666314</t>
  </si>
  <si>
    <t>EXP101332</t>
  </si>
  <si>
    <t>AX142829498</t>
  </si>
  <si>
    <t>EXP101333</t>
  </si>
  <si>
    <t>AX506052622</t>
  </si>
  <si>
    <t>EXP101334</t>
  </si>
  <si>
    <t>AX308776067</t>
  </si>
  <si>
    <t>EXP101335</t>
  </si>
  <si>
    <t>EXP101336</t>
  </si>
  <si>
    <t>AX163937364</t>
  </si>
  <si>
    <t>EXP101337</t>
  </si>
  <si>
    <t>AX-309285224</t>
  </si>
  <si>
    <t>EXP101338</t>
  </si>
  <si>
    <t>AX931080754</t>
  </si>
  <si>
    <t>EXP101339</t>
  </si>
  <si>
    <t>AX961101401</t>
  </si>
  <si>
    <t>EXP101340</t>
  </si>
  <si>
    <t>AX423232778</t>
  </si>
  <si>
    <t>EXP101341</t>
  </si>
  <si>
    <t>AX623728058</t>
  </si>
  <si>
    <t>EXP101342</t>
  </si>
  <si>
    <t>ax238516458</t>
  </si>
  <si>
    <t>EXP101343</t>
  </si>
  <si>
    <t>ax194270035</t>
  </si>
  <si>
    <t>EXP101344</t>
  </si>
  <si>
    <t>AX737775276</t>
  </si>
  <si>
    <t>EXP101345</t>
  </si>
  <si>
    <t>AX-985682850</t>
  </si>
  <si>
    <t>EXP101346</t>
  </si>
  <si>
    <t>AX-594675691</t>
  </si>
  <si>
    <t>EXP101347</t>
  </si>
  <si>
    <t>AX-168288715</t>
  </si>
  <si>
    <t>EXP101348</t>
  </si>
  <si>
    <t>AX330190314</t>
  </si>
  <si>
    <t>EXP101349</t>
  </si>
  <si>
    <t>AX715108909</t>
  </si>
  <si>
    <t>EXP101350</t>
  </si>
  <si>
    <t>EXP101351</t>
  </si>
  <si>
    <t>AX880257787</t>
  </si>
  <si>
    <t>EXP101352</t>
  </si>
  <si>
    <t>AX261721882</t>
  </si>
  <si>
    <t>EXP101353</t>
  </si>
  <si>
    <t>AX754630235</t>
  </si>
  <si>
    <t>EXP101354</t>
  </si>
  <si>
    <t>ax915433770</t>
  </si>
  <si>
    <t>EXP101355</t>
  </si>
  <si>
    <t>AX290930873</t>
  </si>
  <si>
    <t>EXP101356</t>
  </si>
  <si>
    <t>AX 362310327</t>
  </si>
  <si>
    <t>EXP101357</t>
  </si>
  <si>
    <t>AX-208596226</t>
  </si>
  <si>
    <t>EXP101358</t>
  </si>
  <si>
    <t>AX849435769</t>
  </si>
  <si>
    <t>EXP101359</t>
  </si>
  <si>
    <t>AX 406595403</t>
  </si>
  <si>
    <t>EXP101360</t>
  </si>
  <si>
    <t>AX 464024795</t>
  </si>
  <si>
    <t>EXP101361</t>
  </si>
  <si>
    <t>E152</t>
  </si>
  <si>
    <t>AX732039020</t>
  </si>
  <si>
    <t>EXP101362</t>
  </si>
  <si>
    <t>AX129580096</t>
  </si>
  <si>
    <t>EXP101363</t>
  </si>
  <si>
    <t>AX-939786721</t>
  </si>
  <si>
    <t>EXP101364</t>
  </si>
  <si>
    <t>EXP101365</t>
  </si>
  <si>
    <t>AX791564592</t>
  </si>
  <si>
    <t>EXP101366</t>
  </si>
  <si>
    <t>AX197379723</t>
  </si>
  <si>
    <t>EXP101367</t>
  </si>
  <si>
    <t>E195</t>
  </si>
  <si>
    <t>ax714592745</t>
  </si>
  <si>
    <t>EXP101368</t>
  </si>
  <si>
    <t>AX363639283</t>
  </si>
  <si>
    <t>EXP101369</t>
  </si>
  <si>
    <t>AX894459184</t>
  </si>
  <si>
    <t>EXP101370</t>
  </si>
  <si>
    <t>AX 659550013</t>
  </si>
  <si>
    <t>EXP101371</t>
  </si>
  <si>
    <t>AX-961054947</t>
  </si>
  <si>
    <t>EXP101372</t>
  </si>
  <si>
    <t>ax461958791</t>
  </si>
  <si>
    <t>EXP101373</t>
  </si>
  <si>
    <t>AX867970226</t>
  </si>
  <si>
    <t>EXP101374</t>
  </si>
  <si>
    <t>ax410817778</t>
  </si>
  <si>
    <t>EXP101375</t>
  </si>
  <si>
    <t>EXP101376</t>
  </si>
  <si>
    <t>AX205148950</t>
  </si>
  <si>
    <t>EXP101377</t>
  </si>
  <si>
    <t>AX369709931</t>
  </si>
  <si>
    <t>EXP101378</t>
  </si>
  <si>
    <t>AX-878707261</t>
  </si>
  <si>
    <t>EXP101379</t>
  </si>
  <si>
    <t>AX697542851</t>
  </si>
  <si>
    <t>EXP101380</t>
  </si>
  <si>
    <t>AX653170934</t>
  </si>
  <si>
    <t>EXP101381</t>
  </si>
  <si>
    <t>AX361778786</t>
  </si>
  <si>
    <t>EXP101382</t>
  </si>
  <si>
    <t>AX332801161</t>
  </si>
  <si>
    <t>EXP101383</t>
  </si>
  <si>
    <t>EXP101384</t>
  </si>
  <si>
    <t>EXP101385</t>
  </si>
  <si>
    <t>AX727566885</t>
  </si>
  <si>
    <t>EXP101386</t>
  </si>
  <si>
    <t>EXP101387</t>
  </si>
  <si>
    <t>AX-968962996</t>
  </si>
  <si>
    <t>EXP101388</t>
  </si>
  <si>
    <t>AX697049769</t>
  </si>
  <si>
    <t>EXP101389</t>
  </si>
  <si>
    <t>EXP101390</t>
  </si>
  <si>
    <t>AX-498937685</t>
  </si>
  <si>
    <t>EXP101391</t>
  </si>
  <si>
    <t>ax975974847</t>
  </si>
  <si>
    <t>EXP101392</t>
  </si>
  <si>
    <t>AX-948568931</t>
  </si>
  <si>
    <t>EXP101393</t>
  </si>
  <si>
    <t>ax499859594</t>
  </si>
  <si>
    <t>EXP101394</t>
  </si>
  <si>
    <t>EXP101395</t>
  </si>
  <si>
    <t>AX895412985</t>
  </si>
  <si>
    <t>EXP101396</t>
  </si>
  <si>
    <t>E219</t>
  </si>
  <si>
    <t>AX129564895</t>
  </si>
  <si>
    <t>EXP101397</t>
  </si>
  <si>
    <t>AX867596221</t>
  </si>
  <si>
    <t>EXP101398</t>
  </si>
  <si>
    <t>AX 673018520</t>
  </si>
  <si>
    <t>EXP101399</t>
  </si>
  <si>
    <t>ax631744537</t>
  </si>
  <si>
    <t>EXP101400</t>
  </si>
  <si>
    <t>ax544931137</t>
  </si>
  <si>
    <t>EXP101401</t>
  </si>
  <si>
    <t>EXP101402</t>
  </si>
  <si>
    <t>AX-352918713</t>
  </si>
  <si>
    <t>EXP101403</t>
  </si>
  <si>
    <t>EXP101404</t>
  </si>
  <si>
    <t>EXP101405</t>
  </si>
  <si>
    <t>AX908159650</t>
  </si>
  <si>
    <t>EXP101406</t>
  </si>
  <si>
    <t>AX 529115264</t>
  </si>
  <si>
    <t>EXP101407</t>
  </si>
  <si>
    <t>AX917534391</t>
  </si>
  <si>
    <t>EXP101408</t>
  </si>
  <si>
    <t>EXP101409</t>
  </si>
  <si>
    <t>AX-444399885</t>
  </si>
  <si>
    <t>EXP101410</t>
  </si>
  <si>
    <t>E100</t>
  </si>
  <si>
    <t>AX945818123</t>
  </si>
  <si>
    <t>EXP101411</t>
  </si>
  <si>
    <t>AX-258279884</t>
  </si>
  <si>
    <t>EXP101412</t>
  </si>
  <si>
    <t>AX 937251911</t>
  </si>
  <si>
    <t>EXP101413</t>
  </si>
  <si>
    <t>AX259094454</t>
  </si>
  <si>
    <t>EXP101414</t>
  </si>
  <si>
    <t>ax650909072</t>
  </si>
  <si>
    <t>EXP101415</t>
  </si>
  <si>
    <t>ax790607633</t>
  </si>
  <si>
    <t>EXP101416</t>
  </si>
  <si>
    <t>AX-426311671</t>
  </si>
  <si>
    <t>EXP101417</t>
  </si>
  <si>
    <t>AX-874074124</t>
  </si>
  <si>
    <t>EXP101418</t>
  </si>
  <si>
    <t>AX132878937</t>
  </si>
  <si>
    <t>EXP101419</t>
  </si>
  <si>
    <t>AX899513926</t>
  </si>
  <si>
    <t>EXP101420</t>
  </si>
  <si>
    <t>ax252506387</t>
  </si>
  <si>
    <t>EXP101421</t>
  </si>
  <si>
    <t>E225</t>
  </si>
  <si>
    <t>AX562330923</t>
  </si>
  <si>
    <t>EXP101422</t>
  </si>
  <si>
    <t>AX 638117245</t>
  </si>
  <si>
    <t>EXP101423</t>
  </si>
  <si>
    <t>AX676552090</t>
  </si>
  <si>
    <t>EXP101424</t>
  </si>
  <si>
    <t>AX 488093331</t>
  </si>
  <si>
    <t>EXP101425</t>
  </si>
  <si>
    <t>ax802762502</t>
  </si>
  <si>
    <t>EXP101426</t>
  </si>
  <si>
    <t>AX 685272279</t>
  </si>
  <si>
    <t>EXP101427</t>
  </si>
  <si>
    <t>AX707477836</t>
  </si>
  <si>
    <t>EXP101428</t>
  </si>
  <si>
    <t>EXP101429</t>
  </si>
  <si>
    <t>AX271244429</t>
  </si>
  <si>
    <t>EXP101430</t>
  </si>
  <si>
    <t>AX151109564</t>
  </si>
  <si>
    <t>EXP101431</t>
  </si>
  <si>
    <t>ax567980637</t>
  </si>
  <si>
    <t>EXP101432</t>
  </si>
  <si>
    <t>AX505686818</t>
  </si>
  <si>
    <t>EXP101433</t>
  </si>
  <si>
    <t>AX448355660</t>
  </si>
  <si>
    <t>EXP101434</t>
  </si>
  <si>
    <t>AX 163588010</t>
  </si>
  <si>
    <t>EXP101435</t>
  </si>
  <si>
    <t>AX229072115</t>
  </si>
  <si>
    <t>EXP101436</t>
  </si>
  <si>
    <t>AX415504031</t>
  </si>
  <si>
    <t>EXP101437</t>
  </si>
  <si>
    <t>ax556433123</t>
  </si>
  <si>
    <t>EXP101438</t>
  </si>
  <si>
    <t>ax678121130</t>
  </si>
  <si>
    <t>EXP101439</t>
  </si>
  <si>
    <t>AX932888073</t>
  </si>
  <si>
    <t>EXP101440</t>
  </si>
  <si>
    <t>ax950265554</t>
  </si>
  <si>
    <t>EXP101441</t>
  </si>
  <si>
    <t>AX617990177</t>
  </si>
  <si>
    <t>EXP101442</t>
  </si>
  <si>
    <t>EXP101443</t>
  </si>
  <si>
    <t>ax569249041</t>
  </si>
  <si>
    <t>EXP101444</t>
  </si>
  <si>
    <t>EXP101445</t>
  </si>
  <si>
    <t>AX343449459</t>
  </si>
  <si>
    <t>EXP101446</t>
  </si>
  <si>
    <t>ax670748755</t>
  </si>
  <si>
    <t>EXP101447</t>
  </si>
  <si>
    <t>ax198041457</t>
  </si>
  <si>
    <t>EXP101448</t>
  </si>
  <si>
    <t>AX222328626</t>
  </si>
  <si>
    <t>EXP101449</t>
  </si>
  <si>
    <t>AX128108044</t>
  </si>
  <si>
    <t>EXP101450</t>
  </si>
  <si>
    <t>E242</t>
  </si>
  <si>
    <t>ax451263270</t>
  </si>
  <si>
    <t>EXP101451</t>
  </si>
  <si>
    <t>AX574263291</t>
  </si>
  <si>
    <t>EXP101452</t>
  </si>
  <si>
    <t>AX-634926067</t>
  </si>
  <si>
    <t>EXP101453</t>
  </si>
  <si>
    <t>EXP101454</t>
  </si>
  <si>
    <t>EXP101455</t>
  </si>
  <si>
    <t>AX408645186</t>
  </si>
  <si>
    <t>EXP101456</t>
  </si>
  <si>
    <t>AX342259261</t>
  </si>
  <si>
    <t>EXP101457</t>
  </si>
  <si>
    <t>EXP101458</t>
  </si>
  <si>
    <t>AX613457316</t>
  </si>
  <si>
    <t>EXP101459</t>
  </si>
  <si>
    <t>E203</t>
  </si>
  <si>
    <t>AX863847966</t>
  </si>
  <si>
    <t>EXP101460</t>
  </si>
  <si>
    <t>AX 797124989</t>
  </si>
  <si>
    <t>EXP101461</t>
  </si>
  <si>
    <t>EXP101462</t>
  </si>
  <si>
    <t>AX365608429</t>
  </si>
  <si>
    <t>EXP101463</t>
  </si>
  <si>
    <t>EXP101464</t>
  </si>
  <si>
    <t>EXP101465</t>
  </si>
  <si>
    <t>ax159632416</t>
  </si>
  <si>
    <t>EXP101466</t>
  </si>
  <si>
    <t xml:space="preserve"> UNITED AIRLINES 0162233</t>
  </si>
  <si>
    <t>EXP101467</t>
  </si>
  <si>
    <t>AX110284155</t>
  </si>
  <si>
    <t>EXP101468</t>
  </si>
  <si>
    <t>ax646693321</t>
  </si>
  <si>
    <t>EXP101469</t>
  </si>
  <si>
    <t>ax645003514</t>
  </si>
  <si>
    <t>EXP101470</t>
  </si>
  <si>
    <t>ax147792391</t>
  </si>
  <si>
    <t>EXP101471</t>
  </si>
  <si>
    <t>AX 430318554</t>
  </si>
  <si>
    <t>EXP101472</t>
  </si>
  <si>
    <t>EXP101473</t>
  </si>
  <si>
    <t>AX-999137353</t>
  </si>
  <si>
    <t>EXP101474</t>
  </si>
  <si>
    <t>AX260127051</t>
  </si>
  <si>
    <t>EXP101476</t>
  </si>
  <si>
    <t>AX762016869</t>
  </si>
  <si>
    <t>EXP101477</t>
  </si>
  <si>
    <t>AX 891364895</t>
  </si>
  <si>
    <t>EXP101478</t>
  </si>
  <si>
    <t>AX507300609</t>
  </si>
  <si>
    <t>EXP101479</t>
  </si>
  <si>
    <t>EXP101480</t>
  </si>
  <si>
    <t>AX770419648</t>
  </si>
  <si>
    <t>EXP101481</t>
  </si>
  <si>
    <t>AX674264760</t>
  </si>
  <si>
    <t>EXP101482</t>
  </si>
  <si>
    <t>AX968323959</t>
  </si>
  <si>
    <t>EXP101483</t>
  </si>
  <si>
    <t>AX775521344</t>
  </si>
  <si>
    <t>EXP101484</t>
  </si>
  <si>
    <t>AX361483510</t>
  </si>
  <si>
    <t>EXP101485</t>
  </si>
  <si>
    <t>AX980724764</t>
  </si>
  <si>
    <t>EXP101486</t>
  </si>
  <si>
    <t>AX841345373</t>
  </si>
  <si>
    <t>EXP101487</t>
  </si>
  <si>
    <t>E200</t>
  </si>
  <si>
    <t>AX-399417914</t>
  </si>
  <si>
    <t>EXP101488</t>
  </si>
  <si>
    <t>AX111554731</t>
  </si>
  <si>
    <t>EXP101489</t>
  </si>
  <si>
    <t>EXP101490</t>
  </si>
  <si>
    <t>AX982160407</t>
  </si>
  <si>
    <t>EXP101491</t>
  </si>
  <si>
    <t>EXP101492</t>
  </si>
  <si>
    <t>AX519601649</t>
  </si>
  <si>
    <t>EXP101493</t>
  </si>
  <si>
    <t>EXP101494</t>
  </si>
  <si>
    <t>AX150610956</t>
  </si>
  <si>
    <t>EXP101495</t>
  </si>
  <si>
    <t>EXP101496</t>
  </si>
  <si>
    <t>AX831414340</t>
  </si>
  <si>
    <t>EXP101497</t>
  </si>
  <si>
    <t>AX744631154</t>
  </si>
  <si>
    <t>EXP101498</t>
  </si>
  <si>
    <t>EXP101499</t>
  </si>
  <si>
    <t>AX 578518671</t>
  </si>
  <si>
    <t>EXP101500</t>
  </si>
  <si>
    <t>AX663375111</t>
  </si>
  <si>
    <t>EXP101501</t>
  </si>
  <si>
    <t>E178</t>
  </si>
  <si>
    <t>AX192745827</t>
  </si>
  <si>
    <t>EXP101502</t>
  </si>
  <si>
    <t>E181</t>
  </si>
  <si>
    <t>ax336828012</t>
  </si>
  <si>
    <t>EXP101503</t>
  </si>
  <si>
    <t>AX-612089522</t>
  </si>
  <si>
    <t>EXP101504</t>
  </si>
  <si>
    <t>AX627008968</t>
  </si>
  <si>
    <t>EXP101505</t>
  </si>
  <si>
    <t>AX 184894842</t>
  </si>
  <si>
    <t>EXP101506</t>
  </si>
  <si>
    <t>AX475409641</t>
  </si>
  <si>
    <t>EXP101507</t>
  </si>
  <si>
    <t>AX889379221</t>
  </si>
  <si>
    <t>EXP101508</t>
  </si>
  <si>
    <t>AX-880221564</t>
  </si>
  <si>
    <t>EXP101509</t>
  </si>
  <si>
    <t>ax142679173</t>
  </si>
  <si>
    <t>EXP101510</t>
  </si>
  <si>
    <t>AX 551035126</t>
  </si>
  <si>
    <t>EXP101511</t>
  </si>
  <si>
    <t>AX 273924966</t>
  </si>
  <si>
    <t>EXP101512</t>
  </si>
  <si>
    <t>ax680238664</t>
  </si>
  <si>
    <t>EXP101513</t>
  </si>
  <si>
    <t>EXP101514</t>
  </si>
  <si>
    <t>AX626879586</t>
  </si>
  <si>
    <t>EXP101515</t>
  </si>
  <si>
    <t>AX874776814</t>
  </si>
  <si>
    <t>EXP101516</t>
  </si>
  <si>
    <t>AX 789331553</t>
  </si>
  <si>
    <t>EXP101517</t>
  </si>
  <si>
    <t>AX544424655</t>
  </si>
  <si>
    <t>EXP101518</t>
  </si>
  <si>
    <t>EXP101520</t>
  </si>
  <si>
    <t>AX626909834</t>
  </si>
  <si>
    <t>EXP101521</t>
  </si>
  <si>
    <t>AX974286712</t>
  </si>
  <si>
    <t>EXP101522</t>
  </si>
  <si>
    <t>ax461714564</t>
  </si>
  <si>
    <t>EXP101523</t>
  </si>
  <si>
    <t>ax453408949</t>
  </si>
  <si>
    <t>EXP101524</t>
  </si>
  <si>
    <t>ax376583403</t>
  </si>
  <si>
    <t>EXP101525</t>
  </si>
  <si>
    <t>AX-504817322</t>
  </si>
  <si>
    <t>EXP101526</t>
  </si>
  <si>
    <t>AX 927501675</t>
  </si>
  <si>
    <t>EXP101527</t>
  </si>
  <si>
    <t>AX 478844860</t>
  </si>
  <si>
    <t>EXP101528</t>
  </si>
  <si>
    <t>AX-167351294</t>
  </si>
  <si>
    <t>EXP101529</t>
  </si>
  <si>
    <t>EXP101530</t>
  </si>
  <si>
    <t>AX436221157</t>
  </si>
  <si>
    <t>EXP101531</t>
  </si>
  <si>
    <t>AX 370145478</t>
  </si>
  <si>
    <t>EXP101532</t>
  </si>
  <si>
    <t>AX381231759</t>
  </si>
  <si>
    <t>EXP101533</t>
  </si>
  <si>
    <t>ax444601631</t>
  </si>
  <si>
    <t>EXP101534</t>
  </si>
  <si>
    <t>AX764054576</t>
  </si>
  <si>
    <t>EXP101535</t>
  </si>
  <si>
    <t>ax824113490</t>
  </si>
  <si>
    <t>EXP101536</t>
  </si>
  <si>
    <t>EXP101537</t>
  </si>
  <si>
    <t>EXP101538</t>
  </si>
  <si>
    <t>ax171879046</t>
  </si>
  <si>
    <t>EXP101539</t>
  </si>
  <si>
    <t>AX440790480</t>
  </si>
  <si>
    <t>EXP101540</t>
  </si>
  <si>
    <t>AX400611038</t>
  </si>
  <si>
    <t>EXP101541</t>
  </si>
  <si>
    <t>AX 377918839</t>
  </si>
  <si>
    <t>EXP101542</t>
  </si>
  <si>
    <t>ax131175624</t>
  </si>
  <si>
    <t>EXP101543</t>
  </si>
  <si>
    <t>AX-226346913</t>
  </si>
  <si>
    <t>EXP101544</t>
  </si>
  <si>
    <t>EXP101545</t>
  </si>
  <si>
    <t>AX-844620176</t>
  </si>
  <si>
    <t>EXP101546</t>
  </si>
  <si>
    <t>EXP101547</t>
  </si>
  <si>
    <t>AX462409519</t>
  </si>
  <si>
    <t>EXP101548</t>
  </si>
  <si>
    <t>AX-247347428</t>
  </si>
  <si>
    <t>EXP101549</t>
  </si>
  <si>
    <t>EXP101550</t>
  </si>
  <si>
    <t>AX818666670</t>
  </si>
  <si>
    <t>EXP101551</t>
  </si>
  <si>
    <t>AX258967503</t>
  </si>
  <si>
    <t xml:space="preserve">  transportation </t>
  </si>
  <si>
    <t>EXP101552</t>
  </si>
  <si>
    <t>EXP101553</t>
  </si>
  <si>
    <t>AX471565791</t>
  </si>
  <si>
    <t>EXP101554</t>
  </si>
  <si>
    <t>EXP101555</t>
  </si>
  <si>
    <t>AX-961261915</t>
  </si>
  <si>
    <t>EXP101556</t>
  </si>
  <si>
    <t>EXP101557</t>
  </si>
  <si>
    <t>AX 302783537</t>
  </si>
  <si>
    <t>EXP101558</t>
  </si>
  <si>
    <t>AX446274223</t>
  </si>
  <si>
    <t>EXP101559</t>
  </si>
  <si>
    <t>EXP101560</t>
  </si>
  <si>
    <t>AX143938980</t>
  </si>
  <si>
    <t>EXP101561</t>
  </si>
  <si>
    <t>AX856704457</t>
  </si>
  <si>
    <t>EXP101562</t>
  </si>
  <si>
    <t>ax797166729</t>
  </si>
  <si>
    <t>EXP101563</t>
  </si>
  <si>
    <t>AX 291662655</t>
  </si>
  <si>
    <t>EXP101564</t>
  </si>
  <si>
    <t>ax189471998</t>
  </si>
  <si>
    <t>EXP101565</t>
  </si>
  <si>
    <t>ax123682647</t>
  </si>
  <si>
    <t>EXP101567</t>
  </si>
  <si>
    <t>EXP101568</t>
  </si>
  <si>
    <t>AX272067087</t>
  </si>
  <si>
    <t>EXP101569</t>
  </si>
  <si>
    <t>EXP101570</t>
  </si>
  <si>
    <t>AX749638513</t>
  </si>
  <si>
    <t>EXP101571</t>
  </si>
  <si>
    <t>AX241219281</t>
  </si>
  <si>
    <t>EXP101572</t>
  </si>
  <si>
    <t>AX 480031388</t>
  </si>
  <si>
    <t>EXP101573</t>
  </si>
  <si>
    <t>EXP101574</t>
  </si>
  <si>
    <t>EXP101575</t>
  </si>
  <si>
    <t>AX-585634777</t>
  </si>
  <si>
    <t>EXP101576</t>
  </si>
  <si>
    <t>EXP101577</t>
  </si>
  <si>
    <t>ax334237106</t>
  </si>
  <si>
    <t>EXP101578</t>
  </si>
  <si>
    <t>AX 613702903</t>
  </si>
  <si>
    <t>EXP101579</t>
  </si>
  <si>
    <t>EXP101580</t>
  </si>
  <si>
    <t>AX288426827</t>
  </si>
  <si>
    <t>EXP101581</t>
  </si>
  <si>
    <t>AX941377852</t>
  </si>
  <si>
    <t>EXP101582</t>
  </si>
  <si>
    <t>AX-586084984</t>
  </si>
  <si>
    <t>EXP101583</t>
  </si>
  <si>
    <t>ax777790639</t>
  </si>
  <si>
    <t>EXP101584</t>
  </si>
  <si>
    <t>AX 469717267</t>
  </si>
  <si>
    <t>EXP101585</t>
  </si>
  <si>
    <t>ax298600411</t>
  </si>
  <si>
    <t>EXP101586</t>
  </si>
  <si>
    <t>AX370782566</t>
  </si>
  <si>
    <t>EXP101587</t>
  </si>
  <si>
    <t>AX-608788428</t>
  </si>
  <si>
    <t>EXP101588</t>
  </si>
  <si>
    <t>AX-313246625</t>
  </si>
  <si>
    <t>EXP101590</t>
  </si>
  <si>
    <t>EXP101591</t>
  </si>
  <si>
    <t>AX324199495</t>
  </si>
  <si>
    <t>EXP101592</t>
  </si>
  <si>
    <t>AX757466857</t>
  </si>
  <si>
    <t>EXP101593</t>
  </si>
  <si>
    <t>E107</t>
  </si>
  <si>
    <t>EXP101594</t>
  </si>
  <si>
    <t>AX 199975410</t>
  </si>
  <si>
    <t>EXP101595</t>
  </si>
  <si>
    <t>AX 466290060</t>
  </si>
  <si>
    <t>EXP101596</t>
  </si>
  <si>
    <t>AX533492286</t>
  </si>
  <si>
    <t>EXP101597</t>
  </si>
  <si>
    <t>AX 402139635</t>
  </si>
  <si>
    <t>EXP101598</t>
  </si>
  <si>
    <t>ax494650050</t>
  </si>
  <si>
    <t>EXP101599</t>
  </si>
  <si>
    <t>AX269657403</t>
  </si>
  <si>
    <t>EXP101600</t>
  </si>
  <si>
    <t>AX-259461261</t>
  </si>
  <si>
    <t>EXP101601</t>
  </si>
  <si>
    <t>AX-217648298</t>
  </si>
  <si>
    <t>EXP101602</t>
  </si>
  <si>
    <t>AX569726100</t>
  </si>
  <si>
    <t>EXP101603</t>
  </si>
  <si>
    <t>ax114029684</t>
  </si>
  <si>
    <t>EXP101604</t>
  </si>
  <si>
    <t>AX590720902</t>
  </si>
  <si>
    <t>EXP101605</t>
  </si>
  <si>
    <t>AX869733230</t>
  </si>
  <si>
    <t>EXP101606</t>
  </si>
  <si>
    <t>AX880228923</t>
  </si>
  <si>
    <t>EXP101607</t>
  </si>
  <si>
    <t>AX991883658</t>
  </si>
  <si>
    <t>EXP101608</t>
  </si>
  <si>
    <t>AX-387158106</t>
  </si>
  <si>
    <t>EXP101609</t>
  </si>
  <si>
    <t>ax750639656</t>
  </si>
  <si>
    <t>EXP101610</t>
  </si>
  <si>
    <t>AX333953720</t>
  </si>
  <si>
    <t>EXP101611</t>
  </si>
  <si>
    <t>AX834394354</t>
  </si>
  <si>
    <t>EXP101612</t>
  </si>
  <si>
    <t>ax148239446</t>
  </si>
  <si>
    <t>EXP101613</t>
  </si>
  <si>
    <t>AX-250599511</t>
  </si>
  <si>
    <t>EXP101614</t>
  </si>
  <si>
    <t>AX897362297</t>
  </si>
  <si>
    <t>EXP101615</t>
  </si>
  <si>
    <t>EXP101616</t>
  </si>
  <si>
    <t>AX535728903</t>
  </si>
  <si>
    <t>EXP101617</t>
  </si>
  <si>
    <t>ax901895431</t>
  </si>
  <si>
    <t>EXP101618</t>
  </si>
  <si>
    <t>AX-288802278</t>
  </si>
  <si>
    <t>EXP101619</t>
  </si>
  <si>
    <t>AX783145941</t>
  </si>
  <si>
    <t>EXP101620</t>
  </si>
  <si>
    <t>AX520281533</t>
  </si>
  <si>
    <t>EXP101621</t>
  </si>
  <si>
    <t>AX734030208</t>
  </si>
  <si>
    <t>EXP101622</t>
  </si>
  <si>
    <t>AX-934088870</t>
  </si>
  <si>
    <t>EXP101623</t>
  </si>
  <si>
    <t>ax246278252</t>
  </si>
  <si>
    <t>EXP101624</t>
  </si>
  <si>
    <t>AX834692945</t>
  </si>
  <si>
    <t>EXP101625</t>
  </si>
  <si>
    <t>AX891351513</t>
  </si>
  <si>
    <t>EXP101626</t>
  </si>
  <si>
    <t>AX577330914</t>
  </si>
  <si>
    <t>EXP101627</t>
  </si>
  <si>
    <t>AX879980837</t>
  </si>
  <si>
    <t>EXP101628</t>
  </si>
  <si>
    <t>AX666023710</t>
  </si>
  <si>
    <t>EXP101629</t>
  </si>
  <si>
    <t>AX 899600414</t>
  </si>
  <si>
    <t>EXP101630</t>
  </si>
  <si>
    <t>AX-822879067</t>
  </si>
  <si>
    <t>EXP101631</t>
  </si>
  <si>
    <t>AX 346498062</t>
  </si>
  <si>
    <t>EXP101632</t>
  </si>
  <si>
    <t>AX941959989</t>
  </si>
  <si>
    <t>EXP101633</t>
  </si>
  <si>
    <t>AX-592413091</t>
  </si>
  <si>
    <t>EXP101634</t>
  </si>
  <si>
    <t>ax360066809</t>
  </si>
  <si>
    <t>EXP101635</t>
  </si>
  <si>
    <t>AX-698351820</t>
  </si>
  <si>
    <t>EXP101636</t>
  </si>
  <si>
    <t>AX380561612</t>
  </si>
  <si>
    <t>EXP101637</t>
  </si>
  <si>
    <t>AX-473643422</t>
  </si>
  <si>
    <t>EXP101638</t>
  </si>
  <si>
    <t>AX-994399770</t>
  </si>
  <si>
    <t>EXP101639</t>
  </si>
  <si>
    <t>AX-214743999</t>
  </si>
  <si>
    <t>EXP101640</t>
  </si>
  <si>
    <t>AX-784080004</t>
  </si>
  <si>
    <t>EXP101641</t>
  </si>
  <si>
    <t>EXP101642</t>
  </si>
  <si>
    <t>ax717524808</t>
  </si>
  <si>
    <t>EXP101643</t>
  </si>
  <si>
    <t>ax615015772</t>
  </si>
  <si>
    <t>EXP101644</t>
  </si>
  <si>
    <t>AX261092010</t>
  </si>
  <si>
    <t>EXP101645</t>
  </si>
  <si>
    <t>AX337759797</t>
  </si>
  <si>
    <t>EXP101646</t>
  </si>
  <si>
    <t>AX344752014</t>
  </si>
  <si>
    <t>EXP101647</t>
  </si>
  <si>
    <t>AX502701121</t>
  </si>
  <si>
    <t>EXP101648</t>
  </si>
  <si>
    <t>ax289780382</t>
  </si>
  <si>
    <t>EXP101649</t>
  </si>
  <si>
    <t>AX582901264</t>
  </si>
  <si>
    <t>EXP101650</t>
  </si>
  <si>
    <t>EXP101651</t>
  </si>
  <si>
    <t>AX450969150</t>
  </si>
  <si>
    <t>EXP101652</t>
  </si>
  <si>
    <t>E101</t>
  </si>
  <si>
    <t>AX-256130121</t>
  </si>
  <si>
    <t>EXP101653</t>
  </si>
  <si>
    <t>ax319727058</t>
  </si>
  <si>
    <t>EXP101654</t>
  </si>
  <si>
    <t>AX 135969805</t>
  </si>
  <si>
    <t>EXP101655</t>
  </si>
  <si>
    <t>AX948191637</t>
  </si>
  <si>
    <t>EXP101656</t>
  </si>
  <si>
    <t>AX425263064</t>
  </si>
  <si>
    <t>EXP101657</t>
  </si>
  <si>
    <t>EXP101658</t>
  </si>
  <si>
    <t>AX-328694630</t>
  </si>
  <si>
    <t>EXP101659</t>
  </si>
  <si>
    <t>AX-521721398</t>
  </si>
  <si>
    <t>EXP101660</t>
  </si>
  <si>
    <t>ax536490823</t>
  </si>
  <si>
    <t>EXP101661</t>
  </si>
  <si>
    <t>AX-888583132</t>
  </si>
  <si>
    <t>EXP101662</t>
  </si>
  <si>
    <t>AX466297373</t>
  </si>
  <si>
    <t>EXP101663</t>
  </si>
  <si>
    <t>AX 571419434</t>
  </si>
  <si>
    <t>EXP101664</t>
  </si>
  <si>
    <t>EXP101665</t>
  </si>
  <si>
    <t>AX 147418179</t>
  </si>
  <si>
    <t>EXP101666</t>
  </si>
  <si>
    <t>E253</t>
  </si>
  <si>
    <t>AX915319960</t>
  </si>
  <si>
    <t>EXP101667</t>
  </si>
  <si>
    <t>AX 467567617</t>
  </si>
  <si>
    <t>EXP101668</t>
  </si>
  <si>
    <t>AX343973552</t>
  </si>
  <si>
    <t>EXP101669</t>
  </si>
  <si>
    <t>EXP101670</t>
  </si>
  <si>
    <t>AX-138906490</t>
  </si>
  <si>
    <t>EXP101671</t>
  </si>
  <si>
    <t>ax154994078</t>
  </si>
  <si>
    <t>EXP101672</t>
  </si>
  <si>
    <t>ax289396535</t>
  </si>
  <si>
    <t>EXP101673</t>
  </si>
  <si>
    <t>AX 112832719</t>
  </si>
  <si>
    <t>EXP101674</t>
  </si>
  <si>
    <t>AX 112117945</t>
  </si>
  <si>
    <t>EXP101675</t>
  </si>
  <si>
    <t>AX797147771</t>
  </si>
  <si>
    <t>EXP101676</t>
  </si>
  <si>
    <t>AX-246401077</t>
  </si>
  <si>
    <t>EXP101677</t>
  </si>
  <si>
    <t>AX381926874</t>
  </si>
  <si>
    <t>EXP101678</t>
  </si>
  <si>
    <t>EXP101679</t>
  </si>
  <si>
    <t>AX392889755</t>
  </si>
  <si>
    <t>EXP101680</t>
  </si>
  <si>
    <t>ax433102023</t>
  </si>
  <si>
    <t>EXP101681</t>
  </si>
  <si>
    <t>AX610687600</t>
  </si>
  <si>
    <t>EXP101682</t>
  </si>
  <si>
    <t>AX153321514</t>
  </si>
  <si>
    <t>EXP101683</t>
  </si>
  <si>
    <t>EXP101684</t>
  </si>
  <si>
    <t>EXP101685</t>
  </si>
  <si>
    <t>AX-977621069</t>
  </si>
  <si>
    <t>EXP101686</t>
  </si>
  <si>
    <t>AX897769326</t>
  </si>
  <si>
    <t>EXP101687</t>
  </si>
  <si>
    <t>AX700624701</t>
  </si>
  <si>
    <t>EXP101688</t>
  </si>
  <si>
    <t>EXP101689</t>
  </si>
  <si>
    <t>AX961094931</t>
  </si>
  <si>
    <t>EXP101690</t>
  </si>
  <si>
    <t>AX 441594559</t>
  </si>
  <si>
    <t>EXP101691</t>
  </si>
  <si>
    <t>AX476114419</t>
  </si>
  <si>
    <t>EXP101692</t>
  </si>
  <si>
    <t>ax882174752</t>
  </si>
  <si>
    <t>EXP101693</t>
  </si>
  <si>
    <t>ax151049528</t>
  </si>
  <si>
    <t>EXP101694</t>
  </si>
  <si>
    <t>AX520646615</t>
  </si>
  <si>
    <t>EXP101695</t>
  </si>
  <si>
    <t>ax760016381</t>
  </si>
  <si>
    <t>EXP101696</t>
  </si>
  <si>
    <t>EXP101697</t>
  </si>
  <si>
    <t>AX-521400026</t>
  </si>
  <si>
    <t>EXP101699</t>
  </si>
  <si>
    <t>AX 485967826</t>
  </si>
  <si>
    <t>EXP101700</t>
  </si>
  <si>
    <t>ax466931969</t>
  </si>
  <si>
    <t>EXP101701</t>
  </si>
  <si>
    <t>AX-360394585</t>
  </si>
  <si>
    <t>EXP101702</t>
  </si>
  <si>
    <t>EXP101703</t>
  </si>
  <si>
    <t>ax118100588</t>
  </si>
  <si>
    <t>EXP101704</t>
  </si>
  <si>
    <t>AX748204157</t>
  </si>
  <si>
    <t>EXP101705</t>
  </si>
  <si>
    <t>ax434917132</t>
  </si>
  <si>
    <t>EXP101706</t>
  </si>
  <si>
    <t>AX874476218</t>
  </si>
  <si>
    <t>EXP101707</t>
  </si>
  <si>
    <t>ax787112614</t>
  </si>
  <si>
    <t>EXP101708</t>
  </si>
  <si>
    <t>ax683559430</t>
  </si>
  <si>
    <t>EXP101709</t>
  </si>
  <si>
    <t>AX 490791021</t>
  </si>
  <si>
    <t>EXP101710</t>
  </si>
  <si>
    <t>AX 969546005</t>
  </si>
  <si>
    <t>EXP101711</t>
  </si>
  <si>
    <t>AX681303193</t>
  </si>
  <si>
    <t>EXP101712</t>
  </si>
  <si>
    <t>AX-272522509</t>
  </si>
  <si>
    <t>EXP101713</t>
  </si>
  <si>
    <t>EXP101714</t>
  </si>
  <si>
    <t>AX600924117</t>
  </si>
  <si>
    <t>EXP101715</t>
  </si>
  <si>
    <t>AX188790397</t>
  </si>
  <si>
    <t>EXP101716</t>
  </si>
  <si>
    <t>AX 575583639</t>
  </si>
  <si>
    <t>EXP101717</t>
  </si>
  <si>
    <t>AX784271321</t>
  </si>
  <si>
    <t>EXP101718</t>
  </si>
  <si>
    <t>E246</t>
  </si>
  <si>
    <t>AX 983435460</t>
  </si>
  <si>
    <t>EXP101719</t>
  </si>
  <si>
    <t>AX-896310119</t>
  </si>
  <si>
    <t>EXP101720</t>
  </si>
  <si>
    <t>AX-823421978</t>
  </si>
  <si>
    <t>EXP101721</t>
  </si>
  <si>
    <t>AX351870398</t>
  </si>
  <si>
    <t>EXP101723</t>
  </si>
  <si>
    <t>AX188600303</t>
  </si>
  <si>
    <t>EXP101724</t>
  </si>
  <si>
    <t>AX-108477544</t>
  </si>
  <si>
    <t>EXP101725</t>
  </si>
  <si>
    <t>AX526859295</t>
  </si>
  <si>
    <t>EXP101726</t>
  </si>
  <si>
    <t>AX 979978645</t>
  </si>
  <si>
    <t>EXP101727</t>
  </si>
  <si>
    <t>AX 493982574</t>
  </si>
  <si>
    <t>EXP101728</t>
  </si>
  <si>
    <t>AX-287897751</t>
  </si>
  <si>
    <t>EXP101729</t>
  </si>
  <si>
    <t>AX963324762</t>
  </si>
  <si>
    <t>EXP101730</t>
  </si>
  <si>
    <t>ax416246745</t>
  </si>
  <si>
    <t>EXP101731</t>
  </si>
  <si>
    <t>AX199280085</t>
  </si>
  <si>
    <t>EXP101732</t>
  </si>
  <si>
    <t>ax521726134</t>
  </si>
  <si>
    <t>EXP101733</t>
  </si>
  <si>
    <t>ax639064621</t>
  </si>
  <si>
    <t>EXP101734</t>
  </si>
  <si>
    <t>EXP101735</t>
  </si>
  <si>
    <t>AX681514300</t>
  </si>
  <si>
    <t>EXP101736</t>
  </si>
  <si>
    <t>AX524868507</t>
  </si>
  <si>
    <t>EXP101737</t>
  </si>
  <si>
    <t>EXP101738</t>
  </si>
  <si>
    <t>AX 569741861</t>
  </si>
  <si>
    <t>EXP101739</t>
  </si>
  <si>
    <t>AX463371049</t>
  </si>
  <si>
    <t>EXP101740</t>
  </si>
  <si>
    <t>E238</t>
  </si>
  <si>
    <t>AX 451959333</t>
  </si>
  <si>
    <t>EXP101741</t>
  </si>
  <si>
    <t>AX-558974272</t>
  </si>
  <si>
    <t>EXP101742</t>
  </si>
  <si>
    <t>AX 536575648</t>
  </si>
  <si>
    <t>EXP101743</t>
  </si>
  <si>
    <t>AX678124139</t>
  </si>
  <si>
    <t>EXP101744</t>
  </si>
  <si>
    <t>ax837673892</t>
  </si>
  <si>
    <t>EXP101745</t>
  </si>
  <si>
    <t>EXP101746</t>
  </si>
  <si>
    <t>AX779575659</t>
  </si>
  <si>
    <t>EXP101747</t>
  </si>
  <si>
    <t>AX577314018</t>
  </si>
  <si>
    <t>EXP101748</t>
  </si>
  <si>
    <t>AX 930083129</t>
  </si>
  <si>
    <t>EXP101749</t>
  </si>
  <si>
    <t>AX782107784</t>
  </si>
  <si>
    <t>EXP101750</t>
  </si>
  <si>
    <t>AX-821517423</t>
  </si>
  <si>
    <t>EXP101751</t>
  </si>
  <si>
    <t>AX122543113</t>
  </si>
  <si>
    <t>EXP101752</t>
  </si>
  <si>
    <t>EXP101753</t>
  </si>
  <si>
    <t>EXP101754</t>
  </si>
  <si>
    <t>AX251100030</t>
  </si>
  <si>
    <t>EXP101755</t>
  </si>
  <si>
    <t>AX141741066</t>
  </si>
  <si>
    <t>EXP101756</t>
  </si>
  <si>
    <t>AX996695355</t>
  </si>
  <si>
    <t>EXP101757</t>
  </si>
  <si>
    <t>AX-611467907</t>
  </si>
  <si>
    <t>EXP101758</t>
  </si>
  <si>
    <t>ax333720487</t>
  </si>
  <si>
    <t>EXP101759</t>
  </si>
  <si>
    <t>ax255777907</t>
  </si>
  <si>
    <t>EXP101760</t>
  </si>
  <si>
    <t>EXP101761</t>
  </si>
  <si>
    <t>AX-687665117</t>
  </si>
  <si>
    <t>EXP101762</t>
  </si>
  <si>
    <t>AX 618500906</t>
  </si>
  <si>
    <t>EXP101763</t>
  </si>
  <si>
    <t>AX522757453</t>
  </si>
  <si>
    <t>EXP101764</t>
  </si>
  <si>
    <t>AX419885106</t>
  </si>
  <si>
    <t>EXP101765</t>
  </si>
  <si>
    <t>EXP101766</t>
  </si>
  <si>
    <t>AX386594686</t>
  </si>
  <si>
    <t>EXP101767</t>
  </si>
  <si>
    <t>ax932970850</t>
  </si>
  <si>
    <t>EXP101768</t>
  </si>
  <si>
    <t>ax882843265</t>
  </si>
  <si>
    <t>EXP101769</t>
  </si>
  <si>
    <t>AX-171350621</t>
  </si>
  <si>
    <t>EXP101770</t>
  </si>
  <si>
    <t>AX222750095</t>
  </si>
  <si>
    <t>EXP101771</t>
  </si>
  <si>
    <t>EXP101772</t>
  </si>
  <si>
    <t>EXP101773</t>
  </si>
  <si>
    <t>AX 322452099</t>
  </si>
  <si>
    <t>EXP101774</t>
  </si>
  <si>
    <t>AX213981820</t>
  </si>
  <si>
    <t>EXP101775</t>
  </si>
  <si>
    <t>AX 605095524</t>
  </si>
  <si>
    <t>EXP101776</t>
  </si>
  <si>
    <t>AX422912283</t>
  </si>
  <si>
    <t>EXP101777</t>
  </si>
  <si>
    <t>EXP101778</t>
  </si>
  <si>
    <t>AX672147435</t>
  </si>
  <si>
    <t>EXP101779</t>
  </si>
  <si>
    <t>ax330922808</t>
  </si>
  <si>
    <t>EXP101780</t>
  </si>
  <si>
    <t>ax124509441</t>
  </si>
  <si>
    <t>EXP101781</t>
  </si>
  <si>
    <t>EXP101782</t>
  </si>
  <si>
    <t>AX200918133</t>
  </si>
  <si>
    <t>EXP101783</t>
  </si>
  <si>
    <t>AX131191036</t>
  </si>
  <si>
    <t>EXP101784</t>
  </si>
  <si>
    <t>AX597533411</t>
  </si>
  <si>
    <t>EXP101785</t>
  </si>
  <si>
    <t>AX 530847854</t>
  </si>
  <si>
    <t>EXP101786</t>
  </si>
  <si>
    <t>ax535651845</t>
  </si>
  <si>
    <t>EXP101787</t>
  </si>
  <si>
    <t>ax312793303</t>
  </si>
  <si>
    <t>EXP101788</t>
  </si>
  <si>
    <t>EXP101789</t>
  </si>
  <si>
    <t>EXP101790</t>
  </si>
  <si>
    <t>AX 134869376</t>
  </si>
  <si>
    <t>EXP101791</t>
  </si>
  <si>
    <t>AX783182577</t>
  </si>
  <si>
    <t>EXP101792</t>
  </si>
  <si>
    <t>AX-533598459</t>
  </si>
  <si>
    <t>EXP101793</t>
  </si>
  <si>
    <t>EXP101794</t>
  </si>
  <si>
    <t>EXP101795</t>
  </si>
  <si>
    <t>ax333417180</t>
  </si>
  <si>
    <t>EXP101796</t>
  </si>
  <si>
    <t>AX642359185</t>
  </si>
  <si>
    <t>EXP101797</t>
  </si>
  <si>
    <t>AX235804714</t>
  </si>
  <si>
    <t>EXP101798</t>
  </si>
  <si>
    <t>EXP101799</t>
  </si>
  <si>
    <t>AX895564636</t>
  </si>
  <si>
    <t>EXP101800</t>
  </si>
  <si>
    <t>AX 495299881</t>
  </si>
  <si>
    <t>EXP101801</t>
  </si>
  <si>
    <t>EXP101802</t>
  </si>
  <si>
    <t>EXP101803</t>
  </si>
  <si>
    <t>AX 990268334</t>
  </si>
  <si>
    <t>EXP101804</t>
  </si>
  <si>
    <t>EXP101805</t>
  </si>
  <si>
    <t>AX 182232424</t>
  </si>
  <si>
    <t>EXP101806</t>
  </si>
  <si>
    <t>ax322500898</t>
  </si>
  <si>
    <t>EXP101807</t>
  </si>
  <si>
    <t>ax414087532</t>
  </si>
  <si>
    <t>EXP101808</t>
  </si>
  <si>
    <t>AX-443853035</t>
  </si>
  <si>
    <t>EXP101809</t>
  </si>
  <si>
    <t>ax854571506</t>
  </si>
  <si>
    <t>EXP101810</t>
  </si>
  <si>
    <t>E172</t>
  </si>
  <si>
    <t>AX184659608</t>
  </si>
  <si>
    <t>EXP101811</t>
  </si>
  <si>
    <t>AX211707297</t>
  </si>
  <si>
    <t>EXP101812</t>
  </si>
  <si>
    <t>ax147268053</t>
  </si>
  <si>
    <t>EXP101813</t>
  </si>
  <si>
    <t>ax670239377</t>
  </si>
  <si>
    <t>EXP101814</t>
  </si>
  <si>
    <t>AX-677326346</t>
  </si>
  <si>
    <t>EXP101815</t>
  </si>
  <si>
    <t>AX947292718</t>
  </si>
  <si>
    <t>EXP101816</t>
  </si>
  <si>
    <t>AX332637009</t>
  </si>
  <si>
    <t>EXP101817</t>
  </si>
  <si>
    <t>ax588181231</t>
  </si>
  <si>
    <t>EXP101818</t>
  </si>
  <si>
    <t>ax966008501</t>
  </si>
  <si>
    <t>EXP101819</t>
  </si>
  <si>
    <t>AX743137267</t>
  </si>
  <si>
    <t>EXP101820</t>
  </si>
  <si>
    <t>EXP101821</t>
  </si>
  <si>
    <t>AX592851906</t>
  </si>
  <si>
    <t>EXP101822</t>
  </si>
  <si>
    <t>AX141255015</t>
  </si>
  <si>
    <t>EXP101823</t>
  </si>
  <si>
    <t>ax718947273</t>
  </si>
  <si>
    <t>EXP101824</t>
  </si>
  <si>
    <t>AX 636850795</t>
  </si>
  <si>
    <t>EXP101825</t>
  </si>
  <si>
    <t>AX489639112</t>
  </si>
  <si>
    <t>EXP101827</t>
  </si>
  <si>
    <t>AX 958979450</t>
  </si>
  <si>
    <t>EXP101828</t>
  </si>
  <si>
    <t>AX213819309</t>
  </si>
  <si>
    <t>EXP101829</t>
  </si>
  <si>
    <t>AX-465170885</t>
  </si>
  <si>
    <t>EXP101830</t>
  </si>
  <si>
    <t>AX 439813040</t>
  </si>
  <si>
    <t>EXP101831</t>
  </si>
  <si>
    <t>EXP101833</t>
  </si>
  <si>
    <t>AX-401793569</t>
  </si>
  <si>
    <t>EXP101834</t>
  </si>
  <si>
    <t>EXP101835</t>
  </si>
  <si>
    <t>AX 964403651</t>
  </si>
  <si>
    <t>EXP101836</t>
  </si>
  <si>
    <t>AX830423325</t>
  </si>
  <si>
    <t>EXP101837</t>
  </si>
  <si>
    <t>AX697698692</t>
  </si>
  <si>
    <t>EXP101838</t>
  </si>
  <si>
    <t>EXP101839</t>
  </si>
  <si>
    <t>ax803045696</t>
  </si>
  <si>
    <t>EXP101840</t>
  </si>
  <si>
    <t>AX423755956</t>
  </si>
  <si>
    <t>EXP101841</t>
  </si>
  <si>
    <t>AX905350855</t>
  </si>
  <si>
    <t>EXP101842</t>
  </si>
  <si>
    <t>EXP101843</t>
  </si>
  <si>
    <t>ax573631255</t>
  </si>
  <si>
    <t>EXP101844</t>
  </si>
  <si>
    <t>ax184313296</t>
  </si>
  <si>
    <t>EXP101845</t>
  </si>
  <si>
    <t>AX978080002</t>
  </si>
  <si>
    <t>EXP101846</t>
  </si>
  <si>
    <t>ax976324173</t>
  </si>
  <si>
    <t>EXP101848</t>
  </si>
  <si>
    <t>EXP101849</t>
  </si>
  <si>
    <t>AX682608159</t>
  </si>
  <si>
    <t>EXP101850</t>
  </si>
  <si>
    <t>AX926842622</t>
  </si>
  <si>
    <t>EXP101851</t>
  </si>
  <si>
    <t>AX673672329</t>
  </si>
  <si>
    <t>EXP101852</t>
  </si>
  <si>
    <t>AX647839234</t>
  </si>
  <si>
    <t>EXP101853</t>
  </si>
  <si>
    <t>ax959109576</t>
  </si>
  <si>
    <t>EXP101854</t>
  </si>
  <si>
    <t>AX104817151</t>
  </si>
  <si>
    <t>EXP101855</t>
  </si>
  <si>
    <t>AX773599514</t>
  </si>
  <si>
    <t>EXP101856</t>
  </si>
  <si>
    <t>AX-465482383</t>
  </si>
  <si>
    <t>EXP101857</t>
  </si>
  <si>
    <t>AX876670981</t>
  </si>
  <si>
    <t>EXP101858</t>
  </si>
  <si>
    <t>AX855501374</t>
  </si>
  <si>
    <t>EXP101859</t>
  </si>
  <si>
    <t>AX642760763</t>
  </si>
  <si>
    <t>EXP101860</t>
  </si>
  <si>
    <t>AX486735546</t>
  </si>
  <si>
    <t>EXP101861</t>
  </si>
  <si>
    <t>ax333374698</t>
  </si>
  <si>
    <t>EXP101862</t>
  </si>
  <si>
    <t>ax532712067</t>
  </si>
  <si>
    <t>EXP101863</t>
  </si>
  <si>
    <t>AX519051996</t>
  </si>
  <si>
    <t>EXP101864</t>
  </si>
  <si>
    <t>AX476443544</t>
  </si>
  <si>
    <t>EXP101865</t>
  </si>
  <si>
    <t>AX514693902</t>
  </si>
  <si>
    <t>EXP101866</t>
  </si>
  <si>
    <t>AX111891687</t>
  </si>
  <si>
    <t>EXP101867</t>
  </si>
  <si>
    <t>AX192437156</t>
  </si>
  <si>
    <t>EXP101868</t>
  </si>
  <si>
    <t>AX 299918576</t>
  </si>
  <si>
    <t>EXP101869</t>
  </si>
  <si>
    <t>AX-828478944</t>
  </si>
  <si>
    <t>EXP101870</t>
  </si>
  <si>
    <t>ax195038655</t>
  </si>
  <si>
    <t>EXP101871</t>
  </si>
  <si>
    <t>ax574865519</t>
  </si>
  <si>
    <t>EXP101872</t>
  </si>
  <si>
    <t>AX 280846571</t>
  </si>
  <si>
    <t>EXP101873</t>
  </si>
  <si>
    <t>AX 182807692</t>
  </si>
  <si>
    <t>EXP101874</t>
  </si>
  <si>
    <t>ax706345126</t>
  </si>
  <si>
    <t>EXP101875</t>
  </si>
  <si>
    <t>EXP101876</t>
  </si>
  <si>
    <t>AX512257284</t>
  </si>
  <si>
    <t>EXP101877</t>
  </si>
  <si>
    <t>EXP101878</t>
  </si>
  <si>
    <t>AX327822636</t>
  </si>
  <si>
    <t>EXP101879</t>
  </si>
  <si>
    <t>AX822522656</t>
  </si>
  <si>
    <t>EXP101880</t>
  </si>
  <si>
    <t>AX 219296405</t>
  </si>
  <si>
    <t>EXP101881</t>
  </si>
  <si>
    <t>AX270588036</t>
  </si>
  <si>
    <t>EXP101882</t>
  </si>
  <si>
    <t>EXP101883</t>
  </si>
  <si>
    <t>EXP101884</t>
  </si>
  <si>
    <t>ax923504965</t>
  </si>
  <si>
    <t>EXP101885</t>
  </si>
  <si>
    <t>EXP101886</t>
  </si>
  <si>
    <t>ax962586013</t>
  </si>
  <si>
    <t>EXP101887</t>
  </si>
  <si>
    <t>EXP101888</t>
  </si>
  <si>
    <t>AX751316285</t>
  </si>
  <si>
    <t>EXP101889</t>
  </si>
  <si>
    <t>EXP101890</t>
  </si>
  <si>
    <t>AX631986304</t>
  </si>
  <si>
    <t>EXP101891</t>
  </si>
  <si>
    <t>AX912808129</t>
  </si>
  <si>
    <t>EXP101892</t>
  </si>
  <si>
    <t>AX585595227</t>
  </si>
  <si>
    <t>EXP101893</t>
  </si>
  <si>
    <t>AX 713611185</t>
  </si>
  <si>
    <t>EXP101894</t>
  </si>
  <si>
    <t>AX572574876</t>
  </si>
  <si>
    <t>EXP101895</t>
  </si>
  <si>
    <t>AX-457527030</t>
  </si>
  <si>
    <t>EXP101896</t>
  </si>
  <si>
    <t>AX886640255</t>
  </si>
  <si>
    <t>EXP101897</t>
  </si>
  <si>
    <t>AX943926696</t>
  </si>
  <si>
    <t>EXP101898</t>
  </si>
  <si>
    <t>ax234525854</t>
  </si>
  <si>
    <t>EXP101899</t>
  </si>
  <si>
    <t>EXP101900</t>
  </si>
  <si>
    <t>EXP101901</t>
  </si>
  <si>
    <t>AX 401258174</t>
  </si>
  <si>
    <t>EXP101902</t>
  </si>
  <si>
    <t>EXP101903</t>
  </si>
  <si>
    <t>AX-732577701</t>
  </si>
  <si>
    <t>EXP101904</t>
  </si>
  <si>
    <t>AX434852913</t>
  </si>
  <si>
    <t>EXP101905</t>
  </si>
  <si>
    <t>AX723991617</t>
  </si>
  <si>
    <t>EXP101906</t>
  </si>
  <si>
    <t>AX844261366</t>
  </si>
  <si>
    <t>EXP101907</t>
  </si>
  <si>
    <t>AX225913994</t>
  </si>
  <si>
    <t>EXP101908</t>
  </si>
  <si>
    <t>ax397824310</t>
  </si>
  <si>
    <t>EXP101909</t>
  </si>
  <si>
    <t>AX-217298790</t>
  </si>
  <si>
    <t>EXP101910</t>
  </si>
  <si>
    <t>ax895262530</t>
  </si>
  <si>
    <t>EXP101911</t>
  </si>
  <si>
    <t>AX-717124776</t>
  </si>
  <si>
    <t>EXP101912</t>
  </si>
  <si>
    <t>AX704326652</t>
  </si>
  <si>
    <t>EXP101913</t>
  </si>
  <si>
    <t>ax162964720</t>
  </si>
  <si>
    <t>EXP101914</t>
  </si>
  <si>
    <t>AX480062662</t>
  </si>
  <si>
    <t>EXP101915</t>
  </si>
  <si>
    <t>EXP101916</t>
  </si>
  <si>
    <t>E156</t>
  </si>
  <si>
    <t>EXP101917</t>
  </si>
  <si>
    <t>ax831887135</t>
  </si>
  <si>
    <t>EXP101918</t>
  </si>
  <si>
    <t>AX 357811751</t>
  </si>
  <si>
    <t>EXP101919</t>
  </si>
  <si>
    <t>EXP101920</t>
  </si>
  <si>
    <t>EXP101921</t>
  </si>
  <si>
    <t>AX292128489</t>
  </si>
  <si>
    <t>EXP101922</t>
  </si>
  <si>
    <t>AX 196050407</t>
  </si>
  <si>
    <t>EXP101923</t>
  </si>
  <si>
    <t>AX185222306</t>
  </si>
  <si>
    <t>EXP101925</t>
  </si>
  <si>
    <t>AX 271615088</t>
  </si>
  <si>
    <t>EXP101926</t>
  </si>
  <si>
    <t>AX753041719</t>
  </si>
  <si>
    <t>EXP101927</t>
  </si>
  <si>
    <t>AX209604533</t>
  </si>
  <si>
    <t>EXP101928</t>
  </si>
  <si>
    <t>AX890074197</t>
  </si>
  <si>
    <t>EXP101929</t>
  </si>
  <si>
    <t>AX271790219</t>
  </si>
  <si>
    <t>EXP101930</t>
  </si>
  <si>
    <t>EXP101931</t>
  </si>
  <si>
    <t>EXP101932</t>
  </si>
  <si>
    <t>AX-741378596</t>
  </si>
  <si>
    <t>EXP101933</t>
  </si>
  <si>
    <t>ax278587852</t>
  </si>
  <si>
    <t>EXP101934</t>
  </si>
  <si>
    <t>EXP101935</t>
  </si>
  <si>
    <t>EXP101936</t>
  </si>
  <si>
    <t>EXP101937</t>
  </si>
  <si>
    <t>AX736688841</t>
  </si>
  <si>
    <t>EXP101938</t>
  </si>
  <si>
    <t>AX873767404</t>
  </si>
  <si>
    <t>EXP101939</t>
  </si>
  <si>
    <t>EXP101940</t>
  </si>
  <si>
    <t>AX 914114412</t>
  </si>
  <si>
    <t>EXP101941</t>
  </si>
  <si>
    <t>AX357885319</t>
  </si>
  <si>
    <t>EXP101942</t>
  </si>
  <si>
    <t>ax966309448</t>
  </si>
  <si>
    <t>EXP101943</t>
  </si>
  <si>
    <t>AX940001476</t>
  </si>
  <si>
    <t>EXP101944</t>
  </si>
  <si>
    <t>EXP101945</t>
  </si>
  <si>
    <t>AX 836006527</t>
  </si>
  <si>
    <t>EXP101946</t>
  </si>
  <si>
    <t>ax345257847</t>
  </si>
  <si>
    <t>EXP101947</t>
  </si>
  <si>
    <t>AX-614395842</t>
  </si>
  <si>
    <t>EXP101948</t>
  </si>
  <si>
    <t>EXP101949</t>
  </si>
  <si>
    <t>EXP101950</t>
  </si>
  <si>
    <t>AX-353761163</t>
  </si>
  <si>
    <t>EXP101951</t>
  </si>
  <si>
    <t>EXP101952</t>
  </si>
  <si>
    <t>AX 758424800</t>
  </si>
  <si>
    <t>EXP101953</t>
  </si>
  <si>
    <t>AX-156154543</t>
  </si>
  <si>
    <t>EXP101954</t>
  </si>
  <si>
    <t>AX921118451</t>
  </si>
  <si>
    <t>EXP101955</t>
  </si>
  <si>
    <t>AX-600553020</t>
  </si>
  <si>
    <t>EXP101956</t>
  </si>
  <si>
    <t>AX848655969</t>
  </si>
  <si>
    <t>EXP101957</t>
  </si>
  <si>
    <t>AX-331826528</t>
  </si>
  <si>
    <t>EXP101958</t>
  </si>
  <si>
    <t>EXP101959</t>
  </si>
  <si>
    <t>EXP101960</t>
  </si>
  <si>
    <t>EXP101961</t>
  </si>
  <si>
    <t>AX334980323</t>
  </si>
  <si>
    <t>EXP101962</t>
  </si>
  <si>
    <t>ax222797177</t>
  </si>
  <si>
    <t>EXP101963</t>
  </si>
  <si>
    <t>AX483045741</t>
  </si>
  <si>
    <t>EXP101964</t>
  </si>
  <si>
    <t>ax622412730</t>
  </si>
  <si>
    <t>EXP101965</t>
  </si>
  <si>
    <t>ax641483001</t>
  </si>
  <si>
    <t>EXP101966</t>
  </si>
  <si>
    <t>ax456967917</t>
  </si>
  <si>
    <t>EXP101967</t>
  </si>
  <si>
    <t>AX-956148009</t>
  </si>
  <si>
    <t>EXP101968</t>
  </si>
  <si>
    <t>ax439609910</t>
  </si>
  <si>
    <t>EXP101969</t>
  </si>
  <si>
    <t>ax780920913</t>
  </si>
  <si>
    <t>EXP101970</t>
  </si>
  <si>
    <t>AX-551477783</t>
  </si>
  <si>
    <t>EXP101971</t>
  </si>
  <si>
    <t>AX210003510</t>
  </si>
  <si>
    <t>EXP101972</t>
  </si>
  <si>
    <t>AX392531779</t>
  </si>
  <si>
    <t>EXP101973</t>
  </si>
  <si>
    <t>AX-833400878</t>
  </si>
  <si>
    <t>EXP101974</t>
  </si>
  <si>
    <t>ax890037719</t>
  </si>
  <si>
    <t>EXP101975</t>
  </si>
  <si>
    <t>EXP101976</t>
  </si>
  <si>
    <t>ax184828951</t>
  </si>
  <si>
    <t>EXP101977</t>
  </si>
  <si>
    <t>AX825429165</t>
  </si>
  <si>
    <t>EXP101978</t>
  </si>
  <si>
    <t>AX363390285</t>
  </si>
  <si>
    <t>EXP101979</t>
  </si>
  <si>
    <t>AX247780076</t>
  </si>
  <si>
    <t>EXP101980</t>
  </si>
  <si>
    <t>EXP101981</t>
  </si>
  <si>
    <t>AX994400472</t>
  </si>
  <si>
    <t>EXP101982</t>
  </si>
  <si>
    <t>EXP101983</t>
  </si>
  <si>
    <t>AX247826313</t>
  </si>
  <si>
    <t>EXP101984</t>
  </si>
  <si>
    <t>AX-234752634</t>
  </si>
  <si>
    <t>EXP101985</t>
  </si>
  <si>
    <t>AX290599852</t>
  </si>
  <si>
    <t>EXP101986</t>
  </si>
  <si>
    <t>ax129067479</t>
  </si>
  <si>
    <t>EXP101987</t>
  </si>
  <si>
    <t>AX196157447</t>
  </si>
  <si>
    <t>EXP101988</t>
  </si>
  <si>
    <t>AX428730831</t>
  </si>
  <si>
    <t>EXP101989</t>
  </si>
  <si>
    <t>AX-764787580</t>
  </si>
  <si>
    <t>EXP101990</t>
  </si>
  <si>
    <t>AX796362125</t>
  </si>
  <si>
    <t>EXP101991</t>
  </si>
  <si>
    <t>AX 361671245</t>
  </si>
  <si>
    <t>EXP101992</t>
  </si>
  <si>
    <t>AX 219781306</t>
  </si>
  <si>
    <t>EXP101993</t>
  </si>
  <si>
    <t>ax165084231</t>
  </si>
  <si>
    <t>EXP101994</t>
  </si>
  <si>
    <t>AX944219127</t>
  </si>
  <si>
    <t>EXP101995</t>
  </si>
  <si>
    <t>AX431032089</t>
  </si>
  <si>
    <t>EXP101996</t>
  </si>
  <si>
    <t>AX-403487309</t>
  </si>
  <si>
    <t>EXP101997</t>
  </si>
  <si>
    <t>AX273430899</t>
  </si>
  <si>
    <t>EXP101998</t>
  </si>
  <si>
    <t>EXP101999</t>
  </si>
  <si>
    <t>ax319462600</t>
  </si>
  <si>
    <t>EXP102001</t>
  </si>
  <si>
    <t>AX 857680193</t>
  </si>
  <si>
    <t>EXP102002</t>
  </si>
  <si>
    <t>AX 881203693</t>
  </si>
  <si>
    <t>EXP102003</t>
  </si>
  <si>
    <t>AX685292762</t>
  </si>
  <si>
    <t>EXP102004</t>
  </si>
  <si>
    <t>AX 880300214</t>
  </si>
  <si>
    <t>EXP102005</t>
  </si>
  <si>
    <t>AX212551720</t>
  </si>
  <si>
    <t>EXP102006</t>
  </si>
  <si>
    <t>AX875820714</t>
  </si>
  <si>
    <t>EXP102007</t>
  </si>
  <si>
    <t>AX295898115</t>
  </si>
  <si>
    <t>EXP102008</t>
  </si>
  <si>
    <t>AX771081482</t>
  </si>
  <si>
    <t>EXP102009</t>
  </si>
  <si>
    <t>AX 192941637</t>
  </si>
  <si>
    <t>EXP102010</t>
  </si>
  <si>
    <t>AX 536091565</t>
  </si>
  <si>
    <t>EXP102011</t>
  </si>
  <si>
    <t>AX398439330</t>
  </si>
  <si>
    <t>EXP102012</t>
  </si>
  <si>
    <t>ax844717150</t>
  </si>
  <si>
    <t>EXP102013</t>
  </si>
  <si>
    <t>EXP102014</t>
  </si>
  <si>
    <t>AX132568982</t>
  </si>
  <si>
    <t>EXP102015</t>
  </si>
  <si>
    <t>AX556991075</t>
  </si>
  <si>
    <t>EXP102016</t>
  </si>
  <si>
    <t>AX791172165</t>
  </si>
  <si>
    <t>EXP102017</t>
  </si>
  <si>
    <t>AX872472023</t>
  </si>
  <si>
    <t>EXP102018</t>
  </si>
  <si>
    <t>ax480820075</t>
  </si>
  <si>
    <t>EXP102019</t>
  </si>
  <si>
    <t>ax255599098</t>
  </si>
  <si>
    <t>EXP102020</t>
  </si>
  <si>
    <t>AX380170108</t>
  </si>
  <si>
    <t>EXP102021</t>
  </si>
  <si>
    <t>ax665078825</t>
  </si>
  <si>
    <t>EXP102022</t>
  </si>
  <si>
    <t>AX804112799</t>
  </si>
  <si>
    <t>EXP102023</t>
  </si>
  <si>
    <t>AX253556641</t>
  </si>
  <si>
    <t>EXP102024</t>
  </si>
  <si>
    <t>AX 603307883</t>
  </si>
  <si>
    <t>EXP102025</t>
  </si>
  <si>
    <t>ax519824326</t>
  </si>
  <si>
    <t>EXP102026</t>
  </si>
  <si>
    <t>AX828546619</t>
  </si>
  <si>
    <t>EXP102027</t>
  </si>
  <si>
    <t>EXP102028</t>
  </si>
  <si>
    <t>AX176545885</t>
  </si>
  <si>
    <t>EXP102029</t>
  </si>
  <si>
    <t>AX144577836</t>
  </si>
  <si>
    <t>EXP102030</t>
  </si>
  <si>
    <t>AX968814888</t>
  </si>
  <si>
    <t>EXP102031</t>
  </si>
  <si>
    <t>AX692620141</t>
  </si>
  <si>
    <t>EXP102032</t>
  </si>
  <si>
    <t>AX813066035</t>
  </si>
  <si>
    <t>EXP102033</t>
  </si>
  <si>
    <t>EXP102034</t>
  </si>
  <si>
    <t>AX607015821</t>
  </si>
  <si>
    <t>EXP102035</t>
  </si>
  <si>
    <t>AX-190138535</t>
  </si>
  <si>
    <t>EXP102036</t>
  </si>
  <si>
    <t>AX489708503</t>
  </si>
  <si>
    <t>EXP102037</t>
  </si>
  <si>
    <t>AX 451409951</t>
  </si>
  <si>
    <t>EXP102038</t>
  </si>
  <si>
    <t>ax254982124</t>
  </si>
  <si>
    <t>EXP102039</t>
  </si>
  <si>
    <t>EXP102040</t>
  </si>
  <si>
    <t>AX-847236450</t>
  </si>
  <si>
    <t>EXP102041</t>
  </si>
  <si>
    <t>ax737239835</t>
  </si>
  <si>
    <t>EXP102042</t>
  </si>
  <si>
    <t>AX-192524968</t>
  </si>
  <si>
    <t>EXP102043</t>
  </si>
  <si>
    <t>AX 490290440</t>
  </si>
  <si>
    <t>EXP102044</t>
  </si>
  <si>
    <t>AX230058836</t>
  </si>
  <si>
    <t>EXP102045</t>
  </si>
  <si>
    <t>ax313876842</t>
  </si>
  <si>
    <t>EXP102046</t>
  </si>
  <si>
    <t>AX803064885</t>
  </si>
  <si>
    <t>EXP102047</t>
  </si>
  <si>
    <t>EXP102048</t>
  </si>
  <si>
    <t>AX-680810991</t>
  </si>
  <si>
    <t>EXP102049</t>
  </si>
  <si>
    <t>AX-450086725</t>
  </si>
  <si>
    <t>EXP102050</t>
  </si>
  <si>
    <t>AX489994407</t>
  </si>
  <si>
    <t>EXP102051</t>
  </si>
  <si>
    <t>ax595833399</t>
  </si>
  <si>
    <t>EXP102052</t>
  </si>
  <si>
    <t>AX611146404</t>
  </si>
  <si>
    <t>EXP102053</t>
  </si>
  <si>
    <t>AX558152821</t>
  </si>
  <si>
    <t xml:space="preserve"> STARBUCKS #4471</t>
  </si>
  <si>
    <t>EXP102054</t>
  </si>
  <si>
    <t>EXP102055</t>
  </si>
  <si>
    <t>EXP102056</t>
  </si>
  <si>
    <t>EXP102057</t>
  </si>
  <si>
    <t>AX409648411</t>
  </si>
  <si>
    <t>EXP102058</t>
  </si>
  <si>
    <t>ax374383014</t>
  </si>
  <si>
    <t>EXP102059</t>
  </si>
  <si>
    <t>AX-539244971</t>
  </si>
  <si>
    <t>EXP102060</t>
  </si>
  <si>
    <t>EXP102061</t>
  </si>
  <si>
    <t>ax190233047</t>
  </si>
  <si>
    <t>EXP102062</t>
  </si>
  <si>
    <t>AX981201858</t>
  </si>
  <si>
    <t>EXP102063</t>
  </si>
  <si>
    <t>AX-733263339</t>
  </si>
  <si>
    <t>EXP102064</t>
  </si>
  <si>
    <t>AX286749203</t>
  </si>
  <si>
    <t>EXP102065</t>
  </si>
  <si>
    <t>ax731155656</t>
  </si>
  <si>
    <t>EXP102066</t>
  </si>
  <si>
    <t>AX572026894</t>
  </si>
  <si>
    <t>EXP102067</t>
  </si>
  <si>
    <t>AX204449163</t>
  </si>
  <si>
    <t>EXP102068</t>
  </si>
  <si>
    <t>AX-215973011</t>
  </si>
  <si>
    <t>EXP102069</t>
  </si>
  <si>
    <t>AX 548237172</t>
  </si>
  <si>
    <t>EXP102070</t>
  </si>
  <si>
    <t>ax764981667</t>
  </si>
  <si>
    <t>EXP102071</t>
  </si>
  <si>
    <t>EXP102072</t>
  </si>
  <si>
    <t>EXP102073</t>
  </si>
  <si>
    <t>AX 209253603</t>
  </si>
  <si>
    <t>EXP102074</t>
  </si>
  <si>
    <t>AX-613584351</t>
  </si>
  <si>
    <t>EXP102075</t>
  </si>
  <si>
    <t>EXP102076</t>
  </si>
  <si>
    <t>ax275640858</t>
  </si>
  <si>
    <t>EXP102077</t>
  </si>
  <si>
    <t>AX869614810</t>
  </si>
  <si>
    <t>EXP102078</t>
  </si>
  <si>
    <t>AX 711583970</t>
  </si>
  <si>
    <t>EXP102079</t>
  </si>
  <si>
    <t>EXP102080</t>
  </si>
  <si>
    <t>AX 147171907</t>
  </si>
  <si>
    <t>EXP102081</t>
  </si>
  <si>
    <t>ax988490652</t>
  </si>
  <si>
    <t>EXP102082</t>
  </si>
  <si>
    <t>AX875953155</t>
  </si>
  <si>
    <t>EXP102083</t>
  </si>
  <si>
    <t>ax112176666</t>
  </si>
  <si>
    <t>EXP102084</t>
  </si>
  <si>
    <t>AX969157031</t>
  </si>
  <si>
    <t>EXP102085</t>
  </si>
  <si>
    <t>AX494158138</t>
  </si>
  <si>
    <t>EXP102086</t>
  </si>
  <si>
    <t>EXP102087</t>
  </si>
  <si>
    <t>AX546168119</t>
  </si>
  <si>
    <t>EXP102088</t>
  </si>
  <si>
    <t>AX684643349</t>
  </si>
  <si>
    <t>EXP102089</t>
  </si>
  <si>
    <t>AX278066276</t>
  </si>
  <si>
    <t>EXP102090</t>
  </si>
  <si>
    <t>AX802979072</t>
  </si>
  <si>
    <t>EXP102091</t>
  </si>
  <si>
    <t>AX-695077988</t>
  </si>
  <si>
    <t>EXP102092</t>
  </si>
  <si>
    <t>AX375215523</t>
  </si>
  <si>
    <t>EXP102093</t>
  </si>
  <si>
    <t>AX 328448420</t>
  </si>
  <si>
    <t>EXP102094</t>
  </si>
  <si>
    <t>AX636089832</t>
  </si>
  <si>
    <t>EXP102095</t>
  </si>
  <si>
    <t>AX845669678</t>
  </si>
  <si>
    <t>EXP102096</t>
  </si>
  <si>
    <t>AX336495190</t>
  </si>
  <si>
    <t>EXP102097</t>
  </si>
  <si>
    <t>EXP102098</t>
  </si>
  <si>
    <t>EXP102099</t>
  </si>
  <si>
    <t>AX-246789552</t>
  </si>
  <si>
    <t>EXP102100</t>
  </si>
  <si>
    <t>AX695605003</t>
  </si>
  <si>
    <t>EXP102101</t>
  </si>
  <si>
    <t>AX-929330768</t>
  </si>
  <si>
    <t>EXP102102</t>
  </si>
  <si>
    <t>AX 983399255</t>
  </si>
  <si>
    <t>EXP102103</t>
  </si>
  <si>
    <t>AX906056800</t>
  </si>
  <si>
    <t>EXP102104</t>
  </si>
  <si>
    <t>AX617909376</t>
  </si>
  <si>
    <t>EXP102105</t>
  </si>
  <si>
    <t>AX-731430585</t>
  </si>
  <si>
    <t>EXP102106</t>
  </si>
  <si>
    <t>AX654531021</t>
  </si>
  <si>
    <t>EXP102107</t>
  </si>
  <si>
    <t>AX-129196947</t>
  </si>
  <si>
    <t>EXP102108</t>
  </si>
  <si>
    <t>ax946044187</t>
  </si>
  <si>
    <t>EXP102109</t>
  </si>
  <si>
    <t>AX 145626128</t>
  </si>
  <si>
    <t>EXP102110</t>
  </si>
  <si>
    <t>AX772851320</t>
  </si>
  <si>
    <t>EXP102111</t>
  </si>
  <si>
    <t>EXP102112</t>
  </si>
  <si>
    <t>EXP102113</t>
  </si>
  <si>
    <t>AX-192196800</t>
  </si>
  <si>
    <t>EXP102114</t>
  </si>
  <si>
    <t>AX 124339625</t>
  </si>
  <si>
    <t>EXP102115</t>
  </si>
  <si>
    <t>AX607664112</t>
  </si>
  <si>
    <t>EXP102116</t>
  </si>
  <si>
    <t>AX109723646</t>
  </si>
  <si>
    <t>EXP102117</t>
  </si>
  <si>
    <t>EXP102118</t>
  </si>
  <si>
    <t>EXP102119</t>
  </si>
  <si>
    <t>ax927997071</t>
  </si>
  <si>
    <t>EXP102120</t>
  </si>
  <si>
    <t>EXP102121</t>
  </si>
  <si>
    <t>EXP102122</t>
  </si>
  <si>
    <t>EXP102123</t>
  </si>
  <si>
    <t>AX432385860</t>
  </si>
  <si>
    <t>EXP102124</t>
  </si>
  <si>
    <t>EXP102125</t>
  </si>
  <si>
    <t>AX467602837</t>
  </si>
  <si>
    <t>EXP102126</t>
  </si>
  <si>
    <t>AX554373149</t>
  </si>
  <si>
    <t>EXP102127</t>
  </si>
  <si>
    <t>E159</t>
  </si>
  <si>
    <t>ax305446443</t>
  </si>
  <si>
    <t>EXP102128</t>
  </si>
  <si>
    <t>ax343616420</t>
  </si>
  <si>
    <t>EXP102129</t>
  </si>
  <si>
    <t>AX982365038</t>
  </si>
  <si>
    <t>EXP102130</t>
  </si>
  <si>
    <t>AX631529728</t>
  </si>
  <si>
    <t>EXP102131</t>
  </si>
  <si>
    <t>AX-178941688</t>
  </si>
  <si>
    <t>EXP102132</t>
  </si>
  <si>
    <t>AX979848407</t>
  </si>
  <si>
    <t>EXP102133</t>
  </si>
  <si>
    <t>AX 453663606</t>
  </si>
  <si>
    <t>EXP102134</t>
  </si>
  <si>
    <t>ax205556206</t>
  </si>
  <si>
    <t>EXP102135</t>
  </si>
  <si>
    <t>AX602260072</t>
  </si>
  <si>
    <t>EXP102136</t>
  </si>
  <si>
    <t>ax194311128</t>
  </si>
  <si>
    <t>EXP102138</t>
  </si>
  <si>
    <t>ax550732454</t>
  </si>
  <si>
    <t>EXP102139</t>
  </si>
  <si>
    <t>AX378246443</t>
  </si>
  <si>
    <t>EXP102140</t>
  </si>
  <si>
    <t>EXP102141</t>
  </si>
  <si>
    <t>AX277026918</t>
  </si>
  <si>
    <t>EXP102142</t>
  </si>
  <si>
    <t>AX276948554</t>
  </si>
  <si>
    <t>EXP102143</t>
  </si>
  <si>
    <t>AX331463740</t>
  </si>
  <si>
    <t>EXP102144</t>
  </si>
  <si>
    <t>EXP102145</t>
  </si>
  <si>
    <t>ax978362385</t>
  </si>
  <si>
    <t>EXP102146</t>
  </si>
  <si>
    <t>EXP102147</t>
  </si>
  <si>
    <t>AX 685559557</t>
  </si>
  <si>
    <t>EXP102148</t>
  </si>
  <si>
    <t>ax465444300</t>
  </si>
  <si>
    <t>EXP102149</t>
  </si>
  <si>
    <t>AX904080195</t>
  </si>
  <si>
    <t>EXP102150</t>
  </si>
  <si>
    <t>AX-935615302</t>
  </si>
  <si>
    <t>EXP102151</t>
  </si>
  <si>
    <t>AX754794281</t>
  </si>
  <si>
    <t>EXP102152</t>
  </si>
  <si>
    <t>AX410842892</t>
  </si>
  <si>
    <t>EXP102154</t>
  </si>
  <si>
    <t>AX560332086</t>
  </si>
  <si>
    <t>EXP102155</t>
  </si>
  <si>
    <t>AX194678031</t>
  </si>
  <si>
    <t>EXP102156</t>
  </si>
  <si>
    <t>AX348215863</t>
  </si>
  <si>
    <t>EXP102157</t>
  </si>
  <si>
    <t>AX-606836540</t>
  </si>
  <si>
    <t>EXP102158</t>
  </si>
  <si>
    <t>AX761427110</t>
  </si>
  <si>
    <t>EXP102159</t>
  </si>
  <si>
    <t>AX745242045</t>
  </si>
  <si>
    <t>EXP102160</t>
  </si>
  <si>
    <t>AX710086089</t>
  </si>
  <si>
    <t>EXP102161</t>
  </si>
  <si>
    <t>AX 289594286</t>
  </si>
  <si>
    <t>EXP102162</t>
  </si>
  <si>
    <t>ax476113330</t>
  </si>
  <si>
    <t>EXP102163</t>
  </si>
  <si>
    <t>EXP102164</t>
  </si>
  <si>
    <t>AX731795140</t>
  </si>
  <si>
    <t>EXP102165</t>
  </si>
  <si>
    <t>AX 965123709</t>
  </si>
  <si>
    <t>EXP102167</t>
  </si>
  <si>
    <t>EXP102168</t>
  </si>
  <si>
    <t>AX632074277</t>
  </si>
  <si>
    <t>EXP102169</t>
  </si>
  <si>
    <t>AX-698759941</t>
  </si>
  <si>
    <t>EXP102170</t>
  </si>
  <si>
    <t>ax295490322</t>
  </si>
  <si>
    <t>EXP102171</t>
  </si>
  <si>
    <t>ax570580932</t>
  </si>
  <si>
    <t>EXP102172</t>
  </si>
  <si>
    <t>AX784050439</t>
  </si>
  <si>
    <t>EXP102173</t>
  </si>
  <si>
    <t>EXP102174</t>
  </si>
  <si>
    <t>AX328282738</t>
  </si>
  <si>
    <t>EXP102175</t>
  </si>
  <si>
    <t>AX659596826</t>
  </si>
  <si>
    <t>EXP102176</t>
  </si>
  <si>
    <t>ax107635535</t>
  </si>
  <si>
    <t>EXP102177</t>
  </si>
  <si>
    <t>AX685073031</t>
  </si>
  <si>
    <t>EXP102178</t>
  </si>
  <si>
    <t>ax706255359</t>
  </si>
  <si>
    <t>EXP102179</t>
  </si>
  <si>
    <t>AX407891764</t>
  </si>
  <si>
    <t>EXP102180</t>
  </si>
  <si>
    <t>EXP102181</t>
  </si>
  <si>
    <t>AX798859482</t>
  </si>
  <si>
    <t>EXP102182</t>
  </si>
  <si>
    <t>AX-835668587</t>
  </si>
  <si>
    <t>EXP102183</t>
  </si>
  <si>
    <t>EXP102184</t>
  </si>
  <si>
    <t>ax166486137</t>
  </si>
  <si>
    <t>EXP102185</t>
  </si>
  <si>
    <t>AX888218200</t>
  </si>
  <si>
    <t>EXP102186</t>
  </si>
  <si>
    <t>ax883236313</t>
  </si>
  <si>
    <t>EXP102187</t>
  </si>
  <si>
    <t>AX862862771</t>
  </si>
  <si>
    <t>EXP102188</t>
  </si>
  <si>
    <t>AX-469682702</t>
  </si>
  <si>
    <t>EXP102190</t>
  </si>
  <si>
    <t>AX 986336704</t>
  </si>
  <si>
    <t>EXP102191</t>
  </si>
  <si>
    <t>AX 615605559</t>
  </si>
  <si>
    <t>EXP102192</t>
  </si>
  <si>
    <t>AX268753363</t>
  </si>
  <si>
    <t>EXP102193</t>
  </si>
  <si>
    <t>AX-228646025</t>
  </si>
  <si>
    <t>EXP102194</t>
  </si>
  <si>
    <t>ax987350144</t>
  </si>
  <si>
    <t>EXP102195</t>
  </si>
  <si>
    <t>ax155340360</t>
  </si>
  <si>
    <t>EXP102196</t>
  </si>
  <si>
    <t>ax383229110</t>
  </si>
  <si>
    <t>EXP102197</t>
  </si>
  <si>
    <t>EXP102198</t>
  </si>
  <si>
    <t>ax911703424</t>
  </si>
  <si>
    <t>EXP102199</t>
  </si>
  <si>
    <t>AX531516967</t>
  </si>
  <si>
    <t>EXP102200</t>
  </si>
  <si>
    <t>AX-986439918</t>
  </si>
  <si>
    <t>EXP102201</t>
  </si>
  <si>
    <t>AX-271063582</t>
  </si>
  <si>
    <t>EXP102202</t>
  </si>
  <si>
    <t>AX494087817</t>
  </si>
  <si>
    <t>EXP102203</t>
  </si>
  <si>
    <t>AX413673781</t>
  </si>
  <si>
    <t>EXP102204</t>
  </si>
  <si>
    <t>ax943984391</t>
  </si>
  <si>
    <t>EXP102205</t>
  </si>
  <si>
    <t>EXP102206</t>
  </si>
  <si>
    <t>AX411503974</t>
  </si>
  <si>
    <t>EXP102207</t>
  </si>
  <si>
    <t>E162</t>
  </si>
  <si>
    <t>AX-247897137</t>
  </si>
  <si>
    <t>EXP102208</t>
  </si>
  <si>
    <t>AX992475850</t>
  </si>
  <si>
    <t xml:space="preserve">  OFFICE SUPPLIES </t>
  </si>
  <si>
    <t>EXP102209</t>
  </si>
  <si>
    <t>AX945110647</t>
  </si>
  <si>
    <t>EXP102210</t>
  </si>
  <si>
    <t>AX 277579077</t>
  </si>
  <si>
    <t>EXP102211</t>
  </si>
  <si>
    <t>AX 162937500</t>
  </si>
  <si>
    <t>EXP102212</t>
  </si>
  <si>
    <t>AX 591452493</t>
  </si>
  <si>
    <t>EXP102213</t>
  </si>
  <si>
    <t>ax265885578</t>
  </si>
  <si>
    <t>EXP102214</t>
  </si>
  <si>
    <t>AX293311239</t>
  </si>
  <si>
    <t>EXP102215</t>
  </si>
  <si>
    <t>AX-180502583</t>
  </si>
  <si>
    <t>EXP102216</t>
  </si>
  <si>
    <t>AX-124559310</t>
  </si>
  <si>
    <t>EXP102217</t>
  </si>
  <si>
    <t>AX675475590</t>
  </si>
  <si>
    <t>EXP102218</t>
  </si>
  <si>
    <t>AX-939130616</t>
  </si>
  <si>
    <t>EXP102219</t>
  </si>
  <si>
    <t>ax147286663</t>
  </si>
  <si>
    <t>EXP102220</t>
  </si>
  <si>
    <t>ax371184298</t>
  </si>
  <si>
    <t>EXP102221</t>
  </si>
  <si>
    <t>EXP102222</t>
  </si>
  <si>
    <t>ax402628001</t>
  </si>
  <si>
    <t>EXP102223</t>
  </si>
  <si>
    <t>EXP102224</t>
  </si>
  <si>
    <t>AX 125953167</t>
  </si>
  <si>
    <t>EXP102225</t>
  </si>
  <si>
    <t>AX553521586</t>
  </si>
  <si>
    <t>EXP102226</t>
  </si>
  <si>
    <t>AX653105007</t>
  </si>
  <si>
    <t>EXP102227</t>
  </si>
  <si>
    <t>EXP102228</t>
  </si>
  <si>
    <t>AX701257586</t>
  </si>
  <si>
    <t>EXP102229</t>
  </si>
  <si>
    <t>EXP102230</t>
  </si>
  <si>
    <t>EXP102231</t>
  </si>
  <si>
    <t>AX544453841</t>
  </si>
  <si>
    <t xml:space="preserve"> SPROUT SOCIAL</t>
  </si>
  <si>
    <t>EXP102232</t>
  </si>
  <si>
    <t>AX 190858235</t>
  </si>
  <si>
    <t>EXP102233</t>
  </si>
  <si>
    <t>AX286749809</t>
  </si>
  <si>
    <t>EXP102234</t>
  </si>
  <si>
    <t>AX-149129533</t>
  </si>
  <si>
    <t>EXP102235</t>
  </si>
  <si>
    <t>AX-928005463</t>
  </si>
  <si>
    <t>EXP102236</t>
  </si>
  <si>
    <t>AX616751343</t>
  </si>
  <si>
    <t>EXP102237</t>
  </si>
  <si>
    <t>EXP102238</t>
  </si>
  <si>
    <t>ax101631970</t>
  </si>
  <si>
    <t>EXP102239</t>
  </si>
  <si>
    <t>AX735480186</t>
  </si>
  <si>
    <t>EXP102240</t>
  </si>
  <si>
    <t>AX-143468426</t>
  </si>
  <si>
    <t>EXP102241</t>
  </si>
  <si>
    <t>AX408100387</t>
  </si>
  <si>
    <t>EXP102242</t>
  </si>
  <si>
    <t>AX546976647</t>
  </si>
  <si>
    <t>EXP102243</t>
  </si>
  <si>
    <t>EXP102244</t>
  </si>
  <si>
    <t>ax139171279</t>
  </si>
  <si>
    <t>EXP102245</t>
  </si>
  <si>
    <t>AX210851158</t>
  </si>
  <si>
    <t>EXP102246</t>
  </si>
  <si>
    <t>ax964529567</t>
  </si>
  <si>
    <t>EXP102247</t>
  </si>
  <si>
    <t>ax688727222</t>
  </si>
  <si>
    <t>EXP102248</t>
  </si>
  <si>
    <t>ax468335990</t>
  </si>
  <si>
    <t>EXP102249</t>
  </si>
  <si>
    <t>AX882635411</t>
  </si>
  <si>
    <t>EXP102250</t>
  </si>
  <si>
    <t>EXP102251</t>
  </si>
  <si>
    <t>AX 963397417</t>
  </si>
  <si>
    <t>EXP102252</t>
  </si>
  <si>
    <t>AX-523515033</t>
  </si>
  <si>
    <t>EXP102253</t>
  </si>
  <si>
    <t>EXP102254</t>
  </si>
  <si>
    <t>AX385321097</t>
  </si>
  <si>
    <t>EXP102255</t>
  </si>
  <si>
    <t>EXP102256</t>
  </si>
  <si>
    <t>ax428013042</t>
  </si>
  <si>
    <t>EXP102257</t>
  </si>
  <si>
    <t>ax850970375</t>
  </si>
  <si>
    <t>EXP102258</t>
  </si>
  <si>
    <t>AX 314515919</t>
  </si>
  <si>
    <t>EXP102259</t>
  </si>
  <si>
    <t>EXP102260</t>
  </si>
  <si>
    <t>AX 439896894</t>
  </si>
  <si>
    <t>EXP102261</t>
  </si>
  <si>
    <t>EXP102262</t>
  </si>
  <si>
    <t>AX-573864918</t>
  </si>
  <si>
    <t>EXP102263</t>
  </si>
  <si>
    <t>EXP102264</t>
  </si>
  <si>
    <t>AX704146090</t>
  </si>
  <si>
    <t>EXP102265</t>
  </si>
  <si>
    <t>AX 459712938</t>
  </si>
  <si>
    <t>EXP102266</t>
  </si>
  <si>
    <t>ax324397747</t>
  </si>
  <si>
    <t>EXP102267</t>
  </si>
  <si>
    <t>AX188427821</t>
  </si>
  <si>
    <t>EXP102268</t>
  </si>
  <si>
    <t>AX801489387</t>
  </si>
  <si>
    <t>EXP102269</t>
  </si>
  <si>
    <t>AX-133758960</t>
  </si>
  <si>
    <t>EXP102270</t>
  </si>
  <si>
    <t>ax865859717</t>
  </si>
  <si>
    <t>EXP102271</t>
  </si>
  <si>
    <t>AX-286626383</t>
  </si>
  <si>
    <t>EXP102272</t>
  </si>
  <si>
    <t>EXP102273</t>
  </si>
  <si>
    <t>AX701868664</t>
  </si>
  <si>
    <t>EXP102274</t>
  </si>
  <si>
    <t>ax249242413</t>
  </si>
  <si>
    <t>EXP102275</t>
  </si>
  <si>
    <t>AX 550469428</t>
  </si>
  <si>
    <t>EXP102276</t>
  </si>
  <si>
    <t>AX846727869</t>
  </si>
  <si>
    <t>EXP102277</t>
  </si>
  <si>
    <t>ax956887999</t>
  </si>
  <si>
    <t>EXP102278</t>
  </si>
  <si>
    <t>ax418401939</t>
  </si>
  <si>
    <t>EXP102279</t>
  </si>
  <si>
    <t>AX-713655900</t>
  </si>
  <si>
    <t>EXP102280</t>
  </si>
  <si>
    <t>AX379994517</t>
  </si>
  <si>
    <t>EXP102281</t>
  </si>
  <si>
    <t>ax950438079</t>
  </si>
  <si>
    <t>EXP102282</t>
  </si>
  <si>
    <t>AX291647774</t>
  </si>
  <si>
    <t>EXP102283</t>
  </si>
  <si>
    <t>ax963460471</t>
  </si>
  <si>
    <t>EXP102284</t>
  </si>
  <si>
    <t>AX824099554</t>
  </si>
  <si>
    <t>EXP102285</t>
  </si>
  <si>
    <t>EXP102286</t>
  </si>
  <si>
    <t>ax516236197</t>
  </si>
  <si>
    <t>EXP102287</t>
  </si>
  <si>
    <t>AX 525248691</t>
  </si>
  <si>
    <t>EXP102288</t>
  </si>
  <si>
    <t>EXP102289</t>
  </si>
  <si>
    <t>AX 883518237</t>
  </si>
  <si>
    <t>EXP102290</t>
  </si>
  <si>
    <t>EXP102291</t>
  </si>
  <si>
    <t>AX346735711</t>
  </si>
  <si>
    <t>EXP102292</t>
  </si>
  <si>
    <t>EXP102293</t>
  </si>
  <si>
    <t>AX-385779100</t>
  </si>
  <si>
    <t>EXP102294</t>
  </si>
  <si>
    <t>AX121684368</t>
  </si>
  <si>
    <t>EXP102295</t>
  </si>
  <si>
    <t>AX217546627</t>
  </si>
  <si>
    <t>EXP102296</t>
  </si>
  <si>
    <t>AX658558665</t>
  </si>
  <si>
    <t>EXP102297</t>
  </si>
  <si>
    <t>ax271065052</t>
  </si>
  <si>
    <t>EXP102298</t>
  </si>
  <si>
    <t>AX333512534</t>
  </si>
  <si>
    <t>EXP102299</t>
  </si>
  <si>
    <t>ax861159094</t>
  </si>
  <si>
    <t>EXP102300</t>
  </si>
  <si>
    <t>AX231164055</t>
  </si>
  <si>
    <t>EXP102301</t>
  </si>
  <si>
    <t>AX-547323664</t>
  </si>
  <si>
    <t>EXP102302</t>
  </si>
  <si>
    <t>AX374177327</t>
  </si>
  <si>
    <t>EXP102303</t>
  </si>
  <si>
    <t>EXP102304</t>
  </si>
  <si>
    <t>AX728442789</t>
  </si>
  <si>
    <t>EXP102305</t>
  </si>
  <si>
    <t>AX389634447</t>
  </si>
  <si>
    <t>EXP102306</t>
  </si>
  <si>
    <t>AX189348097</t>
  </si>
  <si>
    <t>EXP102307</t>
  </si>
  <si>
    <t>AX287393062</t>
  </si>
  <si>
    <t>EXP102308</t>
  </si>
  <si>
    <t>AX496844057</t>
  </si>
  <si>
    <t>EXP102309</t>
  </si>
  <si>
    <t>AX947310125</t>
  </si>
  <si>
    <t>EXP102310</t>
  </si>
  <si>
    <t>AX769769466</t>
  </si>
  <si>
    <t>EXP102311</t>
  </si>
  <si>
    <t>AX 372585384</t>
  </si>
  <si>
    <t>EXP102312</t>
  </si>
  <si>
    <t>AX902789224</t>
  </si>
  <si>
    <t>EXP102313</t>
  </si>
  <si>
    <t>AX-454402500</t>
  </si>
  <si>
    <t>EXP102314</t>
  </si>
  <si>
    <t>ax536396196</t>
  </si>
  <si>
    <t>EXP102315</t>
  </si>
  <si>
    <t>ax670032147</t>
  </si>
  <si>
    <t>EXP102316</t>
  </si>
  <si>
    <t>ax376773004</t>
  </si>
  <si>
    <t>EXP102317</t>
  </si>
  <si>
    <t>AX340753573</t>
  </si>
  <si>
    <t>EXP102318</t>
  </si>
  <si>
    <t>AX 981233180</t>
  </si>
  <si>
    <t>EXP102319</t>
  </si>
  <si>
    <t>ax296306325</t>
  </si>
  <si>
    <t>EXP102320</t>
  </si>
  <si>
    <t>AX-638872557</t>
  </si>
  <si>
    <t>EXP102321</t>
  </si>
  <si>
    <t>ax852401417</t>
  </si>
  <si>
    <t>EXP102322</t>
  </si>
  <si>
    <t>ax919227979</t>
  </si>
  <si>
    <t>EXP102323</t>
  </si>
  <si>
    <t>AX251034128</t>
  </si>
  <si>
    <t>EXP102324</t>
  </si>
  <si>
    <t>AX 774044187</t>
  </si>
  <si>
    <t>EXP102325</t>
  </si>
  <si>
    <t>AX836456528</t>
  </si>
  <si>
    <t>EXP102326</t>
  </si>
  <si>
    <t>AX364427708</t>
  </si>
  <si>
    <t>EXP102327</t>
  </si>
  <si>
    <t>ax285640264</t>
  </si>
  <si>
    <t>EXP102328</t>
  </si>
  <si>
    <t>AX846540155</t>
  </si>
  <si>
    <t>EXP102329</t>
  </si>
  <si>
    <t>AX393642923</t>
  </si>
  <si>
    <t>EXP102330</t>
  </si>
  <si>
    <t>AX631748394</t>
  </si>
  <si>
    <t>EXP102331</t>
  </si>
  <si>
    <t>EXP102332</t>
  </si>
  <si>
    <t>AX-538756947</t>
  </si>
  <si>
    <t>EXP102333</t>
  </si>
  <si>
    <t>AX706796052</t>
  </si>
  <si>
    <t>EXP102334</t>
  </si>
  <si>
    <t>AX974964678</t>
  </si>
  <si>
    <t>EXP102335</t>
  </si>
  <si>
    <t>EXP102336</t>
  </si>
  <si>
    <t>ax134221362</t>
  </si>
  <si>
    <t>EXP102337</t>
  </si>
  <si>
    <t>AX-846688860</t>
  </si>
  <si>
    <t>EXP102338</t>
  </si>
  <si>
    <t>AX130006790</t>
  </si>
  <si>
    <t>EXP102339</t>
  </si>
  <si>
    <t>AX410303379</t>
  </si>
  <si>
    <t>EXP102340</t>
  </si>
  <si>
    <t>AX896700065</t>
  </si>
  <si>
    <t>EXP102341</t>
  </si>
  <si>
    <t>AX717925795</t>
  </si>
  <si>
    <t>EXP102342</t>
  </si>
  <si>
    <t>AX 477371896</t>
  </si>
  <si>
    <t>EXP102343</t>
  </si>
  <si>
    <t>AX589769759</t>
  </si>
  <si>
    <t>EXP102344</t>
  </si>
  <si>
    <t>AX-489706901</t>
  </si>
  <si>
    <t>EXP102345</t>
  </si>
  <si>
    <t>EXP102346</t>
  </si>
  <si>
    <t>AX282143756</t>
  </si>
  <si>
    <t>EXP102347</t>
  </si>
  <si>
    <t>ax859780243</t>
  </si>
  <si>
    <t>EXP102348</t>
  </si>
  <si>
    <t>ax984978194</t>
  </si>
  <si>
    <t>EXP102349</t>
  </si>
  <si>
    <t>AX630687127</t>
  </si>
  <si>
    <t>EXP102350</t>
  </si>
  <si>
    <t>AX 705140889</t>
  </si>
  <si>
    <t>EXP102351</t>
  </si>
  <si>
    <t>EXP102352</t>
  </si>
  <si>
    <t>EXP102353</t>
  </si>
  <si>
    <t>ax836312058</t>
  </si>
  <si>
    <t>EXP102354</t>
  </si>
  <si>
    <t>AX649519525</t>
  </si>
  <si>
    <t>EXP102355</t>
  </si>
  <si>
    <t>AX974625086</t>
  </si>
  <si>
    <t>EXP102356</t>
  </si>
  <si>
    <t>AX901070346</t>
  </si>
  <si>
    <t>EXP102357</t>
  </si>
  <si>
    <t>AX503444415</t>
  </si>
  <si>
    <t>EXP102358</t>
  </si>
  <si>
    <t>AX904976208</t>
  </si>
  <si>
    <t>EXP102359</t>
  </si>
  <si>
    <t>EXP102360</t>
  </si>
  <si>
    <t>AX323855851</t>
  </si>
  <si>
    <t>EXP102361</t>
  </si>
  <si>
    <t>AX 824211787</t>
  </si>
  <si>
    <t>EXP102362</t>
  </si>
  <si>
    <t>AX 456247550</t>
  </si>
  <si>
    <t>EXP102363</t>
  </si>
  <si>
    <t>EXP102364</t>
  </si>
  <si>
    <t>EXP102366</t>
  </si>
  <si>
    <t>ax830278947</t>
  </si>
  <si>
    <t>EXP102367</t>
  </si>
  <si>
    <t>AX121576441</t>
  </si>
  <si>
    <t>EXP102368</t>
  </si>
  <si>
    <t>AX739350461</t>
  </si>
  <si>
    <t>EXP102369</t>
  </si>
  <si>
    <t>AX 669052898</t>
  </si>
  <si>
    <t>EXP102370</t>
  </si>
  <si>
    <t>AX398709815</t>
  </si>
  <si>
    <t>EXP102371</t>
  </si>
  <si>
    <t>EXP102372</t>
  </si>
  <si>
    <t>AX743477069</t>
  </si>
  <si>
    <t>EXP102373</t>
  </si>
  <si>
    <t>AX 745231214</t>
  </si>
  <si>
    <t>EXP102374</t>
  </si>
  <si>
    <t>AX135085653</t>
  </si>
  <si>
    <t>EXP102375</t>
  </si>
  <si>
    <t>ax680171185</t>
  </si>
  <si>
    <t>EXP102376</t>
  </si>
  <si>
    <t>ax227422766</t>
  </si>
  <si>
    <t>EXP102377</t>
  </si>
  <si>
    <t>EXP102378</t>
  </si>
  <si>
    <t>AX-854119026</t>
  </si>
  <si>
    <t>EXP102379</t>
  </si>
  <si>
    <t>AX204920886</t>
  </si>
  <si>
    <t>EXP102380</t>
  </si>
  <si>
    <t>EXP102381</t>
  </si>
  <si>
    <t>AX732474919</t>
  </si>
  <si>
    <t>EXP102382</t>
  </si>
  <si>
    <t>ax373226513</t>
  </si>
  <si>
    <t>EXP102383</t>
  </si>
  <si>
    <t>AX 982303829</t>
  </si>
  <si>
    <t>EXP102384</t>
  </si>
  <si>
    <t>EXP102385</t>
  </si>
  <si>
    <t>AX 995562421</t>
  </si>
  <si>
    <t>EXP102386</t>
  </si>
  <si>
    <t>AX497721181</t>
  </si>
  <si>
    <t>EXP102387</t>
  </si>
  <si>
    <t>AX647161005</t>
  </si>
  <si>
    <t>EXP102388</t>
  </si>
  <si>
    <t>AX 895983490</t>
  </si>
  <si>
    <t>EXP102389</t>
  </si>
  <si>
    <t>EXP102390</t>
  </si>
  <si>
    <t>AX335981363</t>
  </si>
  <si>
    <t>EXP102391</t>
  </si>
  <si>
    <t>AX483364911</t>
  </si>
  <si>
    <t>EXP102392</t>
  </si>
  <si>
    <t>AX634167212</t>
  </si>
  <si>
    <t>EXP102393</t>
  </si>
  <si>
    <t>AX153453568</t>
  </si>
  <si>
    <t>EXP102394</t>
  </si>
  <si>
    <t>AX111277176</t>
  </si>
  <si>
    <t>EXP102395</t>
  </si>
  <si>
    <t>EXP102396</t>
  </si>
  <si>
    <t>AX738703758</t>
  </si>
  <si>
    <t>EXP102397</t>
  </si>
  <si>
    <t>ax923960610</t>
  </si>
  <si>
    <t>EXP102398</t>
  </si>
  <si>
    <t>AX-398550657</t>
  </si>
  <si>
    <t>EXP102399</t>
  </si>
  <si>
    <t>EXP102400</t>
  </si>
  <si>
    <t>EXP102401</t>
  </si>
  <si>
    <t>AX884298525</t>
  </si>
  <si>
    <t>EXP102402</t>
  </si>
  <si>
    <t>EXP102403</t>
  </si>
  <si>
    <t>AX265645469</t>
  </si>
  <si>
    <t>EXP102404</t>
  </si>
  <si>
    <t>EXP102405</t>
  </si>
  <si>
    <t>AX-266441299</t>
  </si>
  <si>
    <t>EXP102406</t>
  </si>
  <si>
    <t>AX 923624680</t>
  </si>
  <si>
    <t>EXP102407</t>
  </si>
  <si>
    <t>AX893130601</t>
  </si>
  <si>
    <t>EXP102408</t>
  </si>
  <si>
    <t>AX665293422</t>
  </si>
  <si>
    <t>EXP102409</t>
  </si>
  <si>
    <t>AX216157269</t>
  </si>
  <si>
    <t>EXP102410</t>
  </si>
  <si>
    <t>AX650808285</t>
  </si>
  <si>
    <t>EXP102411</t>
  </si>
  <si>
    <t>AX 855030004</t>
  </si>
  <si>
    <t>EXP102412</t>
  </si>
  <si>
    <t>AX448876693</t>
  </si>
  <si>
    <t>EXP102413</t>
  </si>
  <si>
    <t>AX350039199</t>
  </si>
  <si>
    <t>EXP102414</t>
  </si>
  <si>
    <t>ax676855769</t>
  </si>
  <si>
    <t>EXP102415</t>
  </si>
  <si>
    <t>AX177865278</t>
  </si>
  <si>
    <t>EXP102416</t>
  </si>
  <si>
    <t>AX809388067</t>
  </si>
  <si>
    <t>EXP102417</t>
  </si>
  <si>
    <t>EXP102418</t>
  </si>
  <si>
    <t>AX232492740</t>
  </si>
  <si>
    <t>EXP102419</t>
  </si>
  <si>
    <t>EXP102420</t>
  </si>
  <si>
    <t>AX586782936</t>
  </si>
  <si>
    <t>EXP102421</t>
  </si>
  <si>
    <t>AX776437675</t>
  </si>
  <si>
    <t>EXP102422</t>
  </si>
  <si>
    <t>EXP102423</t>
  </si>
  <si>
    <t>AX491774742</t>
  </si>
  <si>
    <t>EXP102424</t>
  </si>
  <si>
    <t>AX227576306</t>
  </si>
  <si>
    <t>EXP102425</t>
  </si>
  <si>
    <t>EXP102426</t>
  </si>
  <si>
    <t>EXP102427</t>
  </si>
  <si>
    <t>AX881290624</t>
  </si>
  <si>
    <t>EXP102428</t>
  </si>
  <si>
    <t>ax556907944</t>
  </si>
  <si>
    <t>EXP102429</t>
  </si>
  <si>
    <t>AX 539673706</t>
  </si>
  <si>
    <t>EXP102430</t>
  </si>
  <si>
    <t>AX416228359</t>
  </si>
  <si>
    <t>EXP102431</t>
  </si>
  <si>
    <t>ax713549337</t>
  </si>
  <si>
    <t>EXP102433</t>
  </si>
  <si>
    <t>AX-617972955</t>
  </si>
  <si>
    <t>EXP102434</t>
  </si>
  <si>
    <t>AX 172436196</t>
  </si>
  <si>
    <t>EXP102435</t>
  </si>
  <si>
    <t>AX 820035697</t>
  </si>
  <si>
    <t>EXP102436</t>
  </si>
  <si>
    <t>AX-728353075</t>
  </si>
  <si>
    <t>EXP102437</t>
  </si>
  <si>
    <t>ax453388327</t>
  </si>
  <si>
    <t>EXP102438</t>
  </si>
  <si>
    <t>AX408849817</t>
  </si>
  <si>
    <t>EXP102439</t>
  </si>
  <si>
    <t>AX 180133995</t>
  </si>
  <si>
    <t>EXP102440</t>
  </si>
  <si>
    <t>AX937037782</t>
  </si>
  <si>
    <t>EXP102441</t>
  </si>
  <si>
    <t>ax744827181</t>
  </si>
  <si>
    <t>EXP102442</t>
  </si>
  <si>
    <t>AX825933419</t>
  </si>
  <si>
    <t>EXP102443</t>
  </si>
  <si>
    <t>AX920266577</t>
  </si>
  <si>
    <t>EXP102444</t>
  </si>
  <si>
    <t>ax924569987</t>
  </si>
  <si>
    <t>EXP102445</t>
  </si>
  <si>
    <t>AX168245879</t>
  </si>
  <si>
    <t>EXP102446</t>
  </si>
  <si>
    <t>AX465108129</t>
  </si>
  <si>
    <t>EXP102447</t>
  </si>
  <si>
    <t>AX487360051</t>
  </si>
  <si>
    <t>EXP102448</t>
  </si>
  <si>
    <t>AX661129387</t>
  </si>
  <si>
    <t>EXP102449</t>
  </si>
  <si>
    <t>EXP102450</t>
  </si>
  <si>
    <t>ax967797194</t>
  </si>
  <si>
    <t>EXP102451</t>
  </si>
  <si>
    <t>AX331206957</t>
  </si>
  <si>
    <t>EXP102452</t>
  </si>
  <si>
    <t>AX182185937</t>
  </si>
  <si>
    <t>EXP102453</t>
  </si>
  <si>
    <t>AX-976493342</t>
  </si>
  <si>
    <t>EXP102454</t>
  </si>
  <si>
    <t>AX 928848249</t>
  </si>
  <si>
    <t>EXP102455</t>
  </si>
  <si>
    <t>ax728927149</t>
  </si>
  <si>
    <t>EXP102456</t>
  </si>
  <si>
    <t>AX-934687408</t>
  </si>
  <si>
    <t>EXP102457</t>
  </si>
  <si>
    <t>AX-721727890</t>
  </si>
  <si>
    <t>EXP102458</t>
  </si>
  <si>
    <t>AX873769634</t>
  </si>
  <si>
    <t>EXP102460</t>
  </si>
  <si>
    <t>EXP102461</t>
  </si>
  <si>
    <t>EXP102462</t>
  </si>
  <si>
    <t>AX498318864</t>
  </si>
  <si>
    <t>EXP102463</t>
  </si>
  <si>
    <t>ax206901091</t>
  </si>
  <si>
    <t>EXP102464</t>
  </si>
  <si>
    <t>AX697169207</t>
  </si>
  <si>
    <t xml:space="preserve"> YELLOW CAB CO</t>
  </si>
  <si>
    <t>EXP102465</t>
  </si>
  <si>
    <t>EXP102466</t>
  </si>
  <si>
    <t>AX757522505</t>
  </si>
  <si>
    <t>EXP102467</t>
  </si>
  <si>
    <t>AX770044775</t>
  </si>
  <si>
    <t>EXP102468</t>
  </si>
  <si>
    <t>AX902768526</t>
  </si>
  <si>
    <t>EXP102469</t>
  </si>
  <si>
    <t>AX781391203</t>
  </si>
  <si>
    <t>EXP102470</t>
  </si>
  <si>
    <t>ax218719925</t>
  </si>
  <si>
    <t>EXP102471</t>
  </si>
  <si>
    <t>EXP102472</t>
  </si>
  <si>
    <t>AX511123661</t>
  </si>
  <si>
    <t>EXP102473</t>
  </si>
  <si>
    <t>AX245035320</t>
  </si>
  <si>
    <t>EXP102474</t>
  </si>
  <si>
    <t>ax483600096</t>
  </si>
  <si>
    <t>EXP102475</t>
  </si>
  <si>
    <t>ax392043503</t>
  </si>
  <si>
    <t>EXP102476</t>
  </si>
  <si>
    <t>AX586991148</t>
  </si>
  <si>
    <t>EXP102477</t>
  </si>
  <si>
    <t>AX422039822</t>
  </si>
  <si>
    <t>EXP102478</t>
  </si>
  <si>
    <t>ax879396231</t>
  </si>
  <si>
    <t>EXP102479</t>
  </si>
  <si>
    <t>AX278801209</t>
  </si>
  <si>
    <t>EXP102480</t>
  </si>
  <si>
    <t>AX502786728</t>
  </si>
  <si>
    <t>EXP102481</t>
  </si>
  <si>
    <t>EXP102482</t>
  </si>
  <si>
    <t>EXP102483</t>
  </si>
  <si>
    <t>EXP102484</t>
  </si>
  <si>
    <t>AX 619210075</t>
  </si>
  <si>
    <t>EXP102485</t>
  </si>
  <si>
    <t>AX309888980</t>
  </si>
  <si>
    <t>EXP102486</t>
  </si>
  <si>
    <t>EXP102487</t>
  </si>
  <si>
    <t>AX508929099</t>
  </si>
  <si>
    <t>EXP102488</t>
  </si>
  <si>
    <t>AX-976311022</t>
  </si>
  <si>
    <t>EXP102489</t>
  </si>
  <si>
    <t>AX564999128</t>
  </si>
  <si>
    <t>EXP102490</t>
  </si>
  <si>
    <t>EXP102491</t>
  </si>
  <si>
    <t>EXP102492</t>
  </si>
  <si>
    <t>AX346733591</t>
  </si>
  <si>
    <t>EXP102493</t>
  </si>
  <si>
    <t>AX638469677</t>
  </si>
  <si>
    <t>EXP102494</t>
  </si>
  <si>
    <t>ax980216901</t>
  </si>
  <si>
    <t>EXP102495</t>
  </si>
  <si>
    <t>AX-177153031</t>
  </si>
  <si>
    <t>EXP102496</t>
  </si>
  <si>
    <t>EXP102497</t>
  </si>
  <si>
    <t>AX920186261</t>
  </si>
  <si>
    <t>EXP102498</t>
  </si>
  <si>
    <t>AX 760094099</t>
  </si>
  <si>
    <t>EXP102499</t>
  </si>
  <si>
    <t>AX 964067241</t>
  </si>
  <si>
    <t>EXP102500</t>
  </si>
  <si>
    <t>AX 315146875</t>
  </si>
  <si>
    <t>EXP102501</t>
  </si>
  <si>
    <t>AX-259749344</t>
  </si>
  <si>
    <t>EXP102502</t>
  </si>
  <si>
    <t>AX323510872</t>
  </si>
  <si>
    <t>EXP102503</t>
  </si>
  <si>
    <t>AX420468576</t>
  </si>
  <si>
    <t>EXP102504</t>
  </si>
  <si>
    <t>AX-399561152</t>
  </si>
  <si>
    <t>EXP102505</t>
  </si>
  <si>
    <t>AX 149608170</t>
  </si>
  <si>
    <t>EXP102506</t>
  </si>
  <si>
    <t>AX 755636480</t>
  </si>
  <si>
    <t>EXP102507</t>
  </si>
  <si>
    <t>AX180518945</t>
  </si>
  <si>
    <t>EXP102508</t>
  </si>
  <si>
    <t>AX992723695</t>
  </si>
  <si>
    <t>EXP102509</t>
  </si>
  <si>
    <t>AX464859837</t>
  </si>
  <si>
    <t>EXP102510</t>
  </si>
  <si>
    <t>AX 264762598</t>
  </si>
  <si>
    <t>EXP102511</t>
  </si>
  <si>
    <t>AX-942749427</t>
  </si>
  <si>
    <t>EXP102512</t>
  </si>
  <si>
    <t>EXP102513</t>
  </si>
  <si>
    <t>EXP102514</t>
  </si>
  <si>
    <t>EXP102515</t>
  </si>
  <si>
    <t>AX959770436</t>
  </si>
  <si>
    <t>EXP102516</t>
  </si>
  <si>
    <t>AX497861629</t>
  </si>
  <si>
    <t>EXP102517</t>
  </si>
  <si>
    <t>AX 298057273</t>
  </si>
  <si>
    <t>EXP102518</t>
  </si>
  <si>
    <t>ax571033814</t>
  </si>
  <si>
    <t>EXP102519</t>
  </si>
  <si>
    <t>AX-579414301</t>
  </si>
  <si>
    <t>EXP102520</t>
  </si>
  <si>
    <t>AX997188244</t>
  </si>
  <si>
    <t>EXP102521</t>
  </si>
  <si>
    <t>AX416300415</t>
  </si>
  <si>
    <t>EXP102522</t>
  </si>
  <si>
    <t>AX131862984</t>
  </si>
  <si>
    <t>EXP102523</t>
  </si>
  <si>
    <t>AX548561380</t>
  </si>
  <si>
    <t>EXP102524</t>
  </si>
  <si>
    <t>ax496797660</t>
  </si>
  <si>
    <t>EXP102525</t>
  </si>
  <si>
    <t>AX-563815316</t>
  </si>
  <si>
    <t>EXP102526</t>
  </si>
  <si>
    <t>AX 354347421</t>
  </si>
  <si>
    <t>EXP102527</t>
  </si>
  <si>
    <t>EXP102528</t>
  </si>
  <si>
    <t>EXP102529</t>
  </si>
  <si>
    <t>AX 958364732</t>
  </si>
  <si>
    <t>EXP102530</t>
  </si>
  <si>
    <t>AX443778502</t>
  </si>
  <si>
    <t>EXP102531</t>
  </si>
  <si>
    <t>AX 713316956</t>
  </si>
  <si>
    <t>EXP102532</t>
  </si>
  <si>
    <t>AX949352169</t>
  </si>
  <si>
    <t>EXP102533</t>
  </si>
  <si>
    <t>AX938496340</t>
  </si>
  <si>
    <t>EXP102534</t>
  </si>
  <si>
    <t>ax421135685</t>
  </si>
  <si>
    <t>EXP102535</t>
  </si>
  <si>
    <t>ax556791494</t>
  </si>
  <si>
    <t>EXP102536</t>
  </si>
  <si>
    <t>AX 395137659</t>
  </si>
  <si>
    <t>EXP102537</t>
  </si>
  <si>
    <t>EXP102538</t>
  </si>
  <si>
    <t>AX 261057245</t>
  </si>
  <si>
    <t>EXP102539</t>
  </si>
  <si>
    <t>E168</t>
  </si>
  <si>
    <t>AX853433972</t>
  </si>
  <si>
    <t>EXP102540</t>
  </si>
  <si>
    <t>AX989492758</t>
  </si>
  <si>
    <t>EXP102541</t>
  </si>
  <si>
    <t>AX706577912</t>
  </si>
  <si>
    <t>EXP102542</t>
  </si>
  <si>
    <t>AX-857033442</t>
  </si>
  <si>
    <t>EXP102543</t>
  </si>
  <si>
    <t>ax250664815</t>
  </si>
  <si>
    <t>EXP102544</t>
  </si>
  <si>
    <t>ax586502377</t>
  </si>
  <si>
    <t>EXP102545</t>
  </si>
  <si>
    <t>AX499305020</t>
  </si>
  <si>
    <t>EXP102546</t>
  </si>
  <si>
    <t>AX251382599</t>
  </si>
  <si>
    <t>EXP102547</t>
  </si>
  <si>
    <t>AX471094429</t>
  </si>
  <si>
    <t>EXP102548</t>
  </si>
  <si>
    <t>AX245653897</t>
  </si>
  <si>
    <t>EXP102549</t>
  </si>
  <si>
    <t>ax485954470</t>
  </si>
  <si>
    <t>EXP102550</t>
  </si>
  <si>
    <t>AX480672232</t>
  </si>
  <si>
    <t>EXP102551</t>
  </si>
  <si>
    <t>AX 172679381</t>
  </si>
  <si>
    <t>EXP102552</t>
  </si>
  <si>
    <t>AX414322793</t>
  </si>
  <si>
    <t>EXP102553</t>
  </si>
  <si>
    <t>AX302407994</t>
  </si>
  <si>
    <t>EXP102554</t>
  </si>
  <si>
    <t>AX545774510</t>
  </si>
  <si>
    <t>EXP102555</t>
  </si>
  <si>
    <t>EXP102556</t>
  </si>
  <si>
    <t>AX468961187</t>
  </si>
  <si>
    <t>EXP102557</t>
  </si>
  <si>
    <t>AX 363026095</t>
  </si>
  <si>
    <t>EXP102558</t>
  </si>
  <si>
    <t>AX-748788974</t>
  </si>
  <si>
    <t>EXP102559</t>
  </si>
  <si>
    <t>EXP102561</t>
  </si>
  <si>
    <t>AX279489411</t>
  </si>
  <si>
    <t>EXP102562</t>
  </si>
  <si>
    <t>AX 566277780</t>
  </si>
  <si>
    <t>EXP102563</t>
  </si>
  <si>
    <t>AX481056752</t>
  </si>
  <si>
    <t>EXP102564</t>
  </si>
  <si>
    <t>AX146644334</t>
  </si>
  <si>
    <t>EXP102565</t>
  </si>
  <si>
    <t>AX512120149</t>
  </si>
  <si>
    <t>EXP102566</t>
  </si>
  <si>
    <t>EXP102567</t>
  </si>
  <si>
    <t>AX169748988</t>
  </si>
  <si>
    <t>EXP102568</t>
  </si>
  <si>
    <t>EXP102569</t>
  </si>
  <si>
    <t>AX393667191</t>
  </si>
  <si>
    <t>EXP102570</t>
  </si>
  <si>
    <t>EXP102571</t>
  </si>
  <si>
    <t>AX318911695</t>
  </si>
  <si>
    <t>EXP102572</t>
  </si>
  <si>
    <t>AX 838947559</t>
  </si>
  <si>
    <t>EXP102573</t>
  </si>
  <si>
    <t>ax532545029</t>
  </si>
  <si>
    <t>EXP102574</t>
  </si>
  <si>
    <t>AX-900928902</t>
  </si>
  <si>
    <t>EXP102575</t>
  </si>
  <si>
    <t>AX216561020</t>
  </si>
  <si>
    <t>EXP102576</t>
  </si>
  <si>
    <t>AX782838364</t>
  </si>
  <si>
    <t>EXP102577</t>
  </si>
  <si>
    <t>EXP102578</t>
  </si>
  <si>
    <t>AX-828124193</t>
  </si>
  <si>
    <t>EXP102579</t>
  </si>
  <si>
    <t>AX286185892</t>
  </si>
  <si>
    <t>EXP102580</t>
  </si>
  <si>
    <t>AX515065375</t>
  </si>
  <si>
    <t>EXP102581</t>
  </si>
  <si>
    <t>AX-331408892</t>
  </si>
  <si>
    <t>EXP102582</t>
  </si>
  <si>
    <t>AX-250790267</t>
  </si>
  <si>
    <t>EXP102583</t>
  </si>
  <si>
    <t>AX224672483</t>
  </si>
  <si>
    <t>EXP102584</t>
  </si>
  <si>
    <t>AX134180620</t>
  </si>
  <si>
    <t>EXP102586</t>
  </si>
  <si>
    <t>AX 358688159</t>
  </si>
  <si>
    <t>EXP102587</t>
  </si>
  <si>
    <t>ax375137472</t>
  </si>
  <si>
    <t>EXP102588</t>
  </si>
  <si>
    <t>AX-470448639</t>
  </si>
  <si>
    <t>EXP102589</t>
  </si>
  <si>
    <t>AX917529757</t>
  </si>
  <si>
    <t>EXP102590</t>
  </si>
  <si>
    <t>AX 153107305</t>
  </si>
  <si>
    <t>EXP102591</t>
  </si>
  <si>
    <t>AX998409900</t>
  </si>
  <si>
    <t>EXP102592</t>
  </si>
  <si>
    <t>AX 358739116</t>
  </si>
  <si>
    <t>EXP102593</t>
  </si>
  <si>
    <t>ax993405145</t>
  </si>
  <si>
    <t>EXP102594</t>
  </si>
  <si>
    <t>EXP102595</t>
  </si>
  <si>
    <t>AX872980772</t>
  </si>
  <si>
    <t>EXP102596</t>
  </si>
  <si>
    <t>AX892344365</t>
  </si>
  <si>
    <t>EXP102597</t>
  </si>
  <si>
    <t>AX930131016</t>
  </si>
  <si>
    <t>EXP102598</t>
  </si>
  <si>
    <t>AX-344181815</t>
  </si>
  <si>
    <t>EXP102599</t>
  </si>
  <si>
    <t>AX124817779</t>
  </si>
  <si>
    <t>EXP102600</t>
  </si>
  <si>
    <t>EXP102601</t>
  </si>
  <si>
    <t>AX490004790</t>
  </si>
  <si>
    <t>EXP102602</t>
  </si>
  <si>
    <t>AX-277109095</t>
  </si>
  <si>
    <t>EXP102603</t>
  </si>
  <si>
    <t>AX726747970</t>
  </si>
  <si>
    <t>EXP102604</t>
  </si>
  <si>
    <t>EXP102605</t>
  </si>
  <si>
    <t>AX-363192245</t>
  </si>
  <si>
    <t>EXP102606</t>
  </si>
  <si>
    <t>AX821079344</t>
  </si>
  <si>
    <t>EXP102607</t>
  </si>
  <si>
    <t>AX831440396</t>
  </si>
  <si>
    <t>EXP102608</t>
  </si>
  <si>
    <t>AX530093452</t>
  </si>
  <si>
    <t>EXP102609</t>
  </si>
  <si>
    <t>AX412590629</t>
  </si>
  <si>
    <t>EXP102610</t>
  </si>
  <si>
    <t>AX392369755</t>
  </si>
  <si>
    <t>EXP102611</t>
  </si>
  <si>
    <t>EXP102612</t>
  </si>
  <si>
    <t>AX-768639760</t>
  </si>
  <si>
    <t>EXP102613</t>
  </si>
  <si>
    <t>EXP102614</t>
  </si>
  <si>
    <t>AX-667517204</t>
  </si>
  <si>
    <t>EXP102616</t>
  </si>
  <si>
    <t>AX666907041</t>
  </si>
  <si>
    <t>EXP102617</t>
  </si>
  <si>
    <t>AX 238481131</t>
  </si>
  <si>
    <t>EXP102618</t>
  </si>
  <si>
    <t>AX612346206</t>
  </si>
  <si>
    <t>EXP102619</t>
  </si>
  <si>
    <t>ax213388367</t>
  </si>
  <si>
    <t>EXP102620</t>
  </si>
  <si>
    <t>AX377451375</t>
  </si>
  <si>
    <t>EXP102621</t>
  </si>
  <si>
    <t>AX560208460</t>
  </si>
  <si>
    <t>EXP102622</t>
  </si>
  <si>
    <t>AX 949157735</t>
  </si>
  <si>
    <t>EXP102623</t>
  </si>
  <si>
    <t>AX358491030</t>
  </si>
  <si>
    <t>EXP102624</t>
  </si>
  <si>
    <t>AX-550141444</t>
  </si>
  <si>
    <t>EXP102625</t>
  </si>
  <si>
    <t>AX977962273</t>
  </si>
  <si>
    <t>EXP102626</t>
  </si>
  <si>
    <t>AX146169950</t>
  </si>
  <si>
    <t>EXP102627</t>
  </si>
  <si>
    <t>ax190204883</t>
  </si>
  <si>
    <t>EXP102628</t>
  </si>
  <si>
    <t>EXP102629</t>
  </si>
  <si>
    <t>ax906442188</t>
  </si>
  <si>
    <t>EXP102630</t>
  </si>
  <si>
    <t>ax496970195</t>
  </si>
  <si>
    <t>EXP102631</t>
  </si>
  <si>
    <t>ax144126903</t>
  </si>
  <si>
    <t>EXP102632</t>
  </si>
  <si>
    <t>ax255142793</t>
  </si>
  <si>
    <t>EXP102633</t>
  </si>
  <si>
    <t>AX-657947828</t>
  </si>
  <si>
    <t>EXP102634</t>
  </si>
  <si>
    <t>ax358396925</t>
  </si>
  <si>
    <t>EXP102635</t>
  </si>
  <si>
    <t>AX286287088</t>
  </si>
  <si>
    <t>EXP102636</t>
  </si>
  <si>
    <t>AX308245166</t>
  </si>
  <si>
    <t>EXP102637</t>
  </si>
  <si>
    <t>EXP102638</t>
  </si>
  <si>
    <t>AX819245356</t>
  </si>
  <si>
    <t>EXP102639</t>
  </si>
  <si>
    <t>AX551286919</t>
  </si>
  <si>
    <t>EXP102640</t>
  </si>
  <si>
    <t>AX968800068</t>
  </si>
  <si>
    <t>EXP102641</t>
  </si>
  <si>
    <t>EXP102642</t>
  </si>
  <si>
    <t>AX742509670</t>
  </si>
  <si>
    <t>EXP102643</t>
  </si>
  <si>
    <t>AX956112264</t>
  </si>
  <si>
    <t>EXP102644</t>
  </si>
  <si>
    <t>ax826812195</t>
  </si>
  <si>
    <t>EXP102645</t>
  </si>
  <si>
    <t>EXP102646</t>
  </si>
  <si>
    <t>AX617641551</t>
  </si>
  <si>
    <t>EXP102647</t>
  </si>
  <si>
    <t>ax725697195</t>
  </si>
  <si>
    <t>EXP102648</t>
  </si>
  <si>
    <t>AX470271249</t>
  </si>
  <si>
    <t>EXP102650</t>
  </si>
  <si>
    <t>AX 131782942</t>
  </si>
  <si>
    <t>EXP102651</t>
  </si>
  <si>
    <t>EXP102652</t>
  </si>
  <si>
    <t>AX307265310</t>
  </si>
  <si>
    <t>EXP102653</t>
  </si>
  <si>
    <t>AX710329680</t>
  </si>
  <si>
    <t>EXP102654</t>
  </si>
  <si>
    <t>ax923298547</t>
  </si>
  <si>
    <t>EXP102655</t>
  </si>
  <si>
    <t>AX860237368</t>
  </si>
  <si>
    <t>EXP102656</t>
  </si>
  <si>
    <t>ax835888300</t>
  </si>
  <si>
    <t>EXP102657</t>
  </si>
  <si>
    <t>EXP102658</t>
  </si>
  <si>
    <t>AX788784618</t>
  </si>
  <si>
    <t>EXP102659</t>
  </si>
  <si>
    <t>AX-733998638</t>
  </si>
  <si>
    <t>EXP102660</t>
  </si>
  <si>
    <t>ax578380672</t>
  </si>
  <si>
    <t>EXP102661</t>
  </si>
  <si>
    <t>AX795915225</t>
  </si>
  <si>
    <t>EXP102662</t>
  </si>
  <si>
    <t>AX720297841</t>
  </si>
  <si>
    <t>EXP102663</t>
  </si>
  <si>
    <t>EXP102664</t>
  </si>
  <si>
    <t>AX931975673</t>
  </si>
  <si>
    <t>EXP102665</t>
  </si>
  <si>
    <t>AX-267585945</t>
  </si>
  <si>
    <t>EXP102666</t>
  </si>
  <si>
    <t>EXP102667</t>
  </si>
  <si>
    <t>AX240728988</t>
  </si>
  <si>
    <t>EXP102668</t>
  </si>
  <si>
    <t>EXP102669</t>
  </si>
  <si>
    <t>AX889129871</t>
  </si>
  <si>
    <t>EXP102670</t>
  </si>
  <si>
    <t>AX814012660</t>
  </si>
  <si>
    <t>EXP102671</t>
  </si>
  <si>
    <t>ax694167152</t>
  </si>
  <si>
    <t>EXP102672</t>
  </si>
  <si>
    <t>AX871717572</t>
  </si>
  <si>
    <t>EXP102673</t>
  </si>
  <si>
    <t>AX416464724</t>
  </si>
  <si>
    <t>EXP102674</t>
  </si>
  <si>
    <t>AX583534249</t>
  </si>
  <si>
    <t>EXP102675</t>
  </si>
  <si>
    <t>AX373619452</t>
  </si>
  <si>
    <t>EXP102676</t>
  </si>
  <si>
    <t>AX 357355515</t>
  </si>
  <si>
    <t>EXP102677</t>
  </si>
  <si>
    <t>ax558041892</t>
  </si>
  <si>
    <t>EXP102678</t>
  </si>
  <si>
    <t>AX-652107426</t>
  </si>
  <si>
    <t>EXP102679</t>
  </si>
  <si>
    <t>AX311308511</t>
  </si>
  <si>
    <t>EXP102680</t>
  </si>
  <si>
    <t>AX-550317535</t>
  </si>
  <si>
    <t>EXP102681</t>
  </si>
  <si>
    <t>ax852137975</t>
  </si>
  <si>
    <t>EXP102682</t>
  </si>
  <si>
    <t>AX 523309218</t>
  </si>
  <si>
    <t>EXP102683</t>
  </si>
  <si>
    <t>ax936592771</t>
  </si>
  <si>
    <t>EXP102684</t>
  </si>
  <si>
    <t>ax745894593</t>
  </si>
  <si>
    <t>EXP102685</t>
  </si>
  <si>
    <t>ax652294422</t>
  </si>
  <si>
    <t>EXP102686</t>
  </si>
  <si>
    <t>EXP102687</t>
  </si>
  <si>
    <t>EXP102688</t>
  </si>
  <si>
    <t>AX-798009432</t>
  </si>
  <si>
    <t>EXP102689</t>
  </si>
  <si>
    <t>EXP102690</t>
  </si>
  <si>
    <t>AX918356703</t>
  </si>
  <si>
    <t>EXP102691</t>
  </si>
  <si>
    <t>AX-335038616</t>
  </si>
  <si>
    <t>EXP102692</t>
  </si>
  <si>
    <t>AX-638730723</t>
  </si>
  <si>
    <t>EXP102693</t>
  </si>
  <si>
    <t>EXP102694</t>
  </si>
  <si>
    <t>AX-387083560</t>
  </si>
  <si>
    <t>EXP102695</t>
  </si>
  <si>
    <t>AX742952284</t>
  </si>
  <si>
    <t>EXP102696</t>
  </si>
  <si>
    <t>AX704623357</t>
  </si>
  <si>
    <t>EXP102697</t>
  </si>
  <si>
    <t>AX326956188</t>
  </si>
  <si>
    <t>EXP102698</t>
  </si>
  <si>
    <t>EXP102699</t>
  </si>
  <si>
    <t>AX109879150</t>
  </si>
  <si>
    <t>EXP102700</t>
  </si>
  <si>
    <t>EXP102701</t>
  </si>
  <si>
    <t>AX354536475</t>
  </si>
  <si>
    <t>EXP102702</t>
  </si>
  <si>
    <t>AX 513871657</t>
  </si>
  <si>
    <t>EXP102703</t>
  </si>
  <si>
    <t>AX-627416472</t>
  </si>
  <si>
    <t>EXP102704</t>
  </si>
  <si>
    <t>ax877048113</t>
  </si>
  <si>
    <t>EXP102705</t>
  </si>
  <si>
    <t>AX107290317</t>
  </si>
  <si>
    <t>EXP102706</t>
  </si>
  <si>
    <t>AX-298386196</t>
  </si>
  <si>
    <t>EXP102707</t>
  </si>
  <si>
    <t>EXP102708</t>
  </si>
  <si>
    <t>ax942640102</t>
  </si>
  <si>
    <t>EXP102709</t>
  </si>
  <si>
    <t>ax437801131</t>
  </si>
  <si>
    <t>EXP102710</t>
  </si>
  <si>
    <t>AX368803176</t>
  </si>
  <si>
    <t>EXP102711</t>
  </si>
  <si>
    <t>ax561348072</t>
  </si>
  <si>
    <t>EXP102712</t>
  </si>
  <si>
    <t>AX445003684</t>
  </si>
  <si>
    <t>EXP102713</t>
  </si>
  <si>
    <t>AX-126551878</t>
  </si>
  <si>
    <t>EXP102714</t>
  </si>
  <si>
    <t>AX 235157905</t>
  </si>
  <si>
    <t>EXP102715</t>
  </si>
  <si>
    <t>AX-666576362</t>
  </si>
  <si>
    <t>EXP102716</t>
  </si>
  <si>
    <t>AX-136681010</t>
  </si>
  <si>
    <t>EXP102717</t>
  </si>
  <si>
    <t>AX-963155931</t>
  </si>
  <si>
    <t>EXP102718</t>
  </si>
  <si>
    <t>AX156269476</t>
  </si>
  <si>
    <t>EXP102719</t>
  </si>
  <si>
    <t>AX-910751569</t>
  </si>
  <si>
    <t>EXP102720</t>
  </si>
  <si>
    <t>ax799085002</t>
  </si>
  <si>
    <t>EXP102721</t>
  </si>
  <si>
    <t>AX475267932</t>
  </si>
  <si>
    <t>EXP102722</t>
  </si>
  <si>
    <t>AX400475258</t>
  </si>
  <si>
    <t>EXP102724</t>
  </si>
  <si>
    <t>AX979374179</t>
  </si>
  <si>
    <t>EXP102725</t>
  </si>
  <si>
    <t>AX243285157</t>
  </si>
  <si>
    <t>EXP102726</t>
  </si>
  <si>
    <t>AX532098714</t>
  </si>
  <si>
    <t>EXP102727</t>
  </si>
  <si>
    <t>AX 950535148</t>
  </si>
  <si>
    <t>EXP102728</t>
  </si>
  <si>
    <t>AX 275368474</t>
  </si>
  <si>
    <t>EXP102729</t>
  </si>
  <si>
    <t>EXP102730</t>
  </si>
  <si>
    <t>AX591494078</t>
  </si>
  <si>
    <t>EXP102731</t>
  </si>
  <si>
    <t>EXP102732</t>
  </si>
  <si>
    <t>AX-505403827</t>
  </si>
  <si>
    <t>EXP102733</t>
  </si>
  <si>
    <t>AX-628646181</t>
  </si>
  <si>
    <t>EXP102734</t>
  </si>
  <si>
    <t>EXP102735</t>
  </si>
  <si>
    <t>AX837646366</t>
  </si>
  <si>
    <t>EXP102736</t>
  </si>
  <si>
    <t>AX 923840231</t>
  </si>
  <si>
    <t>EXP102737</t>
  </si>
  <si>
    <t>AX592724979</t>
  </si>
  <si>
    <t>EXP102738</t>
  </si>
  <si>
    <t>AX763440734</t>
  </si>
  <si>
    <t>EXP102739</t>
  </si>
  <si>
    <t>ax780677149</t>
  </si>
  <si>
    <t>EXP102740</t>
  </si>
  <si>
    <t>AX212121466</t>
  </si>
  <si>
    <t>EXP102741</t>
  </si>
  <si>
    <t>AX286969563</t>
  </si>
  <si>
    <t>EXP102742</t>
  </si>
  <si>
    <t>EXP102743</t>
  </si>
  <si>
    <t>AX-658383034</t>
  </si>
  <si>
    <t>EXP102744</t>
  </si>
  <si>
    <t>AX836531806</t>
  </si>
  <si>
    <t>EXP102745</t>
  </si>
  <si>
    <t>ax343494343</t>
  </si>
  <si>
    <t>EXP102746</t>
  </si>
  <si>
    <t>EXP102747</t>
  </si>
  <si>
    <t>AX560232255</t>
  </si>
  <si>
    <t>EXP102748</t>
  </si>
  <si>
    <t>AX 343073527</t>
  </si>
  <si>
    <t>EXP102749</t>
  </si>
  <si>
    <t>AX-305152183</t>
  </si>
  <si>
    <t>EXP102750</t>
  </si>
  <si>
    <t>AX978749809</t>
  </si>
  <si>
    <t>EXP102751</t>
  </si>
  <si>
    <t>EXP102752</t>
  </si>
  <si>
    <t>AX-146388433</t>
  </si>
  <si>
    <t>EXP102753</t>
  </si>
  <si>
    <t>AX530214478</t>
  </si>
  <si>
    <t>EXP102754</t>
  </si>
  <si>
    <t>EXP102755</t>
  </si>
  <si>
    <t>ax371793737</t>
  </si>
  <si>
    <t>EXP102756</t>
  </si>
  <si>
    <t>AX808296881</t>
  </si>
  <si>
    <t>EXP102757</t>
  </si>
  <si>
    <t>EXP102758</t>
  </si>
  <si>
    <t>EXP102759</t>
  </si>
  <si>
    <t>AX108182126</t>
  </si>
  <si>
    <t>EXP102760</t>
  </si>
  <si>
    <t>AX980570675</t>
  </si>
  <si>
    <t>EXP102761</t>
  </si>
  <si>
    <t>AX716436309</t>
  </si>
  <si>
    <t>EXP102762</t>
  </si>
  <si>
    <t>AX781762484</t>
  </si>
  <si>
    <t>EXP102763</t>
  </si>
  <si>
    <t>AX667579968</t>
  </si>
  <si>
    <t>EXP102764</t>
  </si>
  <si>
    <t>AX490105261</t>
  </si>
  <si>
    <t>EXP102765</t>
  </si>
  <si>
    <t>ax192664948</t>
  </si>
  <si>
    <t>EXP102766</t>
  </si>
  <si>
    <t>AX 270517653</t>
  </si>
  <si>
    <t>EXP102767</t>
  </si>
  <si>
    <t>EXP102768</t>
  </si>
  <si>
    <t>AX 512950697</t>
  </si>
  <si>
    <t>EXP102769</t>
  </si>
  <si>
    <t>ax173751095</t>
  </si>
  <si>
    <t>EXP102770</t>
  </si>
  <si>
    <t>AX649566333</t>
  </si>
  <si>
    <t>EXP102771</t>
  </si>
  <si>
    <t>AX 959844437</t>
  </si>
  <si>
    <t>EXP102772</t>
  </si>
  <si>
    <t>AX312550177</t>
  </si>
  <si>
    <t>EXP102773</t>
  </si>
  <si>
    <t>EXP102774</t>
  </si>
  <si>
    <t>AX 167038147</t>
  </si>
  <si>
    <t>EXP102775</t>
  </si>
  <si>
    <t>AX494287269</t>
  </si>
  <si>
    <t>EXP102776</t>
  </si>
  <si>
    <t>AX-962235317</t>
  </si>
  <si>
    <t>EXP102777</t>
  </si>
  <si>
    <t>AX154488361</t>
  </si>
  <si>
    <t>EXP102778</t>
  </si>
  <si>
    <t>AX 829304948</t>
  </si>
  <si>
    <t>EXP102779</t>
  </si>
  <si>
    <t>AX 658725775</t>
  </si>
  <si>
    <t>EXP102780</t>
  </si>
  <si>
    <t>AX-231524336</t>
  </si>
  <si>
    <t>EXP102781</t>
  </si>
  <si>
    <t>AX629093916</t>
  </si>
  <si>
    <t>EXP102782</t>
  </si>
  <si>
    <t>EXP102783</t>
  </si>
  <si>
    <t>AX 430373957</t>
  </si>
  <si>
    <t>EXP102784</t>
  </si>
  <si>
    <t>AX402117848</t>
  </si>
  <si>
    <t>EXP102785</t>
  </si>
  <si>
    <t>AX427556363</t>
  </si>
  <si>
    <t>EXP102786</t>
  </si>
  <si>
    <t>AX230857196</t>
  </si>
  <si>
    <t>EXP102787</t>
  </si>
  <si>
    <t>AX236287424</t>
  </si>
  <si>
    <t>EXP102788</t>
  </si>
  <si>
    <t>EXP102789</t>
  </si>
  <si>
    <t>ax820085220</t>
  </si>
  <si>
    <t>EXP102790</t>
  </si>
  <si>
    <t>EXP102791</t>
  </si>
  <si>
    <t>AX 326112122</t>
  </si>
  <si>
    <t>EXP102792</t>
  </si>
  <si>
    <t>ax436469761</t>
  </si>
  <si>
    <t>EXP102793</t>
  </si>
  <si>
    <t>EXP102794</t>
  </si>
  <si>
    <t>AX409863567</t>
  </si>
  <si>
    <t>EXP102795</t>
  </si>
  <si>
    <t>EXP102796</t>
  </si>
  <si>
    <t>AX449843494</t>
  </si>
  <si>
    <t>EXP102797</t>
  </si>
  <si>
    <t>EXP102798</t>
  </si>
  <si>
    <t>AX932542934</t>
  </si>
  <si>
    <t>EXP102799</t>
  </si>
  <si>
    <t>AX 849095300</t>
  </si>
  <si>
    <t>EXP102800</t>
  </si>
  <si>
    <t>AX235650581</t>
  </si>
  <si>
    <t>EXP102801</t>
  </si>
  <si>
    <t>ax876984782</t>
  </si>
  <si>
    <t>EXP102802</t>
  </si>
  <si>
    <t>AX-806196063</t>
  </si>
  <si>
    <t>EXP102803</t>
  </si>
  <si>
    <t>ax887734108</t>
  </si>
  <si>
    <t>EXP102804</t>
  </si>
  <si>
    <t>ax811901202</t>
  </si>
  <si>
    <t>EXP102805</t>
  </si>
  <si>
    <t>AX 596713700</t>
  </si>
  <si>
    <t>EXP102806</t>
  </si>
  <si>
    <t>AX240222131</t>
  </si>
  <si>
    <t>EXP102807</t>
  </si>
  <si>
    <t>AX670391831</t>
  </si>
  <si>
    <t>EXP102808</t>
  </si>
  <si>
    <t>AX296364101</t>
  </si>
  <si>
    <t>EXP102809</t>
  </si>
  <si>
    <t>AX585184324</t>
  </si>
  <si>
    <t>EXP102810</t>
  </si>
  <si>
    <t>EXP102811</t>
  </si>
  <si>
    <t>EXP102812</t>
  </si>
  <si>
    <t>AX 262871424</t>
  </si>
  <si>
    <t>EXP102813</t>
  </si>
  <si>
    <t>AX-478581558</t>
  </si>
  <si>
    <t>EXP102814</t>
  </si>
  <si>
    <t>ax993930862</t>
  </si>
  <si>
    <t>EXP102815</t>
  </si>
  <si>
    <t>EXP102816</t>
  </si>
  <si>
    <t>AX486372507</t>
  </si>
  <si>
    <t>EXP102817</t>
  </si>
  <si>
    <t>EXP102818</t>
  </si>
  <si>
    <t>EXP102819</t>
  </si>
  <si>
    <t>ax121345312</t>
  </si>
  <si>
    <t>EXP102820</t>
  </si>
  <si>
    <t>AX473573248</t>
  </si>
  <si>
    <t>EXP102821</t>
  </si>
  <si>
    <t>ax540090193</t>
  </si>
  <si>
    <t>EXP102822</t>
  </si>
  <si>
    <t>AX737760661</t>
  </si>
  <si>
    <t>EXP102823</t>
  </si>
  <si>
    <t>ax345079593</t>
  </si>
  <si>
    <t>EXP102824</t>
  </si>
  <si>
    <t>AX121781069</t>
  </si>
  <si>
    <t>EXP102825</t>
  </si>
  <si>
    <t>AX875915847</t>
  </si>
  <si>
    <t>EXP102826</t>
  </si>
  <si>
    <t>AX-255388445</t>
  </si>
  <si>
    <t>EXP102827</t>
  </si>
  <si>
    <t>EXP102828</t>
  </si>
  <si>
    <t>AX-588947631</t>
  </si>
  <si>
    <t>EXP102829</t>
  </si>
  <si>
    <t>AX484964933</t>
  </si>
  <si>
    <t>EXP102830</t>
  </si>
  <si>
    <t>AX555991949</t>
  </si>
  <si>
    <t>EXP102831</t>
  </si>
  <si>
    <t>AX678348630</t>
  </si>
  <si>
    <t>EXP102832</t>
  </si>
  <si>
    <t>AX414740251</t>
  </si>
  <si>
    <t>EXP102833</t>
  </si>
  <si>
    <t>EXP102834</t>
  </si>
  <si>
    <t>EXP102835</t>
  </si>
  <si>
    <t>AX912521834</t>
  </si>
  <si>
    <t>EXP102836</t>
  </si>
  <si>
    <t>AX-222867613</t>
  </si>
  <si>
    <t>EXP102837</t>
  </si>
  <si>
    <t>EXP102838</t>
  </si>
  <si>
    <t>AX-522805075</t>
  </si>
  <si>
    <t>EXP102839</t>
  </si>
  <si>
    <t>AX-783632287</t>
  </si>
  <si>
    <t>EXP102840</t>
  </si>
  <si>
    <t>AX545906488</t>
  </si>
  <si>
    <t>EXP102841</t>
  </si>
  <si>
    <t>AX 880870437</t>
  </si>
  <si>
    <t>EXP102842</t>
  </si>
  <si>
    <t>AX389140696</t>
  </si>
  <si>
    <t>EXP102843</t>
  </si>
  <si>
    <t>AX863155533</t>
  </si>
  <si>
    <t>EXP102844</t>
  </si>
  <si>
    <t>AX689195730</t>
  </si>
  <si>
    <t>EXP102846</t>
  </si>
  <si>
    <t>AX477831366</t>
  </si>
  <si>
    <t>EXP102847</t>
  </si>
  <si>
    <t>AX770594578</t>
  </si>
  <si>
    <t>EXP102848</t>
  </si>
  <si>
    <t>EXP102849</t>
  </si>
  <si>
    <t>AX127010582</t>
  </si>
  <si>
    <t>EXP102850</t>
  </si>
  <si>
    <t>ax410235030</t>
  </si>
  <si>
    <t>EXP102851</t>
  </si>
  <si>
    <t>AX-400562398</t>
  </si>
  <si>
    <t>EXP102852</t>
  </si>
  <si>
    <t>AX788778322</t>
  </si>
  <si>
    <t>EXP102853</t>
  </si>
  <si>
    <t>ax791166948</t>
  </si>
  <si>
    <t>EXP102854</t>
  </si>
  <si>
    <t>AX665839952</t>
  </si>
  <si>
    <t>EXP102855</t>
  </si>
  <si>
    <t>AX599149975</t>
  </si>
  <si>
    <t>EXP102856</t>
  </si>
  <si>
    <t>AX-919551176</t>
  </si>
  <si>
    <t>EXP102857</t>
  </si>
  <si>
    <t>ax821093048</t>
  </si>
  <si>
    <t>EXP102858</t>
  </si>
  <si>
    <t>AX-497878954</t>
  </si>
  <si>
    <t>EXP102859</t>
  </si>
  <si>
    <t>AX421428978</t>
  </si>
  <si>
    <t>EXP102860</t>
  </si>
  <si>
    <t>EXP102861</t>
  </si>
  <si>
    <t>ax103345970</t>
  </si>
  <si>
    <t>EXP102862</t>
  </si>
  <si>
    <t>ax144234252</t>
  </si>
  <si>
    <t>EXP102863</t>
  </si>
  <si>
    <t>AX496466542</t>
  </si>
  <si>
    <t>EXP102864</t>
  </si>
  <si>
    <t>AX502714660</t>
  </si>
  <si>
    <t>EXP102865</t>
  </si>
  <si>
    <t>EXP102866</t>
  </si>
  <si>
    <t>AX353363786</t>
  </si>
  <si>
    <t>EXP102867</t>
  </si>
  <si>
    <t>EXP102868</t>
  </si>
  <si>
    <t>ax935892352</t>
  </si>
  <si>
    <t>EXP102869</t>
  </si>
  <si>
    <t>AX-851584721</t>
  </si>
  <si>
    <t>EXP102870</t>
  </si>
  <si>
    <t>ax296931123</t>
  </si>
  <si>
    <t>EXP102871</t>
  </si>
  <si>
    <t>AX-314605531</t>
  </si>
  <si>
    <t>EXP102872</t>
  </si>
  <si>
    <t>AX339920617</t>
  </si>
  <si>
    <t>EXP102873</t>
  </si>
  <si>
    <t>EXP102874</t>
  </si>
  <si>
    <t>AX602290474</t>
  </si>
  <si>
    <t>EXP102875</t>
  </si>
  <si>
    <t>AX 712781891</t>
  </si>
  <si>
    <t>EXP102876</t>
  </si>
  <si>
    <t>AX924305563</t>
  </si>
  <si>
    <t>EXP102877</t>
  </si>
  <si>
    <t>ax687929316</t>
  </si>
  <si>
    <t>EXP102878</t>
  </si>
  <si>
    <t>AX399496999</t>
  </si>
  <si>
    <t>EXP102879</t>
  </si>
  <si>
    <t>ax597203007</t>
  </si>
  <si>
    <t>EXP102880</t>
  </si>
  <si>
    <t>EXP102881</t>
  </si>
  <si>
    <t>AX575376286</t>
  </si>
  <si>
    <t>EXP102882</t>
  </si>
  <si>
    <t>AX546191034</t>
  </si>
  <si>
    <t>EXP102883</t>
  </si>
  <si>
    <t>EXP102884</t>
  </si>
  <si>
    <t>AX465235814</t>
  </si>
  <si>
    <t>EXP102885</t>
  </si>
  <si>
    <t>ax443984560</t>
  </si>
  <si>
    <t>EXP102886</t>
  </si>
  <si>
    <t>EXP102887</t>
  </si>
  <si>
    <t>ax548309667</t>
  </si>
  <si>
    <t>EXP102888</t>
  </si>
  <si>
    <t>AX695062794</t>
  </si>
  <si>
    <t>EXP102889</t>
  </si>
  <si>
    <t>AX 504476124</t>
  </si>
  <si>
    <t>EXP102890</t>
  </si>
  <si>
    <t>AX701253259</t>
  </si>
  <si>
    <t>EXP102891</t>
  </si>
  <si>
    <t>AX744170354</t>
  </si>
  <si>
    <t>EXP102892</t>
  </si>
  <si>
    <t>AX183802511</t>
  </si>
  <si>
    <t>EXP102893</t>
  </si>
  <si>
    <t>AX630196943</t>
  </si>
  <si>
    <t>EXP102894</t>
  </si>
  <si>
    <t>ax887526970</t>
  </si>
  <si>
    <t>EXP102895</t>
  </si>
  <si>
    <t>AX 631235415</t>
  </si>
  <si>
    <t>EXP102896</t>
  </si>
  <si>
    <t>ax440576982</t>
  </si>
  <si>
    <t>EXP102897</t>
  </si>
  <si>
    <t>AX585751682</t>
  </si>
  <si>
    <t>EXP102898</t>
  </si>
  <si>
    <t>EXP102899</t>
  </si>
  <si>
    <t>AX899500020</t>
  </si>
  <si>
    <t>EXP102900</t>
  </si>
  <si>
    <t>AX 611682790</t>
  </si>
  <si>
    <t>EXP102901</t>
  </si>
  <si>
    <t>ax952466280</t>
  </si>
  <si>
    <t>EXP102902</t>
  </si>
  <si>
    <t>AX897231300</t>
  </si>
  <si>
    <t>EXP102903</t>
  </si>
  <si>
    <t>ax672774353</t>
  </si>
  <si>
    <t>EXP102904</t>
  </si>
  <si>
    <t>AX222574972</t>
  </si>
  <si>
    <t>EXP102905</t>
  </si>
  <si>
    <t>EXP102906</t>
  </si>
  <si>
    <t>ax197695393</t>
  </si>
  <si>
    <t>EXP102907</t>
  </si>
  <si>
    <t>ax538874372</t>
  </si>
  <si>
    <t>EXP102908</t>
  </si>
  <si>
    <t>AX232407674</t>
  </si>
  <si>
    <t>EXP102909</t>
  </si>
  <si>
    <t>EXP102910</t>
  </si>
  <si>
    <t>ax262042072</t>
  </si>
  <si>
    <t>EXP102911</t>
  </si>
  <si>
    <t>AX456087634</t>
  </si>
  <si>
    <t>EXP102912</t>
  </si>
  <si>
    <t>AX642895627</t>
  </si>
  <si>
    <t>EXP102913</t>
  </si>
  <si>
    <t>AX-715824737</t>
  </si>
  <si>
    <t>EXP102914</t>
  </si>
  <si>
    <t>AX756860952</t>
  </si>
  <si>
    <t>EXP102915</t>
  </si>
  <si>
    <t>ax631831580</t>
  </si>
  <si>
    <t>EXP102916</t>
  </si>
  <si>
    <t>AX996559584</t>
  </si>
  <si>
    <t>EXP102917</t>
  </si>
  <si>
    <t>AX675968352</t>
  </si>
  <si>
    <t>EXP102918</t>
  </si>
  <si>
    <t>AX-394515919</t>
  </si>
  <si>
    <t>EXP102919</t>
  </si>
  <si>
    <t>AX-480479488</t>
  </si>
  <si>
    <t>EXP102920</t>
  </si>
  <si>
    <t>EXP102921</t>
  </si>
  <si>
    <t>AX786722677</t>
  </si>
  <si>
    <t>EXP102922</t>
  </si>
  <si>
    <t>AX593397485</t>
  </si>
  <si>
    <t>EXP102923</t>
  </si>
  <si>
    <t>EXP102924</t>
  </si>
  <si>
    <t>AX223627597</t>
  </si>
  <si>
    <t>EXP102925</t>
  </si>
  <si>
    <t>AX133865646</t>
  </si>
  <si>
    <t>EXP102926</t>
  </si>
  <si>
    <t>AX 231170721</t>
  </si>
  <si>
    <t>EXP102927</t>
  </si>
  <si>
    <t xml:space="preserve">  meals </t>
  </si>
  <si>
    <t>EXP102928</t>
  </si>
  <si>
    <t>AX 188713158</t>
  </si>
  <si>
    <t>EXP102929</t>
  </si>
  <si>
    <t>AX356896418</t>
  </si>
  <si>
    <t>EXP102930</t>
  </si>
  <si>
    <t>AX510629112</t>
  </si>
  <si>
    <t>EXP102931</t>
  </si>
  <si>
    <t>EXP102932</t>
  </si>
  <si>
    <t>EXP102933</t>
  </si>
  <si>
    <t>ax893600189</t>
  </si>
  <si>
    <t>EXP102934</t>
  </si>
  <si>
    <t>EXP102935</t>
  </si>
  <si>
    <t>ax807810892</t>
  </si>
  <si>
    <t>EXP102936</t>
  </si>
  <si>
    <t>AX268207785</t>
  </si>
  <si>
    <t>EXP102937</t>
  </si>
  <si>
    <t>ax341563755</t>
  </si>
  <si>
    <t>EXP102938</t>
  </si>
  <si>
    <t>AX501923384</t>
  </si>
  <si>
    <t>EXP102939</t>
  </si>
  <si>
    <t>EXP102940</t>
  </si>
  <si>
    <t>AX871096191</t>
  </si>
  <si>
    <t>EXP102941</t>
  </si>
  <si>
    <t>AX813747171</t>
  </si>
  <si>
    <t>EXP102942</t>
  </si>
  <si>
    <t>ax220758451</t>
  </si>
  <si>
    <t>EXP102943</t>
  </si>
  <si>
    <t>ax427421003</t>
  </si>
  <si>
    <t>EXP102944</t>
  </si>
  <si>
    <t>AX868690995</t>
  </si>
  <si>
    <t>EXP102945</t>
  </si>
  <si>
    <t>AX787805607</t>
  </si>
  <si>
    <t>EXP102946</t>
  </si>
  <si>
    <t>EXP102947</t>
  </si>
  <si>
    <t>ax872745292</t>
  </si>
  <si>
    <t>EXP102948</t>
  </si>
  <si>
    <t>EXP102949</t>
  </si>
  <si>
    <t>AX468196674</t>
  </si>
  <si>
    <t>EXP102950</t>
  </si>
  <si>
    <t>AX-748746223</t>
  </si>
  <si>
    <t>EXP102951</t>
  </si>
  <si>
    <t>EXP102952</t>
  </si>
  <si>
    <t>AX 201283307</t>
  </si>
  <si>
    <t>EXP102953</t>
  </si>
  <si>
    <t>ax841724734</t>
  </si>
  <si>
    <t>EXP102954</t>
  </si>
  <si>
    <t>AX 205482426</t>
  </si>
  <si>
    <t>EXP102955</t>
  </si>
  <si>
    <t>EXP102956</t>
  </si>
  <si>
    <t>AX664226910</t>
  </si>
  <si>
    <t>EXP102957</t>
  </si>
  <si>
    <t>EXP102958</t>
  </si>
  <si>
    <t>ax282533414</t>
  </si>
  <si>
    <t>EXP102959</t>
  </si>
  <si>
    <t>EXP102960</t>
  </si>
  <si>
    <t>AX425469968</t>
  </si>
  <si>
    <t>EXP102961</t>
  </si>
  <si>
    <t>EXP102962</t>
  </si>
  <si>
    <t>AX-111665514</t>
  </si>
  <si>
    <t>EXP102963</t>
  </si>
  <si>
    <t>AX479636060</t>
  </si>
  <si>
    <t>EXP102964</t>
  </si>
  <si>
    <t>AX-968719404</t>
  </si>
  <si>
    <t>EXP102965</t>
  </si>
  <si>
    <t>AX 422143171</t>
  </si>
  <si>
    <t>EXP102966</t>
  </si>
  <si>
    <t>AX554529901</t>
  </si>
  <si>
    <t>EXP102967</t>
  </si>
  <si>
    <t>AX286550193</t>
  </si>
  <si>
    <t>EXP102968</t>
  </si>
  <si>
    <t>EXP102969</t>
  </si>
  <si>
    <t>ax734592789</t>
  </si>
  <si>
    <t>EXP102970</t>
  </si>
  <si>
    <t>AX-524734805</t>
  </si>
  <si>
    <t>EXP102971</t>
  </si>
  <si>
    <t>AX159991576</t>
  </si>
  <si>
    <t>EXP102972</t>
  </si>
  <si>
    <t>AX-927763632</t>
  </si>
  <si>
    <t>EXP102973</t>
  </si>
  <si>
    <t>AX-911106089</t>
  </si>
  <si>
    <t>EXP102974</t>
  </si>
  <si>
    <t>ax363302025</t>
  </si>
  <si>
    <t>EXP102975</t>
  </si>
  <si>
    <t>EXP102976</t>
  </si>
  <si>
    <t>ax792557267</t>
  </si>
  <si>
    <t>EXP102977</t>
  </si>
  <si>
    <t>AX164000330</t>
  </si>
  <si>
    <t>EXP102978</t>
  </si>
  <si>
    <t>EXP102979</t>
  </si>
  <si>
    <t>EXP102980</t>
  </si>
  <si>
    <t>EXP102981</t>
  </si>
  <si>
    <t>ax624630988</t>
  </si>
  <si>
    <t>EXP102982</t>
  </si>
  <si>
    <t>EXP102983</t>
  </si>
  <si>
    <t>AX 723598930</t>
  </si>
  <si>
    <t>EXP102984</t>
  </si>
  <si>
    <t>AX993850556</t>
  </si>
  <si>
    <t>EXP102985</t>
  </si>
  <si>
    <t>AX 655777590</t>
  </si>
  <si>
    <t>EXP102986</t>
  </si>
  <si>
    <t>EXP102987</t>
  </si>
  <si>
    <t>AX 334075053</t>
  </si>
  <si>
    <t>EXP102988</t>
  </si>
  <si>
    <t>AX844682817</t>
  </si>
  <si>
    <t>EXP102989</t>
  </si>
  <si>
    <t>AX921753269</t>
  </si>
  <si>
    <t>EXP102990</t>
  </si>
  <si>
    <t>AX101097194</t>
  </si>
  <si>
    <t>EXP102991</t>
  </si>
  <si>
    <t>AX 383710382</t>
  </si>
  <si>
    <t>EXP102992</t>
  </si>
  <si>
    <t>ax510897825</t>
  </si>
  <si>
    <t>EXP102993</t>
  </si>
  <si>
    <t>AX-744429920</t>
  </si>
  <si>
    <t>EXP102994</t>
  </si>
  <si>
    <t>AX519250700</t>
  </si>
  <si>
    <t>EXP102995</t>
  </si>
  <si>
    <t>AX288979443</t>
  </si>
  <si>
    <t>EXP102996</t>
  </si>
  <si>
    <t>AX867502806</t>
  </si>
  <si>
    <t>EXP102997</t>
  </si>
  <si>
    <t>ax337855565</t>
  </si>
  <si>
    <t>EXP102998</t>
  </si>
  <si>
    <t>AX959298227</t>
  </si>
  <si>
    <t>EXP102999</t>
  </si>
  <si>
    <t>ax684047696</t>
  </si>
  <si>
    <t>EXP103000</t>
  </si>
  <si>
    <t>AX885450577</t>
  </si>
  <si>
    <t>EXP103001</t>
  </si>
  <si>
    <t>AX 849421480</t>
  </si>
  <si>
    <t>EXP103002</t>
  </si>
  <si>
    <t>ax115840774</t>
  </si>
  <si>
    <t>EXP103003</t>
  </si>
  <si>
    <t>AX 979982519</t>
  </si>
  <si>
    <t>EXP103004</t>
  </si>
  <si>
    <t>AX734853664</t>
  </si>
  <si>
    <t>EXP103005</t>
  </si>
  <si>
    <t>AX-676085679</t>
  </si>
  <si>
    <t>EXP103006</t>
  </si>
  <si>
    <t>EXP103007</t>
  </si>
  <si>
    <t>AX 231849973</t>
  </si>
  <si>
    <t>EXP103008</t>
  </si>
  <si>
    <t>EXP103009</t>
  </si>
  <si>
    <t>AX280301045</t>
  </si>
  <si>
    <t>EXP103010</t>
  </si>
  <si>
    <t>AX708352191</t>
  </si>
  <si>
    <t>EXP103011</t>
  </si>
  <si>
    <t>AX 563839274</t>
  </si>
  <si>
    <t>EXP103012</t>
  </si>
  <si>
    <t>ax274197305</t>
  </si>
  <si>
    <t>EXP103013</t>
  </si>
  <si>
    <t>AX-701160370</t>
  </si>
  <si>
    <t>EXP103014</t>
  </si>
  <si>
    <t>ax577354106</t>
  </si>
  <si>
    <t>EXP103015</t>
  </si>
  <si>
    <t>AX-690811142</t>
  </si>
  <si>
    <t>EXP103016</t>
  </si>
  <si>
    <t>EXP103017</t>
  </si>
  <si>
    <t>ax488904547</t>
  </si>
  <si>
    <t>EXP103018</t>
  </si>
  <si>
    <t>AX-510716785</t>
  </si>
  <si>
    <t>EXP103019</t>
  </si>
  <si>
    <t>AX446844237</t>
  </si>
  <si>
    <t>EXP103020</t>
  </si>
  <si>
    <t>ax538393558</t>
  </si>
  <si>
    <t>EXP103021</t>
  </si>
  <si>
    <t>EXP103022</t>
  </si>
  <si>
    <t>AX 530457815</t>
  </si>
  <si>
    <t>EXP103023</t>
  </si>
  <si>
    <t>AX 331411885</t>
  </si>
  <si>
    <t>EXP103024</t>
  </si>
  <si>
    <t>AX435618898</t>
  </si>
  <si>
    <t>EXP103025</t>
  </si>
  <si>
    <t>AX473646184</t>
  </si>
  <si>
    <t>EXP103026</t>
  </si>
  <si>
    <t>ax648318501</t>
  </si>
  <si>
    <t>EXP103027</t>
  </si>
  <si>
    <t>AX615331089</t>
  </si>
  <si>
    <t>EXP103028</t>
  </si>
  <si>
    <t>AX-329453987</t>
  </si>
  <si>
    <t>EXP103029</t>
  </si>
  <si>
    <t>AX643034113</t>
  </si>
  <si>
    <t>EXP103030</t>
  </si>
  <si>
    <t>AX-218276702</t>
  </si>
  <si>
    <t>EXP103031</t>
  </si>
  <si>
    <t>AX878955900</t>
  </si>
  <si>
    <t>EXP103032</t>
  </si>
  <si>
    <t>AX467282718</t>
  </si>
  <si>
    <t>EXP103033</t>
  </si>
  <si>
    <t>EXP103034</t>
  </si>
  <si>
    <t>ax453110050</t>
  </si>
  <si>
    <t>EXP103035</t>
  </si>
  <si>
    <t>AX 636418103</t>
  </si>
  <si>
    <t>EXP103036</t>
  </si>
  <si>
    <t>AX-501553329</t>
  </si>
  <si>
    <t>EXP103037</t>
  </si>
  <si>
    <t>ax886778036</t>
  </si>
  <si>
    <t>EXP103038</t>
  </si>
  <si>
    <t>AX-366497511</t>
  </si>
  <si>
    <t>EXP103039</t>
  </si>
  <si>
    <t>AX433297981</t>
  </si>
  <si>
    <t>EXP103040</t>
  </si>
  <si>
    <t>AX805036862</t>
  </si>
  <si>
    <t>EXP103041</t>
  </si>
  <si>
    <t>EXP103042</t>
  </si>
  <si>
    <t>AX772515874</t>
  </si>
  <si>
    <t>EXP103043</t>
  </si>
  <si>
    <t>AX749521909</t>
  </si>
  <si>
    <t>EXP103044</t>
  </si>
  <si>
    <t>AX 443535073</t>
  </si>
  <si>
    <t>EXP103045</t>
  </si>
  <si>
    <t>AX611875458</t>
  </si>
  <si>
    <t>EXP103046</t>
  </si>
  <si>
    <t>EXP103047</t>
  </si>
  <si>
    <t>AX789195067</t>
  </si>
  <si>
    <t>EXP103048</t>
  </si>
  <si>
    <t>ax582949884</t>
  </si>
  <si>
    <t>EXP103049</t>
  </si>
  <si>
    <t>EXP103050</t>
  </si>
  <si>
    <t>EXP103051</t>
  </si>
  <si>
    <t>AX 357518983</t>
  </si>
  <si>
    <t>EXP103052</t>
  </si>
  <si>
    <t>AX371043291</t>
  </si>
  <si>
    <t>EXP103053</t>
  </si>
  <si>
    <t>AX334796088</t>
  </si>
  <si>
    <t>EXP103054</t>
  </si>
  <si>
    <t>EXP103055</t>
  </si>
  <si>
    <t>ax263566869</t>
  </si>
  <si>
    <t>EXP103056</t>
  </si>
  <si>
    <t>AX-313950586</t>
  </si>
  <si>
    <t>EXP103057</t>
  </si>
  <si>
    <t>AX-645923466</t>
  </si>
  <si>
    <t>EXP103058</t>
  </si>
  <si>
    <t>ax658163087</t>
  </si>
  <si>
    <t>EXP103059</t>
  </si>
  <si>
    <t>ax724855099</t>
  </si>
  <si>
    <t>EXP103060</t>
  </si>
  <si>
    <t>EXP103061</t>
  </si>
  <si>
    <t>AX 389742045</t>
  </si>
  <si>
    <t>EXP103062</t>
  </si>
  <si>
    <t>AX-712415538</t>
  </si>
  <si>
    <t>EXP103063</t>
  </si>
  <si>
    <t>ax372340971</t>
  </si>
  <si>
    <t>EXP103064</t>
  </si>
  <si>
    <t>ax975939484</t>
  </si>
  <si>
    <t>EXP103065</t>
  </si>
  <si>
    <t>AX385159291</t>
  </si>
  <si>
    <t>EXP103066</t>
  </si>
  <si>
    <t>AX858131825</t>
  </si>
  <si>
    <t>EXP103067</t>
  </si>
  <si>
    <t>AX115920477</t>
  </si>
  <si>
    <t>EXP103068</t>
  </si>
  <si>
    <t>ax963056904</t>
  </si>
  <si>
    <t>EXP103069</t>
  </si>
  <si>
    <t>ax202512161</t>
  </si>
  <si>
    <t>EXP103070</t>
  </si>
  <si>
    <t>EXP103071</t>
  </si>
  <si>
    <t>AX 531459187</t>
  </si>
  <si>
    <t>EXP103072</t>
  </si>
  <si>
    <t>EXP103073</t>
  </si>
  <si>
    <t>AX-953039819</t>
  </si>
  <si>
    <t>EXP103074</t>
  </si>
  <si>
    <t>EXP103075</t>
  </si>
  <si>
    <t>AX-264575446</t>
  </si>
  <si>
    <t>EXP103076</t>
  </si>
  <si>
    <t>ax157356503</t>
  </si>
  <si>
    <t>EXP103077</t>
  </si>
  <si>
    <t>AX-436704027</t>
  </si>
  <si>
    <t>EXP103078</t>
  </si>
  <si>
    <t>AX991662890</t>
  </si>
  <si>
    <t>EXP103079</t>
  </si>
  <si>
    <t>EXP103080</t>
  </si>
  <si>
    <t>ax640517975</t>
  </si>
  <si>
    <t xml:space="preserve">  LODGING </t>
  </si>
  <si>
    <t>EXP103081</t>
  </si>
  <si>
    <t>AX490140023</t>
  </si>
  <si>
    <t>EXP103082</t>
  </si>
  <si>
    <t>AX241032173</t>
  </si>
  <si>
    <t>EXP103083</t>
  </si>
  <si>
    <t>AX676413183</t>
  </si>
  <si>
    <t>EXP103084</t>
  </si>
  <si>
    <t>AX660249214</t>
  </si>
  <si>
    <t>EXP103085</t>
  </si>
  <si>
    <t>AX626212622</t>
  </si>
  <si>
    <t>EXP103086</t>
  </si>
  <si>
    <t>AX253956700</t>
  </si>
  <si>
    <t>EXP103087</t>
  </si>
  <si>
    <t>AX204392509</t>
  </si>
  <si>
    <t>EXP103088</t>
  </si>
  <si>
    <t>AX815295496</t>
  </si>
  <si>
    <t>EXP103089</t>
  </si>
  <si>
    <t>EXP103090</t>
  </si>
  <si>
    <t>AX941233650</t>
  </si>
  <si>
    <t>EXP103091</t>
  </si>
  <si>
    <t>AX478216485</t>
  </si>
  <si>
    <t>EXP103092</t>
  </si>
  <si>
    <t>EXP103093</t>
  </si>
  <si>
    <t>AX520235074</t>
  </si>
  <si>
    <t>EXP103094</t>
  </si>
  <si>
    <t>AX129995520</t>
  </si>
  <si>
    <t>EXP103095</t>
  </si>
  <si>
    <t>AX715761910</t>
  </si>
  <si>
    <t>EXP103096</t>
  </si>
  <si>
    <t>EXP103097</t>
  </si>
  <si>
    <t>ax505424488</t>
  </si>
  <si>
    <t>EXP103098</t>
  </si>
  <si>
    <t>ax105080872</t>
  </si>
  <si>
    <t>EXP103099</t>
  </si>
  <si>
    <t>AX759738293</t>
  </si>
  <si>
    <t>EXP103100</t>
  </si>
  <si>
    <t>ax260022318</t>
  </si>
  <si>
    <t>EXP103101</t>
  </si>
  <si>
    <t>ax336244035</t>
  </si>
  <si>
    <t>EXP103102</t>
  </si>
  <si>
    <t>AX920642764</t>
  </si>
  <si>
    <t>EXP103103</t>
  </si>
  <si>
    <t>AX700238891</t>
  </si>
  <si>
    <t>EXP103104</t>
  </si>
  <si>
    <t>AX777879406</t>
  </si>
  <si>
    <t>EXP103105</t>
  </si>
  <si>
    <t>AX143440876</t>
  </si>
  <si>
    <t>EXP103106</t>
  </si>
  <si>
    <t>AX-350223257</t>
  </si>
  <si>
    <t>EXP103107</t>
  </si>
  <si>
    <t>AX 841145193</t>
  </si>
  <si>
    <t>EXP103108</t>
  </si>
  <si>
    <t>ax905673317</t>
  </si>
  <si>
    <t>EXP103109</t>
  </si>
  <si>
    <t>AX 181585809</t>
  </si>
  <si>
    <t>EXP103110</t>
  </si>
  <si>
    <t>AX888002352</t>
  </si>
  <si>
    <t>EXP103111</t>
  </si>
  <si>
    <t>ax189213255</t>
  </si>
  <si>
    <t>EXP103112</t>
  </si>
  <si>
    <t>AX-852222375</t>
  </si>
  <si>
    <t>EXP103113</t>
  </si>
  <si>
    <t>EXP103114</t>
  </si>
  <si>
    <t>AX620204370</t>
  </si>
  <si>
    <t>EXP103115</t>
  </si>
  <si>
    <t>AX-713530304</t>
  </si>
  <si>
    <t>EXP103116</t>
  </si>
  <si>
    <t>AX390661988</t>
  </si>
  <si>
    <t>EXP103117</t>
  </si>
  <si>
    <t>AX 134317726</t>
  </si>
  <si>
    <t>EXP103118</t>
  </si>
  <si>
    <t>AX 574197125</t>
  </si>
  <si>
    <t>EXP103119</t>
  </si>
  <si>
    <t>AX-821776493</t>
  </si>
  <si>
    <t>EXP103120</t>
  </si>
  <si>
    <t>AX513455067</t>
  </si>
  <si>
    <t>EXP103121</t>
  </si>
  <si>
    <t>AX-846610439</t>
  </si>
  <si>
    <t>EXP103122</t>
  </si>
  <si>
    <t>ax305711937</t>
  </si>
  <si>
    <t>EXP103123</t>
  </si>
  <si>
    <t>AX792101199</t>
  </si>
  <si>
    <t>EXP103124</t>
  </si>
  <si>
    <t>AX662973391</t>
  </si>
  <si>
    <t>EXP103125</t>
  </si>
  <si>
    <t>AX 816423329</t>
  </si>
  <si>
    <t>EXP103126</t>
  </si>
  <si>
    <t>ax635155742</t>
  </si>
  <si>
    <t>EXP103127</t>
  </si>
  <si>
    <t>AX-143592180</t>
  </si>
  <si>
    <t>EXP103128</t>
  </si>
  <si>
    <t>AX732410604</t>
  </si>
  <si>
    <t>EXP103129</t>
  </si>
  <si>
    <t>AX576357328</t>
  </si>
  <si>
    <t>EXP103130</t>
  </si>
  <si>
    <t>AX709450763</t>
  </si>
  <si>
    <t>EXP103131</t>
  </si>
  <si>
    <t>AX 894707031</t>
  </si>
  <si>
    <t>EXP103132</t>
  </si>
  <si>
    <t>EXP103133</t>
  </si>
  <si>
    <t>AX 169874697</t>
  </si>
  <si>
    <t>EXP103134</t>
  </si>
  <si>
    <t>EXP103135</t>
  </si>
  <si>
    <t>AX976485996</t>
  </si>
  <si>
    <t>EXP103136</t>
  </si>
  <si>
    <t>AX-769302863</t>
  </si>
  <si>
    <t>EXP103137</t>
  </si>
  <si>
    <t>EXP103138</t>
  </si>
  <si>
    <t>ax409461045</t>
  </si>
  <si>
    <t>EXP103139</t>
  </si>
  <si>
    <t>AX-772078022</t>
  </si>
  <si>
    <t>EXP103140</t>
  </si>
  <si>
    <t>AX750517812</t>
  </si>
  <si>
    <t>EXP103141</t>
  </si>
  <si>
    <t>AX 774909701</t>
  </si>
  <si>
    <t>EXP103142</t>
  </si>
  <si>
    <t>AX-477439493</t>
  </si>
  <si>
    <t>EXP103143</t>
  </si>
  <si>
    <t>AX-941125232</t>
  </si>
  <si>
    <t>EXP103144</t>
  </si>
  <si>
    <t>AX 539115044</t>
  </si>
  <si>
    <t>EXP103145</t>
  </si>
  <si>
    <t>AX739121905</t>
  </si>
  <si>
    <t>EXP103146</t>
  </si>
  <si>
    <t>AX-483263429</t>
  </si>
  <si>
    <t>EXP103147</t>
  </si>
  <si>
    <t>AX681256051</t>
  </si>
  <si>
    <t>EXP103148</t>
  </si>
  <si>
    <t>ax407210301</t>
  </si>
  <si>
    <t>EXP103149</t>
  </si>
  <si>
    <t>EXP103150</t>
  </si>
  <si>
    <t>EXP103151</t>
  </si>
  <si>
    <t>ax408817175</t>
  </si>
  <si>
    <t>EXP103152</t>
  </si>
  <si>
    <t>AX 404990219</t>
  </si>
  <si>
    <t>EXP103153</t>
  </si>
  <si>
    <t>ax534868491</t>
  </si>
  <si>
    <t>EXP103154</t>
  </si>
  <si>
    <t>EXP103155</t>
  </si>
  <si>
    <t>ax593530870</t>
  </si>
  <si>
    <t>EXP103156</t>
  </si>
  <si>
    <t>AX 705806933</t>
  </si>
  <si>
    <t>EXP103157</t>
  </si>
  <si>
    <t>ax505628891</t>
  </si>
  <si>
    <t>EXP103158</t>
  </si>
  <si>
    <t>EXP103159</t>
  </si>
  <si>
    <t>AX876278860</t>
  </si>
  <si>
    <t>EXP103160</t>
  </si>
  <si>
    <t>AX-887244483</t>
  </si>
  <si>
    <t>EXP103161</t>
  </si>
  <si>
    <t>AX487235440</t>
  </si>
  <si>
    <t>EXP103162</t>
  </si>
  <si>
    <t>EXP103163</t>
  </si>
  <si>
    <t>AX 951253103</t>
  </si>
  <si>
    <t>EXP103164</t>
  </si>
  <si>
    <t>AX 869603147</t>
  </si>
  <si>
    <t>EXP103165</t>
  </si>
  <si>
    <t>AX218931936</t>
  </si>
  <si>
    <t>EXP103166</t>
  </si>
  <si>
    <t>ax570409764</t>
  </si>
  <si>
    <t>EXP103167</t>
  </si>
  <si>
    <t>AX 760100541</t>
  </si>
  <si>
    <t>EXP103168</t>
  </si>
  <si>
    <t>AX936925874</t>
  </si>
  <si>
    <t xml:space="preserve"> MICROSOFT*365</t>
  </si>
  <si>
    <t>EXP103169</t>
  </si>
  <si>
    <t>AX354512524</t>
  </si>
  <si>
    <t>EXP103170</t>
  </si>
  <si>
    <t>AX-609952263</t>
  </si>
  <si>
    <t>EXP103171</t>
  </si>
  <si>
    <t>EXP103172</t>
  </si>
  <si>
    <t>AX 533039838</t>
  </si>
  <si>
    <t>EXP103173</t>
  </si>
  <si>
    <t>EXP103174</t>
  </si>
  <si>
    <t>EXP103175</t>
  </si>
  <si>
    <t>AX-867563506</t>
  </si>
  <si>
    <t>EXP103176</t>
  </si>
  <si>
    <t>AX369469703</t>
  </si>
  <si>
    <t>EXP103177</t>
  </si>
  <si>
    <t>AX370250166</t>
  </si>
  <si>
    <t>EXP103178</t>
  </si>
  <si>
    <t>AX 166436769</t>
  </si>
  <si>
    <t>EXP103179</t>
  </si>
  <si>
    <t>ax717884453</t>
  </si>
  <si>
    <t>EXP103181</t>
  </si>
  <si>
    <t>AX-432992111</t>
  </si>
  <si>
    <t>EXP103182</t>
  </si>
  <si>
    <t>AX657997048</t>
  </si>
  <si>
    <t>EXP103183</t>
  </si>
  <si>
    <t>AX 642592841</t>
  </si>
  <si>
    <t>EXP103184</t>
  </si>
  <si>
    <t>ax356544204</t>
  </si>
  <si>
    <t>EXP103185</t>
  </si>
  <si>
    <t>ax610424711</t>
  </si>
  <si>
    <t>EXP103186</t>
  </si>
  <si>
    <t>AX795868369</t>
  </si>
  <si>
    <t>EXP103187</t>
  </si>
  <si>
    <t>AX-117797415</t>
  </si>
  <si>
    <t>EXP103188</t>
  </si>
  <si>
    <t>ax352709540</t>
  </si>
  <si>
    <t>EXP103189</t>
  </si>
  <si>
    <t>AX 523802959</t>
  </si>
  <si>
    <t>EXP103190</t>
  </si>
  <si>
    <t>AX-951176964</t>
  </si>
  <si>
    <t>EXP103191</t>
  </si>
  <si>
    <t>AX869138129</t>
  </si>
  <si>
    <t>EXP103192</t>
  </si>
  <si>
    <t>EXP103193</t>
  </si>
  <si>
    <t>EXP103194</t>
  </si>
  <si>
    <t>EXP103195</t>
  </si>
  <si>
    <t>AX 286073421</t>
  </si>
  <si>
    <t>EXP103196</t>
  </si>
  <si>
    <t>AX254871388</t>
  </si>
  <si>
    <t>EXP103197</t>
  </si>
  <si>
    <t>ax578455319</t>
  </si>
  <si>
    <t>EXP103198</t>
  </si>
  <si>
    <t>EXP103199</t>
  </si>
  <si>
    <t>AX 685114236</t>
  </si>
  <si>
    <t>EXP103200</t>
  </si>
  <si>
    <t>AX 524168579</t>
  </si>
  <si>
    <t>EXP103201</t>
  </si>
  <si>
    <t>AX668756093</t>
  </si>
  <si>
    <t>EXP103202</t>
  </si>
  <si>
    <t>AX731037558</t>
  </si>
  <si>
    <t>EXP103203</t>
  </si>
  <si>
    <t>AX-932662059</t>
  </si>
  <si>
    <t>EXP103204</t>
  </si>
  <si>
    <t>AX-607954418</t>
  </si>
  <si>
    <t>EXP103205</t>
  </si>
  <si>
    <t>AX321514883</t>
  </si>
  <si>
    <t>EXP103206</t>
  </si>
  <si>
    <t>AX263827068</t>
  </si>
  <si>
    <t>EXP103207</t>
  </si>
  <si>
    <t>AX179339442</t>
  </si>
  <si>
    <t>EXP103208</t>
  </si>
  <si>
    <t>AX 428522741</t>
  </si>
  <si>
    <t>EXP103209</t>
  </si>
  <si>
    <t>AX781572802</t>
  </si>
  <si>
    <t>EXP103210</t>
  </si>
  <si>
    <t>AX177369568</t>
  </si>
  <si>
    <t>EXP103211</t>
  </si>
  <si>
    <t>ax889519667</t>
  </si>
  <si>
    <t>EXP103212</t>
  </si>
  <si>
    <t>EXP103213</t>
  </si>
  <si>
    <t>AX475086447</t>
  </si>
  <si>
    <t>EXP103214</t>
  </si>
  <si>
    <t>EXP103215</t>
  </si>
  <si>
    <t>EXP103216</t>
  </si>
  <si>
    <t>EXP103217</t>
  </si>
  <si>
    <t>EXP103218</t>
  </si>
  <si>
    <t>EXP103219</t>
  </si>
  <si>
    <t>ax147415175</t>
  </si>
  <si>
    <t>EXP103220</t>
  </si>
  <si>
    <t>AX849150206</t>
  </si>
  <si>
    <t>EXP103221</t>
  </si>
  <si>
    <t>AX298240000</t>
  </si>
  <si>
    <t>EXP103222</t>
  </si>
  <si>
    <t>EXP103224</t>
  </si>
  <si>
    <t>AX-660631324</t>
  </si>
  <si>
    <t>EXP103225</t>
  </si>
  <si>
    <t>ax828450486</t>
  </si>
  <si>
    <t>EXP103226</t>
  </si>
  <si>
    <t>ax312731408</t>
  </si>
  <si>
    <t>EXP103227</t>
  </si>
  <si>
    <t>EXP103228</t>
  </si>
  <si>
    <t>AX-227384110</t>
  </si>
  <si>
    <t>EXP103229</t>
  </si>
  <si>
    <t>AX485783930</t>
  </si>
  <si>
    <t>EXP103230</t>
  </si>
  <si>
    <t>EXP103231</t>
  </si>
  <si>
    <t>AX-818446086</t>
  </si>
  <si>
    <t>EXP103232</t>
  </si>
  <si>
    <t>AX-455887995</t>
  </si>
  <si>
    <t>EXP103233</t>
  </si>
  <si>
    <t>AX-110996169</t>
  </si>
  <si>
    <t>EXP103234</t>
  </si>
  <si>
    <t>AX 654878682</t>
  </si>
  <si>
    <t>EXP103235</t>
  </si>
  <si>
    <t>EXP103236</t>
  </si>
  <si>
    <t>AX-389411432</t>
  </si>
  <si>
    <t>EXP103237</t>
  </si>
  <si>
    <t>AX526310101</t>
  </si>
  <si>
    <t>EXP103238</t>
  </si>
  <si>
    <t>AX-904917040</t>
  </si>
  <si>
    <t>EXP103239</t>
  </si>
  <si>
    <t>EXP103240</t>
  </si>
  <si>
    <t>EXP103241</t>
  </si>
  <si>
    <t>AX-898291422</t>
  </si>
  <si>
    <t>EXP103242</t>
  </si>
  <si>
    <t>AX 915946105</t>
  </si>
  <si>
    <t>EXP103243</t>
  </si>
  <si>
    <t>AX-322918058</t>
  </si>
  <si>
    <t>EXP103244</t>
  </si>
  <si>
    <t>EXP103245</t>
  </si>
  <si>
    <t>AX724534151</t>
  </si>
  <si>
    <t>EXP103246</t>
  </si>
  <si>
    <t>AX886148965</t>
  </si>
  <si>
    <t>EXP103247</t>
  </si>
  <si>
    <t>EXP103248</t>
  </si>
  <si>
    <t>EXP103249</t>
  </si>
  <si>
    <t>AX231953746</t>
  </si>
  <si>
    <t>EXP103250</t>
  </si>
  <si>
    <t>EXP103251</t>
  </si>
  <si>
    <t>AX-745081630</t>
  </si>
  <si>
    <t>EXP103252</t>
  </si>
  <si>
    <t>EXP103253</t>
  </si>
  <si>
    <t>AX-889457388</t>
  </si>
  <si>
    <t>EXP103254</t>
  </si>
  <si>
    <t>AX-902383177</t>
  </si>
  <si>
    <t xml:space="preserve">  entertainment </t>
  </si>
  <si>
    <t>EXP103255</t>
  </si>
  <si>
    <t>AX246988786</t>
  </si>
  <si>
    <t>EXP103256</t>
  </si>
  <si>
    <t>AX495246170</t>
  </si>
  <si>
    <t>EXP103257</t>
  </si>
  <si>
    <t>ax379000453</t>
  </si>
  <si>
    <t>EXP103258</t>
  </si>
  <si>
    <t>ax512997451</t>
  </si>
  <si>
    <t>EXP103259</t>
  </si>
  <si>
    <t>AX826860418</t>
  </si>
  <si>
    <t>EXP103260</t>
  </si>
  <si>
    <t>AX107921703</t>
  </si>
  <si>
    <t>EXP103261</t>
  </si>
  <si>
    <t>AX286859401</t>
  </si>
  <si>
    <t>EXP103262</t>
  </si>
  <si>
    <t>AX243848085</t>
  </si>
  <si>
    <t>EXP103263</t>
  </si>
  <si>
    <t>AX447241280</t>
  </si>
  <si>
    <t>EXP103264</t>
  </si>
  <si>
    <t>AX-102242356</t>
  </si>
  <si>
    <t>EXP103265</t>
  </si>
  <si>
    <t>AX 663044894</t>
  </si>
  <si>
    <t>EXP103266</t>
  </si>
  <si>
    <t>EXP103267</t>
  </si>
  <si>
    <t>AX 612138617</t>
  </si>
  <si>
    <t>EXP103268</t>
  </si>
  <si>
    <t>ax904230949</t>
  </si>
  <si>
    <t>EXP103269</t>
  </si>
  <si>
    <t>AX537424533</t>
  </si>
  <si>
    <t>EXP103270</t>
  </si>
  <si>
    <t>AX812787187</t>
  </si>
  <si>
    <t>EXP103271</t>
  </si>
  <si>
    <t>AX-438178835</t>
  </si>
  <si>
    <t>EXP103272</t>
  </si>
  <si>
    <t>AX564302292</t>
  </si>
  <si>
    <t>EXP103273</t>
  </si>
  <si>
    <t>EXP103274</t>
  </si>
  <si>
    <t>EXP103275</t>
  </si>
  <si>
    <t>AX-476244423</t>
  </si>
  <si>
    <t>EXP103276</t>
  </si>
  <si>
    <t>AX619596605</t>
  </si>
  <si>
    <t>EXP103277</t>
  </si>
  <si>
    <t>AX768753775</t>
  </si>
  <si>
    <t>EXP103278</t>
  </si>
  <si>
    <t>AX 729840349</t>
  </si>
  <si>
    <t>EXP103279</t>
  </si>
  <si>
    <t>AX805122151</t>
  </si>
  <si>
    <t>EXP103280</t>
  </si>
  <si>
    <t>AX738601412</t>
  </si>
  <si>
    <t>EXP103281</t>
  </si>
  <si>
    <t>AX611255708</t>
  </si>
  <si>
    <t>EXP103282</t>
  </si>
  <si>
    <t>EXP103283</t>
  </si>
  <si>
    <t>AX 387600667</t>
  </si>
  <si>
    <t>EXP103284</t>
  </si>
  <si>
    <t>EXP103285</t>
  </si>
  <si>
    <t>AX-430675186</t>
  </si>
  <si>
    <t>EXP103286</t>
  </si>
  <si>
    <t>EXP103287</t>
  </si>
  <si>
    <t>AX449076827</t>
  </si>
  <si>
    <t>EXP103288</t>
  </si>
  <si>
    <t>AX323105445</t>
  </si>
  <si>
    <t>EXP103289</t>
  </si>
  <si>
    <t>ax937154330</t>
  </si>
  <si>
    <t>EXP103290</t>
  </si>
  <si>
    <t>ax650279478</t>
  </si>
  <si>
    <t>EXP103291</t>
  </si>
  <si>
    <t>ax984367821</t>
  </si>
  <si>
    <t>EXP103292</t>
  </si>
  <si>
    <t>EXP103293</t>
  </si>
  <si>
    <t>AX572447437</t>
  </si>
  <si>
    <t>EXP103294</t>
  </si>
  <si>
    <t>AX-202167043</t>
  </si>
  <si>
    <t>EXP103295</t>
  </si>
  <si>
    <t>EXP103296</t>
  </si>
  <si>
    <t>AX-386053747</t>
  </si>
  <si>
    <t>EXP103297</t>
  </si>
  <si>
    <t>EXP103298</t>
  </si>
  <si>
    <t>EXP103299</t>
  </si>
  <si>
    <t>EXP103300</t>
  </si>
  <si>
    <t>ax343337806</t>
  </si>
  <si>
    <t>EXP103301</t>
  </si>
  <si>
    <t>AX553602945</t>
  </si>
  <si>
    <t>EXP103302</t>
  </si>
  <si>
    <t>ax307302695</t>
  </si>
  <si>
    <t>EXP103303</t>
  </si>
  <si>
    <t>AX996644591</t>
  </si>
  <si>
    <t>EXP103304</t>
  </si>
  <si>
    <t>AX-532247983</t>
  </si>
  <si>
    <t>EXP103305</t>
  </si>
  <si>
    <t>AX199051834</t>
  </si>
  <si>
    <t>EXP103306</t>
  </si>
  <si>
    <t>ax298648119</t>
  </si>
  <si>
    <t>EXP103307</t>
  </si>
  <si>
    <t>AX823127039</t>
  </si>
  <si>
    <t>EXP103308</t>
  </si>
  <si>
    <t>EXP103310</t>
  </si>
  <si>
    <t>ax577918048</t>
  </si>
  <si>
    <t>EXP103311</t>
  </si>
  <si>
    <t>AX805627252</t>
  </si>
  <si>
    <t>EXP103312</t>
  </si>
  <si>
    <t>AX299629511</t>
  </si>
  <si>
    <t>EXP103313</t>
  </si>
  <si>
    <t>ax732281763</t>
  </si>
  <si>
    <t>EXP103314</t>
  </si>
  <si>
    <t>AX458008300</t>
  </si>
  <si>
    <t>EXP103315</t>
  </si>
  <si>
    <t>EXP103317</t>
  </si>
  <si>
    <t>EXP103318</t>
  </si>
  <si>
    <t>EXP103319</t>
  </si>
  <si>
    <t>EXP103320</t>
  </si>
  <si>
    <t>AX597633329</t>
  </si>
  <si>
    <t>EXP103321</t>
  </si>
  <si>
    <t>EXP103322</t>
  </si>
  <si>
    <t>AX593742454</t>
  </si>
  <si>
    <t>EXP103323</t>
  </si>
  <si>
    <t>AX607469819</t>
  </si>
  <si>
    <t>EXP103324</t>
  </si>
  <si>
    <t>AX377139048</t>
  </si>
  <si>
    <t>EXP103325</t>
  </si>
  <si>
    <t>AX 321757211</t>
  </si>
  <si>
    <t>EXP103326</t>
  </si>
  <si>
    <t>ax296349197</t>
  </si>
  <si>
    <t>EXP103327</t>
  </si>
  <si>
    <t>AX752587454</t>
  </si>
  <si>
    <t>EXP103328</t>
  </si>
  <si>
    <t>AX787874624</t>
  </si>
  <si>
    <t>EXP103329</t>
  </si>
  <si>
    <t>EXP103330</t>
  </si>
  <si>
    <t>AX-251871587</t>
  </si>
  <si>
    <t>EXP103331</t>
  </si>
  <si>
    <t>EXP103332</t>
  </si>
  <si>
    <t>AX-404430067</t>
  </si>
  <si>
    <t>EXP103333</t>
  </si>
  <si>
    <t>AX279241181</t>
  </si>
  <si>
    <t>EXP103334</t>
  </si>
  <si>
    <t>EXP103335</t>
  </si>
  <si>
    <t>ax853693844</t>
  </si>
  <si>
    <t>EXP103336</t>
  </si>
  <si>
    <t>AX553894375</t>
  </si>
  <si>
    <t>EXP103337</t>
  </si>
  <si>
    <t>AX746102754</t>
  </si>
  <si>
    <t>EXP103339</t>
  </si>
  <si>
    <t>AX 427085404</t>
  </si>
  <si>
    <t>EXP103340</t>
  </si>
  <si>
    <t>AX-479822918</t>
  </si>
  <si>
    <t>EXP103341</t>
  </si>
  <si>
    <t>AX-304899544</t>
  </si>
  <si>
    <t>EXP103342</t>
  </si>
  <si>
    <t>AX 758804314</t>
  </si>
  <si>
    <t>EXP103343</t>
  </si>
  <si>
    <t>AX536820025</t>
  </si>
  <si>
    <t>EXP103344</t>
  </si>
  <si>
    <t>AX189828274</t>
  </si>
  <si>
    <t>EXP103345</t>
  </si>
  <si>
    <t>AX593508118</t>
  </si>
  <si>
    <t>EXP103346</t>
  </si>
  <si>
    <t>AX388861103</t>
  </si>
  <si>
    <t>EXP103347</t>
  </si>
  <si>
    <t>AX-634503759</t>
  </si>
  <si>
    <t>EXP103348</t>
  </si>
  <si>
    <t>AX930417892</t>
  </si>
  <si>
    <t>EXP103349</t>
  </si>
  <si>
    <t>AX225298322</t>
  </si>
  <si>
    <t>EXP103350</t>
  </si>
  <si>
    <t>ax717506672</t>
  </si>
  <si>
    <t>EXP103351</t>
  </si>
  <si>
    <t>AX384152718</t>
  </si>
  <si>
    <t>EXP103352</t>
  </si>
  <si>
    <t>AX-993268082</t>
  </si>
  <si>
    <t>EXP103353</t>
  </si>
  <si>
    <t>AX-715204977</t>
  </si>
  <si>
    <t>EXP103354</t>
  </si>
  <si>
    <t>EXP103355</t>
  </si>
  <si>
    <t>AX615285791</t>
  </si>
  <si>
    <t>EXP103356</t>
  </si>
  <si>
    <t>ax840108341</t>
  </si>
  <si>
    <t>EXP103357</t>
  </si>
  <si>
    <t>EXP103358</t>
  </si>
  <si>
    <t>AX 862136037</t>
  </si>
  <si>
    <t>EXP103359</t>
  </si>
  <si>
    <t>ax824704962</t>
  </si>
  <si>
    <t>EXP103360</t>
  </si>
  <si>
    <t>AX521239220</t>
  </si>
  <si>
    <t>EXP103361</t>
  </si>
  <si>
    <t>AX-340320154</t>
  </si>
  <si>
    <t>EXP103362</t>
  </si>
  <si>
    <t>EXP103363</t>
  </si>
  <si>
    <t>AX-352418089</t>
  </si>
  <si>
    <t>EXP103364</t>
  </si>
  <si>
    <t>AX436822952</t>
  </si>
  <si>
    <t>EXP103365</t>
  </si>
  <si>
    <t>ax346065252</t>
  </si>
  <si>
    <t>EXP103366</t>
  </si>
  <si>
    <t>EXP103367</t>
  </si>
  <si>
    <t>AX-804812690</t>
  </si>
  <si>
    <t>EXP103368</t>
  </si>
  <si>
    <t>AX908352239</t>
  </si>
  <si>
    <t>EXP103369</t>
  </si>
  <si>
    <t>EXP103370</t>
  </si>
  <si>
    <t>AX244796835</t>
  </si>
  <si>
    <t>EXP103371</t>
  </si>
  <si>
    <t>AX425134903</t>
  </si>
  <si>
    <t>EXP103372</t>
  </si>
  <si>
    <t>AX-294966877</t>
  </si>
  <si>
    <t>EXP103373</t>
  </si>
  <si>
    <t>AX884898602</t>
  </si>
  <si>
    <t>EXP103374</t>
  </si>
  <si>
    <t>AX247695361</t>
  </si>
  <si>
    <t>EXP103375</t>
  </si>
  <si>
    <t>ax767940298</t>
  </si>
  <si>
    <t>EXP103376</t>
  </si>
  <si>
    <t>ax402620156</t>
  </si>
  <si>
    <t>EXP103377</t>
  </si>
  <si>
    <t>AX316382847</t>
  </si>
  <si>
    <t>EXP103378</t>
  </si>
  <si>
    <t>AX487639201</t>
  </si>
  <si>
    <t>EXP103379</t>
  </si>
  <si>
    <t>EXP103380</t>
  </si>
  <si>
    <t>AX541347026</t>
  </si>
  <si>
    <t>EXP103381</t>
  </si>
  <si>
    <t>AX244810206</t>
  </si>
  <si>
    <t>EXP103382</t>
  </si>
  <si>
    <t>AX940343259</t>
  </si>
  <si>
    <t>EXP103383</t>
  </si>
  <si>
    <t>ax207850305</t>
  </si>
  <si>
    <t>EXP103384</t>
  </si>
  <si>
    <t>AX-910593107</t>
  </si>
  <si>
    <t>EXP103385</t>
  </si>
  <si>
    <t>AX901903973</t>
  </si>
  <si>
    <t>EXP103386</t>
  </si>
  <si>
    <t>AX649980694</t>
  </si>
  <si>
    <t>EXP103387</t>
  </si>
  <si>
    <t>AX-616268625</t>
  </si>
  <si>
    <t>EXP103388</t>
  </si>
  <si>
    <t>AX 962008910</t>
  </si>
  <si>
    <t>EXP103389</t>
  </si>
  <si>
    <t>AX-146769267</t>
  </si>
  <si>
    <t>EXP103390</t>
  </si>
  <si>
    <t>AX392115008</t>
  </si>
  <si>
    <t>EXP103391</t>
  </si>
  <si>
    <t>EXP103392</t>
  </si>
  <si>
    <t>AX460914362</t>
  </si>
  <si>
    <t>EXP103393</t>
  </si>
  <si>
    <t>ax380316544</t>
  </si>
  <si>
    <t>EXP103394</t>
  </si>
  <si>
    <t>EXP103395</t>
  </si>
  <si>
    <t>AX 608005501</t>
  </si>
  <si>
    <t>EXP103396</t>
  </si>
  <si>
    <t>AX397495687</t>
  </si>
  <si>
    <t>EXP103397</t>
  </si>
  <si>
    <t>AX403658064</t>
  </si>
  <si>
    <t>EXP103398</t>
  </si>
  <si>
    <t>ax991860202</t>
  </si>
  <si>
    <t>EXP103399</t>
  </si>
  <si>
    <t>AX752339598</t>
  </si>
  <si>
    <t>EXP103400</t>
  </si>
  <si>
    <t>AX-639226507</t>
  </si>
  <si>
    <t>EXP103401</t>
  </si>
  <si>
    <t>AX296558308</t>
  </si>
  <si>
    <t>EXP103402</t>
  </si>
  <si>
    <t>ax128861605</t>
  </si>
  <si>
    <t>EXP103403</t>
  </si>
  <si>
    <t>AX-372417111</t>
  </si>
  <si>
    <t>EXP103404</t>
  </si>
  <si>
    <t>AX-452164961</t>
  </si>
  <si>
    <t>EXP103405</t>
  </si>
  <si>
    <t>EXP103406</t>
  </si>
  <si>
    <t>AX569390311</t>
  </si>
  <si>
    <t>EXP103407</t>
  </si>
  <si>
    <t>AX702819737</t>
  </si>
  <si>
    <t>EXP103408</t>
  </si>
  <si>
    <t>AX172052951</t>
  </si>
  <si>
    <t>EXP103409</t>
  </si>
  <si>
    <t>ax367555563</t>
  </si>
  <si>
    <t>EXP103411</t>
  </si>
  <si>
    <t>ax474287185</t>
  </si>
  <si>
    <t>EXP103412</t>
  </si>
  <si>
    <t>AX955095017</t>
  </si>
  <si>
    <t>EXP103413</t>
  </si>
  <si>
    <t>AX105044027</t>
  </si>
  <si>
    <t>EXP103414</t>
  </si>
  <si>
    <t>AX374884917</t>
  </si>
  <si>
    <t>EXP103415</t>
  </si>
  <si>
    <t>EXP103416</t>
  </si>
  <si>
    <t>AX874293519</t>
  </si>
  <si>
    <t>EXP103417</t>
  </si>
  <si>
    <t>AX183045671</t>
  </si>
  <si>
    <t>EXP103418</t>
  </si>
  <si>
    <t>EXP103419</t>
  </si>
  <si>
    <t>AX 659551935</t>
  </si>
  <si>
    <t>EXP103420</t>
  </si>
  <si>
    <t>AX403854953</t>
  </si>
  <si>
    <t>EXP103421</t>
  </si>
  <si>
    <t>AX524247971</t>
  </si>
  <si>
    <t>EXP103422</t>
  </si>
  <si>
    <t>ax729337494</t>
  </si>
  <si>
    <t>EXP103423</t>
  </si>
  <si>
    <t>ax261471462</t>
  </si>
  <si>
    <t>EXP103424</t>
  </si>
  <si>
    <t>AX 207177002</t>
  </si>
  <si>
    <t>EXP103425</t>
  </si>
  <si>
    <t>AX907281913</t>
  </si>
  <si>
    <t>EXP103426</t>
  </si>
  <si>
    <t>EXP103427</t>
  </si>
  <si>
    <t>ax752843323</t>
  </si>
  <si>
    <t>EXP103428</t>
  </si>
  <si>
    <t>AX797621018</t>
  </si>
  <si>
    <t>EXP103429</t>
  </si>
  <si>
    <t>AX 323597540</t>
  </si>
  <si>
    <t>EXP103430</t>
  </si>
  <si>
    <t>AX 637188687</t>
  </si>
  <si>
    <t>EXP103431</t>
  </si>
  <si>
    <t>AX619782002</t>
  </si>
  <si>
    <t>EXP103432</t>
  </si>
  <si>
    <t>AX 296374117</t>
  </si>
  <si>
    <t>EXP103433</t>
  </si>
  <si>
    <t>AX444805612</t>
  </si>
  <si>
    <t>EXP103434</t>
  </si>
  <si>
    <t>AX818260697</t>
  </si>
  <si>
    <t>EXP103435</t>
  </si>
  <si>
    <t>ax277846615</t>
  </si>
  <si>
    <t>EXP103436</t>
  </si>
  <si>
    <t>EXP103437</t>
  </si>
  <si>
    <t>AX629236281</t>
  </si>
  <si>
    <t>EXP103438</t>
  </si>
  <si>
    <t>AX143228936</t>
  </si>
  <si>
    <t>EXP103439</t>
  </si>
  <si>
    <t>AX905843065</t>
  </si>
  <si>
    <t>EXP103440</t>
  </si>
  <si>
    <t>AX-517718034</t>
  </si>
  <si>
    <t>EXP103441</t>
  </si>
  <si>
    <t>ax540651494</t>
  </si>
  <si>
    <t>EXP103443</t>
  </si>
  <si>
    <t>EXP103444</t>
  </si>
  <si>
    <t>AX815843248</t>
  </si>
  <si>
    <t>EXP103445</t>
  </si>
  <si>
    <t>EXP103446</t>
  </si>
  <si>
    <t>AX 157900623</t>
  </si>
  <si>
    <t>EXP103447</t>
  </si>
  <si>
    <t>AX840459526</t>
  </si>
  <si>
    <t>EXP103448</t>
  </si>
  <si>
    <t>AX105564459</t>
  </si>
  <si>
    <t>EXP103449</t>
  </si>
  <si>
    <t>AX932183101</t>
  </si>
  <si>
    <t>EXP103450</t>
  </si>
  <si>
    <t>AX804867482</t>
  </si>
  <si>
    <t>EXP103451</t>
  </si>
  <si>
    <t>AX-540073382</t>
  </si>
  <si>
    <t>EXP103452</t>
  </si>
  <si>
    <t>AX412307850</t>
  </si>
  <si>
    <t>EXP103453</t>
  </si>
  <si>
    <t>ax353950891</t>
  </si>
  <si>
    <t>EXP103454</t>
  </si>
  <si>
    <t>AX674389466</t>
  </si>
  <si>
    <t>EXP103455</t>
  </si>
  <si>
    <t>AX-960409987</t>
  </si>
  <si>
    <t>EXP103456</t>
  </si>
  <si>
    <t>EXP103457</t>
  </si>
  <si>
    <t>AX888906312</t>
  </si>
  <si>
    <t>EXP103458</t>
  </si>
  <si>
    <t>AX737589709</t>
  </si>
  <si>
    <t>EXP103459</t>
  </si>
  <si>
    <t>AX343126792</t>
  </si>
  <si>
    <t>EXP103460</t>
  </si>
  <si>
    <t>AX498475880</t>
  </si>
  <si>
    <t>EXP103461</t>
  </si>
  <si>
    <t>AX847962241</t>
  </si>
  <si>
    <t>EXP103462</t>
  </si>
  <si>
    <t>AX 931011538</t>
  </si>
  <si>
    <t>EXP103463</t>
  </si>
  <si>
    <t>EXP103464</t>
  </si>
  <si>
    <t>AX 476950791</t>
  </si>
  <si>
    <t>EXP103465</t>
  </si>
  <si>
    <t>ax331733256</t>
  </si>
  <si>
    <t>EXP103466</t>
  </si>
  <si>
    <t>EXP103467</t>
  </si>
  <si>
    <t>AX 872236175</t>
  </si>
  <si>
    <t>EXP103468</t>
  </si>
  <si>
    <t>EXP103469</t>
  </si>
  <si>
    <t>ax347675382</t>
  </si>
  <si>
    <t>EXP103470</t>
  </si>
  <si>
    <t>AX553674746</t>
  </si>
  <si>
    <t>EXP103471</t>
  </si>
  <si>
    <t>AX438996501</t>
  </si>
  <si>
    <t>EXP103472</t>
  </si>
  <si>
    <t>AX-143575939</t>
  </si>
  <si>
    <t>EXP103473</t>
  </si>
  <si>
    <t>AX135983925</t>
  </si>
  <si>
    <t>EXP103474</t>
  </si>
  <si>
    <t>ax102253963</t>
  </si>
  <si>
    <t>EXP103475</t>
  </si>
  <si>
    <t>ax243226213</t>
  </si>
  <si>
    <t>EXP103476</t>
  </si>
  <si>
    <t>AX543947384</t>
  </si>
  <si>
    <t>EXP103477</t>
  </si>
  <si>
    <t>AX774080168</t>
  </si>
  <si>
    <t>EXP103478</t>
  </si>
  <si>
    <t>AX539433033</t>
  </si>
  <si>
    <t>EXP103479</t>
  </si>
  <si>
    <t>AX-917899762</t>
  </si>
  <si>
    <t>EXP103480</t>
  </si>
  <si>
    <t>EXP103481</t>
  </si>
  <si>
    <t>ax909974605</t>
  </si>
  <si>
    <t>EXP103482</t>
  </si>
  <si>
    <t>ax752812389</t>
  </si>
  <si>
    <t>EXP103483</t>
  </si>
  <si>
    <t>AX-425673884</t>
  </si>
  <si>
    <t>EXP103484</t>
  </si>
  <si>
    <t>AX190379782</t>
  </si>
  <si>
    <t>EXP103485</t>
  </si>
  <si>
    <t>AX865962742</t>
  </si>
  <si>
    <t>EXP103486</t>
  </si>
  <si>
    <t>AX-406852019</t>
  </si>
  <si>
    <t>EXP103487</t>
  </si>
  <si>
    <t>ax368502684</t>
  </si>
  <si>
    <t>EXP103488</t>
  </si>
  <si>
    <t>AX302510356</t>
  </si>
  <si>
    <t>EXP103489</t>
  </si>
  <si>
    <t>ax668619385</t>
  </si>
  <si>
    <t>EXP103490</t>
  </si>
  <si>
    <t>AX 689898999</t>
  </si>
  <si>
    <t>EXP103491</t>
  </si>
  <si>
    <t>AX896257163</t>
  </si>
  <si>
    <t>EXP103492</t>
  </si>
  <si>
    <t>EXP103493</t>
  </si>
  <si>
    <t>AX359306001</t>
  </si>
  <si>
    <t>EXP103494</t>
  </si>
  <si>
    <t>EXP103495</t>
  </si>
  <si>
    <t>AX-164244372</t>
  </si>
  <si>
    <t>EXP103496</t>
  </si>
  <si>
    <t>AX 197300155</t>
  </si>
  <si>
    <t>EXP103497</t>
  </si>
  <si>
    <t>AX-289672893</t>
  </si>
  <si>
    <t>EXP103498</t>
  </si>
  <si>
    <t>AX321881517</t>
  </si>
  <si>
    <t>EXP103499</t>
  </si>
  <si>
    <t>EXP103500</t>
  </si>
  <si>
    <t>AX 394753935</t>
  </si>
  <si>
    <t>EXP103501</t>
  </si>
  <si>
    <t>AX 540737353</t>
  </si>
  <si>
    <t>EXP103502</t>
  </si>
  <si>
    <t>AX362665981</t>
  </si>
  <si>
    <t>EXP103503</t>
  </si>
  <si>
    <t>AX958058179</t>
  </si>
  <si>
    <t>EXP103504</t>
  </si>
  <si>
    <t>AX473006523</t>
  </si>
  <si>
    <t>EXP103505</t>
  </si>
  <si>
    <t>EXP103506</t>
  </si>
  <si>
    <t>AX-363926465</t>
  </si>
  <si>
    <t>EXP103507</t>
  </si>
  <si>
    <t>AX-388298322</t>
  </si>
  <si>
    <t>EXP103508</t>
  </si>
  <si>
    <t>EXP103509</t>
  </si>
  <si>
    <t>AX232296849</t>
  </si>
  <si>
    <t>EXP103510</t>
  </si>
  <si>
    <t>AX 862023476</t>
  </si>
  <si>
    <t>EXP103512</t>
  </si>
  <si>
    <t>ax137618187</t>
  </si>
  <si>
    <t>EXP103513</t>
  </si>
  <si>
    <t>ax482076879</t>
  </si>
  <si>
    <t>EXP103514</t>
  </si>
  <si>
    <t>EXP103515</t>
  </si>
  <si>
    <t>AX744794005</t>
  </si>
  <si>
    <t>EXP103516</t>
  </si>
  <si>
    <t>AX178011828</t>
  </si>
  <si>
    <t>EXP103517</t>
  </si>
  <si>
    <t>AX610210880</t>
  </si>
  <si>
    <t>EXP103518</t>
  </si>
  <si>
    <t>EXP103519</t>
  </si>
  <si>
    <t>ax367943107</t>
  </si>
  <si>
    <t>EXP103520</t>
  </si>
  <si>
    <t>AX905246344</t>
  </si>
  <si>
    <t>EXP103521</t>
  </si>
  <si>
    <t>AX-332218714</t>
  </si>
  <si>
    <t>EXP103522</t>
  </si>
  <si>
    <t>EXP103523</t>
  </si>
  <si>
    <t>AX551013173</t>
  </si>
  <si>
    <t>EXP103524</t>
  </si>
  <si>
    <t>EXP103525</t>
  </si>
  <si>
    <t>AX 331858234</t>
  </si>
  <si>
    <t>EXP103526</t>
  </si>
  <si>
    <t>AX101641432</t>
  </si>
  <si>
    <t>EXP103527</t>
  </si>
  <si>
    <t>EXP103528</t>
  </si>
  <si>
    <t>AX469240625</t>
  </si>
  <si>
    <t>EXP103529</t>
  </si>
  <si>
    <t>AX718893502</t>
  </si>
  <si>
    <t>EXP103530</t>
  </si>
  <si>
    <t>AX445346393</t>
  </si>
  <si>
    <t>EXP103531</t>
  </si>
  <si>
    <t>AX122223229</t>
  </si>
  <si>
    <t>EXP103532</t>
  </si>
  <si>
    <t>AX274570060</t>
  </si>
  <si>
    <t>EXP103533</t>
  </si>
  <si>
    <t>AX348097075</t>
  </si>
  <si>
    <t>EXP103534</t>
  </si>
  <si>
    <t>AX134080155</t>
  </si>
  <si>
    <t>EXP103535</t>
  </si>
  <si>
    <t>AX 213645712</t>
  </si>
  <si>
    <t>EXP103536</t>
  </si>
  <si>
    <t>ax382967298</t>
  </si>
  <si>
    <t>EXP103537</t>
  </si>
  <si>
    <t>AX994358019</t>
  </si>
  <si>
    <t>EXP103538</t>
  </si>
  <si>
    <t>EXP103539</t>
  </si>
  <si>
    <t>AX462938253</t>
  </si>
  <si>
    <t>EXP103540</t>
  </si>
  <si>
    <t>AX-305982454</t>
  </si>
  <si>
    <t>EXP103541</t>
  </si>
  <si>
    <t>AX372141054</t>
  </si>
  <si>
    <t>EXP103542</t>
  </si>
  <si>
    <t>AX674766050</t>
  </si>
  <si>
    <t>EXP103543</t>
  </si>
  <si>
    <t>AX650029145</t>
  </si>
  <si>
    <t>EXP103544</t>
  </si>
  <si>
    <t>ax459465226</t>
  </si>
  <si>
    <t>EXP103545</t>
  </si>
  <si>
    <t>ax774377038</t>
  </si>
  <si>
    <t>EXP103546</t>
  </si>
  <si>
    <t>EXP103547</t>
  </si>
  <si>
    <t>AX388999929</t>
  </si>
  <si>
    <t>EXP103548</t>
  </si>
  <si>
    <t>AX937498923</t>
  </si>
  <si>
    <t>EXP103549</t>
  </si>
  <si>
    <t>EXP103550</t>
  </si>
  <si>
    <t>AX383860451</t>
  </si>
  <si>
    <t>EXP103551</t>
  </si>
  <si>
    <t>AX836338876</t>
  </si>
  <si>
    <t>EXP103552</t>
  </si>
  <si>
    <t>EXP103553</t>
  </si>
  <si>
    <t>ax630244521</t>
  </si>
  <si>
    <t>EXP103554</t>
  </si>
  <si>
    <t>AX912617934</t>
  </si>
  <si>
    <t>EXP103555</t>
  </si>
  <si>
    <t>AX484357257</t>
  </si>
  <si>
    <t>EXP103556</t>
  </si>
  <si>
    <t>AX 837893450</t>
  </si>
  <si>
    <t xml:space="preserve">  travel </t>
  </si>
  <si>
    <t>EXP103557</t>
  </si>
  <si>
    <t>EXP103558</t>
  </si>
  <si>
    <t>AX-843953797</t>
  </si>
  <si>
    <t>EXP103559</t>
  </si>
  <si>
    <t>EXP103560</t>
  </si>
  <si>
    <t>EXP103561</t>
  </si>
  <si>
    <t>EXP103562</t>
  </si>
  <si>
    <t>EXP103563</t>
  </si>
  <si>
    <t>AX925767904</t>
  </si>
  <si>
    <t xml:space="preserve">  TRANSPORTATION </t>
  </si>
  <si>
    <t>EXP103564</t>
  </si>
  <si>
    <t>AX 488947277</t>
  </si>
  <si>
    <t>EXP103565</t>
  </si>
  <si>
    <t>ax702491700</t>
  </si>
  <si>
    <t>EXP103566</t>
  </si>
  <si>
    <t>AX129002973</t>
  </si>
  <si>
    <t>EXP103567</t>
  </si>
  <si>
    <t>AX 720830932</t>
  </si>
  <si>
    <t>EXP103568</t>
  </si>
  <si>
    <t>ax682963872</t>
  </si>
  <si>
    <t>EXP103569</t>
  </si>
  <si>
    <t>EXP103570</t>
  </si>
  <si>
    <t>ax585843396</t>
  </si>
  <si>
    <t>EXP103571</t>
  </si>
  <si>
    <t>AX 251194988</t>
  </si>
  <si>
    <t>EXP103572</t>
  </si>
  <si>
    <t>AX834337842</t>
  </si>
  <si>
    <t>EXP103573</t>
  </si>
  <si>
    <t>EXP103574</t>
  </si>
  <si>
    <t>AX-511020825</t>
  </si>
  <si>
    <t>EXP103575</t>
  </si>
  <si>
    <t>ax534049649</t>
  </si>
  <si>
    <t>EXP103576</t>
  </si>
  <si>
    <t>EXP103577</t>
  </si>
  <si>
    <t>EXP103578</t>
  </si>
  <si>
    <t>AX-282541274</t>
  </si>
  <si>
    <t>EXP103579</t>
  </si>
  <si>
    <t>AX 735177676</t>
  </si>
  <si>
    <t>EXP103580</t>
  </si>
  <si>
    <t>AX264374737</t>
  </si>
  <si>
    <t>EXP103581</t>
  </si>
  <si>
    <t>AX220371268</t>
  </si>
  <si>
    <t>EXP103582</t>
  </si>
  <si>
    <t>EXP103583</t>
  </si>
  <si>
    <t>AX826334001</t>
  </si>
  <si>
    <t>EXP103584</t>
  </si>
  <si>
    <t>AX-197110268</t>
  </si>
  <si>
    <t>EXP103585</t>
  </si>
  <si>
    <t>AX713704783</t>
  </si>
  <si>
    <t>EXP103586</t>
  </si>
  <si>
    <t>AX 364426435</t>
  </si>
  <si>
    <t>EXP103587</t>
  </si>
  <si>
    <t>AX421729209</t>
  </si>
  <si>
    <t>EXP103588</t>
  </si>
  <si>
    <t>ax684884643</t>
  </si>
  <si>
    <t>EXP103589</t>
  </si>
  <si>
    <t>ax674361578</t>
  </si>
  <si>
    <t>EXP103590</t>
  </si>
  <si>
    <t>ax111433316</t>
  </si>
  <si>
    <t>EXP103591</t>
  </si>
  <si>
    <t>AX436873351</t>
  </si>
  <si>
    <t>EXP103592</t>
  </si>
  <si>
    <t>EXP103593</t>
  </si>
  <si>
    <t>AX937780699</t>
  </si>
  <si>
    <t>EXP103594</t>
  </si>
  <si>
    <t>AX 576926418</t>
  </si>
  <si>
    <t>EXP103595</t>
  </si>
  <si>
    <t>AX548312341</t>
  </si>
  <si>
    <t>EXP103596</t>
  </si>
  <si>
    <t>AX388250758</t>
  </si>
  <si>
    <t>EXP103597</t>
  </si>
  <si>
    <t>AX907576117</t>
  </si>
  <si>
    <t>EXP103598</t>
  </si>
  <si>
    <t>AX992024209</t>
  </si>
  <si>
    <t>EXP103599</t>
  </si>
  <si>
    <t>EXP103600</t>
  </si>
  <si>
    <t>EXP103601</t>
  </si>
  <si>
    <t>AX-172866788</t>
  </si>
  <si>
    <t>EXP103602</t>
  </si>
  <si>
    <t>AX 202305046</t>
  </si>
  <si>
    <t>EXP103604</t>
  </si>
  <si>
    <t>ax143737602</t>
  </si>
  <si>
    <t>EXP103605</t>
  </si>
  <si>
    <t>AX-450051856</t>
  </si>
  <si>
    <t>EXP103606</t>
  </si>
  <si>
    <t>ax736721537</t>
  </si>
  <si>
    <t>EXP103607</t>
  </si>
  <si>
    <t>AX966636007</t>
  </si>
  <si>
    <t>EXP103608</t>
  </si>
  <si>
    <t>EXP103609</t>
  </si>
  <si>
    <t>AX197546582</t>
  </si>
  <si>
    <t>EXP103610</t>
  </si>
  <si>
    <t>ax711815652</t>
  </si>
  <si>
    <t>EXP103611</t>
  </si>
  <si>
    <t>EXP103612</t>
  </si>
  <si>
    <t>ax767075527</t>
  </si>
  <si>
    <t>EXP103613</t>
  </si>
  <si>
    <t>AX376384306</t>
  </si>
  <si>
    <t>EXP103614</t>
  </si>
  <si>
    <t>AX 970208564</t>
  </si>
  <si>
    <t>EXP103615</t>
  </si>
  <si>
    <t>AX-564053890</t>
  </si>
  <si>
    <t>EXP103616</t>
  </si>
  <si>
    <t>AX878668813</t>
  </si>
  <si>
    <t>EXP103617</t>
  </si>
  <si>
    <t>EXP103618</t>
  </si>
  <si>
    <t>AX 179985880</t>
  </si>
  <si>
    <t>EXP103619</t>
  </si>
  <si>
    <t>AX-176650470</t>
  </si>
  <si>
    <t>EXP103620</t>
  </si>
  <si>
    <t>AX146910581</t>
  </si>
  <si>
    <t>EXP103621</t>
  </si>
  <si>
    <t>AX991537350</t>
  </si>
  <si>
    <t>EXP103622</t>
  </si>
  <si>
    <t>AX-528349763</t>
  </si>
  <si>
    <t>EXP103623</t>
  </si>
  <si>
    <t>AX234763265</t>
  </si>
  <si>
    <t>EXP103624</t>
  </si>
  <si>
    <t>EXP103625</t>
  </si>
  <si>
    <t>ax768739534</t>
  </si>
  <si>
    <t>EXP103627</t>
  </si>
  <si>
    <t>AX-942230929</t>
  </si>
  <si>
    <t>EXP103628</t>
  </si>
  <si>
    <t>AX810260945</t>
  </si>
  <si>
    <t>EXP103629</t>
  </si>
  <si>
    <t>AX218396924</t>
  </si>
  <si>
    <t>EXP103630</t>
  </si>
  <si>
    <t>EXP103631</t>
  </si>
  <si>
    <t>AX336090222</t>
  </si>
  <si>
    <t>EXP103632</t>
  </si>
  <si>
    <t>AX-668927787</t>
  </si>
  <si>
    <t>EXP103633</t>
  </si>
  <si>
    <t xml:space="preserve">  lodging </t>
  </si>
  <si>
    <t>EXP103634</t>
  </si>
  <si>
    <t>AX308136586</t>
  </si>
  <si>
    <t>EXP103635</t>
  </si>
  <si>
    <t>AX104625197</t>
  </si>
  <si>
    <t>EXP103636</t>
  </si>
  <si>
    <t>EXP103637</t>
  </si>
  <si>
    <t>AX-128321280</t>
  </si>
  <si>
    <t>EXP103638</t>
  </si>
  <si>
    <t>ax522648924</t>
  </si>
  <si>
    <t>EXP103639</t>
  </si>
  <si>
    <t>ax987800775</t>
  </si>
  <si>
    <t>EXP103640</t>
  </si>
  <si>
    <t>AX 698359541</t>
  </si>
  <si>
    <t>EXP103641</t>
  </si>
  <si>
    <t>ax683770771</t>
  </si>
  <si>
    <t>EXP103642</t>
  </si>
  <si>
    <t>EXP103643</t>
  </si>
  <si>
    <t>AX803652159</t>
  </si>
  <si>
    <t>EXP103644</t>
  </si>
  <si>
    <t>EXP103645</t>
  </si>
  <si>
    <t>ax666891336</t>
  </si>
  <si>
    <t>EXP103646</t>
  </si>
  <si>
    <t>AX175960744</t>
  </si>
  <si>
    <t>EXP103647</t>
  </si>
  <si>
    <t>ax444588995</t>
  </si>
  <si>
    <t>EXP103648</t>
  </si>
  <si>
    <t>AX684041282</t>
  </si>
  <si>
    <t>EXP103649</t>
  </si>
  <si>
    <t>ax657643183</t>
  </si>
  <si>
    <t>EXP103650</t>
  </si>
  <si>
    <t>AX 456386021</t>
  </si>
  <si>
    <t>EXP103651</t>
  </si>
  <si>
    <t>EXP103652</t>
  </si>
  <si>
    <t>ax955275089</t>
  </si>
  <si>
    <t>EXP103653</t>
  </si>
  <si>
    <t>AX 791557104</t>
  </si>
  <si>
    <t>EXP103654</t>
  </si>
  <si>
    <t>AX 757410002</t>
  </si>
  <si>
    <t>EXP103655</t>
  </si>
  <si>
    <t>AX859534647</t>
  </si>
  <si>
    <t>EXP103656</t>
  </si>
  <si>
    <t>AX964800826</t>
  </si>
  <si>
    <t>EXP103657</t>
  </si>
  <si>
    <t>AX353728826</t>
  </si>
  <si>
    <t>EXP103658</t>
  </si>
  <si>
    <t>AX-755691357</t>
  </si>
  <si>
    <t>EXP103659</t>
  </si>
  <si>
    <t>ax938964418</t>
  </si>
  <si>
    <t>EXP103660</t>
  </si>
  <si>
    <t>AX256935296</t>
  </si>
  <si>
    <t>EXP103661</t>
  </si>
  <si>
    <t>EXP103662</t>
  </si>
  <si>
    <t>AX926094358</t>
  </si>
  <si>
    <t>EXP103663</t>
  </si>
  <si>
    <t>ax868144536</t>
  </si>
  <si>
    <t>EXP103664</t>
  </si>
  <si>
    <t>EXP103665</t>
  </si>
  <si>
    <t>ax214731481</t>
  </si>
  <si>
    <t>EXP103666</t>
  </si>
  <si>
    <t>AX-755923964</t>
  </si>
  <si>
    <t>EXP103667</t>
  </si>
  <si>
    <t>AX 540240879</t>
  </si>
  <si>
    <t>EXP103668</t>
  </si>
  <si>
    <t>AX102994463</t>
  </si>
  <si>
    <t>EXP103669</t>
  </si>
  <si>
    <t>AX821550714</t>
  </si>
  <si>
    <t>EXP103670</t>
  </si>
  <si>
    <t>ax237817545</t>
  </si>
  <si>
    <t>EXP103671</t>
  </si>
  <si>
    <t>AX-758597868</t>
  </si>
  <si>
    <t>EXP103672</t>
  </si>
  <si>
    <t>AX-343794278</t>
  </si>
  <si>
    <t>EXP103673</t>
  </si>
  <si>
    <t>EXP103674</t>
  </si>
  <si>
    <t>AX 686585405</t>
  </si>
  <si>
    <t>EXP103675</t>
  </si>
  <si>
    <t>AX-614878259</t>
  </si>
  <si>
    <t>EXP103676</t>
  </si>
  <si>
    <t>AX-750094561</t>
  </si>
  <si>
    <t>EXP103677</t>
  </si>
  <si>
    <t>EXP103678</t>
  </si>
  <si>
    <t>EXP103679</t>
  </si>
  <si>
    <t>AX900220793</t>
  </si>
  <si>
    <t>EXP103680</t>
  </si>
  <si>
    <t>AX376038806</t>
  </si>
  <si>
    <t>EXP103681</t>
  </si>
  <si>
    <t>EXP103682</t>
  </si>
  <si>
    <t>EXP103683</t>
  </si>
  <si>
    <t>AX467088445</t>
  </si>
  <si>
    <t>EXP103684</t>
  </si>
  <si>
    <t>ax849701931</t>
  </si>
  <si>
    <t>EXP103685</t>
  </si>
  <si>
    <t>EXP103686</t>
  </si>
  <si>
    <t>AX554455551</t>
  </si>
  <si>
    <t>EXP103687</t>
  </si>
  <si>
    <t>AX 236557838</t>
  </si>
  <si>
    <t>DuplicateOfExpID</t>
  </si>
  <si>
    <t>EXP100024</t>
  </si>
  <si>
    <t>2026-01-05</t>
  </si>
  <si>
    <t>MATCH</t>
  </si>
  <si>
    <t>EXP100037</t>
  </si>
  <si>
    <t>2026-01-02</t>
  </si>
  <si>
    <t>2026-01-06</t>
  </si>
  <si>
    <t>EXP100156</t>
  </si>
  <si>
    <t>2026-01-09</t>
  </si>
  <si>
    <t>2026-01-13</t>
  </si>
  <si>
    <t>EXP100229</t>
  </si>
  <si>
    <t>2026-01-17</t>
  </si>
  <si>
    <t>EXP100333</t>
  </si>
  <si>
    <t>2026-01-23</t>
  </si>
  <si>
    <t>2026-01-24</t>
  </si>
  <si>
    <t>MISMATCH</t>
  </si>
  <si>
    <t>EXP100340</t>
  </si>
  <si>
    <t>EXP100356</t>
  </si>
  <si>
    <t>2026-01-25</t>
  </si>
  <si>
    <t>EXP100477</t>
  </si>
  <si>
    <t>2026-01-29</t>
  </si>
  <si>
    <t>2026-01-30</t>
  </si>
  <si>
    <t>EXP100519</t>
  </si>
  <si>
    <t>2026-01-27</t>
  </si>
  <si>
    <t>2026-02-02</t>
  </si>
  <si>
    <t>EXP100604</t>
  </si>
  <si>
    <t>2026-02-06</t>
  </si>
  <si>
    <t>EXP100722</t>
  </si>
  <si>
    <t>2026-02-10</t>
  </si>
  <si>
    <t>2026-02-12</t>
  </si>
  <si>
    <t>EXP100774</t>
  </si>
  <si>
    <t>2026-02-15</t>
  </si>
  <si>
    <t>EXP100813</t>
  </si>
  <si>
    <t>2026-02-14</t>
  </si>
  <si>
    <t>2026-02-17</t>
  </si>
  <si>
    <t>EXP100916</t>
  </si>
  <si>
    <t>2026-02-21</t>
  </si>
  <si>
    <t>EXP100942</t>
  </si>
  <si>
    <t>2026-02-16</t>
  </si>
  <si>
    <t>2026-02-22</t>
  </si>
  <si>
    <t>EXP100955</t>
  </si>
  <si>
    <t>2026-02-23</t>
  </si>
  <si>
    <t>EXP100985</t>
  </si>
  <si>
    <t>2026-02-25</t>
  </si>
  <si>
    <t>EXP101122</t>
  </si>
  <si>
    <t>2026-03-02</t>
  </si>
  <si>
    <t>2026-03-04</t>
  </si>
  <si>
    <t>EXP101224</t>
  </si>
  <si>
    <t>2026-03-05</t>
  </si>
  <si>
    <t>2026-03-10</t>
  </si>
  <si>
    <t>EXP101279</t>
  </si>
  <si>
    <t>2026-03-12</t>
  </si>
  <si>
    <t>EXP101475</t>
  </si>
  <si>
    <t>2026-03-18</t>
  </si>
  <si>
    <t>2026-03-22</t>
  </si>
  <si>
    <t>EXP101519</t>
  </si>
  <si>
    <t>2026-03-20</t>
  </si>
  <si>
    <t>2026-03-24</t>
  </si>
  <si>
    <t>EXP101566</t>
  </si>
  <si>
    <t>2026-03-21</t>
  </si>
  <si>
    <t>2026-03-27</t>
  </si>
  <si>
    <t>EXP101589</t>
  </si>
  <si>
    <t>2026-03-19</t>
  </si>
  <si>
    <t>2026-03-28</t>
  </si>
  <si>
    <t>EXP101698</t>
  </si>
  <si>
    <t>2026-04-02</t>
  </si>
  <si>
    <t>2026-04-03</t>
  </si>
  <si>
    <t>EXP101722</t>
  </si>
  <si>
    <t>2026-03-25</t>
  </si>
  <si>
    <t>2026-04-04</t>
  </si>
  <si>
    <t>EXP101826</t>
  </si>
  <si>
    <t>2026-04-06</t>
  </si>
  <si>
    <t>2026-04-10</t>
  </si>
  <si>
    <t>BLANK</t>
  </si>
  <si>
    <t>EXP101832</t>
  </si>
  <si>
    <t>EXP101847</t>
  </si>
  <si>
    <t>2026-04-11</t>
  </si>
  <si>
    <t>EXP101924</t>
  </si>
  <si>
    <t>2026-04-14</t>
  </si>
  <si>
    <t>EXP102000</t>
  </si>
  <si>
    <t>2026-04-17</t>
  </si>
  <si>
    <t>2026-04-18</t>
  </si>
  <si>
    <t>EXP102137</t>
  </si>
  <si>
    <t>2026-04-20</t>
  </si>
  <si>
    <t>2026-04-26</t>
  </si>
  <si>
    <t>EXP102153</t>
  </si>
  <si>
    <t>2026-04-27</t>
  </si>
  <si>
    <t>EXP102166</t>
  </si>
  <si>
    <t>2026-04-23</t>
  </si>
  <si>
    <t>EXP102189</t>
  </si>
  <si>
    <t>2026-04-29</t>
  </si>
  <si>
    <t>EXP102365</t>
  </si>
  <si>
    <t>2026-05-03</t>
  </si>
  <si>
    <t>2026-05-09</t>
  </si>
  <si>
    <t>EXP102432</t>
  </si>
  <si>
    <t>2026-05-11</t>
  </si>
  <si>
    <t>2026-05-13</t>
  </si>
  <si>
    <t>EXP102459</t>
  </si>
  <si>
    <t>2026-05-14</t>
  </si>
  <si>
    <t>EXP102560</t>
  </si>
  <si>
    <t>2026-05-12</t>
  </si>
  <si>
    <t>2026-05-20</t>
  </si>
  <si>
    <t>EXP102585</t>
  </si>
  <si>
    <t>2026-05-19</t>
  </si>
  <si>
    <t>2026-05-22</t>
  </si>
  <si>
    <t>EXP102615</t>
  </si>
  <si>
    <t>2026-05-18</t>
  </si>
  <si>
    <t>2026-05-23</t>
  </si>
  <si>
    <t>EXP102649</t>
  </si>
  <si>
    <t>2026-05-25</t>
  </si>
  <si>
    <t>EXP102723</t>
  </si>
  <si>
    <t>2026-05-26</t>
  </si>
  <si>
    <t>2026-05-29</t>
  </si>
  <si>
    <t>EXP102845</t>
  </si>
  <si>
    <t>2026-05-30</t>
  </si>
  <si>
    <t>2026-06-06</t>
  </si>
  <si>
    <t>EXP103180</t>
  </si>
  <si>
    <t>2026-06-13</t>
  </si>
  <si>
    <t>2026-06-22</t>
  </si>
  <si>
    <t>EXP103223</t>
  </si>
  <si>
    <t>2026-01-12</t>
  </si>
  <si>
    <t>2026-06-23</t>
  </si>
  <si>
    <t>EXP103309</t>
  </si>
  <si>
    <t>2026-06-18</t>
  </si>
  <si>
    <t>2026-06-25</t>
  </si>
  <si>
    <t>EXP103316</t>
  </si>
  <si>
    <t>2026-06-16</t>
  </si>
  <si>
    <t>EXP103338</t>
  </si>
  <si>
    <t>EXP103410</t>
  </si>
  <si>
    <t>2026-06-27</t>
  </si>
  <si>
    <t>EXP103442</t>
  </si>
  <si>
    <t>2026-06-26</t>
  </si>
  <si>
    <t>2026-06-28</t>
  </si>
  <si>
    <t>EXP103511</t>
  </si>
  <si>
    <t>2026-06-29</t>
  </si>
  <si>
    <t>EXP103603</t>
  </si>
  <si>
    <t>2026-06-30</t>
  </si>
  <si>
    <t>EXP103626</t>
  </si>
  <si>
    <t>Check</t>
  </si>
  <si>
    <t>Method</t>
  </si>
  <si>
    <t>Result</t>
  </si>
  <si>
    <t>Why It Matters</t>
  </si>
  <si>
    <t>Amount format</t>
  </si>
  <si>
    <t>Category verification</t>
  </si>
  <si>
    <t>Duplicate detection</t>
  </si>
  <si>
    <t>Date format</t>
  </si>
  <si>
    <r>
      <t xml:space="preserve">Checked </t>
    </r>
    <r>
      <rPr>
        <sz val="10"/>
        <color theme="1"/>
        <rFont val="Arial Unicode MS"/>
      </rPr>
      <t>ExpenseDate</t>
    </r>
    <r>
      <rPr>
        <sz val="11"/>
        <color theme="1"/>
        <rFont val="Calibri"/>
        <family val="2"/>
        <charset val="1"/>
      </rPr>
      <t xml:space="preserve"> and </t>
    </r>
    <r>
      <rPr>
        <sz val="10"/>
        <color theme="1"/>
        <rFont val="Arial Unicode MS"/>
      </rPr>
      <t>SubmissionDate</t>
    </r>
    <r>
      <rPr>
        <sz val="11"/>
        <color theme="1"/>
        <rFont val="Calibri"/>
        <family val="2"/>
        <charset val="1"/>
      </rPr>
      <t xml:space="preserve"> and converted the mixed date formats into actual Excel dates.</t>
    </r>
  </si>
  <si>
    <t>All 3,634 rows were verified as valid dates.</t>
  </si>
  <si>
    <t>This makes it possible to sort expenses by date and calculate things like submission delays.</t>
  </si>
  <si>
    <r>
      <t xml:space="preserve">Removed </t>
    </r>
    <r>
      <rPr>
        <sz val="10"/>
        <color theme="1"/>
        <rFont val="Arial Unicode MS"/>
      </rPr>
      <t>$</t>
    </r>
    <r>
      <rPr>
        <sz val="11"/>
        <color theme="1"/>
        <rFont val="Calibri"/>
        <family val="2"/>
        <charset val="1"/>
      </rPr>
      <t xml:space="preserve"> signs and commas and converted the amounts to numbers.</t>
    </r>
  </si>
  <si>
    <t>324 rows needed to be fixed. All amounts are now numeric.</t>
  </si>
  <si>
    <t>Numeric values are needed for calculations such as total spending, averages, and budget comparisons.</t>
  </si>
  <si>
    <t>Compared the employee's category with the category from the MCC lookup table.</t>
  </si>
  <si>
    <t>Match: 90.46% · Mismatch: 3.77% · Blank: 5.78%</t>
  </si>
  <si>
    <t>This helps identify expenses where the employee-entered category does not match the transaction category.</t>
  </si>
  <si>
    <t>Checked for transactions with the same employee, merchant, and amount. Kept the first record and moved the duplicate records to a separate sheet.</t>
  </si>
  <si>
    <t>54 duplicate rows were removed from the original 3,688 transactions.</t>
  </si>
  <si>
    <t>Removing duplicates prevents the same expense from being counted more than once in the analysis.</t>
  </si>
  <si>
    <t>Name</t>
  </si>
  <si>
    <t>Department</t>
  </si>
  <si>
    <t>Title</t>
  </si>
  <si>
    <t>ManagerID</t>
  </si>
  <si>
    <t>CardIssued</t>
  </si>
  <si>
    <t>Layla Ivanova</t>
  </si>
  <si>
    <t>Sales &amp; Marketing</t>
  </si>
  <si>
    <t>VP of Sales &amp; Marketing</t>
  </si>
  <si>
    <t>Nadia Petrova</t>
  </si>
  <si>
    <t>Sales Manager</t>
  </si>
  <si>
    <t>Olga Gupta</t>
  </si>
  <si>
    <t>Amir Bello</t>
  </si>
  <si>
    <t>Jennifer Wilson</t>
  </si>
  <si>
    <t>Senior Marketing Analyst</t>
  </si>
  <si>
    <t>Susan Andersson</t>
  </si>
  <si>
    <t>Senior Digital Media Analyst</t>
  </si>
  <si>
    <t>Omar Okafor</t>
  </si>
  <si>
    <t>Yusuf Perez</t>
  </si>
  <si>
    <t>Priya Zhang</t>
  </si>
  <si>
    <t>Isabella Nilsson</t>
  </si>
  <si>
    <t>Deshawn Brooks</t>
  </si>
  <si>
    <t>Sven Delgado</t>
  </si>
  <si>
    <t>Amanda Flores</t>
  </si>
  <si>
    <t>Keisha Katz</t>
  </si>
  <si>
    <t>Junior Digital Media Analyst</t>
  </si>
  <si>
    <t>Marcus Walker</t>
  </si>
  <si>
    <t>Sales Representative</t>
  </si>
  <si>
    <t>Hiroshi Rodriguez</t>
  </si>
  <si>
    <t>Marketing Analyst</t>
  </si>
  <si>
    <t>Valentina Diaz</t>
  </si>
  <si>
    <t>Zainab Harris</t>
  </si>
  <si>
    <t>Vikram Gupta</t>
  </si>
  <si>
    <t>Tariq Johnson</t>
  </si>
  <si>
    <t>Andre Goldberg</t>
  </si>
  <si>
    <t>Hassan Morales</t>
  </si>
  <si>
    <t>Digital Media Analyst</t>
  </si>
  <si>
    <t>Wei Moretti</t>
  </si>
  <si>
    <t>Imani Ellis</t>
  </si>
  <si>
    <t>Nadia Wang</t>
  </si>
  <si>
    <t>Jun Jones</t>
  </si>
  <si>
    <t>Melissa Andersson</t>
  </si>
  <si>
    <t>Olga Chu</t>
  </si>
  <si>
    <t>Aisha Levine</t>
  </si>
  <si>
    <t>Anjali Brown</t>
  </si>
  <si>
    <t>Natasha Nair</t>
  </si>
  <si>
    <t>Andre Shah</t>
  </si>
  <si>
    <t>Daniel Nowak</t>
  </si>
  <si>
    <t>Tariq Siddiqui</t>
  </si>
  <si>
    <t>Keisha Shah</t>
  </si>
  <si>
    <t>Junior Marketing Analyst</t>
  </si>
  <si>
    <t>Elena Sullivan</t>
  </si>
  <si>
    <t>Daniel White</t>
  </si>
  <si>
    <t>Margaret Iyer</t>
  </si>
  <si>
    <t>Betty Tanaka</t>
  </si>
  <si>
    <t>Jasmine Thompson</t>
  </si>
  <si>
    <t>Betty Robinson</t>
  </si>
  <si>
    <t>Barbara Diaz</t>
  </si>
  <si>
    <t>Emily Murphy</t>
  </si>
  <si>
    <t>William Wang</t>
  </si>
  <si>
    <t>Vikram Vasquez</t>
  </si>
  <si>
    <t>Ingrid Sanchez</t>
  </si>
  <si>
    <t>Joseph Anderson</t>
  </si>
  <si>
    <t>Isabella Rosen</t>
  </si>
  <si>
    <t>Jasmine Iyer</t>
  </si>
  <si>
    <t>Karen Sullivan</t>
  </si>
  <si>
    <t>Emily Lindqvist</t>
  </si>
  <si>
    <t>Elena White</t>
  </si>
  <si>
    <t>Deshawn Moretti</t>
  </si>
  <si>
    <t>Betty Vasquez</t>
  </si>
  <si>
    <t>Emily Cohen</t>
  </si>
  <si>
    <t>Jin Ramirez</t>
  </si>
  <si>
    <t>Ashley Sato</t>
  </si>
  <si>
    <t>Xavier Bennett</t>
  </si>
  <si>
    <t>Thomas Murphy</t>
  </si>
  <si>
    <t>Miguel Andersson</t>
  </si>
  <si>
    <t>Wei Chen</t>
  </si>
  <si>
    <t>Hiroshi Liu</t>
  </si>
  <si>
    <t>Nia Flores</t>
  </si>
  <si>
    <t>Xavier Martin</t>
  </si>
  <si>
    <t>Sarah Taylor</t>
  </si>
  <si>
    <t>Sanjay Delgado</t>
  </si>
  <si>
    <t>Hana Ramirez</t>
  </si>
  <si>
    <t>Miguel Huang</t>
  </si>
  <si>
    <t>Richard Tanaka</t>
  </si>
  <si>
    <t>Sanjay Robinson</t>
  </si>
  <si>
    <t>Sandra Malik</t>
  </si>
  <si>
    <t>Underwriting</t>
  </si>
  <si>
    <t>Director of Underwriting</t>
  </si>
  <si>
    <t>Brandon Gupta</t>
  </si>
  <si>
    <t>Underwriting Manager</t>
  </si>
  <si>
    <t>Denise Lewis</t>
  </si>
  <si>
    <t>Anders Robinson</t>
  </si>
  <si>
    <t>Senior Underwriter</t>
  </si>
  <si>
    <t>Nancy Harris</t>
  </si>
  <si>
    <t>Joshua Taylor</t>
  </si>
  <si>
    <t>Dmitri Moore</t>
  </si>
  <si>
    <t>Andre Berg</t>
  </si>
  <si>
    <t>Data Analyst</t>
  </si>
  <si>
    <t>Mateo Martinez</t>
  </si>
  <si>
    <t>Underwriter</t>
  </si>
  <si>
    <t>Lisa Petrov</t>
  </si>
  <si>
    <t>David Chu</t>
  </si>
  <si>
    <t>Isabella Ramirez</t>
  </si>
  <si>
    <t>Charles Ryan</t>
  </si>
  <si>
    <t>Junior Underwriter</t>
  </si>
  <si>
    <t>Ebony Nair</t>
  </si>
  <si>
    <t>Karen Jones</t>
  </si>
  <si>
    <t>Sofia Perez</t>
  </si>
  <si>
    <t>Natasha Wu</t>
  </si>
  <si>
    <t>Mary Walsh</t>
  </si>
  <si>
    <t>Anjali Bello</t>
  </si>
  <si>
    <t>Tariq Nilsson</t>
  </si>
  <si>
    <t>Anjali Taylor</t>
  </si>
  <si>
    <t>Emily Walker</t>
  </si>
  <si>
    <t>Xavier Cohen</t>
  </si>
  <si>
    <t>Rosa Clark</t>
  </si>
  <si>
    <t>Priya Levine</t>
  </si>
  <si>
    <t>Jessica Suzuki</t>
  </si>
  <si>
    <t>Dmitri Walker</t>
  </si>
  <si>
    <t>Anjali Alexander</t>
  </si>
  <si>
    <t>Cedric Murphy</t>
  </si>
  <si>
    <t>Linda Kim</t>
  </si>
  <si>
    <t>Jamal Chen</t>
  </si>
  <si>
    <t>Sven Iyer</t>
  </si>
  <si>
    <t>Luis Tanaka</t>
  </si>
  <si>
    <t>Natasha Ahmed</t>
  </si>
  <si>
    <t>Fatima Goldberg</t>
  </si>
  <si>
    <t>Hiroshi Yang</t>
  </si>
  <si>
    <t>James Berg</t>
  </si>
  <si>
    <t>Barbara Delgado</t>
  </si>
  <si>
    <t>Isabella Garcia</t>
  </si>
  <si>
    <t>E110</t>
  </si>
  <si>
    <t>Emily Ivanova</t>
  </si>
  <si>
    <t>Jasmine Robinson</t>
  </si>
  <si>
    <t>Jamal Brown</t>
  </si>
  <si>
    <t>Betty Walsh</t>
  </si>
  <si>
    <t>Sven Whitfield</t>
  </si>
  <si>
    <t>Sarah Lindqvist</t>
  </si>
  <si>
    <t>Anjali Chu</t>
  </si>
  <si>
    <t>Claims</t>
  </si>
  <si>
    <t>Director of Claims</t>
  </si>
  <si>
    <t>Wei Siddiqui</t>
  </si>
  <si>
    <t>Claims Manager</t>
  </si>
  <si>
    <t>Brandon Khan</t>
  </si>
  <si>
    <t>Tanya Clark</t>
  </si>
  <si>
    <t>Senior Claims Analyst</t>
  </si>
  <si>
    <t>Elena Thompson</t>
  </si>
  <si>
    <t>Nadia Gupta</t>
  </si>
  <si>
    <t>Tanya Nilsson</t>
  </si>
  <si>
    <t>Tanya Chen</t>
  </si>
  <si>
    <t>Junior Claims Analyst</t>
  </si>
  <si>
    <t>E124</t>
  </si>
  <si>
    <t>Jeffrey Brown</t>
  </si>
  <si>
    <t>Claims Analyst</t>
  </si>
  <si>
    <t>Miguel Cohen</t>
  </si>
  <si>
    <t>Hiroshi Johnson</t>
  </si>
  <si>
    <t>Kenji Jones</t>
  </si>
  <si>
    <t>Lars Rosen</t>
  </si>
  <si>
    <t>Jin Huang</t>
  </si>
  <si>
    <t>Gabriela Morales</t>
  </si>
  <si>
    <t>Camila Suzuki</t>
  </si>
  <si>
    <t>Ryan Miller</t>
  </si>
  <si>
    <t>Camila Torres</t>
  </si>
  <si>
    <t>Andre Okafor</t>
  </si>
  <si>
    <t>Anjali Sato</t>
  </si>
  <si>
    <t>Aisha White</t>
  </si>
  <si>
    <t>Jun Shah</t>
  </si>
  <si>
    <t>Wei Bello</t>
  </si>
  <si>
    <t>Imani Williams</t>
  </si>
  <si>
    <t>Xavier Brown</t>
  </si>
  <si>
    <t>Cedric Park</t>
  </si>
  <si>
    <t>Yusuf Anderson</t>
  </si>
  <si>
    <t>Terrence Sharma</t>
  </si>
  <si>
    <t>Ashley Lindqvist</t>
  </si>
  <si>
    <t>Keisha Huang</t>
  </si>
  <si>
    <t>Melissa Whitman</t>
  </si>
  <si>
    <t>Mateo Martin</t>
  </si>
  <si>
    <t>Jennifer Nguyen</t>
  </si>
  <si>
    <t>Denise Lee</t>
  </si>
  <si>
    <t>Elizabeth Perez</t>
  </si>
  <si>
    <t>Imani Whitfield</t>
  </si>
  <si>
    <t>Customer Support</t>
  </si>
  <si>
    <t>Director of Customer Support</t>
  </si>
  <si>
    <t>Hiroshi Ivanova</t>
  </si>
  <si>
    <t>Customer Support Manager</t>
  </si>
  <si>
    <t>Vikram Brown</t>
  </si>
  <si>
    <t>Wei Moore</t>
  </si>
  <si>
    <t>Senior Customer Representative</t>
  </si>
  <si>
    <t>Hassan Wilson</t>
  </si>
  <si>
    <t>Michael Reddy</t>
  </si>
  <si>
    <t>Margaret Johansson</t>
  </si>
  <si>
    <t>E158</t>
  </si>
  <si>
    <t>Jun Moore</t>
  </si>
  <si>
    <t>Administrative Representative</t>
  </si>
  <si>
    <t>Xavier Iyer</t>
  </si>
  <si>
    <t>Customer Representative</t>
  </si>
  <si>
    <t>Joseph Zhang</t>
  </si>
  <si>
    <t>Sandra Chen</t>
  </si>
  <si>
    <t>Charles Walsh</t>
  </si>
  <si>
    <t>David Lee</t>
  </si>
  <si>
    <t>Mary Huang</t>
  </si>
  <si>
    <t>Javier Martinez</t>
  </si>
  <si>
    <t>Hassan Sanchez</t>
  </si>
  <si>
    <t>Darnell Bello</t>
  </si>
  <si>
    <t>Vikram Malik</t>
  </si>
  <si>
    <t>Marcus Jones</t>
  </si>
  <si>
    <t>Hassan Davis</t>
  </si>
  <si>
    <t>Thomas Martinez</t>
  </si>
  <si>
    <t>Sofia Torres</t>
  </si>
  <si>
    <t>Joshua Lopez</t>
  </si>
  <si>
    <t>Denise Perez</t>
  </si>
  <si>
    <t>Elena Perez</t>
  </si>
  <si>
    <t>Aisha Nowak</t>
  </si>
  <si>
    <t>Mariana Gonzalez</t>
  </si>
  <si>
    <t>Kevin Sato</t>
  </si>
  <si>
    <t>Matthew Robinson</t>
  </si>
  <si>
    <t>Kevin Rahman</t>
  </si>
  <si>
    <t>Matthew Delgado</t>
  </si>
  <si>
    <t>Finance</t>
  </si>
  <si>
    <t>VP of Finance</t>
  </si>
  <si>
    <t>Wei Petrova</t>
  </si>
  <si>
    <t>Finance Manager</t>
  </si>
  <si>
    <t>David Rivera</t>
  </si>
  <si>
    <t>Michael Cole</t>
  </si>
  <si>
    <t>Senior Financial Analyst</t>
  </si>
  <si>
    <t>Ivan Nguyen</t>
  </si>
  <si>
    <t>Hassan Hernandez</t>
  </si>
  <si>
    <t>Elena Mendoza</t>
  </si>
  <si>
    <t>Priya Goldberg</t>
  </si>
  <si>
    <t>Junior Financial Analyst</t>
  </si>
  <si>
    <t>Javier Sharma</t>
  </si>
  <si>
    <t>Accountant</t>
  </si>
  <si>
    <t>Ashley Sanders</t>
  </si>
  <si>
    <t>Financial Analyst</t>
  </si>
  <si>
    <t>Rosa Ivanova</t>
  </si>
  <si>
    <t>Grace Martinez</t>
  </si>
  <si>
    <t>Valentina Gupta</t>
  </si>
  <si>
    <t>Zainab Khan</t>
  </si>
  <si>
    <t>Wei Sanchez</t>
  </si>
  <si>
    <t>Sofia Chu</t>
  </si>
  <si>
    <t>Kenji Cohen</t>
  </si>
  <si>
    <t>Hiroshi Ramirez</t>
  </si>
  <si>
    <t>Javier Hernandez</t>
  </si>
  <si>
    <t>Darnell Fernandez</t>
  </si>
  <si>
    <t>Malik Martin</t>
  </si>
  <si>
    <t>Kevin Perez</t>
  </si>
  <si>
    <t>Carlos Moretti</t>
  </si>
  <si>
    <t>Linda Petrova</t>
  </si>
  <si>
    <t>Anders Brown</t>
  </si>
  <si>
    <t>Ivan Ivanova</t>
  </si>
  <si>
    <t>Arjun Walker</t>
  </si>
  <si>
    <t>Susan Martinez</t>
  </si>
  <si>
    <t>Actuarial &amp; Risk</t>
  </si>
  <si>
    <t>Director of Risk</t>
  </si>
  <si>
    <t>Sven Liu</t>
  </si>
  <si>
    <t>Risk Manager</t>
  </si>
  <si>
    <t>Sofia Vasquez</t>
  </si>
  <si>
    <t>Senior Risk Analyst</t>
  </si>
  <si>
    <t>Marcus Watanabe</t>
  </si>
  <si>
    <t>Yusuf Brooks</t>
  </si>
  <si>
    <t>Risk Analyst</t>
  </si>
  <si>
    <t>Kevin Brown</t>
  </si>
  <si>
    <t>Junior Risk Analyst</t>
  </si>
  <si>
    <t>Patricia Hernandez</t>
  </si>
  <si>
    <t>Hana Tanaka</t>
  </si>
  <si>
    <t>Natasha Kowalski</t>
  </si>
  <si>
    <t>Credit &amp; Risk Analyst</t>
  </si>
  <si>
    <t>Ebony Johnson</t>
  </si>
  <si>
    <t>Natasha Moretti</t>
  </si>
  <si>
    <t>Lucia Flores</t>
  </si>
  <si>
    <t>Aisha Lee</t>
  </si>
  <si>
    <t>Akira Walsh</t>
  </si>
  <si>
    <t>Kenji Whitfield</t>
  </si>
  <si>
    <t>Latoya Jackson</t>
  </si>
  <si>
    <t>Nia Fernandez</t>
  </si>
  <si>
    <t>Thomas Rodriguez</t>
  </si>
  <si>
    <t>Sarah Chen</t>
  </si>
  <si>
    <t>Amanda Davis</t>
  </si>
  <si>
    <t>Jasmine Whitman</t>
  </si>
  <si>
    <t>Darnell Ryan</t>
  </si>
  <si>
    <t>Mariana Alexander</t>
  </si>
  <si>
    <t>Karen Khan</t>
  </si>
  <si>
    <t>Yusuf Clark</t>
  </si>
  <si>
    <t>Ebony Cole</t>
  </si>
  <si>
    <t>IT &amp; Platform Engineering</t>
  </si>
  <si>
    <t>Director of IT</t>
  </si>
  <si>
    <t>Elizabeth Hernandez</t>
  </si>
  <si>
    <t>IT Manager</t>
  </si>
  <si>
    <t>Matthew Nowak</t>
  </si>
  <si>
    <t>Cybersecurity Specialist</t>
  </si>
  <si>
    <t>Tyler Anderson</t>
  </si>
  <si>
    <t>Senior IT Consultant</t>
  </si>
  <si>
    <t>Elena Lindqvist</t>
  </si>
  <si>
    <t>IT Consultant</t>
  </si>
  <si>
    <t>Barbara Lopez</t>
  </si>
  <si>
    <t>IT Support</t>
  </si>
  <si>
    <t>Keisha Rahman</t>
  </si>
  <si>
    <t>David Patel</t>
  </si>
  <si>
    <t>IT Technician</t>
  </si>
  <si>
    <t>Jessica Tanaka</t>
  </si>
  <si>
    <t>Andrew Gonzalez</t>
  </si>
  <si>
    <t>Cybersecurity Analyst</t>
  </si>
  <si>
    <t>Yusuf Walker</t>
  </si>
  <si>
    <t>Kavya Petrov</t>
  </si>
  <si>
    <t>Valentina Goldberg</t>
  </si>
  <si>
    <t>Marcus White</t>
  </si>
  <si>
    <t>Layla Bennett</t>
  </si>
  <si>
    <t>Anjali Martin</t>
  </si>
  <si>
    <t>Layla Williams</t>
  </si>
  <si>
    <t>Ming Brown</t>
  </si>
  <si>
    <t>Junior IT Analyst</t>
  </si>
  <si>
    <t>Soo Martin</t>
  </si>
  <si>
    <t>Amanda Iyer</t>
  </si>
  <si>
    <t>Yuki Andersson</t>
  </si>
  <si>
    <t>Maurice Sato</t>
  </si>
  <si>
    <t>Executive &amp; Corporate</t>
  </si>
  <si>
    <t>Chief Operating Officer</t>
  </si>
  <si>
    <t>Dmitri Williams</t>
  </si>
  <si>
    <t>Executive Director</t>
  </si>
  <si>
    <t>Nadia Jackson</t>
  </si>
  <si>
    <t>Executive Assistant</t>
  </si>
  <si>
    <t>Akira Rodriguez</t>
  </si>
  <si>
    <t>Christopher Tanaka</t>
  </si>
  <si>
    <t>Lucia Walsh</t>
  </si>
  <si>
    <t>Ivan Alexander</t>
  </si>
  <si>
    <t>Terrence Patel</t>
  </si>
  <si>
    <t>HR &amp; Events</t>
  </si>
  <si>
    <t>Director of HR &amp; Events</t>
  </si>
  <si>
    <t>Ivan Zhang</t>
  </si>
  <si>
    <t>HR Manager</t>
  </si>
  <si>
    <t>Aisha Sato</t>
  </si>
  <si>
    <t>Event Manager</t>
  </si>
  <si>
    <t>Lars Katz</t>
  </si>
  <si>
    <t>Senior HR Generalist</t>
  </si>
  <si>
    <t>Anjali Moore</t>
  </si>
  <si>
    <t>Event Coordinator</t>
  </si>
  <si>
    <t>Emily Katz</t>
  </si>
  <si>
    <t>HR Coordinator</t>
  </si>
  <si>
    <t>Andre Cohen</t>
  </si>
  <si>
    <t>Event Associate</t>
  </si>
  <si>
    <t>Zainab Martin</t>
  </si>
  <si>
    <t>Ingrid Iyer</t>
  </si>
  <si>
    <t>Dmitri Gupta</t>
  </si>
  <si>
    <t>Grace Petrov</t>
  </si>
  <si>
    <t>Daiki Khan</t>
  </si>
  <si>
    <t>Mariana Sanchez</t>
  </si>
  <si>
    <t>Andrew Fernandez</t>
  </si>
  <si>
    <t>Fatima Sanchez</t>
  </si>
  <si>
    <t>Row Labels</t>
  </si>
  <si>
    <t>Grand Total</t>
  </si>
  <si>
    <t>Sum of Amount</t>
  </si>
  <si>
    <t>Budget</t>
  </si>
  <si>
    <t>Variance</t>
  </si>
  <si>
    <t>% of Budget</t>
  </si>
  <si>
    <t>Actual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</si>
</sst>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theme="1"/>
      <name val="Arial"/>
      <family val="2"/>
    </font>
    <font>
      <sz val="10"/>
      <color theme="1"/>
      <name val="Arial Unicode MS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5" fillId="0" borderId="0" xfId="0" applyFont="1"/>
    <xf numFmtId="0" fontId="0" fillId="0" borderId="0" xfId="0"/>
    <xf numFmtId="0" fontId="4" fillId="0" borderId="0" xfId="0" applyFont="1"/>
    <xf numFmtId="165" fontId="4" fillId="0" borderId="0" xfId="0" applyNumberFormat="1" applyFont="1"/>
    <xf numFmtId="0" fontId="6" fillId="2" borderId="0" xfId="0" applyFont="1" applyFill="1"/>
    <xf numFmtId="0" fontId="6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7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Actual vs.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Dashboard!$A$21:$A$29</c:f>
              <c:strCache>
                <c:ptCount val="9"/>
                <c:pt idx="0">
                  <c:v>Actuarial &amp; Risk</c:v>
                </c:pt>
                <c:pt idx="1">
                  <c:v>Claims</c:v>
                </c:pt>
                <c:pt idx="2">
                  <c:v>Customer Support</c:v>
                </c:pt>
                <c:pt idx="3">
                  <c:v>Executive &amp; Corporate</c:v>
                </c:pt>
                <c:pt idx="4">
                  <c:v>Finance</c:v>
                </c:pt>
                <c:pt idx="5">
                  <c:v>HR &amp; Events</c:v>
                </c:pt>
                <c:pt idx="6">
                  <c:v>IT &amp; Platform Engineering</c:v>
                </c:pt>
                <c:pt idx="7">
                  <c:v>Sales &amp; Marketing</c:v>
                </c:pt>
                <c:pt idx="8">
                  <c:v>Underwriting</c:v>
                </c:pt>
              </c:strCache>
            </c:strRef>
          </c:cat>
          <c:val>
            <c:numRef>
              <c:f>Dashboard!$B$21:$B$29</c:f>
              <c:numCache>
                <c:formatCode>\$#,##0.00</c:formatCode>
                <c:ptCount val="9"/>
                <c:pt idx="0">
                  <c:v>22194.23</c:v>
                </c:pt>
                <c:pt idx="1">
                  <c:v>74054.579999999944</c:v>
                </c:pt>
                <c:pt idx="2">
                  <c:v>19374.319999999996</c:v>
                </c:pt>
                <c:pt idx="3">
                  <c:v>25941.689999999984</c:v>
                </c:pt>
                <c:pt idx="4">
                  <c:v>28021.39</c:v>
                </c:pt>
                <c:pt idx="5">
                  <c:v>25822.34</c:v>
                </c:pt>
                <c:pt idx="6">
                  <c:v>19174.130000000005</c:v>
                </c:pt>
                <c:pt idx="7">
                  <c:v>307950.10999999975</c:v>
                </c:pt>
                <c:pt idx="8">
                  <c:v>67113.87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F-4E41-8658-821C8E569049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Dashboard!$A$21:$A$29</c:f>
              <c:strCache>
                <c:ptCount val="9"/>
                <c:pt idx="0">
                  <c:v>Actuarial &amp; Risk</c:v>
                </c:pt>
                <c:pt idx="1">
                  <c:v>Claims</c:v>
                </c:pt>
                <c:pt idx="2">
                  <c:v>Customer Support</c:v>
                </c:pt>
                <c:pt idx="3">
                  <c:v>Executive &amp; Corporate</c:v>
                </c:pt>
                <c:pt idx="4">
                  <c:v>Finance</c:v>
                </c:pt>
                <c:pt idx="5">
                  <c:v>HR &amp; Events</c:v>
                </c:pt>
                <c:pt idx="6">
                  <c:v>IT &amp; Platform Engineering</c:v>
                </c:pt>
                <c:pt idx="7">
                  <c:v>Sales &amp; Marketing</c:v>
                </c:pt>
                <c:pt idx="8">
                  <c:v>Underwriting</c:v>
                </c:pt>
              </c:strCache>
            </c:strRef>
          </c:cat>
          <c:val>
            <c:numRef>
              <c:f>Dashboard!$C$21:$C$29</c:f>
              <c:numCache>
                <c:formatCode>General</c:formatCode>
                <c:ptCount val="9"/>
                <c:pt idx="0">
                  <c:v>22500</c:v>
                </c:pt>
                <c:pt idx="1">
                  <c:v>79000</c:v>
                </c:pt>
                <c:pt idx="2">
                  <c:v>19850</c:v>
                </c:pt>
                <c:pt idx="3">
                  <c:v>31500</c:v>
                </c:pt>
                <c:pt idx="4">
                  <c:v>33000</c:v>
                </c:pt>
                <c:pt idx="5">
                  <c:v>36500</c:v>
                </c:pt>
                <c:pt idx="6">
                  <c:v>16000</c:v>
                </c:pt>
                <c:pt idx="7">
                  <c:v>196500</c:v>
                </c:pt>
                <c:pt idx="8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F-4E41-8658-821C8E56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263584"/>
        <c:axId val="55486127"/>
      </c:barChart>
      <c:catAx>
        <c:axId val="12392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6127"/>
        <c:crosses val="autoZero"/>
        <c:auto val="1"/>
        <c:lblAlgn val="ctr"/>
        <c:lblOffset val="100"/>
        <c:noMultiLvlLbl val="0"/>
      </c:catAx>
      <c:valAx>
        <c:axId val="55486127"/>
        <c:scaling>
          <c:orientation val="minMax"/>
          <c:max val="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5</xdr:row>
      <xdr:rowOff>180974</xdr:rowOff>
    </xdr:from>
    <xdr:to>
      <xdr:col>15</xdr:col>
      <xdr:colOff>603249</xdr:colOff>
      <xdr:row>24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4F3C8B-C11E-0868-D179-D678E371B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agatsya\Downloads\Cube360_Transactions_Cleaned%20(1).xlsx" TargetMode="External"/><Relationship Id="rId1" Type="http://schemas.openxmlformats.org/officeDocument/2006/relationships/externalLinkPath" Target="Cube360_Transactions_Clean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CC_Lookup"/>
      <sheetName val="Transactions"/>
      <sheetName val="Removed_Duplicates"/>
      <sheetName val="Data_Cleaning_Log"/>
      <sheetName val="Employee"/>
    </sheetNames>
    <sheetDataSet>
      <sheetData sheetId="0"/>
      <sheetData sheetId="1"/>
      <sheetData sheetId="2"/>
      <sheetData sheetId="3"/>
      <sheetData sheetId="4">
        <row r="2">
          <cell r="A2" t="str">
            <v>E001</v>
          </cell>
          <cell r="C2" t="str">
            <v>Sales &amp; Marketing</v>
          </cell>
        </row>
        <row r="3">
          <cell r="A3" t="str">
            <v>E002</v>
          </cell>
          <cell r="C3" t="str">
            <v>Sales &amp; Marketing</v>
          </cell>
        </row>
        <row r="4">
          <cell r="A4" t="str">
            <v>E003</v>
          </cell>
          <cell r="C4" t="str">
            <v>Sales &amp; Marketing</v>
          </cell>
        </row>
        <row r="5">
          <cell r="A5" t="str">
            <v>E004</v>
          </cell>
          <cell r="C5" t="str">
            <v>Sales &amp; Marketing</v>
          </cell>
        </row>
        <row r="6">
          <cell r="A6" t="str">
            <v>E005</v>
          </cell>
          <cell r="C6" t="str">
            <v>Sales &amp; Marketing</v>
          </cell>
        </row>
        <row r="7">
          <cell r="A7" t="str">
            <v>E006</v>
          </cell>
          <cell r="C7" t="str">
            <v>Sales &amp; Marketing</v>
          </cell>
        </row>
        <row r="8">
          <cell r="A8" t="str">
            <v>E007</v>
          </cell>
          <cell r="C8" t="str">
            <v>Sales &amp; Marketing</v>
          </cell>
        </row>
        <row r="9">
          <cell r="A9" t="str">
            <v>E008</v>
          </cell>
          <cell r="C9" t="str">
            <v>Sales &amp; Marketing</v>
          </cell>
        </row>
        <row r="10">
          <cell r="A10" t="str">
            <v>E009</v>
          </cell>
          <cell r="C10" t="str">
            <v>Sales &amp; Marketing</v>
          </cell>
        </row>
        <row r="11">
          <cell r="A11" t="str">
            <v>E010</v>
          </cell>
          <cell r="C11" t="str">
            <v>Sales &amp; Marketing</v>
          </cell>
        </row>
        <row r="12">
          <cell r="A12" t="str">
            <v>E011</v>
          </cell>
          <cell r="C12" t="str">
            <v>Sales &amp; Marketing</v>
          </cell>
        </row>
        <row r="13">
          <cell r="A13" t="str">
            <v>E012</v>
          </cell>
          <cell r="C13" t="str">
            <v>Sales &amp; Marketing</v>
          </cell>
        </row>
        <row r="14">
          <cell r="A14" t="str">
            <v>E013</v>
          </cell>
          <cell r="C14" t="str">
            <v>Sales &amp; Marketing</v>
          </cell>
        </row>
        <row r="15">
          <cell r="A15" t="str">
            <v>E014</v>
          </cell>
          <cell r="C15" t="str">
            <v>Sales &amp; Marketing</v>
          </cell>
        </row>
        <row r="16">
          <cell r="A16" t="str">
            <v>E015</v>
          </cell>
          <cell r="C16" t="str">
            <v>Sales &amp; Marketing</v>
          </cell>
        </row>
        <row r="17">
          <cell r="A17" t="str">
            <v>E016</v>
          </cell>
          <cell r="C17" t="str">
            <v>Sales &amp; Marketing</v>
          </cell>
        </row>
        <row r="18">
          <cell r="A18" t="str">
            <v>E017</v>
          </cell>
          <cell r="C18" t="str">
            <v>Sales &amp; Marketing</v>
          </cell>
        </row>
        <row r="19">
          <cell r="A19" t="str">
            <v>E018</v>
          </cell>
          <cell r="C19" t="str">
            <v>Sales &amp; Marketing</v>
          </cell>
        </row>
        <row r="20">
          <cell r="A20" t="str">
            <v>E019</v>
          </cell>
          <cell r="C20" t="str">
            <v>Sales &amp; Marketing</v>
          </cell>
        </row>
        <row r="21">
          <cell r="A21" t="str">
            <v>E020</v>
          </cell>
          <cell r="C21" t="str">
            <v>Sales &amp; Marketing</v>
          </cell>
        </row>
        <row r="22">
          <cell r="A22" t="str">
            <v>E021</v>
          </cell>
          <cell r="C22" t="str">
            <v>Sales &amp; Marketing</v>
          </cell>
        </row>
        <row r="23">
          <cell r="A23" t="str">
            <v>E022</v>
          </cell>
          <cell r="C23" t="str">
            <v>Sales &amp; Marketing</v>
          </cell>
        </row>
        <row r="24">
          <cell r="A24" t="str">
            <v>E023</v>
          </cell>
          <cell r="C24" t="str">
            <v>Sales &amp; Marketing</v>
          </cell>
        </row>
        <row r="25">
          <cell r="A25" t="str">
            <v>E024</v>
          </cell>
          <cell r="C25" t="str">
            <v>Sales &amp; Marketing</v>
          </cell>
        </row>
        <row r="26">
          <cell r="A26" t="str">
            <v>E025</v>
          </cell>
          <cell r="C26" t="str">
            <v>Sales &amp; Marketing</v>
          </cell>
        </row>
        <row r="27">
          <cell r="A27" t="str">
            <v>E026</v>
          </cell>
          <cell r="C27" t="str">
            <v>Sales &amp; Marketing</v>
          </cell>
        </row>
        <row r="28">
          <cell r="A28" t="str">
            <v>E027</v>
          </cell>
          <cell r="C28" t="str">
            <v>Sales &amp; Marketing</v>
          </cell>
        </row>
        <row r="29">
          <cell r="A29" t="str">
            <v>E028</v>
          </cell>
          <cell r="C29" t="str">
            <v>Sales &amp; Marketing</v>
          </cell>
        </row>
        <row r="30">
          <cell r="A30" t="str">
            <v>E029</v>
          </cell>
          <cell r="C30" t="str">
            <v>Sales &amp; Marketing</v>
          </cell>
        </row>
        <row r="31">
          <cell r="A31" t="str">
            <v>E030</v>
          </cell>
          <cell r="C31" t="str">
            <v>Sales &amp; Marketing</v>
          </cell>
        </row>
        <row r="32">
          <cell r="A32" t="str">
            <v>E031</v>
          </cell>
          <cell r="C32" t="str">
            <v>Sales &amp; Marketing</v>
          </cell>
        </row>
        <row r="33">
          <cell r="A33" t="str">
            <v>E032</v>
          </cell>
          <cell r="C33" t="str">
            <v>Sales &amp; Marketing</v>
          </cell>
        </row>
        <row r="34">
          <cell r="A34" t="str">
            <v>E033</v>
          </cell>
          <cell r="C34" t="str">
            <v>Sales &amp; Marketing</v>
          </cell>
        </row>
        <row r="35">
          <cell r="A35" t="str">
            <v>E034</v>
          </cell>
          <cell r="C35" t="str">
            <v>Sales &amp; Marketing</v>
          </cell>
        </row>
        <row r="36">
          <cell r="A36" t="str">
            <v>E035</v>
          </cell>
          <cell r="C36" t="str">
            <v>Sales &amp; Marketing</v>
          </cell>
        </row>
        <row r="37">
          <cell r="A37" t="str">
            <v>E036</v>
          </cell>
          <cell r="C37" t="str">
            <v>Sales &amp; Marketing</v>
          </cell>
        </row>
        <row r="38">
          <cell r="A38" t="str">
            <v>E037</v>
          </cell>
          <cell r="C38" t="str">
            <v>Sales &amp; Marketing</v>
          </cell>
        </row>
        <row r="39">
          <cell r="A39" t="str">
            <v>E038</v>
          </cell>
          <cell r="C39" t="str">
            <v>Sales &amp; Marketing</v>
          </cell>
        </row>
        <row r="40">
          <cell r="A40" t="str">
            <v>E039</v>
          </cell>
          <cell r="C40" t="str">
            <v>Sales &amp; Marketing</v>
          </cell>
        </row>
        <row r="41">
          <cell r="A41" t="str">
            <v>E040</v>
          </cell>
          <cell r="C41" t="str">
            <v>Sales &amp; Marketing</v>
          </cell>
        </row>
        <row r="42">
          <cell r="A42" t="str">
            <v>E041</v>
          </cell>
          <cell r="C42" t="str">
            <v>Sales &amp; Marketing</v>
          </cell>
        </row>
        <row r="43">
          <cell r="A43" t="str">
            <v>E042</v>
          </cell>
          <cell r="C43" t="str">
            <v>Sales &amp; Marketing</v>
          </cell>
        </row>
        <row r="44">
          <cell r="A44" t="str">
            <v>E043</v>
          </cell>
          <cell r="C44" t="str">
            <v>Sales &amp; Marketing</v>
          </cell>
        </row>
        <row r="45">
          <cell r="A45" t="str">
            <v>E044</v>
          </cell>
          <cell r="C45" t="str">
            <v>Sales &amp; Marketing</v>
          </cell>
        </row>
        <row r="46">
          <cell r="A46" t="str">
            <v>E045</v>
          </cell>
          <cell r="C46" t="str">
            <v>Sales &amp; Marketing</v>
          </cell>
        </row>
        <row r="47">
          <cell r="A47" t="str">
            <v>E046</v>
          </cell>
          <cell r="C47" t="str">
            <v>Sales &amp; Marketing</v>
          </cell>
        </row>
        <row r="48">
          <cell r="A48" t="str">
            <v>E047</v>
          </cell>
          <cell r="C48" t="str">
            <v>Sales &amp; Marketing</v>
          </cell>
        </row>
        <row r="49">
          <cell r="A49" t="str">
            <v>E048</v>
          </cell>
          <cell r="C49" t="str">
            <v>Sales &amp; Marketing</v>
          </cell>
        </row>
        <row r="50">
          <cell r="A50" t="str">
            <v>E049</v>
          </cell>
          <cell r="C50" t="str">
            <v>Sales &amp; Marketing</v>
          </cell>
        </row>
        <row r="51">
          <cell r="A51" t="str">
            <v>E050</v>
          </cell>
          <cell r="C51" t="str">
            <v>Sales &amp; Marketing</v>
          </cell>
        </row>
        <row r="52">
          <cell r="A52" t="str">
            <v>E051</v>
          </cell>
          <cell r="C52" t="str">
            <v>Sales &amp; Marketing</v>
          </cell>
        </row>
        <row r="53">
          <cell r="A53" t="str">
            <v>E052</v>
          </cell>
          <cell r="C53" t="str">
            <v>Sales &amp; Marketing</v>
          </cell>
        </row>
        <row r="54">
          <cell r="A54" t="str">
            <v>E053</v>
          </cell>
          <cell r="C54" t="str">
            <v>Sales &amp; Marketing</v>
          </cell>
        </row>
        <row r="55">
          <cell r="A55" t="str">
            <v>E054</v>
          </cell>
          <cell r="C55" t="str">
            <v>Sales &amp; Marketing</v>
          </cell>
        </row>
        <row r="56">
          <cell r="A56" t="str">
            <v>E055</v>
          </cell>
          <cell r="C56" t="str">
            <v>Sales &amp; Marketing</v>
          </cell>
        </row>
        <row r="57">
          <cell r="A57" t="str">
            <v>E056</v>
          </cell>
          <cell r="C57" t="str">
            <v>Sales &amp; Marketing</v>
          </cell>
        </row>
        <row r="58">
          <cell r="A58" t="str">
            <v>E057</v>
          </cell>
          <cell r="C58" t="str">
            <v>Sales &amp; Marketing</v>
          </cell>
        </row>
        <row r="59">
          <cell r="A59" t="str">
            <v>E058</v>
          </cell>
          <cell r="C59" t="str">
            <v>Sales &amp; Marketing</v>
          </cell>
        </row>
        <row r="60">
          <cell r="A60" t="str">
            <v>E059</v>
          </cell>
          <cell r="C60" t="str">
            <v>Sales &amp; Marketing</v>
          </cell>
        </row>
        <row r="61">
          <cell r="A61" t="str">
            <v>E060</v>
          </cell>
          <cell r="C61" t="str">
            <v>Sales &amp; Marketing</v>
          </cell>
        </row>
        <row r="62">
          <cell r="A62" t="str">
            <v>E061</v>
          </cell>
          <cell r="C62" t="str">
            <v>Sales &amp; Marketing</v>
          </cell>
        </row>
        <row r="63">
          <cell r="A63" t="str">
            <v>E062</v>
          </cell>
          <cell r="C63" t="str">
            <v>Sales &amp; Marketing</v>
          </cell>
        </row>
        <row r="64">
          <cell r="A64" t="str">
            <v>E063</v>
          </cell>
          <cell r="C64" t="str">
            <v>Sales &amp; Marketing</v>
          </cell>
        </row>
        <row r="65">
          <cell r="A65" t="str">
            <v>E064</v>
          </cell>
          <cell r="C65" t="str">
            <v>Sales &amp; Marketing</v>
          </cell>
        </row>
        <row r="66">
          <cell r="A66" t="str">
            <v>E065</v>
          </cell>
          <cell r="C66" t="str">
            <v>Sales &amp; Marketing</v>
          </cell>
        </row>
        <row r="67">
          <cell r="A67" t="str">
            <v>E066</v>
          </cell>
          <cell r="C67" t="str">
            <v>Sales &amp; Marketing</v>
          </cell>
        </row>
        <row r="68">
          <cell r="A68" t="str">
            <v>E067</v>
          </cell>
          <cell r="C68" t="str">
            <v>Sales &amp; Marketing</v>
          </cell>
        </row>
        <row r="69">
          <cell r="A69" t="str">
            <v>E068</v>
          </cell>
          <cell r="C69" t="str">
            <v>Sales &amp; Marketing</v>
          </cell>
        </row>
        <row r="70">
          <cell r="A70" t="str">
            <v>E069</v>
          </cell>
          <cell r="C70" t="str">
            <v>Sales &amp; Marketing</v>
          </cell>
        </row>
        <row r="71">
          <cell r="A71" t="str">
            <v>E070</v>
          </cell>
          <cell r="C71" t="str">
            <v>Sales &amp; Marketing</v>
          </cell>
        </row>
        <row r="72">
          <cell r="A72" t="str">
            <v>E071</v>
          </cell>
          <cell r="C72" t="str">
            <v>Underwriting</v>
          </cell>
        </row>
        <row r="73">
          <cell r="A73" t="str">
            <v>E072</v>
          </cell>
          <cell r="C73" t="str">
            <v>Underwriting</v>
          </cell>
        </row>
        <row r="74">
          <cell r="A74" t="str">
            <v>E073</v>
          </cell>
          <cell r="C74" t="str">
            <v>Underwriting</v>
          </cell>
        </row>
        <row r="75">
          <cell r="A75" t="str">
            <v>E074</v>
          </cell>
          <cell r="C75" t="str">
            <v>Underwriting</v>
          </cell>
        </row>
        <row r="76">
          <cell r="A76" t="str">
            <v>E075</v>
          </cell>
          <cell r="C76" t="str">
            <v>Underwriting</v>
          </cell>
        </row>
        <row r="77">
          <cell r="A77" t="str">
            <v>E076</v>
          </cell>
          <cell r="C77" t="str">
            <v>Underwriting</v>
          </cell>
        </row>
        <row r="78">
          <cell r="A78" t="str">
            <v>E077</v>
          </cell>
          <cell r="C78" t="str">
            <v>Underwriting</v>
          </cell>
        </row>
        <row r="79">
          <cell r="A79" t="str">
            <v>E078</v>
          </cell>
          <cell r="C79" t="str">
            <v>Underwriting</v>
          </cell>
        </row>
        <row r="80">
          <cell r="A80" t="str">
            <v>E079</v>
          </cell>
          <cell r="C80" t="str">
            <v>Underwriting</v>
          </cell>
        </row>
        <row r="81">
          <cell r="A81" t="str">
            <v>E080</v>
          </cell>
          <cell r="C81" t="str">
            <v>Underwriting</v>
          </cell>
        </row>
        <row r="82">
          <cell r="A82" t="str">
            <v>E081</v>
          </cell>
          <cell r="C82" t="str">
            <v>Underwriting</v>
          </cell>
        </row>
        <row r="83">
          <cell r="A83" t="str">
            <v>E082</v>
          </cell>
          <cell r="C83" t="str">
            <v>Underwriting</v>
          </cell>
        </row>
        <row r="84">
          <cell r="A84" t="str">
            <v>E083</v>
          </cell>
          <cell r="C84" t="str">
            <v>Underwriting</v>
          </cell>
        </row>
        <row r="85">
          <cell r="A85" t="str">
            <v>E084</v>
          </cell>
          <cell r="C85" t="str">
            <v>Underwriting</v>
          </cell>
        </row>
        <row r="86">
          <cell r="A86" t="str">
            <v>E085</v>
          </cell>
          <cell r="C86" t="str">
            <v>Underwriting</v>
          </cell>
        </row>
        <row r="87">
          <cell r="A87" t="str">
            <v>E086</v>
          </cell>
          <cell r="C87" t="str">
            <v>Underwriting</v>
          </cell>
        </row>
        <row r="88">
          <cell r="A88" t="str">
            <v>E087</v>
          </cell>
          <cell r="C88" t="str">
            <v>Underwriting</v>
          </cell>
        </row>
        <row r="89">
          <cell r="A89" t="str">
            <v>E088</v>
          </cell>
          <cell r="C89" t="str">
            <v>Underwriting</v>
          </cell>
        </row>
        <row r="90">
          <cell r="A90" t="str">
            <v>E089</v>
          </cell>
          <cell r="C90" t="str">
            <v>Underwriting</v>
          </cell>
        </row>
        <row r="91">
          <cell r="A91" t="str">
            <v>E090</v>
          </cell>
          <cell r="C91" t="str">
            <v>Underwriting</v>
          </cell>
        </row>
        <row r="92">
          <cell r="A92" t="str">
            <v>E091</v>
          </cell>
          <cell r="C92" t="str">
            <v>Underwriting</v>
          </cell>
        </row>
        <row r="93">
          <cell r="A93" t="str">
            <v>E092</v>
          </cell>
          <cell r="C93" t="str">
            <v>Underwriting</v>
          </cell>
        </row>
        <row r="94">
          <cell r="A94" t="str">
            <v>E093</v>
          </cell>
          <cell r="C94" t="str">
            <v>Underwriting</v>
          </cell>
        </row>
        <row r="95">
          <cell r="A95" t="str">
            <v>E094</v>
          </cell>
          <cell r="C95" t="str">
            <v>Underwriting</v>
          </cell>
        </row>
        <row r="96">
          <cell r="A96" t="str">
            <v>E095</v>
          </cell>
          <cell r="C96" t="str">
            <v>Underwriting</v>
          </cell>
        </row>
        <row r="97">
          <cell r="A97" t="str">
            <v>E096</v>
          </cell>
          <cell r="C97" t="str">
            <v>Underwriting</v>
          </cell>
        </row>
        <row r="98">
          <cell r="A98" t="str">
            <v>E097</v>
          </cell>
          <cell r="C98" t="str">
            <v>Underwriting</v>
          </cell>
        </row>
        <row r="99">
          <cell r="A99" t="str">
            <v>E098</v>
          </cell>
          <cell r="C99" t="str">
            <v>Underwriting</v>
          </cell>
        </row>
        <row r="100">
          <cell r="A100" t="str">
            <v>E099</v>
          </cell>
          <cell r="C100" t="str">
            <v>Underwriting</v>
          </cell>
        </row>
        <row r="101">
          <cell r="A101" t="str">
            <v>E100</v>
          </cell>
          <cell r="C101" t="str">
            <v>Underwriting</v>
          </cell>
        </row>
        <row r="102">
          <cell r="A102" t="str">
            <v>E101</v>
          </cell>
          <cell r="C102" t="str">
            <v>Underwriting</v>
          </cell>
        </row>
        <row r="103">
          <cell r="A103" t="str">
            <v>E102</v>
          </cell>
          <cell r="C103" t="str">
            <v>Underwriting</v>
          </cell>
        </row>
        <row r="104">
          <cell r="A104" t="str">
            <v>E103</v>
          </cell>
          <cell r="C104" t="str">
            <v>Underwriting</v>
          </cell>
        </row>
        <row r="105">
          <cell r="A105" t="str">
            <v>E104</v>
          </cell>
          <cell r="C105" t="str">
            <v>Underwriting</v>
          </cell>
        </row>
        <row r="106">
          <cell r="A106" t="str">
            <v>E105</v>
          </cell>
          <cell r="C106" t="str">
            <v>Underwriting</v>
          </cell>
        </row>
        <row r="107">
          <cell r="A107" t="str">
            <v>E106</v>
          </cell>
          <cell r="C107" t="str">
            <v>Underwriting</v>
          </cell>
        </row>
        <row r="108">
          <cell r="A108" t="str">
            <v>E107</v>
          </cell>
          <cell r="C108" t="str">
            <v>Underwriting</v>
          </cell>
        </row>
        <row r="109">
          <cell r="A109" t="str">
            <v>E108</v>
          </cell>
          <cell r="C109" t="str">
            <v>Underwriting</v>
          </cell>
        </row>
        <row r="110">
          <cell r="A110" t="str">
            <v>E109</v>
          </cell>
          <cell r="C110" t="str">
            <v>Underwriting</v>
          </cell>
        </row>
        <row r="111">
          <cell r="A111" t="str">
            <v>E110</v>
          </cell>
          <cell r="C111" t="str">
            <v>Underwriting</v>
          </cell>
        </row>
        <row r="112">
          <cell r="A112" t="str">
            <v>E111</v>
          </cell>
          <cell r="C112" t="str">
            <v>Underwriting</v>
          </cell>
        </row>
        <row r="113">
          <cell r="A113" t="str">
            <v>E112</v>
          </cell>
          <cell r="C113" t="str">
            <v>Underwriting</v>
          </cell>
        </row>
        <row r="114">
          <cell r="A114" t="str">
            <v>E113</v>
          </cell>
          <cell r="C114" t="str">
            <v>Underwriting</v>
          </cell>
        </row>
        <row r="115">
          <cell r="A115" t="str">
            <v>E114</v>
          </cell>
          <cell r="C115" t="str">
            <v>Underwriting</v>
          </cell>
        </row>
        <row r="116">
          <cell r="A116" t="str">
            <v>E115</v>
          </cell>
          <cell r="C116" t="str">
            <v>Underwriting</v>
          </cell>
        </row>
        <row r="117">
          <cell r="A117" t="str">
            <v>E116</v>
          </cell>
          <cell r="C117" t="str">
            <v>Claims</v>
          </cell>
        </row>
        <row r="118">
          <cell r="A118" t="str">
            <v>E117</v>
          </cell>
          <cell r="C118" t="str">
            <v>Claims</v>
          </cell>
        </row>
        <row r="119">
          <cell r="A119" t="str">
            <v>E118</v>
          </cell>
          <cell r="C119" t="str">
            <v>Claims</v>
          </cell>
        </row>
        <row r="120">
          <cell r="A120" t="str">
            <v>E119</v>
          </cell>
          <cell r="C120" t="str">
            <v>Claims</v>
          </cell>
        </row>
        <row r="121">
          <cell r="A121" t="str">
            <v>E120</v>
          </cell>
          <cell r="C121" t="str">
            <v>Claims</v>
          </cell>
        </row>
        <row r="122">
          <cell r="A122" t="str">
            <v>E121</v>
          </cell>
          <cell r="C122" t="str">
            <v>Claims</v>
          </cell>
        </row>
        <row r="123">
          <cell r="A123" t="str">
            <v>E122</v>
          </cell>
          <cell r="C123" t="str">
            <v>Claims</v>
          </cell>
        </row>
        <row r="124">
          <cell r="A124" t="str">
            <v>E123</v>
          </cell>
          <cell r="C124" t="str">
            <v>Claims</v>
          </cell>
        </row>
        <row r="125">
          <cell r="A125" t="str">
            <v>E124</v>
          </cell>
          <cell r="C125" t="str">
            <v>Claims</v>
          </cell>
        </row>
        <row r="126">
          <cell r="A126" t="str">
            <v>E125</v>
          </cell>
          <cell r="C126" t="str">
            <v>Claims</v>
          </cell>
        </row>
        <row r="127">
          <cell r="A127" t="str">
            <v>E126</v>
          </cell>
          <cell r="C127" t="str">
            <v>Claims</v>
          </cell>
        </row>
        <row r="128">
          <cell r="A128" t="str">
            <v>E127</v>
          </cell>
          <cell r="C128" t="str">
            <v>Claims</v>
          </cell>
        </row>
        <row r="129">
          <cell r="A129" t="str">
            <v>E128</v>
          </cell>
          <cell r="C129" t="str">
            <v>Claims</v>
          </cell>
        </row>
        <row r="130">
          <cell r="A130" t="str">
            <v>E129</v>
          </cell>
          <cell r="C130" t="str">
            <v>Claims</v>
          </cell>
        </row>
        <row r="131">
          <cell r="A131" t="str">
            <v>E130</v>
          </cell>
          <cell r="C131" t="str">
            <v>Claims</v>
          </cell>
        </row>
        <row r="132">
          <cell r="A132" t="str">
            <v>E131</v>
          </cell>
          <cell r="C132" t="str">
            <v>Claims</v>
          </cell>
        </row>
        <row r="133">
          <cell r="A133" t="str">
            <v>E132</v>
          </cell>
          <cell r="C133" t="str">
            <v>Claims</v>
          </cell>
        </row>
        <row r="134">
          <cell r="A134" t="str">
            <v>E133</v>
          </cell>
          <cell r="C134" t="str">
            <v>Claims</v>
          </cell>
        </row>
        <row r="135">
          <cell r="A135" t="str">
            <v>E134</v>
          </cell>
          <cell r="C135" t="str">
            <v>Claims</v>
          </cell>
        </row>
        <row r="136">
          <cell r="A136" t="str">
            <v>E135</v>
          </cell>
          <cell r="C136" t="str">
            <v>Claims</v>
          </cell>
        </row>
        <row r="137">
          <cell r="A137" t="str">
            <v>E136</v>
          </cell>
          <cell r="C137" t="str">
            <v>Claims</v>
          </cell>
        </row>
        <row r="138">
          <cell r="A138" t="str">
            <v>E137</v>
          </cell>
          <cell r="C138" t="str">
            <v>Claims</v>
          </cell>
        </row>
        <row r="139">
          <cell r="A139" t="str">
            <v>E138</v>
          </cell>
          <cell r="C139" t="str">
            <v>Claims</v>
          </cell>
        </row>
        <row r="140">
          <cell r="A140" t="str">
            <v>E139</v>
          </cell>
          <cell r="C140" t="str">
            <v>Claims</v>
          </cell>
        </row>
        <row r="141">
          <cell r="A141" t="str">
            <v>E140</v>
          </cell>
          <cell r="C141" t="str">
            <v>Claims</v>
          </cell>
        </row>
        <row r="142">
          <cell r="A142" t="str">
            <v>E141</v>
          </cell>
          <cell r="C142" t="str">
            <v>Claims</v>
          </cell>
        </row>
        <row r="143">
          <cell r="A143" t="str">
            <v>E142</v>
          </cell>
          <cell r="C143" t="str">
            <v>Claims</v>
          </cell>
        </row>
        <row r="144">
          <cell r="A144" t="str">
            <v>E143</v>
          </cell>
          <cell r="C144" t="str">
            <v>Claims</v>
          </cell>
        </row>
        <row r="145">
          <cell r="A145" t="str">
            <v>E144</v>
          </cell>
          <cell r="C145" t="str">
            <v>Claims</v>
          </cell>
        </row>
        <row r="146">
          <cell r="A146" t="str">
            <v>E145</v>
          </cell>
          <cell r="C146" t="str">
            <v>Claims</v>
          </cell>
        </row>
        <row r="147">
          <cell r="A147" t="str">
            <v>E146</v>
          </cell>
          <cell r="C147" t="str">
            <v>Claims</v>
          </cell>
        </row>
        <row r="148">
          <cell r="A148" t="str">
            <v>E147</v>
          </cell>
          <cell r="C148" t="str">
            <v>Claims</v>
          </cell>
        </row>
        <row r="149">
          <cell r="A149" t="str">
            <v>E148</v>
          </cell>
          <cell r="C149" t="str">
            <v>Claims</v>
          </cell>
        </row>
        <row r="150">
          <cell r="A150" t="str">
            <v>E149</v>
          </cell>
          <cell r="C150" t="str">
            <v>Claims</v>
          </cell>
        </row>
        <row r="151">
          <cell r="A151" t="str">
            <v>E150</v>
          </cell>
          <cell r="C151" t="str">
            <v>Claims</v>
          </cell>
        </row>
        <row r="152">
          <cell r="A152" t="str">
            <v>E151</v>
          </cell>
          <cell r="C152" t="str">
            <v>Customer Support</v>
          </cell>
        </row>
        <row r="153">
          <cell r="A153" t="str">
            <v>E152</v>
          </cell>
          <cell r="C153" t="str">
            <v>Customer Support</v>
          </cell>
        </row>
        <row r="154">
          <cell r="A154" t="str">
            <v>E153</v>
          </cell>
          <cell r="C154" t="str">
            <v>Customer Support</v>
          </cell>
        </row>
        <row r="155">
          <cell r="A155" t="str">
            <v>E154</v>
          </cell>
          <cell r="C155" t="str">
            <v>Customer Support</v>
          </cell>
        </row>
        <row r="156">
          <cell r="A156" t="str">
            <v>E155</v>
          </cell>
          <cell r="C156" t="str">
            <v>Customer Support</v>
          </cell>
        </row>
        <row r="157">
          <cell r="A157" t="str">
            <v>E156</v>
          </cell>
          <cell r="C157" t="str">
            <v>Customer Support</v>
          </cell>
        </row>
        <row r="158">
          <cell r="A158" t="str">
            <v>E157</v>
          </cell>
          <cell r="C158" t="str">
            <v>Customer Support</v>
          </cell>
        </row>
        <row r="159">
          <cell r="A159" t="str">
            <v>E158</v>
          </cell>
          <cell r="C159" t="str">
            <v>Customer Support</v>
          </cell>
        </row>
        <row r="160">
          <cell r="A160" t="str">
            <v>E159</v>
          </cell>
          <cell r="C160" t="str">
            <v>Customer Support</v>
          </cell>
        </row>
        <row r="161">
          <cell r="A161" t="str">
            <v>E160</v>
          </cell>
          <cell r="C161" t="str">
            <v>Customer Support</v>
          </cell>
        </row>
        <row r="162">
          <cell r="A162" t="str">
            <v>E161</v>
          </cell>
          <cell r="C162" t="str">
            <v>Customer Support</v>
          </cell>
        </row>
        <row r="163">
          <cell r="A163" t="str">
            <v>E162</v>
          </cell>
          <cell r="C163" t="str">
            <v>Customer Support</v>
          </cell>
        </row>
        <row r="164">
          <cell r="A164" t="str">
            <v>E163</v>
          </cell>
          <cell r="C164" t="str">
            <v>Customer Support</v>
          </cell>
        </row>
        <row r="165">
          <cell r="A165" t="str">
            <v>E164</v>
          </cell>
          <cell r="C165" t="str">
            <v>Customer Support</v>
          </cell>
        </row>
        <row r="166">
          <cell r="A166" t="str">
            <v>E165</v>
          </cell>
          <cell r="C166" t="str">
            <v>Customer Support</v>
          </cell>
        </row>
        <row r="167">
          <cell r="A167" t="str">
            <v>E166</v>
          </cell>
          <cell r="C167" t="str">
            <v>Customer Support</v>
          </cell>
        </row>
        <row r="168">
          <cell r="A168" t="str">
            <v>E167</v>
          </cell>
          <cell r="C168" t="str">
            <v>Customer Support</v>
          </cell>
        </row>
        <row r="169">
          <cell r="A169" t="str">
            <v>E168</v>
          </cell>
          <cell r="C169" t="str">
            <v>Customer Support</v>
          </cell>
        </row>
        <row r="170">
          <cell r="A170" t="str">
            <v>E169</v>
          </cell>
          <cell r="C170" t="str">
            <v>Customer Support</v>
          </cell>
        </row>
        <row r="171">
          <cell r="A171" t="str">
            <v>E170</v>
          </cell>
          <cell r="C171" t="str">
            <v>Customer Support</v>
          </cell>
        </row>
        <row r="172">
          <cell r="A172" t="str">
            <v>E171</v>
          </cell>
          <cell r="C172" t="str">
            <v>Customer Support</v>
          </cell>
        </row>
        <row r="173">
          <cell r="A173" t="str">
            <v>E172</v>
          </cell>
          <cell r="C173" t="str">
            <v>Customer Support</v>
          </cell>
        </row>
        <row r="174">
          <cell r="A174" t="str">
            <v>E173</v>
          </cell>
          <cell r="C174" t="str">
            <v>Customer Support</v>
          </cell>
        </row>
        <row r="175">
          <cell r="A175" t="str">
            <v>E174</v>
          </cell>
          <cell r="C175" t="str">
            <v>Customer Support</v>
          </cell>
        </row>
        <row r="176">
          <cell r="A176" t="str">
            <v>E175</v>
          </cell>
          <cell r="C176" t="str">
            <v>Customer Support</v>
          </cell>
        </row>
        <row r="177">
          <cell r="A177" t="str">
            <v>E176</v>
          </cell>
          <cell r="C177" t="str">
            <v>Customer Support</v>
          </cell>
        </row>
        <row r="178">
          <cell r="A178" t="str">
            <v>E177</v>
          </cell>
          <cell r="C178" t="str">
            <v>Customer Support</v>
          </cell>
        </row>
        <row r="179">
          <cell r="A179" t="str">
            <v>E178</v>
          </cell>
          <cell r="C179" t="str">
            <v>Customer Support</v>
          </cell>
        </row>
        <row r="180">
          <cell r="A180" t="str">
            <v>E179</v>
          </cell>
          <cell r="C180" t="str">
            <v>Customer Support</v>
          </cell>
        </row>
        <row r="181">
          <cell r="A181" t="str">
            <v>E180</v>
          </cell>
          <cell r="C181" t="str">
            <v>Customer Support</v>
          </cell>
        </row>
        <row r="182">
          <cell r="A182" t="str">
            <v>E181</v>
          </cell>
          <cell r="C182" t="str">
            <v>Finance</v>
          </cell>
        </row>
        <row r="183">
          <cell r="A183" t="str">
            <v>E182</v>
          </cell>
          <cell r="C183" t="str">
            <v>Finance</v>
          </cell>
        </row>
        <row r="184">
          <cell r="A184" t="str">
            <v>E183</v>
          </cell>
          <cell r="C184" t="str">
            <v>Finance</v>
          </cell>
        </row>
        <row r="185">
          <cell r="A185" t="str">
            <v>E184</v>
          </cell>
          <cell r="C185" t="str">
            <v>Finance</v>
          </cell>
        </row>
        <row r="186">
          <cell r="A186" t="str">
            <v>E185</v>
          </cell>
          <cell r="C186" t="str">
            <v>Finance</v>
          </cell>
        </row>
        <row r="187">
          <cell r="A187" t="str">
            <v>E186</v>
          </cell>
          <cell r="C187" t="str">
            <v>Finance</v>
          </cell>
        </row>
        <row r="188">
          <cell r="A188" t="str">
            <v>E187</v>
          </cell>
          <cell r="C188" t="str">
            <v>Finance</v>
          </cell>
        </row>
        <row r="189">
          <cell r="A189" t="str">
            <v>E188</v>
          </cell>
          <cell r="C189" t="str">
            <v>Finance</v>
          </cell>
        </row>
        <row r="190">
          <cell r="A190" t="str">
            <v>E189</v>
          </cell>
          <cell r="C190" t="str">
            <v>Finance</v>
          </cell>
        </row>
        <row r="191">
          <cell r="A191" t="str">
            <v>E190</v>
          </cell>
          <cell r="C191" t="str">
            <v>Finance</v>
          </cell>
        </row>
        <row r="192">
          <cell r="A192" t="str">
            <v>E191</v>
          </cell>
          <cell r="C192" t="str">
            <v>Finance</v>
          </cell>
        </row>
        <row r="193">
          <cell r="A193" t="str">
            <v>E192</v>
          </cell>
          <cell r="C193" t="str">
            <v>Finance</v>
          </cell>
        </row>
        <row r="194">
          <cell r="A194" t="str">
            <v>E193</v>
          </cell>
          <cell r="C194" t="str">
            <v>Finance</v>
          </cell>
        </row>
        <row r="195">
          <cell r="A195" t="str">
            <v>E194</v>
          </cell>
          <cell r="C195" t="str">
            <v>Finance</v>
          </cell>
        </row>
        <row r="196">
          <cell r="A196" t="str">
            <v>E195</v>
          </cell>
          <cell r="C196" t="str">
            <v>Finance</v>
          </cell>
        </row>
        <row r="197">
          <cell r="A197" t="str">
            <v>E196</v>
          </cell>
          <cell r="C197" t="str">
            <v>Finance</v>
          </cell>
        </row>
        <row r="198">
          <cell r="A198" t="str">
            <v>E197</v>
          </cell>
          <cell r="C198" t="str">
            <v>Finance</v>
          </cell>
        </row>
        <row r="199">
          <cell r="A199" t="str">
            <v>E198</v>
          </cell>
          <cell r="C199" t="str">
            <v>Finance</v>
          </cell>
        </row>
        <row r="200">
          <cell r="A200" t="str">
            <v>E199</v>
          </cell>
          <cell r="C200" t="str">
            <v>Finance</v>
          </cell>
        </row>
        <row r="201">
          <cell r="A201" t="str">
            <v>E200</v>
          </cell>
          <cell r="C201" t="str">
            <v>Finance</v>
          </cell>
        </row>
        <row r="202">
          <cell r="A202" t="str">
            <v>E201</v>
          </cell>
          <cell r="C202" t="str">
            <v>Finance</v>
          </cell>
        </row>
        <row r="203">
          <cell r="A203" t="str">
            <v>E202</v>
          </cell>
          <cell r="C203" t="str">
            <v>Finance</v>
          </cell>
        </row>
        <row r="204">
          <cell r="A204" t="str">
            <v>E203</v>
          </cell>
          <cell r="C204" t="str">
            <v>Finance</v>
          </cell>
        </row>
        <row r="205">
          <cell r="A205" t="str">
            <v>E204</v>
          </cell>
          <cell r="C205" t="str">
            <v>Finance</v>
          </cell>
        </row>
        <row r="206">
          <cell r="A206" t="str">
            <v>E205</v>
          </cell>
          <cell r="C206" t="str">
            <v>Finance</v>
          </cell>
        </row>
        <row r="207">
          <cell r="A207" t="str">
            <v>E206</v>
          </cell>
          <cell r="C207" t="str">
            <v>Finance</v>
          </cell>
        </row>
        <row r="208">
          <cell r="A208" t="str">
            <v>E207</v>
          </cell>
          <cell r="C208" t="str">
            <v>Finance</v>
          </cell>
        </row>
        <row r="209">
          <cell r="A209" t="str">
            <v>E208</v>
          </cell>
          <cell r="C209" t="str">
            <v>Actuarial &amp; Risk</v>
          </cell>
        </row>
        <row r="210">
          <cell r="A210" t="str">
            <v>E209</v>
          </cell>
          <cell r="C210" t="str">
            <v>Actuarial &amp; Risk</v>
          </cell>
        </row>
        <row r="211">
          <cell r="A211" t="str">
            <v>E210</v>
          </cell>
          <cell r="C211" t="str">
            <v>Actuarial &amp; Risk</v>
          </cell>
        </row>
        <row r="212">
          <cell r="A212" t="str">
            <v>E211</v>
          </cell>
          <cell r="C212" t="str">
            <v>Actuarial &amp; Risk</v>
          </cell>
        </row>
        <row r="213">
          <cell r="A213" t="str">
            <v>E212</v>
          </cell>
          <cell r="C213" t="str">
            <v>Actuarial &amp; Risk</v>
          </cell>
        </row>
        <row r="214">
          <cell r="A214" t="str">
            <v>E213</v>
          </cell>
          <cell r="C214" t="str">
            <v>Actuarial &amp; Risk</v>
          </cell>
        </row>
        <row r="215">
          <cell r="A215" t="str">
            <v>E214</v>
          </cell>
          <cell r="C215" t="str">
            <v>Actuarial &amp; Risk</v>
          </cell>
        </row>
        <row r="216">
          <cell r="A216" t="str">
            <v>E215</v>
          </cell>
          <cell r="C216" t="str">
            <v>Actuarial &amp; Risk</v>
          </cell>
        </row>
        <row r="217">
          <cell r="A217" t="str">
            <v>E216</v>
          </cell>
          <cell r="C217" t="str">
            <v>Actuarial &amp; Risk</v>
          </cell>
        </row>
        <row r="218">
          <cell r="A218" t="str">
            <v>E217</v>
          </cell>
          <cell r="C218" t="str">
            <v>Actuarial &amp; Risk</v>
          </cell>
        </row>
        <row r="219">
          <cell r="A219" t="str">
            <v>E218</v>
          </cell>
          <cell r="C219" t="str">
            <v>Actuarial &amp; Risk</v>
          </cell>
        </row>
        <row r="220">
          <cell r="A220" t="str">
            <v>E219</v>
          </cell>
          <cell r="C220" t="str">
            <v>Actuarial &amp; Risk</v>
          </cell>
        </row>
        <row r="221">
          <cell r="A221" t="str">
            <v>E220</v>
          </cell>
          <cell r="C221" t="str">
            <v>Actuarial &amp; Risk</v>
          </cell>
        </row>
        <row r="222">
          <cell r="A222" t="str">
            <v>E221</v>
          </cell>
          <cell r="C222" t="str">
            <v>Actuarial &amp; Risk</v>
          </cell>
        </row>
        <row r="223">
          <cell r="A223" t="str">
            <v>E222</v>
          </cell>
          <cell r="C223" t="str">
            <v>Actuarial &amp; Risk</v>
          </cell>
        </row>
        <row r="224">
          <cell r="A224" t="str">
            <v>E223</v>
          </cell>
          <cell r="C224" t="str">
            <v>Actuarial &amp; Risk</v>
          </cell>
        </row>
        <row r="225">
          <cell r="A225" t="str">
            <v>E224</v>
          </cell>
          <cell r="C225" t="str">
            <v>Actuarial &amp; Risk</v>
          </cell>
        </row>
        <row r="226">
          <cell r="A226" t="str">
            <v>E225</v>
          </cell>
          <cell r="C226" t="str">
            <v>Actuarial &amp; Risk</v>
          </cell>
        </row>
        <row r="227">
          <cell r="A227" t="str">
            <v>E226</v>
          </cell>
          <cell r="C227" t="str">
            <v>Actuarial &amp; Risk</v>
          </cell>
        </row>
        <row r="228">
          <cell r="A228" t="str">
            <v>E227</v>
          </cell>
          <cell r="C228" t="str">
            <v>Actuarial &amp; Risk</v>
          </cell>
        </row>
        <row r="229">
          <cell r="A229" t="str">
            <v>E228</v>
          </cell>
          <cell r="C229" t="str">
            <v>Actuarial &amp; Risk</v>
          </cell>
        </row>
        <row r="230">
          <cell r="A230" t="str">
            <v>E229</v>
          </cell>
          <cell r="C230" t="str">
            <v>Actuarial &amp; Risk</v>
          </cell>
        </row>
        <row r="231">
          <cell r="A231" t="str">
            <v>E230</v>
          </cell>
          <cell r="C231" t="str">
            <v>Actuarial &amp; Risk</v>
          </cell>
        </row>
        <row r="232">
          <cell r="A232" t="str">
            <v>E231</v>
          </cell>
          <cell r="C232" t="str">
            <v>Actuarial &amp; Risk</v>
          </cell>
        </row>
        <row r="233">
          <cell r="A233" t="str">
            <v>E232</v>
          </cell>
          <cell r="C233" t="str">
            <v>Actuarial &amp; Risk</v>
          </cell>
        </row>
        <row r="234">
          <cell r="A234" t="str">
            <v>E233</v>
          </cell>
          <cell r="C234" t="str">
            <v>IT &amp; Platform Engineering</v>
          </cell>
        </row>
        <row r="235">
          <cell r="A235" t="str">
            <v>E234</v>
          </cell>
          <cell r="C235" t="str">
            <v>IT &amp; Platform Engineering</v>
          </cell>
        </row>
        <row r="236">
          <cell r="A236" t="str">
            <v>E235</v>
          </cell>
          <cell r="C236" t="str">
            <v>IT &amp; Platform Engineering</v>
          </cell>
        </row>
        <row r="237">
          <cell r="A237" t="str">
            <v>E236</v>
          </cell>
          <cell r="C237" t="str">
            <v>IT &amp; Platform Engineering</v>
          </cell>
        </row>
        <row r="238">
          <cell r="A238" t="str">
            <v>E237</v>
          </cell>
          <cell r="C238" t="str">
            <v>IT &amp; Platform Engineering</v>
          </cell>
        </row>
        <row r="239">
          <cell r="A239" t="str">
            <v>E238</v>
          </cell>
          <cell r="C239" t="str">
            <v>IT &amp; Platform Engineering</v>
          </cell>
        </row>
        <row r="240">
          <cell r="A240" t="str">
            <v>E239</v>
          </cell>
          <cell r="C240" t="str">
            <v>IT &amp; Platform Engineering</v>
          </cell>
        </row>
        <row r="241">
          <cell r="A241" t="str">
            <v>E240</v>
          </cell>
          <cell r="C241" t="str">
            <v>IT &amp; Platform Engineering</v>
          </cell>
        </row>
        <row r="242">
          <cell r="A242" t="str">
            <v>E241</v>
          </cell>
          <cell r="C242" t="str">
            <v>IT &amp; Platform Engineering</v>
          </cell>
        </row>
        <row r="243">
          <cell r="A243" t="str">
            <v>E242</v>
          </cell>
          <cell r="C243" t="str">
            <v>IT &amp; Platform Engineering</v>
          </cell>
        </row>
        <row r="244">
          <cell r="A244" t="str">
            <v>E243</v>
          </cell>
          <cell r="C244" t="str">
            <v>IT &amp; Platform Engineering</v>
          </cell>
        </row>
        <row r="245">
          <cell r="A245" t="str">
            <v>E244</v>
          </cell>
          <cell r="C245" t="str">
            <v>IT &amp; Platform Engineering</v>
          </cell>
        </row>
        <row r="246">
          <cell r="A246" t="str">
            <v>E245</v>
          </cell>
          <cell r="C246" t="str">
            <v>IT &amp; Platform Engineering</v>
          </cell>
        </row>
        <row r="247">
          <cell r="A247" t="str">
            <v>E246</v>
          </cell>
          <cell r="C247" t="str">
            <v>IT &amp; Platform Engineering</v>
          </cell>
        </row>
        <row r="248">
          <cell r="A248" t="str">
            <v>E247</v>
          </cell>
          <cell r="C248" t="str">
            <v>IT &amp; Platform Engineering</v>
          </cell>
        </row>
        <row r="249">
          <cell r="A249" t="str">
            <v>E248</v>
          </cell>
          <cell r="C249" t="str">
            <v>IT &amp; Platform Engineering</v>
          </cell>
        </row>
        <row r="250">
          <cell r="A250" t="str">
            <v>E249</v>
          </cell>
          <cell r="C250" t="str">
            <v>IT &amp; Platform Engineering</v>
          </cell>
        </row>
        <row r="251">
          <cell r="A251" t="str">
            <v>E250</v>
          </cell>
          <cell r="C251" t="str">
            <v>IT &amp; Platform Engineering</v>
          </cell>
        </row>
        <row r="252">
          <cell r="A252" t="str">
            <v>E251</v>
          </cell>
          <cell r="C252" t="str">
            <v>IT &amp; Platform Engineering</v>
          </cell>
        </row>
        <row r="253">
          <cell r="A253" t="str">
            <v>E252</v>
          </cell>
          <cell r="C253" t="str">
            <v>IT &amp; Platform Engineering</v>
          </cell>
        </row>
        <row r="254">
          <cell r="A254" t="str">
            <v>E253</v>
          </cell>
          <cell r="C254" t="str">
            <v>IT &amp; Platform Engineering</v>
          </cell>
        </row>
        <row r="255">
          <cell r="A255" t="str">
            <v>E254</v>
          </cell>
          <cell r="C255" t="str">
            <v>Executive &amp; Corporate</v>
          </cell>
        </row>
        <row r="256">
          <cell r="A256" t="str">
            <v>E255</v>
          </cell>
          <cell r="C256" t="str">
            <v>Executive &amp; Corporate</v>
          </cell>
        </row>
        <row r="257">
          <cell r="A257" t="str">
            <v>E256</v>
          </cell>
          <cell r="C257" t="str">
            <v>Executive &amp; Corporate</v>
          </cell>
        </row>
        <row r="258">
          <cell r="A258" t="str">
            <v>E257</v>
          </cell>
          <cell r="C258" t="str">
            <v>Executive &amp; Corporate</v>
          </cell>
        </row>
        <row r="259">
          <cell r="A259" t="str">
            <v>E258</v>
          </cell>
          <cell r="C259" t="str">
            <v>Executive &amp; Corporate</v>
          </cell>
        </row>
        <row r="260">
          <cell r="A260" t="str">
            <v>E259</v>
          </cell>
          <cell r="C260" t="str">
            <v>Executive &amp; Corporate</v>
          </cell>
        </row>
        <row r="261">
          <cell r="A261" t="str">
            <v>E260</v>
          </cell>
          <cell r="C261" t="str">
            <v>Executive &amp; Corporate</v>
          </cell>
        </row>
        <row r="262">
          <cell r="A262" t="str">
            <v>E261</v>
          </cell>
          <cell r="C262" t="str">
            <v>HR &amp; Events</v>
          </cell>
        </row>
        <row r="263">
          <cell r="A263" t="str">
            <v>E262</v>
          </cell>
          <cell r="C263" t="str">
            <v>HR &amp; Events</v>
          </cell>
        </row>
        <row r="264">
          <cell r="A264" t="str">
            <v>E263</v>
          </cell>
          <cell r="C264" t="str">
            <v>HR &amp; Events</v>
          </cell>
        </row>
        <row r="265">
          <cell r="A265" t="str">
            <v>E264</v>
          </cell>
          <cell r="C265" t="str">
            <v>HR &amp; Events</v>
          </cell>
        </row>
        <row r="266">
          <cell r="A266" t="str">
            <v>E265</v>
          </cell>
          <cell r="C266" t="str">
            <v>HR &amp; Events</v>
          </cell>
        </row>
        <row r="267">
          <cell r="A267" t="str">
            <v>E266</v>
          </cell>
          <cell r="C267" t="str">
            <v>HR &amp; Events</v>
          </cell>
        </row>
        <row r="268">
          <cell r="A268" t="str">
            <v>E267</v>
          </cell>
          <cell r="C268" t="str">
            <v>HR &amp; Events</v>
          </cell>
        </row>
        <row r="269">
          <cell r="A269" t="str">
            <v>E268</v>
          </cell>
          <cell r="C269" t="str">
            <v>HR &amp; Events</v>
          </cell>
        </row>
        <row r="270">
          <cell r="A270" t="str">
            <v>E269</v>
          </cell>
          <cell r="C270" t="str">
            <v>HR &amp; Events</v>
          </cell>
        </row>
        <row r="271">
          <cell r="A271" t="str">
            <v>E270</v>
          </cell>
          <cell r="C271" t="str">
            <v>HR &amp; Events</v>
          </cell>
        </row>
        <row r="272">
          <cell r="A272" t="str">
            <v>E271</v>
          </cell>
          <cell r="C272" t="str">
            <v>HR &amp; Events</v>
          </cell>
        </row>
        <row r="273">
          <cell r="A273" t="str">
            <v>E272</v>
          </cell>
          <cell r="C273" t="str">
            <v>HR &amp; Events</v>
          </cell>
        </row>
        <row r="274">
          <cell r="A274" t="str">
            <v>E273</v>
          </cell>
          <cell r="C274" t="str">
            <v>HR &amp; Events</v>
          </cell>
        </row>
        <row r="275">
          <cell r="A275" t="str">
            <v>E274</v>
          </cell>
          <cell r="C275" t="str">
            <v>HR &amp; Events</v>
          </cell>
        </row>
        <row r="276">
          <cell r="A276" t="str">
            <v>E275</v>
          </cell>
          <cell r="C276" t="str">
            <v>HR &amp; Events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gatsya" refreshedDate="46286.632656134258" createdVersion="8" refreshedVersion="8" minRefreshableVersion="3" recordCount="3634" xr:uid="{52E22CE0-E060-4CEC-A54B-E54A2E489942}">
  <cacheSource type="worksheet">
    <worksheetSource ref="A1:O3635" sheet="Transactions"/>
  </cacheSource>
  <cacheFields count="15">
    <cacheField name="ExpID" numFmtId="0">
      <sharedItems/>
    </cacheField>
    <cacheField name="EmpID" numFmtId="0">
      <sharedItems/>
    </cacheField>
    <cacheField name="TransactionID" numFmtId="0">
      <sharedItems containsBlank="1"/>
    </cacheField>
    <cacheField name="ExpenseDate" numFmtId="164">
      <sharedItems containsSemiMixedTypes="0" containsNonDate="0" containsDate="1" containsString="0" minDate="2026-01-01T00:00:00" maxDate="2026-07-01T00:00:00"/>
    </cacheField>
    <cacheField name="SubmissionDate" numFmtId="164">
      <sharedItems containsSemiMixedTypes="0" containsNonDate="0" containsDate="1" containsString="0" minDate="2026-01-01T00:00:00" maxDate="2026-07-01T00:00:00"/>
    </cacheField>
    <cacheField name="Merchant" numFmtId="0">
      <sharedItems/>
    </cacheField>
    <cacheField name="MCC" numFmtId="0">
      <sharedItems/>
    </cacheField>
    <cacheField name="Category_SelfReported" numFmtId="0">
      <sharedItems containsBlank="1"/>
    </cacheField>
    <cacheField name="Amount" numFmtId="165">
      <sharedItems containsSemiMixedTypes="0" containsString="0" containsNumber="1" minValue="5.01" maxValue="697.54"/>
    </cacheField>
    <cacheField name="PaymentMethod" numFmtId="0">
      <sharedItems/>
    </cacheField>
    <cacheField name="ReasonIfPersonal" numFmtId="0">
      <sharedItems containsBlank="1"/>
    </cacheField>
    <cacheField name="ReceiptAttached" numFmtId="0">
      <sharedItems/>
    </cacheField>
    <cacheField name="FinalCategory" numFmtId="0">
      <sharedItems/>
    </cacheField>
    <cacheField name="CategoryCheck" numFmtId="0">
      <sharedItems/>
    </cacheField>
    <cacheField name="Department" numFmtId="0">
      <sharedItems count="9">
        <s v="Sales &amp; Marketing"/>
        <s v="IT &amp; Platform Engineering"/>
        <s v="Underwriting"/>
        <s v="HR &amp; Events"/>
        <s v="Actuarial &amp; Risk"/>
        <s v="Finance"/>
        <s v="Customer Support"/>
        <s v="Claims"/>
        <s v="Executive &amp; Corp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4">
  <r>
    <s v="EXP100000"/>
    <s v="E046"/>
    <s v="AX796358997"/>
    <d v="2026-01-01T00:00:00"/>
    <d v="2026-01-01T00:00:00"/>
    <s v="SOUTHWEST AIR 5261823"/>
    <s v="4511"/>
    <s v="Travel"/>
    <n v="421.91"/>
    <s v="Corporate Amex"/>
    <m/>
    <s v="Y"/>
    <s v="Travel"/>
    <s v="MATCH"/>
    <x v="0"/>
  </r>
  <r>
    <s v="EXP100001"/>
    <s v="E034"/>
    <s v="AX702910218"/>
    <d v="2026-01-02T00:00:00"/>
    <d v="2026-01-02T00:00:00"/>
    <s v="SQ *JOES COFFEE"/>
    <s v="5812"/>
    <s v="Meals"/>
    <n v="10.88"/>
    <s v="Corporate Amex"/>
    <m/>
    <s v="Y"/>
    <s v="Meals"/>
    <s v="MATCH"/>
    <x v="0"/>
  </r>
  <r>
    <s v="EXP100002"/>
    <s v="E245"/>
    <s v="ax306239836"/>
    <d v="2026-01-02T00:00:00"/>
    <d v="2026-01-02T00:00:00"/>
    <s v="MARRIOTT #4471"/>
    <s v="7011"/>
    <s v="Lodging"/>
    <n v="147.63999999999999"/>
    <s v="Corporate Amex"/>
    <m/>
    <s v="N"/>
    <s v="Lodging"/>
    <s v="MATCH"/>
    <x v="1"/>
  </r>
  <r>
    <s v="EXP100003"/>
    <s v="E003"/>
    <s v="AX-471430209"/>
    <d v="2026-01-01T00:00:00"/>
    <d v="2026-01-02T00:00:00"/>
    <s v="AMC THEATRES 0021"/>
    <s v="7832"/>
    <s v="Entertainment"/>
    <n v="23.5"/>
    <s v="Corporate Amex"/>
    <m/>
    <s v="N"/>
    <s v="Entertainment"/>
    <s v="MATCH"/>
    <x v="0"/>
  </r>
  <r>
    <s v="EXP100004"/>
    <s v="E060"/>
    <s v="AX277703916"/>
    <d v="2026-01-02T00:00:00"/>
    <d v="2026-01-02T00:00:00"/>
    <s v="DELTA AIR 00623891045"/>
    <s v="4511"/>
    <s v="Travel"/>
    <n v="477.78"/>
    <s v="Corporate Amex"/>
    <m/>
    <s v="N"/>
    <s v="Travel"/>
    <s v="MATCH"/>
    <x v="0"/>
  </r>
  <r>
    <s v="EXP100005"/>
    <s v="E051"/>
    <s v="AX170388883"/>
    <d v="2026-01-01T00:00:00"/>
    <d v="2026-01-02T00:00:00"/>
    <s v="ADOBE *CREATIVE CLOUD"/>
    <s v="5734"/>
    <s v="Meals"/>
    <n v="46.08"/>
    <s v="Corporate Amex"/>
    <m/>
    <s v="Y"/>
    <s v="Software"/>
    <s v="MISMATCH"/>
    <x v="0"/>
  </r>
  <r>
    <s v="EXP100006"/>
    <s v="E005"/>
    <s v="AX256030931"/>
    <d v="2026-01-02T00:00:00"/>
    <d v="2026-01-02T00:00:00"/>
    <s v="TOTAL PARTY RENTAL"/>
    <s v="7999"/>
    <s v="Events"/>
    <n v="215.53"/>
    <s v="Corporate Amex"/>
    <m/>
    <s v="Y"/>
    <s v="Events"/>
    <s v="MATCH"/>
    <x v="0"/>
  </r>
  <r>
    <s v="EXP100007"/>
    <s v="E057"/>
    <s v="AX-738070828"/>
    <d v="2026-01-03T00:00:00"/>
    <d v="2026-01-03T00:00:00"/>
    <s v="LYFT RIDE THU"/>
    <s v="4121"/>
    <s v="Transportation"/>
    <n v="51.17"/>
    <s v="Corporate Amex"/>
    <m/>
    <s v="Y"/>
    <s v="Transportation"/>
    <s v="MATCH"/>
    <x v="0"/>
  </r>
  <r>
    <s v="EXP100008"/>
    <s v="E029"/>
    <m/>
    <d v="2026-01-01T00:00:00"/>
    <d v="2026-01-03T00:00:00"/>
    <s v="UBER TRIP HELP.UBER"/>
    <s v="4121"/>
    <s v="Transportation"/>
    <n v="28.57"/>
    <s v="Corporate Amex"/>
    <m/>
    <s v="Y"/>
    <s v="Transportation"/>
    <s v="MATCH"/>
    <x v="0"/>
  </r>
  <r>
    <s v="EXP100009"/>
    <s v="E109"/>
    <s v="AX455963115"/>
    <d v="2026-01-03T00:00:00"/>
    <d v="2026-01-03T00:00:00"/>
    <s v="BRANDWATCH LTD"/>
    <s v="5734"/>
    <s v="Software"/>
    <n v="583.36"/>
    <s v="Corporate Amex"/>
    <m/>
    <s v="Y"/>
    <s v="Software"/>
    <s v="MATCH"/>
    <x v="2"/>
  </r>
  <r>
    <s v="EXP100010"/>
    <s v="E060"/>
    <s v="AX-880479202"/>
    <d v="2026-01-02T00:00:00"/>
    <d v="2026-01-03T00:00:00"/>
    <s v="SPROUT SOCIAL"/>
    <s v="5734"/>
    <s v="Software"/>
    <n v="241.22"/>
    <s v="Corporate Amex"/>
    <m/>
    <s v="Y"/>
    <s v="Software"/>
    <s v="MATCH"/>
    <x v="0"/>
  </r>
  <r>
    <s v="EXP100011"/>
    <s v="E015"/>
    <s v="AX995549228"/>
    <d v="2026-01-04T00:00:00"/>
    <d v="2026-01-04T00:00:00"/>
    <s v="PANERA BREAD #0231"/>
    <s v="5812"/>
    <s v="Meals"/>
    <n v="17.920000000000002"/>
    <s v="Corporate Amex"/>
    <m/>
    <s v="Y"/>
    <s v="Meals"/>
    <s v="MATCH"/>
    <x v="0"/>
  </r>
  <r>
    <s v="EXP100012"/>
    <s v="E034"/>
    <s v="AX726487324"/>
    <d v="2026-01-02T00:00:00"/>
    <d v="2026-01-04T00:00:00"/>
    <s v="ADOBE *CREATIVE CLOUD"/>
    <s v="5734"/>
    <s v="Software"/>
    <n v="88.89"/>
    <s v="Corporate Amex"/>
    <m/>
    <s v="Y"/>
    <s v="Software"/>
    <s v="MATCH"/>
    <x v="0"/>
  </r>
  <r>
    <s v="EXP100013"/>
    <s v="E262"/>
    <s v="ax225779385"/>
    <d v="2026-01-02T00:00:00"/>
    <d v="2026-01-04T00:00:00"/>
    <s v="AMC THEATRES 0021"/>
    <s v="7832"/>
    <s v="Entertainment"/>
    <n v="23.69"/>
    <s v="Corporate Amex"/>
    <m/>
    <s v="Y"/>
    <s v="Entertainment"/>
    <s v="MATCH"/>
    <x v="3"/>
  </r>
  <r>
    <s v="EXP100014"/>
    <s v="E039"/>
    <s v="AX484370441"/>
    <d v="2026-01-03T00:00:00"/>
    <d v="2026-01-04T00:00:00"/>
    <s v="STAPLES #0231"/>
    <s v="5943"/>
    <s v="Travel"/>
    <n v="111.81"/>
    <s v="Corporate Amex"/>
    <m/>
    <s v="Y"/>
    <s v="Office Supplies"/>
    <s v="MISMATCH"/>
    <x v="0"/>
  </r>
  <r>
    <s v="EXP100015"/>
    <s v="E234"/>
    <m/>
    <d v="2026-01-03T00:00:00"/>
    <d v="2026-01-04T00:00:00"/>
    <s v="HILTON GARDEN INN 2231"/>
    <s v="7011"/>
    <s v="Lodging"/>
    <n v="132.88999999999999"/>
    <s v="Corporate Amex"/>
    <m/>
    <s v="Y"/>
    <s v="Lodging"/>
    <s v="MATCH"/>
    <x v="1"/>
  </r>
  <r>
    <s v="EXP100016"/>
    <s v="E040"/>
    <s v="AX 549252229"/>
    <d v="2026-01-01T00:00:00"/>
    <d v="2026-01-04T00:00:00"/>
    <s v="OLIVE GARDEN 00456"/>
    <s v="5812"/>
    <s v="Meals"/>
    <n v="26.64"/>
    <s v="Corporate Amex"/>
    <m/>
    <s v="Y"/>
    <s v="Meals"/>
    <s v="MATCH"/>
    <x v="0"/>
  </r>
  <r>
    <s v="EXP100017"/>
    <s v="E103"/>
    <s v="AX726344621"/>
    <d v="2026-01-02T00:00:00"/>
    <d v="2026-01-04T00:00:00"/>
    <s v="UBER TRIP HELP.UBER"/>
    <s v="4121"/>
    <s v="Transportation"/>
    <n v="35.630000000000003"/>
    <s v="Corporate Amex"/>
    <m/>
    <s v="Y"/>
    <s v="Transportation"/>
    <s v="MATCH"/>
    <x v="2"/>
  </r>
  <r>
    <s v="EXP100018"/>
    <s v="E011"/>
    <s v="AX-613118642"/>
    <d v="2026-01-01T00:00:00"/>
    <d v="2026-01-04T00:00:00"/>
    <s v="HOOTSUITE INC"/>
    <s v="5734"/>
    <s v="Software"/>
    <n v="69.13"/>
    <s v="Corporate Amex"/>
    <m/>
    <s v="Y"/>
    <s v="Software"/>
    <s v="MATCH"/>
    <x v="0"/>
  </r>
  <r>
    <s v="EXP100019"/>
    <s v="E069"/>
    <m/>
    <d v="2026-01-03T00:00:00"/>
    <d v="2026-01-04T00:00:00"/>
    <s v="EVENTBRITE"/>
    <s v="7999"/>
    <s v="Events"/>
    <n v="118.6"/>
    <s v="Corporate Amex"/>
    <m/>
    <s v="Y"/>
    <s v="Events"/>
    <s v="MATCH"/>
    <x v="0"/>
  </r>
  <r>
    <s v="EXP100020"/>
    <s v="E051"/>
    <m/>
    <d v="2026-01-05T00:00:00"/>
    <d v="2026-01-05T00:00:00"/>
    <s v="DELTA AIR 00623891045"/>
    <s v="4511"/>
    <s v="Travel"/>
    <n v="533.91"/>
    <s v="Personal (Reimbursement)"/>
    <s v="International merchant - Amex not accepted"/>
    <s v="Y"/>
    <s v="Travel"/>
    <s v="MATCH"/>
    <x v="0"/>
  </r>
  <r>
    <s v="EXP100021"/>
    <s v="E088"/>
    <s v="AX 440929016"/>
    <d v="2026-01-01T00:00:00"/>
    <d v="2026-01-05T00:00:00"/>
    <s v="CHIPOTLE 2214"/>
    <s v="5812"/>
    <s v="Meals"/>
    <n v="20.36"/>
    <s v="Corporate Amex"/>
    <m/>
    <s v="Y"/>
    <s v="Meals"/>
    <s v="MATCH"/>
    <x v="2"/>
  </r>
  <r>
    <s v="EXP100022"/>
    <s v="E079"/>
    <s v="AX-418999135"/>
    <d v="2026-01-02T00:00:00"/>
    <d v="2026-01-05T00:00:00"/>
    <s v="AMAZON MKTPLACE PMTS"/>
    <s v="5942"/>
    <s v="Office Supplies"/>
    <n v="375.81"/>
    <s v="Corporate Amex"/>
    <m/>
    <s v="Y"/>
    <s v="Office Supplies"/>
    <s v="MATCH"/>
    <x v="2"/>
  </r>
  <r>
    <s v="EXP100023"/>
    <s v="E064"/>
    <s v="AX937168052"/>
    <d v="2026-01-05T00:00:00"/>
    <d v="2026-01-05T00:00:00"/>
    <s v="TOPGOLF #442"/>
    <s v="7997"/>
    <s v="Entertainment"/>
    <n v="154.44999999999999"/>
    <s v="Corporate Amex"/>
    <m/>
    <s v="Y"/>
    <s v="Entertainment"/>
    <s v="MATCH"/>
    <x v="0"/>
  </r>
  <r>
    <s v="EXP100025"/>
    <s v="E228"/>
    <m/>
    <d v="2026-01-02T00:00:00"/>
    <d v="2026-01-05T00:00:00"/>
    <s v="TOTAL PARTY RENTAL"/>
    <s v="7999"/>
    <s v="Events"/>
    <n v="216.9"/>
    <s v="Personal (Reimbursement)"/>
    <s v="Card not yet issued"/>
    <s v="N"/>
    <s v="Events"/>
    <s v="MATCH"/>
    <x v="4"/>
  </r>
  <r>
    <s v="EXP100026"/>
    <s v="E054"/>
    <s v="AX217887407"/>
    <d v="2026-01-02T00:00:00"/>
    <d v="2026-01-05T00:00:00"/>
    <s v="AMAZON MKTPLACE PMTS"/>
    <s v="5942"/>
    <s v="Office Supplies"/>
    <n v="232.35"/>
    <s v="Corporate Amex"/>
    <m/>
    <s v="N"/>
    <s v="Office Supplies"/>
    <s v="MATCH"/>
    <x v="0"/>
  </r>
  <r>
    <s v="EXP100027"/>
    <s v="E190"/>
    <s v="AX 583718208"/>
    <d v="2026-01-02T00:00:00"/>
    <d v="2026-01-05T00:00:00"/>
    <s v="ADOBE *CREATIVE CLOUD"/>
    <s v="5734"/>
    <s v="Software"/>
    <n v="34.44"/>
    <s v="Corporate Amex"/>
    <m/>
    <s v="Y"/>
    <s v="Software"/>
    <s v="MATCH"/>
    <x v="5"/>
  </r>
  <r>
    <s v="EXP100028"/>
    <s v="E019"/>
    <s v="ax550840415"/>
    <d v="2026-01-04T00:00:00"/>
    <d v="2026-01-05T00:00:00"/>
    <s v="CHIPOTLE 2214"/>
    <s v="5812"/>
    <s v="Meals"/>
    <n v="11.88"/>
    <s v="Corporate Amex"/>
    <m/>
    <s v="Y"/>
    <s v="Meals"/>
    <s v="MATCH"/>
    <x v="0"/>
  </r>
  <r>
    <s v="EXP100029"/>
    <s v="E185"/>
    <m/>
    <d v="2026-01-01T00:00:00"/>
    <d v="2026-01-05T00:00:00"/>
    <s v="MARRIOTT #4471"/>
    <s v="7011"/>
    <s v="Lodging"/>
    <n v="240.32"/>
    <s v="Corporate Amex"/>
    <m/>
    <s v="Y"/>
    <s v="Lodging"/>
    <s v="MATCH"/>
    <x v="5"/>
  </r>
  <r>
    <s v="EXP100030"/>
    <s v="E005"/>
    <s v="ax609743196"/>
    <d v="2026-01-05T00:00:00"/>
    <d v="2026-01-05T00:00:00"/>
    <s v="SPROUT SOCIAL"/>
    <s v="5734"/>
    <s v="Software"/>
    <n v="111.1"/>
    <s v="Corporate Amex"/>
    <m/>
    <s v="Y"/>
    <s v="Software"/>
    <s v="MATCH"/>
    <x v="0"/>
  </r>
  <r>
    <s v="EXP100031"/>
    <s v="E069"/>
    <s v="AX-722348588"/>
    <d v="2026-01-01T00:00:00"/>
    <d v="2026-01-05T00:00:00"/>
    <s v="HOOTSUITE INC"/>
    <s v="5734"/>
    <s v="Software"/>
    <n v="167.3"/>
    <s v="Corporate Amex"/>
    <m/>
    <s v="Y"/>
    <s v="Software"/>
    <s v="MATCH"/>
    <x v="0"/>
  </r>
  <r>
    <s v="EXP100032"/>
    <s v="E265"/>
    <s v="ax928291530"/>
    <d v="2026-01-05T00:00:00"/>
    <d v="2026-01-05T00:00:00"/>
    <s v="AMC THEATRES 0021"/>
    <s v="7832"/>
    <s v="Entertainment"/>
    <n v="35.86"/>
    <s v="Corporate Amex"/>
    <m/>
    <s v="Y"/>
    <s v="Entertainment"/>
    <s v="MATCH"/>
    <x v="3"/>
  </r>
  <r>
    <s v="EXP100033"/>
    <s v="E038"/>
    <s v="ax110083781"/>
    <d v="2026-01-02T00:00:00"/>
    <d v="2026-01-05T00:00:00"/>
    <s v="DELTA AIR 00623891045"/>
    <s v="4511"/>
    <s v="Travel"/>
    <n v="592.91999999999996"/>
    <s v="Corporate Amex"/>
    <m/>
    <s v="N"/>
    <s v="Travel"/>
    <s v="MATCH"/>
    <x v="0"/>
  </r>
  <r>
    <s v="EXP100034"/>
    <s v="E027"/>
    <s v="AX409802117"/>
    <d v="2026-01-03T00:00:00"/>
    <d v="2026-01-06T00:00:00"/>
    <s v="SQ *JOES COFFEE"/>
    <s v="5812"/>
    <s v="Meals"/>
    <n v="15.94"/>
    <s v="Corporate Amex"/>
    <m/>
    <s v="Y"/>
    <s v="Meals"/>
    <s v="MATCH"/>
    <x v="0"/>
  </r>
  <r>
    <s v="EXP100035"/>
    <s v="E033"/>
    <s v="ax164470418"/>
    <d v="2026-01-03T00:00:00"/>
    <d v="2026-01-06T00:00:00"/>
    <s v="MARRIOTT #4471"/>
    <s v="7011"/>
    <s v="Lodging"/>
    <n v="291.45"/>
    <s v="Corporate Amex"/>
    <m/>
    <s v="N"/>
    <s v="Lodging"/>
    <s v="MATCH"/>
    <x v="0"/>
  </r>
  <r>
    <s v="EXP100036"/>
    <s v="E218"/>
    <m/>
    <d v="2026-01-02T00:00:00"/>
    <d v="2026-01-06T00:00:00"/>
    <s v="HYATT REGENCY BOS"/>
    <s v="7011"/>
    <s v="Lodging"/>
    <n v="388.47"/>
    <s v="Personal (Reimbursement)"/>
    <s v="Amex declined - vendor doesn't accept Amex"/>
    <s v="Y"/>
    <s v="Lodging"/>
    <s v="MATCH"/>
    <x v="4"/>
  </r>
  <r>
    <s v="EXP100038"/>
    <s v="E171"/>
    <s v="AX 167694832"/>
    <d v="2026-01-06T00:00:00"/>
    <d v="2026-01-06T00:00:00"/>
    <s v="STAPLES #0231"/>
    <s v="5943"/>
    <s v="Office Supplies"/>
    <n v="67.55"/>
    <s v="Corporate Amex"/>
    <m/>
    <s v="Y"/>
    <s v="Office Supplies"/>
    <s v="MATCH"/>
    <x v="6"/>
  </r>
  <r>
    <s v="EXP100039"/>
    <s v="E212"/>
    <s v="AX 928412993"/>
    <d v="2026-01-01T00:00:00"/>
    <d v="2026-01-06T00:00:00"/>
    <s v="EVENTBRITE"/>
    <s v="7999"/>
    <s v="Events"/>
    <n v="96.39"/>
    <s v="Corporate Amex"/>
    <m/>
    <s v="Y"/>
    <s v="Events"/>
    <s v="MATCH"/>
    <x v="4"/>
  </r>
  <r>
    <s v="EXP100040"/>
    <s v="E046"/>
    <s v="AX638500943"/>
    <d v="2026-01-06T00:00:00"/>
    <d v="2026-01-06T00:00:00"/>
    <s v="TOTAL PARTY RENTAL"/>
    <s v="7999"/>
    <s v="Events"/>
    <n v="448.47"/>
    <s v="Corporate Amex"/>
    <m/>
    <s v="Y"/>
    <s v="Events"/>
    <s v="MATCH"/>
    <x v="0"/>
  </r>
  <r>
    <s v="EXP100041"/>
    <s v="E129"/>
    <s v="AX 862008562"/>
    <d v="2026-01-01T00:00:00"/>
    <d v="2026-01-06T00:00:00"/>
    <s v="SQ *THE CORNER BISTRO"/>
    <s v="5812"/>
    <s v="Meals"/>
    <n v="89.13"/>
    <s v="Corporate Amex"/>
    <m/>
    <s v="Y"/>
    <s v="Meals"/>
    <s v="MATCH"/>
    <x v="7"/>
  </r>
  <r>
    <s v="EXP100042"/>
    <s v="E128"/>
    <s v="ax253212018"/>
    <d v="2026-01-02T00:00:00"/>
    <d v="2026-01-06T00:00:00"/>
    <s v="MICROSOFT*365"/>
    <s v="5734"/>
    <s v="Software"/>
    <n v="68.87"/>
    <s v="Corporate Amex"/>
    <m/>
    <s v="Y"/>
    <s v="Software"/>
    <s v="MATCH"/>
    <x v="7"/>
  </r>
  <r>
    <s v="EXP100043"/>
    <s v="E125"/>
    <s v="ax989653379"/>
    <d v="2026-01-04T00:00:00"/>
    <d v="2026-01-06T00:00:00"/>
    <s v="HOOTSUITE INC"/>
    <s v="5734"/>
    <s v="Software"/>
    <n v="111.59"/>
    <s v="Corporate Amex"/>
    <m/>
    <s v="Y"/>
    <s v="Software"/>
    <s v="MATCH"/>
    <x v="7"/>
  </r>
  <r>
    <s v="EXP100044"/>
    <s v="E066"/>
    <s v="ax999756965"/>
    <d v="2026-01-06T00:00:00"/>
    <d v="2026-01-06T00:00:00"/>
    <s v="HOOTSUITE INC"/>
    <s v="5734"/>
    <s v="Software"/>
    <n v="245.93"/>
    <s v="Corporate Amex"/>
    <m/>
    <s v="Y"/>
    <s v="Software"/>
    <s v="MATCH"/>
    <x v="0"/>
  </r>
  <r>
    <s v="EXP100045"/>
    <s v="E073"/>
    <m/>
    <d v="2026-01-05T00:00:00"/>
    <d v="2026-01-07T00:00:00"/>
    <s v="PANERA BREAD #0231"/>
    <s v="5812"/>
    <s v="Meals"/>
    <n v="22.74"/>
    <s v="Corporate Amex"/>
    <m/>
    <s v="Y"/>
    <s v="Meals"/>
    <s v="MATCH"/>
    <x v="2"/>
  </r>
  <r>
    <s v="EXP100046"/>
    <s v="E270"/>
    <s v="AX320909902"/>
    <d v="2026-01-07T00:00:00"/>
    <d v="2026-01-07T00:00:00"/>
    <s v="MARRIOTT #4471"/>
    <s v="7011"/>
    <s v="Lodging"/>
    <n v="233.08"/>
    <s v="Corporate Amex"/>
    <m/>
    <s v="Y"/>
    <s v="Lodging"/>
    <s v="MATCH"/>
    <x v="3"/>
  </r>
  <r>
    <s v="EXP100047"/>
    <s v="E020"/>
    <s v="AX798307495"/>
    <d v="2026-01-02T00:00:00"/>
    <d v="2026-01-07T00:00:00"/>
    <s v="SPROUT SOCIAL"/>
    <s v="5734"/>
    <s v="  Software "/>
    <n v="151.16"/>
    <s v="Corporate Amex"/>
    <m/>
    <s v="N"/>
    <s v="Software"/>
    <s v="MATCH"/>
    <x v="0"/>
  </r>
  <r>
    <s v="EXP100048"/>
    <s v="E119"/>
    <m/>
    <d v="2026-01-01T00:00:00"/>
    <d v="2026-01-07T00:00:00"/>
    <s v="EVENTBRITE"/>
    <s v="7999"/>
    <s v="Events"/>
    <n v="273.52999999999997"/>
    <s v="Personal (Reimbursement)"/>
    <s v="International merchant - Amex not accepted"/>
    <s v="Y"/>
    <s v="Events"/>
    <s v="MATCH"/>
    <x v="7"/>
  </r>
  <r>
    <s v="EXP100049"/>
    <s v="E042"/>
    <s v="ax799797496"/>
    <d v="2026-01-06T00:00:00"/>
    <d v="2026-01-07T00:00:00"/>
    <s v="DELTA AIR 00623891045"/>
    <s v="4511"/>
    <s v="Travel"/>
    <n v="505.69"/>
    <s v="Corporate Amex"/>
    <m/>
    <s v="Y"/>
    <s v="Travel"/>
    <s v="MATCH"/>
    <x v="0"/>
  </r>
  <r>
    <s v="EXP100050"/>
    <s v="E026"/>
    <s v="ax137097807"/>
    <d v="2026-01-04T00:00:00"/>
    <d v="2026-01-07T00:00:00"/>
    <s v="UNITED AIRLINES 0162233"/>
    <s v="4511"/>
    <s v="Travel"/>
    <n v="249.64"/>
    <s v="Corporate Amex"/>
    <m/>
    <s v="Y"/>
    <s v="Travel"/>
    <s v="MATCH"/>
    <x v="0"/>
  </r>
  <r>
    <s v="EXP100051"/>
    <s v="E184"/>
    <s v="ax228002358"/>
    <d v="2026-01-03T00:00:00"/>
    <d v="2026-01-07T00:00:00"/>
    <s v=" SQ *JOES COFFEE"/>
    <s v="5812"/>
    <s v="Meals"/>
    <n v="24.98"/>
    <s v="Corporate Amex"/>
    <m/>
    <s v="Y"/>
    <s v="Meals"/>
    <s v="MATCH"/>
    <x v="5"/>
  </r>
  <r>
    <s v="EXP100052"/>
    <s v="E121"/>
    <s v="AX-446730696"/>
    <d v="2026-01-02T00:00:00"/>
    <d v="2026-01-07T00:00:00"/>
    <s v="DELTA AIR 00623891045"/>
    <s v="4511"/>
    <s v="Travel"/>
    <n v="273.64"/>
    <s v="Corporate Amex"/>
    <m/>
    <s v="Y"/>
    <s v="Travel"/>
    <s v="MATCH"/>
    <x v="7"/>
  </r>
  <r>
    <s v="EXP100053"/>
    <s v="E052"/>
    <s v="AX854149532"/>
    <d v="2026-01-07T00:00:00"/>
    <d v="2026-01-07T00:00:00"/>
    <s v="MICROSOFT*365"/>
    <s v="5734"/>
    <s v="Software"/>
    <n v="66.44"/>
    <s v="Corporate Amex"/>
    <m/>
    <s v="Y"/>
    <s v="Software"/>
    <s v="MATCH"/>
    <x v="0"/>
  </r>
  <r>
    <s v="EXP100054"/>
    <s v="E038"/>
    <s v="AX464080495"/>
    <d v="2026-01-01T00:00:00"/>
    <d v="2026-01-07T00:00:00"/>
    <s v=" SQ *THE CORNER BISTRO"/>
    <s v="5812"/>
    <s v="Meals"/>
    <n v="20.53"/>
    <s v="Corporate Amex"/>
    <m/>
    <s v="N"/>
    <s v="Meals"/>
    <s v="MATCH"/>
    <x v="0"/>
  </r>
  <r>
    <s v="EXP100055"/>
    <s v="E009"/>
    <s v="AX-721990041"/>
    <d v="2026-01-06T00:00:00"/>
    <d v="2026-01-07T00:00:00"/>
    <s v="CHIPOTLE 2214"/>
    <s v="5812"/>
    <s v="Meals"/>
    <n v="12.78"/>
    <s v="Corporate Amex"/>
    <m/>
    <s v="Y"/>
    <s v="Meals"/>
    <s v="MATCH"/>
    <x v="0"/>
  </r>
  <r>
    <s v="EXP100056"/>
    <s v="E082"/>
    <s v="AX-199743010"/>
    <d v="2026-01-01T00:00:00"/>
    <d v="2026-01-08T00:00:00"/>
    <s v="AMAZON MKTPLACE PMTS"/>
    <s v="5942"/>
    <s v="Office Supplies"/>
    <n v="84.02"/>
    <s v="Corporate Amex"/>
    <m/>
    <s v="N"/>
    <s v="Office Supplies"/>
    <s v="MATCH"/>
    <x v="2"/>
  </r>
  <r>
    <s v="EXP100057"/>
    <s v="E082"/>
    <s v="ax132629908"/>
    <d v="2026-01-06T00:00:00"/>
    <d v="2026-01-08T00:00:00"/>
    <s v="EVENTBRITE"/>
    <s v="7999"/>
    <m/>
    <n v="123.85"/>
    <s v="Corporate Amex"/>
    <m/>
    <s v="Y"/>
    <s v="Events"/>
    <s v="BLANK"/>
    <x v="2"/>
  </r>
  <r>
    <s v="EXP100058"/>
    <s v="E198"/>
    <s v="ax880702168"/>
    <d v="2026-01-08T00:00:00"/>
    <d v="2026-01-08T00:00:00"/>
    <s v="UNITED AIRLINES 0162233"/>
    <s v="4511"/>
    <m/>
    <n v="327.71"/>
    <s v="Corporate Amex"/>
    <m/>
    <s v="Y"/>
    <s v="Travel"/>
    <s v="BLANK"/>
    <x v="5"/>
  </r>
  <r>
    <s v="EXP100059"/>
    <s v="E117"/>
    <m/>
    <d v="2026-01-05T00:00:00"/>
    <d v="2026-01-08T00:00:00"/>
    <s v="MARRIOTT #4471"/>
    <s v="7011"/>
    <s v="Lodging"/>
    <n v="411.66"/>
    <s v="Personal (Reimbursement)"/>
    <s v="Forgot corporate card"/>
    <s v="Y"/>
    <s v="Lodging"/>
    <s v="MATCH"/>
    <x v="7"/>
  </r>
  <r>
    <s v="EXP100060"/>
    <s v="E196"/>
    <s v="AX181640836"/>
    <d v="2026-01-01T00:00:00"/>
    <d v="2026-01-08T00:00:00"/>
    <s v=" CHIPOTLE 2214"/>
    <s v="5812"/>
    <s v="Meals"/>
    <n v="13.15"/>
    <s v="Corporate Amex"/>
    <m/>
    <s v="Y"/>
    <s v="Meals"/>
    <s v="MATCH"/>
    <x v="5"/>
  </r>
  <r>
    <s v="EXP100061"/>
    <s v="E026"/>
    <m/>
    <d v="2026-01-04T00:00:00"/>
    <d v="2026-01-08T00:00:00"/>
    <s v="OLIVE GARDEN 00456"/>
    <s v="5812"/>
    <s v="Meals"/>
    <n v="38.08"/>
    <s v="Corporate Amex"/>
    <m/>
    <s v="Y"/>
    <s v="Meals"/>
    <s v="MATCH"/>
    <x v="0"/>
  </r>
  <r>
    <s v="EXP100062"/>
    <s v="E026"/>
    <s v="AX 430319821"/>
    <d v="2026-01-01T00:00:00"/>
    <d v="2026-01-08T00:00:00"/>
    <s v="AMC THEATRES 0021"/>
    <s v="7832"/>
    <s v="Entertainment"/>
    <n v="43.27"/>
    <s v="Corporate Amex"/>
    <m/>
    <s v="Y"/>
    <s v="Entertainment"/>
    <s v="MATCH"/>
    <x v="0"/>
  </r>
  <r>
    <s v="EXP100063"/>
    <s v="E060"/>
    <s v="AX-835037547"/>
    <d v="2026-01-01T00:00:00"/>
    <d v="2026-01-08T00:00:00"/>
    <s v="HOOTSUITE INC"/>
    <s v="5734"/>
    <s v="Events"/>
    <n v="172.49"/>
    <s v="Corporate Amex"/>
    <m/>
    <s v="Y"/>
    <s v="Software"/>
    <s v="MISMATCH"/>
    <x v="0"/>
  </r>
  <r>
    <s v="EXP100064"/>
    <s v="E149"/>
    <s v="AX201229727"/>
    <d v="2026-01-08T00:00:00"/>
    <d v="2026-01-08T00:00:00"/>
    <s v="ZOOM.US"/>
    <s v="5734"/>
    <m/>
    <n v="18.260000000000002"/>
    <s v="Corporate Amex"/>
    <m/>
    <s v="N"/>
    <s v="Software"/>
    <s v="BLANK"/>
    <x v="7"/>
  </r>
  <r>
    <s v="EXP100065"/>
    <s v="E055"/>
    <s v="ax811541859"/>
    <d v="2026-01-08T00:00:00"/>
    <d v="2026-01-08T00:00:00"/>
    <s v="ADOBE *CREATIVE CLOUD"/>
    <s v="5734"/>
    <s v="Software"/>
    <n v="69.17"/>
    <s v="Corporate Amex"/>
    <m/>
    <s v="Y"/>
    <s v="Software"/>
    <s v="MATCH"/>
    <x v="0"/>
  </r>
  <r>
    <s v="EXP100066"/>
    <s v="E274"/>
    <s v="AX591551384"/>
    <d v="2026-01-05T00:00:00"/>
    <d v="2026-01-08T00:00:00"/>
    <s v="SQ *JOES COFFEE"/>
    <s v="5812"/>
    <s v="Meals"/>
    <n v="17.010000000000002"/>
    <s v="Corporate Amex"/>
    <m/>
    <s v="Y"/>
    <s v="Meals"/>
    <s v="MATCH"/>
    <x v="3"/>
  </r>
  <r>
    <s v="EXP100067"/>
    <s v="E013"/>
    <s v="AX 530067641"/>
    <d v="2026-01-01T00:00:00"/>
    <d v="2026-01-08T00:00:00"/>
    <s v="PANERA BREAD #0231"/>
    <s v="5812"/>
    <s v="Meals"/>
    <n v="14.27"/>
    <s v="Corporate Amex"/>
    <m/>
    <s v="Y"/>
    <s v="Meals"/>
    <s v="MATCH"/>
    <x v="0"/>
  </r>
  <r>
    <s v="EXP100068"/>
    <s v="E122"/>
    <m/>
    <d v="2026-01-03T00:00:00"/>
    <d v="2026-01-08T00:00:00"/>
    <s v="TOPGOLF #442"/>
    <s v="7997"/>
    <s v="Entertainment"/>
    <n v="96.16"/>
    <s v="Corporate Amex"/>
    <m/>
    <s v="Y"/>
    <s v="Entertainment"/>
    <s v="MATCH"/>
    <x v="7"/>
  </r>
  <r>
    <s v="EXP100069"/>
    <s v="E141"/>
    <s v="AX218442879"/>
    <d v="2026-01-07T00:00:00"/>
    <d v="2026-01-08T00:00:00"/>
    <s v="SPROUT SOCIAL"/>
    <s v="5734"/>
    <s v="Software"/>
    <n v="245.82"/>
    <s v="Corporate Amex"/>
    <m/>
    <s v="N"/>
    <s v="Software"/>
    <s v="MATCH"/>
    <x v="7"/>
  </r>
  <r>
    <s v="EXP100070"/>
    <s v="E057"/>
    <s v="ax161219278"/>
    <d v="2026-01-06T00:00:00"/>
    <d v="2026-01-08T00:00:00"/>
    <s v="REGION CATERING CO"/>
    <s v="5811"/>
    <s v="Events"/>
    <n v="592.55999999999995"/>
    <s v="Corporate Amex"/>
    <m/>
    <s v="Y"/>
    <s v="Events"/>
    <s v="MATCH"/>
    <x v="0"/>
  </r>
  <r>
    <s v="EXP100071"/>
    <s v="E028"/>
    <s v="AX-467716616"/>
    <d v="2026-01-07T00:00:00"/>
    <d v="2026-01-09T00:00:00"/>
    <s v="TOTAL PARTY RENTAL"/>
    <s v="7999"/>
    <s v="Events"/>
    <n v="493.78"/>
    <s v="Corporate Amex"/>
    <m/>
    <s v="Y"/>
    <s v="Events"/>
    <s v="MATCH"/>
    <x v="0"/>
  </r>
  <r>
    <s v="EXP100072"/>
    <s v="E189"/>
    <s v="AX391150669"/>
    <d v="2026-01-08T00:00:00"/>
    <d v="2026-01-09T00:00:00"/>
    <s v="EVENTBRITE"/>
    <s v="7999"/>
    <s v="Events"/>
    <n v="215.05"/>
    <s v="Corporate Amex"/>
    <m/>
    <s v="N"/>
    <s v="Events"/>
    <s v="MATCH"/>
    <x v="5"/>
  </r>
  <r>
    <s v="EXP100073"/>
    <s v="E140"/>
    <s v="AX 270123605"/>
    <d v="2026-01-01T00:00:00"/>
    <d v="2026-01-09T00:00:00"/>
    <s v="EVENTBRITE"/>
    <s v="7999"/>
    <s v="Other"/>
    <n v="95.24"/>
    <s v="Corporate Amex"/>
    <m/>
    <s v="Y"/>
    <s v="Events"/>
    <s v="MISMATCH"/>
    <x v="7"/>
  </r>
  <r>
    <s v="EXP100074"/>
    <s v="E167"/>
    <s v="AX359240600"/>
    <d v="2026-01-02T00:00:00"/>
    <d v="2026-01-09T00:00:00"/>
    <s v="HOOTSUITE INC"/>
    <s v="5734"/>
    <s v="Software"/>
    <n v="128.69"/>
    <s v="Corporate Amex"/>
    <m/>
    <s v="N"/>
    <s v="Software"/>
    <s v="MATCH"/>
    <x v="6"/>
  </r>
  <r>
    <s v="EXP100075"/>
    <s v="E201"/>
    <s v="AX698675920"/>
    <d v="2026-01-04T00:00:00"/>
    <d v="2026-01-09T00:00:00"/>
    <s v="AMC THEATRES 0021"/>
    <s v="7832"/>
    <s v="Entertainment"/>
    <n v="36.49"/>
    <s v="Corporate Amex"/>
    <m/>
    <s v="Y"/>
    <s v="Entertainment"/>
    <s v="MATCH"/>
    <x v="5"/>
  </r>
  <r>
    <s v="EXP100076"/>
    <s v="E116"/>
    <s v="AX169870958"/>
    <d v="2026-01-02T00:00:00"/>
    <d v="2026-01-09T00:00:00"/>
    <s v="AMC THEATRES 0021"/>
    <s v="7832"/>
    <s v="Entertainment"/>
    <n v="32.630000000000003"/>
    <s v="Corporate Amex"/>
    <m/>
    <s v="Y"/>
    <s v="Entertainment"/>
    <s v="MATCH"/>
    <x v="7"/>
  </r>
  <r>
    <s v="EXP100077"/>
    <s v="E126"/>
    <s v="AX866381716"/>
    <d v="2026-01-07T00:00:00"/>
    <d v="2026-01-09T00:00:00"/>
    <s v="SQ *THE CORNER BISTRO"/>
    <s v="5812"/>
    <s v="Meals"/>
    <n v="84.56"/>
    <s v="Corporate Amex"/>
    <m/>
    <s v="Y"/>
    <s v="Meals"/>
    <s v="MATCH"/>
    <x v="7"/>
  </r>
  <r>
    <s v="EXP100078"/>
    <s v="E126"/>
    <s v="AX331800880"/>
    <d v="2026-01-01T00:00:00"/>
    <d v="2026-01-09T00:00:00"/>
    <s v="ZOOM.US"/>
    <s v="5734"/>
    <s v="Software"/>
    <n v="55.06"/>
    <s v="Corporate Amex"/>
    <m/>
    <s v="Y"/>
    <s v="Software"/>
    <s v="MATCH"/>
    <x v="7"/>
  </r>
  <r>
    <s v="EXP100079"/>
    <s v="E039"/>
    <s v="AX211489752"/>
    <d v="2026-01-01T00:00:00"/>
    <d v="2026-01-09T00:00:00"/>
    <s v="SQ *THE CORNER BISTRO"/>
    <s v="5812"/>
    <s v="Meals"/>
    <n v="37.1"/>
    <s v="Corporate Amex"/>
    <m/>
    <s v="Y"/>
    <s v="Meals"/>
    <s v="MATCH"/>
    <x v="0"/>
  </r>
  <r>
    <s v="EXP100080"/>
    <s v="E046"/>
    <s v="AX920019187"/>
    <d v="2026-01-03T00:00:00"/>
    <d v="2026-01-09T00:00:00"/>
    <s v="HOOTSUITE INC"/>
    <s v="5734"/>
    <s v="Software"/>
    <n v="236.9"/>
    <s v="Corporate Amex"/>
    <m/>
    <s v="Y"/>
    <s v="Software"/>
    <s v="MATCH"/>
    <x v="0"/>
  </r>
  <r>
    <s v="EXP100081"/>
    <s v="E193"/>
    <s v="ax280732350"/>
    <d v="2026-01-01T00:00:00"/>
    <d v="2026-01-09T00:00:00"/>
    <s v="ADOBE *CREATIVE CLOUD"/>
    <s v="5734"/>
    <s v="Software"/>
    <n v="60.08"/>
    <s v="Corporate Amex"/>
    <m/>
    <s v="Y"/>
    <s v="Software"/>
    <s v="MATCH"/>
    <x v="5"/>
  </r>
  <r>
    <s v="EXP100082"/>
    <s v="E018"/>
    <s v="AX-222621979"/>
    <d v="2026-01-02T00:00:00"/>
    <d v="2026-01-09T00:00:00"/>
    <s v="OLIVE GARDEN 00456"/>
    <s v="5812"/>
    <s v="Meals"/>
    <n v="58.27"/>
    <s v="Corporate Amex"/>
    <m/>
    <s v="Y"/>
    <s v="Meals"/>
    <s v="MATCH"/>
    <x v="0"/>
  </r>
  <r>
    <s v="EXP100083"/>
    <s v="E011"/>
    <m/>
    <d v="2026-01-04T00:00:00"/>
    <d v="2026-01-09T00:00:00"/>
    <s v="AMAZON MKTPLACE PMTS"/>
    <s v="5942"/>
    <s v="Office Supplies"/>
    <n v="172.22"/>
    <s v="Corporate Amex"/>
    <m/>
    <s v="Y"/>
    <s v="Office Supplies"/>
    <s v="MATCH"/>
    <x v="0"/>
  </r>
  <r>
    <s v="EXP100084"/>
    <s v="E083"/>
    <s v="AX664295513"/>
    <d v="2026-01-08T00:00:00"/>
    <d v="2026-01-10T00:00:00"/>
    <s v="ZOOM.US"/>
    <s v="5734"/>
    <s v="Software"/>
    <n v="40.76"/>
    <s v="Corporate Amex"/>
    <m/>
    <s v="Y"/>
    <s v="Software"/>
    <s v="MATCH"/>
    <x v="2"/>
  </r>
  <r>
    <s v="EXP100085"/>
    <s v="E063"/>
    <s v="ax943826063"/>
    <d v="2026-01-07T00:00:00"/>
    <d v="2026-01-10T00:00:00"/>
    <s v="BRANDWATCH LTD"/>
    <s v="5734"/>
    <s v="Software"/>
    <n v="297.31"/>
    <s v="Corporate Amex"/>
    <m/>
    <s v="Y"/>
    <s v="Software"/>
    <s v="MATCH"/>
    <x v="0"/>
  </r>
  <r>
    <s v="EXP100086"/>
    <s v="E048"/>
    <s v="AX840885971"/>
    <d v="2026-01-07T00:00:00"/>
    <d v="2026-01-10T00:00:00"/>
    <s v="STARBUCKS #4471"/>
    <s v="5812"/>
    <s v="Meals"/>
    <n v="14.32"/>
    <s v="Corporate Amex"/>
    <m/>
    <s v="Y"/>
    <s v="Meals"/>
    <s v="MATCH"/>
    <x v="0"/>
  </r>
  <r>
    <s v="EXP100087"/>
    <s v="E205"/>
    <s v="AX-315616588"/>
    <d v="2026-01-10T00:00:00"/>
    <d v="2026-01-10T00:00:00"/>
    <s v=" HYATT REGENCY BOS"/>
    <s v="7011"/>
    <s v="Other"/>
    <n v="260.24"/>
    <s v="Corporate Amex"/>
    <m/>
    <s v="Y"/>
    <s v="Lodging"/>
    <s v="MISMATCH"/>
    <x v="5"/>
  </r>
  <r>
    <s v="EXP100088"/>
    <s v="E066"/>
    <s v="ax332976549"/>
    <d v="2026-01-03T00:00:00"/>
    <d v="2026-01-10T00:00:00"/>
    <s v="EVENTBRITE"/>
    <s v="7999"/>
    <s v="Events"/>
    <n v="262.77"/>
    <s v="Corporate Amex"/>
    <m/>
    <s v="Y"/>
    <s v="Events"/>
    <s v="MATCH"/>
    <x v="0"/>
  </r>
  <r>
    <s v="EXP100089"/>
    <s v="E032"/>
    <s v="AX 387015086"/>
    <d v="2026-01-02T00:00:00"/>
    <d v="2026-01-10T00:00:00"/>
    <s v="CHIPOTLE 2214"/>
    <s v="5812"/>
    <s v="Meals"/>
    <n v="19.329999999999998"/>
    <s v="Corporate Amex"/>
    <m/>
    <s v="Y"/>
    <s v="Meals"/>
    <s v="MATCH"/>
    <x v="0"/>
  </r>
  <r>
    <s v="EXP100090"/>
    <s v="E068"/>
    <s v="AX-470253935"/>
    <d v="2026-01-10T00:00:00"/>
    <d v="2026-01-10T00:00:00"/>
    <s v="HOOTSUITE INC"/>
    <s v="5734"/>
    <s v="  Software "/>
    <n v="118.06"/>
    <s v="Corporate Amex"/>
    <m/>
    <s v="N"/>
    <s v="Software"/>
    <s v="MATCH"/>
    <x v="0"/>
  </r>
  <r>
    <s v="EXP100091"/>
    <s v="E068"/>
    <s v="AX657633897"/>
    <d v="2026-01-09T00:00:00"/>
    <d v="2026-01-10T00:00:00"/>
    <s v="CHIPOTLE 2214"/>
    <s v="5812"/>
    <s v="Meals"/>
    <n v="10.119999999999999"/>
    <s v="Corporate Amex"/>
    <m/>
    <s v="Y"/>
    <s v="Meals"/>
    <s v="MATCH"/>
    <x v="0"/>
  </r>
  <r>
    <s v="EXP100092"/>
    <s v="E154"/>
    <s v="ax307593447"/>
    <d v="2026-01-02T00:00:00"/>
    <d v="2026-01-10T00:00:00"/>
    <s v="DELTA AIR 00623891045"/>
    <s v="4511"/>
    <s v="Travel"/>
    <n v="340.39"/>
    <s v="Corporate Amex"/>
    <m/>
    <s v="Y"/>
    <s v="Travel"/>
    <s v="MATCH"/>
    <x v="6"/>
  </r>
  <r>
    <s v="EXP100093"/>
    <s v="E002"/>
    <s v="AX-290307378"/>
    <d v="2026-01-04T00:00:00"/>
    <d v="2026-01-10T00:00:00"/>
    <s v="MARRIOTT #4471"/>
    <s v="7011"/>
    <s v="Lodging"/>
    <n v="191.28"/>
    <s v="Corporate Amex"/>
    <m/>
    <s v="Y"/>
    <s v="Lodging"/>
    <s v="MATCH"/>
    <x v="0"/>
  </r>
  <r>
    <s v="EXP100094"/>
    <s v="E096"/>
    <s v="AX757484828"/>
    <d v="2026-01-01T00:00:00"/>
    <d v="2026-01-10T00:00:00"/>
    <s v="AMC THEATRES 0021"/>
    <s v="7832"/>
    <s v="Entertainment"/>
    <n v="54.54"/>
    <s v="Corporate Amex"/>
    <m/>
    <s v="Y"/>
    <s v="Entertainment"/>
    <s v="MATCH"/>
    <x v="2"/>
  </r>
  <r>
    <s v="EXP100095"/>
    <s v="E126"/>
    <s v="AX756985503"/>
    <d v="2026-01-09T00:00:00"/>
    <d v="2026-01-10T00:00:00"/>
    <s v="EVENTBRITE"/>
    <s v="7999"/>
    <s v="Events"/>
    <n v="81.41"/>
    <s v="Corporate Amex"/>
    <m/>
    <s v="Y"/>
    <s v="Events"/>
    <s v="MATCH"/>
    <x v="7"/>
  </r>
  <r>
    <s v="EXP100096"/>
    <s v="E028"/>
    <s v="AX-944990348"/>
    <d v="2026-01-09T00:00:00"/>
    <d v="2026-01-10T00:00:00"/>
    <s v="TOPGOLF #442"/>
    <s v="7997"/>
    <s v="Entertainment"/>
    <n v="173.95"/>
    <s v="Corporate Amex"/>
    <m/>
    <s v="Y"/>
    <s v="Entertainment"/>
    <s v="MATCH"/>
    <x v="0"/>
  </r>
  <r>
    <s v="EXP100097"/>
    <s v="E052"/>
    <m/>
    <d v="2026-01-09T00:00:00"/>
    <d v="2026-01-10T00:00:00"/>
    <s v="SQ *THE CORNER BISTRO"/>
    <s v="5812"/>
    <s v="Meals"/>
    <n v="69.819999999999993"/>
    <s v="Personal (Reimbursement)"/>
    <s v="Forgot corporate card"/>
    <s v="N"/>
    <s v="Meals"/>
    <s v="MATCH"/>
    <x v="0"/>
  </r>
  <r>
    <s v="EXP100098"/>
    <s v="E052"/>
    <s v="ax315106555"/>
    <d v="2026-01-07T00:00:00"/>
    <d v="2026-01-10T00:00:00"/>
    <s v="LYFT RIDE THU"/>
    <s v="4121"/>
    <s v="Transportation"/>
    <n v="43.51"/>
    <s v="Corporate Amex"/>
    <m/>
    <s v="Y"/>
    <s v="Transportation"/>
    <s v="MATCH"/>
    <x v="0"/>
  </r>
  <r>
    <s v="EXP100099"/>
    <s v="E093"/>
    <s v="AX 821801737"/>
    <d v="2026-01-06T00:00:00"/>
    <d v="2026-01-10T00:00:00"/>
    <s v="SQ *JOES COFFEE"/>
    <s v="5812"/>
    <s v="Meals"/>
    <n v="22.16"/>
    <s v="Corporate Amex"/>
    <m/>
    <s v="Y"/>
    <s v="Meals"/>
    <s v="MATCH"/>
    <x v="2"/>
  </r>
  <r>
    <s v="EXP100100"/>
    <s v="E270"/>
    <m/>
    <d v="2026-01-04T00:00:00"/>
    <d v="2026-01-10T00:00:00"/>
    <s v=" LYFT RIDE THU"/>
    <s v="4121"/>
    <s v="  Transportation "/>
    <n v="46.87"/>
    <s v="Personal (Reimbursement)"/>
    <s v="International merchant - Amex not accepted"/>
    <s v="Y"/>
    <s v="Transportation"/>
    <s v="MATCH"/>
    <x v="3"/>
  </r>
  <r>
    <s v="EXP100101"/>
    <s v="E228"/>
    <m/>
    <d v="2026-01-09T00:00:00"/>
    <d v="2026-01-10T00:00:00"/>
    <s v="HILTON GARDEN INN 2231"/>
    <s v="7011"/>
    <s v="Lodging"/>
    <n v="147.72"/>
    <s v="Personal (Reimbursement)"/>
    <s v="Card not yet issued"/>
    <s v="Y"/>
    <s v="Lodging"/>
    <s v="MATCH"/>
    <x v="4"/>
  </r>
  <r>
    <s v="EXP100102"/>
    <s v="E222"/>
    <m/>
    <d v="2026-01-05T00:00:00"/>
    <d v="2026-01-10T00:00:00"/>
    <s v="YELLOW CAB CO"/>
    <s v="4121"/>
    <s v="Transportation"/>
    <n v="13.21"/>
    <s v="Corporate Amex"/>
    <m/>
    <s v="Y"/>
    <s v="Transportation"/>
    <s v="MATCH"/>
    <x v="4"/>
  </r>
  <r>
    <s v="EXP100103"/>
    <s v="E041"/>
    <s v="AX-235240436"/>
    <d v="2026-01-08T00:00:00"/>
    <d v="2026-01-10T00:00:00"/>
    <s v="CHIPOTLE 2214"/>
    <s v="5812"/>
    <s v="Meals"/>
    <n v="13.58"/>
    <s v="Corporate Amex"/>
    <m/>
    <s v="Y"/>
    <s v="Meals"/>
    <s v="MATCH"/>
    <x v="0"/>
  </r>
  <r>
    <s v="EXP100104"/>
    <s v="E036"/>
    <m/>
    <d v="2026-01-04T00:00:00"/>
    <d v="2026-01-11T00:00:00"/>
    <s v="SQ *JOES COFFEE"/>
    <s v="5812"/>
    <s v="Meals"/>
    <n v="12.46"/>
    <s v="Corporate Amex"/>
    <m/>
    <s v="Y"/>
    <s v="Meals"/>
    <s v="MATCH"/>
    <x v="0"/>
  </r>
  <r>
    <s v="EXP100105"/>
    <s v="E153"/>
    <s v="AX 463659094"/>
    <d v="2026-01-07T00:00:00"/>
    <d v="2026-01-11T00:00:00"/>
    <s v="SQ *JOES COFFEE"/>
    <s v="5812"/>
    <s v="Meals"/>
    <n v="11.2"/>
    <s v="Corporate Amex"/>
    <m/>
    <s v="N"/>
    <s v="Meals"/>
    <s v="MATCH"/>
    <x v="6"/>
  </r>
  <r>
    <s v="EXP100106"/>
    <s v="E096"/>
    <s v="AX788316581"/>
    <d v="2026-01-09T00:00:00"/>
    <d v="2026-01-11T00:00:00"/>
    <s v="EVENTBRITE"/>
    <s v="7999"/>
    <s v="Events"/>
    <n v="115.72"/>
    <s v="Corporate Amex"/>
    <m/>
    <s v="Y"/>
    <s v="Events"/>
    <s v="MATCH"/>
    <x v="2"/>
  </r>
  <r>
    <s v="EXP100107"/>
    <s v="E096"/>
    <s v="AX470120039"/>
    <d v="2026-01-01T00:00:00"/>
    <d v="2026-01-11T00:00:00"/>
    <s v="STAPLES #0231"/>
    <s v="5943"/>
    <s v="Meals"/>
    <n v="117.24"/>
    <s v="Corporate Amex"/>
    <m/>
    <s v="Y"/>
    <s v="Office Supplies"/>
    <s v="MISMATCH"/>
    <x v="2"/>
  </r>
  <r>
    <s v="EXP100108"/>
    <s v="E002"/>
    <s v="AX920553163"/>
    <d v="2026-01-08T00:00:00"/>
    <d v="2026-01-11T00:00:00"/>
    <s v=" OLIVE GARDEN 00456"/>
    <s v="5812"/>
    <s v="Meals"/>
    <n v="97.36"/>
    <s v="Corporate Amex"/>
    <m/>
    <s v="Y"/>
    <s v="Meals"/>
    <s v="MATCH"/>
    <x v="0"/>
  </r>
  <r>
    <s v="EXP100109"/>
    <s v="E007"/>
    <m/>
    <d v="2026-01-05T00:00:00"/>
    <d v="2026-01-11T00:00:00"/>
    <s v="DELTA AIR 00623891045"/>
    <s v="4511"/>
    <s v="Travel"/>
    <n v="291.51"/>
    <s v="Corporate Amex"/>
    <m/>
    <s v="Y"/>
    <s v="Travel"/>
    <s v="MATCH"/>
    <x v="0"/>
  </r>
  <r>
    <s v="EXP100110"/>
    <s v="E007"/>
    <s v="AX-673490607"/>
    <d v="2026-01-03T00:00:00"/>
    <d v="2026-01-11T00:00:00"/>
    <s v="SQ *THE CORNER BISTRO"/>
    <s v="5812"/>
    <m/>
    <n v="39.64"/>
    <s v="Corporate Amex"/>
    <m/>
    <s v="Y"/>
    <s v="Meals"/>
    <s v="BLANK"/>
    <x v="0"/>
  </r>
  <r>
    <s v="EXP100111"/>
    <s v="E208"/>
    <s v="AX889287268"/>
    <d v="2026-01-06T00:00:00"/>
    <d v="2026-01-11T00:00:00"/>
    <s v="EVENTBRITE"/>
    <s v="7999"/>
    <s v="Events"/>
    <n v="274.55"/>
    <s v="Corporate Amex"/>
    <m/>
    <s v="Y"/>
    <s v="Events"/>
    <s v="MATCH"/>
    <x v="4"/>
  </r>
  <r>
    <s v="EXP100112"/>
    <s v="E179"/>
    <m/>
    <d v="2026-01-10T00:00:00"/>
    <d v="2026-01-11T00:00:00"/>
    <s v="BRANDWATCH LTD"/>
    <s v="5734"/>
    <s v="Software"/>
    <n v="177.77"/>
    <s v="Corporate Amex"/>
    <m/>
    <s v="Y"/>
    <s v="Software"/>
    <s v="MATCH"/>
    <x v="6"/>
  </r>
  <r>
    <s v="EXP100113"/>
    <s v="E067"/>
    <m/>
    <d v="2026-01-05T00:00:00"/>
    <d v="2026-01-11T00:00:00"/>
    <s v="EVENTBRITE"/>
    <s v="7999"/>
    <m/>
    <n v="112.49"/>
    <s v="Corporate Amex"/>
    <m/>
    <s v="Y"/>
    <s v="Events"/>
    <s v="BLANK"/>
    <x v="0"/>
  </r>
  <r>
    <s v="EXP100114"/>
    <s v="E039"/>
    <s v="AX999799259"/>
    <d v="2026-01-06T00:00:00"/>
    <d v="2026-01-11T00:00:00"/>
    <s v="ZOOM.US"/>
    <s v="5734"/>
    <s v="Software"/>
    <n v="34.04"/>
    <s v="Corporate Amex"/>
    <m/>
    <s v="Y"/>
    <s v="Software"/>
    <s v="MATCH"/>
    <x v="0"/>
  </r>
  <r>
    <s v="EXP100115"/>
    <s v="E013"/>
    <s v="AX894680266"/>
    <d v="2026-01-09T00:00:00"/>
    <d v="2026-01-11T00:00:00"/>
    <s v="SPROUT SOCIAL"/>
    <s v="5734"/>
    <s v="  Software "/>
    <n v="152.47"/>
    <s v="Corporate Amex"/>
    <m/>
    <s v="Y"/>
    <s v="Software"/>
    <s v="MATCH"/>
    <x v="0"/>
  </r>
  <r>
    <s v="EXP100116"/>
    <s v="E008"/>
    <s v="AX851635621"/>
    <d v="2026-01-08T00:00:00"/>
    <d v="2026-01-11T00:00:00"/>
    <s v="STARBUCKS #4471"/>
    <s v="5812"/>
    <s v="Meals"/>
    <n v="6.59"/>
    <s v="Corporate Amex"/>
    <m/>
    <s v="Y"/>
    <s v="Meals"/>
    <s v="MATCH"/>
    <x v="0"/>
  </r>
  <r>
    <s v="EXP100117"/>
    <s v="E053"/>
    <s v="AX323882735"/>
    <d v="2026-01-08T00:00:00"/>
    <d v="2026-01-11T00:00:00"/>
    <s v="TOTAL PARTY RENTAL"/>
    <s v="7999"/>
    <s v="Events"/>
    <n v="291.48"/>
    <s v="Corporate Amex"/>
    <m/>
    <s v="Y"/>
    <s v="Events"/>
    <s v="MATCH"/>
    <x v="0"/>
  </r>
  <r>
    <s v="EXP100118"/>
    <s v="E048"/>
    <s v="AX721594049"/>
    <d v="2026-01-03T00:00:00"/>
    <d v="2026-01-11T00:00:00"/>
    <s v="TOPGOLF #442"/>
    <s v="7997"/>
    <s v="Entertainment"/>
    <n v="136.47"/>
    <s v="Corporate Amex"/>
    <m/>
    <s v="Y"/>
    <s v="Entertainment"/>
    <s v="MATCH"/>
    <x v="0"/>
  </r>
  <r>
    <s v="EXP100119"/>
    <s v="E250"/>
    <s v="AX-747982738"/>
    <d v="2026-01-03T00:00:00"/>
    <d v="2026-01-11T00:00:00"/>
    <s v="LYFT RIDE THU"/>
    <s v="4121"/>
    <s v="Transportation"/>
    <n v="12.91"/>
    <s v="Corporate Amex"/>
    <m/>
    <s v="Y"/>
    <s v="Transportation"/>
    <s v="MATCH"/>
    <x v="1"/>
  </r>
  <r>
    <s v="EXP100120"/>
    <s v="E069"/>
    <m/>
    <d v="2026-01-10T00:00:00"/>
    <d v="2026-01-11T00:00:00"/>
    <s v="MARRIOTT #4471"/>
    <s v="7011"/>
    <s v="Lodging"/>
    <n v="266.16000000000003"/>
    <s v="Personal (Reimbursement)"/>
    <s v="International merchant - Amex not accepted"/>
    <s v="Y"/>
    <s v="Lodging"/>
    <s v="MATCH"/>
    <x v="0"/>
  </r>
  <r>
    <s v="EXP100121"/>
    <s v="E155"/>
    <s v="AX-302746894"/>
    <d v="2026-01-06T00:00:00"/>
    <d v="2026-01-11T00:00:00"/>
    <s v="YELLOW CAB CO"/>
    <s v="4121"/>
    <s v="Transportation"/>
    <n v="26.5"/>
    <s v="Corporate Amex"/>
    <m/>
    <s v="Y"/>
    <s v="Transportation"/>
    <s v="MATCH"/>
    <x v="6"/>
  </r>
  <r>
    <s v="EXP100122"/>
    <s v="E244"/>
    <s v="ax225220033"/>
    <d v="2026-01-02T00:00:00"/>
    <d v="2026-01-11T00:00:00"/>
    <s v="MARRIOTT #4471"/>
    <s v="7011"/>
    <s v="Lodging"/>
    <n v="340.15"/>
    <s v="Corporate Amex"/>
    <m/>
    <s v="Y"/>
    <s v="Lodging"/>
    <s v="MATCH"/>
    <x v="1"/>
  </r>
  <r>
    <s v="EXP100123"/>
    <s v="E183"/>
    <m/>
    <d v="2026-01-11T00:00:00"/>
    <d v="2026-01-11T00:00:00"/>
    <s v="MICROSOFT*365"/>
    <s v="5734"/>
    <s v="Software"/>
    <n v="40.19"/>
    <s v="Corporate Amex"/>
    <m/>
    <s v="Y"/>
    <s v="Software"/>
    <s v="MATCH"/>
    <x v="5"/>
  </r>
  <r>
    <s v="EXP100124"/>
    <s v="E251"/>
    <s v="ax130592631"/>
    <d v="2026-01-06T00:00:00"/>
    <d v="2026-01-11T00:00:00"/>
    <s v="CHIPOTLE 2214"/>
    <s v="5812"/>
    <s v="Meals"/>
    <n v="10.74"/>
    <s v="Corporate Amex"/>
    <m/>
    <s v="Y"/>
    <s v="Meals"/>
    <s v="MATCH"/>
    <x v="1"/>
  </r>
  <r>
    <s v="EXP100125"/>
    <s v="E054"/>
    <s v="ax645894949"/>
    <d v="2026-01-02T00:00:00"/>
    <d v="2026-01-12T00:00:00"/>
    <s v="AMC THEATRES 0021"/>
    <s v="7832"/>
    <s v="Entertainment"/>
    <n v="46.88"/>
    <s v="Corporate Amex"/>
    <m/>
    <s v="Y"/>
    <s v="Entertainment"/>
    <s v="MATCH"/>
    <x v="0"/>
  </r>
  <r>
    <s v="EXP100126"/>
    <s v="E052"/>
    <s v="AX383300309"/>
    <d v="2026-01-07T00:00:00"/>
    <d v="2026-01-12T00:00:00"/>
    <s v="SQ *THE CORNER BISTRO"/>
    <s v="5812"/>
    <s v="Meals"/>
    <n v="22.44"/>
    <s v="Corporate Amex"/>
    <m/>
    <s v="N"/>
    <s v="Meals"/>
    <s v="MATCH"/>
    <x v="0"/>
  </r>
  <r>
    <s v="EXP100127"/>
    <s v="E258"/>
    <s v="AX300641375"/>
    <d v="2026-01-03T00:00:00"/>
    <d v="2026-01-12T00:00:00"/>
    <s v="SOUTHWEST AIR 5261823"/>
    <s v="4511"/>
    <s v="Travel"/>
    <n v="150.44"/>
    <s v="Corporate Amex"/>
    <m/>
    <s v="Y"/>
    <s v="Travel"/>
    <s v="MATCH"/>
    <x v="8"/>
  </r>
  <r>
    <s v="EXP100128"/>
    <s v="E003"/>
    <m/>
    <d v="2026-01-08T00:00:00"/>
    <d v="2026-01-12T00:00:00"/>
    <s v="SPROUT SOCIAL"/>
    <s v="5734"/>
    <s v="Software"/>
    <n v="229.33"/>
    <s v="Personal (Reimbursement)"/>
    <s v="International merchant - Amex not accepted"/>
    <s v="Y"/>
    <s v="Software"/>
    <s v="MATCH"/>
    <x v="0"/>
  </r>
  <r>
    <s v="EXP100129"/>
    <s v="E003"/>
    <s v="AX232428051"/>
    <d v="2026-01-09T00:00:00"/>
    <d v="2026-01-12T00:00:00"/>
    <s v="REGION CATERING CO"/>
    <s v="5811"/>
    <s v="Events"/>
    <n v="324.45"/>
    <s v="Corporate Amex"/>
    <m/>
    <s v="Y"/>
    <s v="Events"/>
    <s v="MATCH"/>
    <x v="0"/>
  </r>
  <r>
    <s v="EXP100130"/>
    <s v="E138"/>
    <s v="AX872824732"/>
    <d v="2026-01-02T00:00:00"/>
    <d v="2026-01-12T00:00:00"/>
    <s v="EVENTBRITE"/>
    <s v="7999"/>
    <s v="Events"/>
    <n v="41.58"/>
    <s v="Corporate Amex"/>
    <m/>
    <s v="Y"/>
    <s v="Events"/>
    <s v="MATCH"/>
    <x v="7"/>
  </r>
  <r>
    <s v="EXP100131"/>
    <s v="E020"/>
    <s v="ax923136816"/>
    <d v="2026-01-02T00:00:00"/>
    <d v="2026-01-12T00:00:00"/>
    <s v="STAPLES #0231"/>
    <s v="5943"/>
    <s v="Office Supplies"/>
    <n v="134.26"/>
    <s v="Corporate Amex"/>
    <m/>
    <s v="Y"/>
    <s v="Office Supplies"/>
    <s v="MATCH"/>
    <x v="0"/>
  </r>
  <r>
    <s v="EXP100132"/>
    <s v="E032"/>
    <s v="AX290672496"/>
    <d v="2026-01-03T00:00:00"/>
    <d v="2026-01-12T00:00:00"/>
    <s v="ADOBE *CREATIVE CLOUD"/>
    <s v="5734"/>
    <s v="Software"/>
    <n v="82.57"/>
    <s v="Corporate Amex"/>
    <m/>
    <s v="Y"/>
    <s v="Software"/>
    <s v="MATCH"/>
    <x v="0"/>
  </r>
  <r>
    <s v="EXP100133"/>
    <s v="E033"/>
    <s v="AX-690014463"/>
    <d v="2026-01-03T00:00:00"/>
    <d v="2026-01-12T00:00:00"/>
    <s v="SQ *THE CORNER BISTRO"/>
    <s v="5812"/>
    <s v="Meals"/>
    <n v="47.38"/>
    <s v="Corporate Amex"/>
    <m/>
    <s v="Y"/>
    <s v="Meals"/>
    <s v="MATCH"/>
    <x v="0"/>
  </r>
  <r>
    <s v="EXP100134"/>
    <s v="E087"/>
    <s v="ax177556934"/>
    <d v="2026-01-09T00:00:00"/>
    <d v="2026-01-12T00:00:00"/>
    <s v="STAPLES #0231"/>
    <s v="5943"/>
    <s v="Office Supplies"/>
    <n v="17.62"/>
    <s v="Corporate Amex"/>
    <m/>
    <s v="Y"/>
    <s v="Office Supplies"/>
    <s v="MATCH"/>
    <x v="2"/>
  </r>
  <r>
    <s v="EXP100135"/>
    <s v="E030"/>
    <s v="AX 799945932"/>
    <d v="2026-01-05T00:00:00"/>
    <d v="2026-01-12T00:00:00"/>
    <s v="SQ *JOES COFFEE"/>
    <s v="5812"/>
    <s v="Meals"/>
    <n v="22.45"/>
    <s v="Corporate Amex"/>
    <m/>
    <s v="Y"/>
    <s v="Meals"/>
    <s v="MATCH"/>
    <x v="0"/>
  </r>
  <r>
    <s v="EXP100136"/>
    <s v="E036"/>
    <s v="AX 986347969"/>
    <d v="2026-01-03T00:00:00"/>
    <d v="2026-01-12T00:00:00"/>
    <s v="TOTAL PARTY RENTAL"/>
    <s v="7999"/>
    <s v="Events"/>
    <n v="108.76"/>
    <s v="Corporate Amex"/>
    <m/>
    <s v="Y"/>
    <s v="Events"/>
    <s v="MATCH"/>
    <x v="0"/>
  </r>
  <r>
    <s v="EXP100137"/>
    <s v="E036"/>
    <s v="ax344105479"/>
    <d v="2026-01-02T00:00:00"/>
    <d v="2026-01-12T00:00:00"/>
    <s v="BRANDWATCH LTD"/>
    <s v="5734"/>
    <s v="Lodging"/>
    <n v="318.31"/>
    <s v="Corporate Amex"/>
    <m/>
    <s v="Y"/>
    <s v="Software"/>
    <s v="MISMATCH"/>
    <x v="0"/>
  </r>
  <r>
    <s v="EXP100138"/>
    <s v="E024"/>
    <s v="AX720130633"/>
    <d v="2026-01-10T00:00:00"/>
    <d v="2026-01-12T00:00:00"/>
    <s v="UBER TRIP HELP.UBER"/>
    <s v="4121"/>
    <s v="Transportation"/>
    <n v="49.02"/>
    <s v="Corporate Amex"/>
    <m/>
    <s v="N"/>
    <s v="Transportation"/>
    <s v="MATCH"/>
    <x v="0"/>
  </r>
  <r>
    <s v="EXP100139"/>
    <s v="E083"/>
    <m/>
    <d v="2026-01-06T00:00:00"/>
    <d v="2026-01-12T00:00:00"/>
    <s v="BRANDWATCH LTD"/>
    <s v="5734"/>
    <s v="Software"/>
    <n v="318.45"/>
    <s v="Personal (Reimbursement)"/>
    <s v="Amex declined - vendor doesn't accept Amex"/>
    <s v="Y"/>
    <s v="Software"/>
    <s v="MATCH"/>
    <x v="2"/>
  </r>
  <r>
    <s v="EXP100140"/>
    <s v="E083"/>
    <s v="AX244493055"/>
    <d v="2026-01-04T00:00:00"/>
    <d v="2026-01-12T00:00:00"/>
    <s v="AMC THEATRES 0021"/>
    <s v="7832"/>
    <s v="Entertainment"/>
    <n v="36.479999999999997"/>
    <s v="Corporate Amex"/>
    <m/>
    <s v="Y"/>
    <s v="Entertainment"/>
    <s v="MATCH"/>
    <x v="2"/>
  </r>
  <r>
    <s v="EXP100141"/>
    <s v="E090"/>
    <s v="AX 214510694"/>
    <d v="2026-01-07T00:00:00"/>
    <d v="2026-01-12T00:00:00"/>
    <s v="MICROSOFT*365"/>
    <s v="5734"/>
    <s v="Software"/>
    <n v="64.78"/>
    <s v="Corporate Amex"/>
    <m/>
    <s v="Y"/>
    <s v="Software"/>
    <s v="MATCH"/>
    <x v="2"/>
  </r>
  <r>
    <s v="EXP100142"/>
    <s v="E013"/>
    <s v="AX445047267"/>
    <d v="2026-01-04T00:00:00"/>
    <d v="2026-01-12T00:00:00"/>
    <s v="PANERA BREAD #0231"/>
    <s v="5812"/>
    <m/>
    <n v="23.23"/>
    <s v="Corporate Amex"/>
    <m/>
    <s v="Y"/>
    <s v="Meals"/>
    <s v="BLANK"/>
    <x v="0"/>
  </r>
  <r>
    <s v="EXP100143"/>
    <s v="E008"/>
    <s v="AX393633663"/>
    <d v="2026-01-09T00:00:00"/>
    <d v="2026-01-12T00:00:00"/>
    <s v="MARRIOTT #4471"/>
    <s v="7011"/>
    <s v="Lodging"/>
    <n v="343.66"/>
    <s v="Corporate Amex"/>
    <m/>
    <s v="Y"/>
    <s v="Lodging"/>
    <s v="MATCH"/>
    <x v="0"/>
  </r>
  <r>
    <s v="EXP100144"/>
    <s v="E064"/>
    <m/>
    <d v="2026-01-03T00:00:00"/>
    <d v="2026-01-12T00:00:00"/>
    <s v="DELTA AIR 00623891045"/>
    <s v="4511"/>
    <s v="Travel"/>
    <n v="573.4"/>
    <s v="Corporate Amex"/>
    <m/>
    <s v="Y"/>
    <s v="Travel"/>
    <s v="MATCH"/>
    <x v="0"/>
  </r>
  <r>
    <s v="EXP100145"/>
    <s v="E061"/>
    <s v="ax111676892"/>
    <d v="2026-01-09T00:00:00"/>
    <d v="2026-01-12T00:00:00"/>
    <s v="STARBUCKS #4471"/>
    <s v="5812"/>
    <s v="Meals"/>
    <n v="5.61"/>
    <s v="Corporate Amex"/>
    <m/>
    <s v="Y"/>
    <s v="Meals"/>
    <s v="MATCH"/>
    <x v="0"/>
  </r>
  <r>
    <s v="EXP100146"/>
    <s v="E237"/>
    <m/>
    <d v="2026-01-09T00:00:00"/>
    <d v="2026-01-12T00:00:00"/>
    <s v="AMAZON MKTPLACE PMTS"/>
    <s v="5942"/>
    <s v="Office Supplies"/>
    <n v="332.49"/>
    <s v="Personal (Reimbursement)"/>
    <s v="Amex declined - vendor doesn't accept Amex"/>
    <s v="N"/>
    <s v="Office Supplies"/>
    <s v="MATCH"/>
    <x v="1"/>
  </r>
  <r>
    <s v="EXP100147"/>
    <s v="E248"/>
    <s v="AX-132384443"/>
    <d v="2026-01-11T00:00:00"/>
    <d v="2026-01-13T00:00:00"/>
    <s v="UBER TRIP HELP.UBER"/>
    <s v="4121"/>
    <s v="Transportation"/>
    <n v="53.78"/>
    <s v="Corporate Amex"/>
    <m/>
    <s v="Y"/>
    <s v="Transportation"/>
    <s v="MATCH"/>
    <x v="1"/>
  </r>
  <r>
    <s v="EXP100148"/>
    <s v="E036"/>
    <m/>
    <d v="2026-01-03T00:00:00"/>
    <d v="2026-01-13T00:00:00"/>
    <s v="TOTAL PARTY RENTAL"/>
    <s v="7999"/>
    <s v="Events"/>
    <n v="350.59"/>
    <s v="Personal (Reimbursement)"/>
    <s v="International merchant - Amex not accepted"/>
    <s v="Y"/>
    <s v="Events"/>
    <s v="MATCH"/>
    <x v="0"/>
  </r>
  <r>
    <s v="EXP100149"/>
    <s v="E125"/>
    <s v="AX963366074"/>
    <d v="2026-01-13T00:00:00"/>
    <d v="2026-01-13T00:00:00"/>
    <s v="MICROSOFT*365"/>
    <s v="5734"/>
    <s v="Software"/>
    <n v="42.31"/>
    <s v="Corporate Amex"/>
    <m/>
    <s v="Y"/>
    <s v="Software"/>
    <s v="MATCH"/>
    <x v="7"/>
  </r>
  <r>
    <s v="EXP100150"/>
    <s v="E245"/>
    <s v="AX482592269"/>
    <d v="2026-01-10T00:00:00"/>
    <d v="2026-01-13T00:00:00"/>
    <s v="SOUTHWEST AIR 5261823"/>
    <s v="4511"/>
    <s v="Travel"/>
    <n v="132.51"/>
    <s v="Corporate Amex"/>
    <m/>
    <s v="Y"/>
    <s v="Travel"/>
    <s v="MATCH"/>
    <x v="1"/>
  </r>
  <r>
    <s v="EXP100151"/>
    <s v="E202"/>
    <s v="AX-795189866"/>
    <d v="2026-01-10T00:00:00"/>
    <d v="2026-01-13T00:00:00"/>
    <s v="MARRIOTT #4471"/>
    <s v="7011"/>
    <s v="Meals"/>
    <n v="273.25"/>
    <s v="Corporate Amex"/>
    <m/>
    <s v="Y"/>
    <s v="Lodging"/>
    <s v="MISMATCH"/>
    <x v="5"/>
  </r>
  <r>
    <s v="EXP100152"/>
    <s v="E048"/>
    <s v="AX-361917176"/>
    <d v="2026-01-10T00:00:00"/>
    <d v="2026-01-13T00:00:00"/>
    <s v="STAPLES #0231"/>
    <s v="5943"/>
    <s v="Office Supplies"/>
    <n v="91.71"/>
    <s v="Corporate Amex"/>
    <m/>
    <s v="Y"/>
    <s v="Office Supplies"/>
    <s v="MATCH"/>
    <x v="0"/>
  </r>
  <r>
    <s v="EXP100153"/>
    <s v="E191"/>
    <s v="AX-579507506"/>
    <d v="2026-01-05T00:00:00"/>
    <d v="2026-01-13T00:00:00"/>
    <s v="HYATT REGENCY BOS"/>
    <s v="7011"/>
    <s v="Lodging"/>
    <n v="357.02"/>
    <s v="Corporate Amex"/>
    <m/>
    <s v="Y"/>
    <s v="Lodging"/>
    <s v="MATCH"/>
    <x v="5"/>
  </r>
  <r>
    <s v="EXP100154"/>
    <s v="E022"/>
    <m/>
    <d v="2026-01-11T00:00:00"/>
    <d v="2026-01-13T00:00:00"/>
    <s v="HOOTSUITE INC"/>
    <s v="5734"/>
    <s v="Software"/>
    <n v="66.13"/>
    <s v="Personal (Reimbursement)"/>
    <s v="Card not yet issued"/>
    <s v="Y"/>
    <s v="Software"/>
    <s v="MATCH"/>
    <x v="0"/>
  </r>
  <r>
    <s v="EXP100155"/>
    <s v="E017"/>
    <s v="ax205858521"/>
    <d v="2026-01-09T00:00:00"/>
    <d v="2026-01-13T00:00:00"/>
    <s v="OLIVE GARDEN 00456"/>
    <s v="5812"/>
    <s v="Meals"/>
    <n v="28.59"/>
    <s v="Corporate Amex"/>
    <m/>
    <s v="Y"/>
    <s v="Meals"/>
    <s v="MATCH"/>
    <x v="0"/>
  </r>
  <r>
    <s v="EXP100157"/>
    <s v="E025"/>
    <s v="AX255158265"/>
    <d v="2026-01-12T00:00:00"/>
    <d v="2026-01-13T00:00:00"/>
    <s v="MICROSOFT*365"/>
    <s v="5734"/>
    <s v="Software"/>
    <n v="44.23"/>
    <s v="Corporate Amex"/>
    <m/>
    <s v="Y"/>
    <s v="Software"/>
    <s v="MATCH"/>
    <x v="0"/>
  </r>
  <r>
    <s v="EXP100158"/>
    <s v="E025"/>
    <s v="AX 230362726"/>
    <d v="2026-01-11T00:00:00"/>
    <d v="2026-01-13T00:00:00"/>
    <s v="ZOOM.US"/>
    <s v="5734"/>
    <s v="Software"/>
    <n v="58.07"/>
    <s v="Corporate Amex"/>
    <m/>
    <s v="Y"/>
    <s v="Software"/>
    <s v="MATCH"/>
    <x v="0"/>
  </r>
  <r>
    <s v="EXP100159"/>
    <s v="E033"/>
    <s v="AX519743638"/>
    <d v="2026-01-06T00:00:00"/>
    <d v="2026-01-13T00:00:00"/>
    <s v="CHIPOTLE 2214"/>
    <s v="5812"/>
    <s v="Meals"/>
    <n v="21.68"/>
    <s v="Corporate Amex"/>
    <m/>
    <s v="Y"/>
    <s v="Meals"/>
    <s v="MATCH"/>
    <x v="0"/>
  </r>
  <r>
    <s v="EXP100160"/>
    <s v="E039"/>
    <m/>
    <d v="2026-01-07T00:00:00"/>
    <d v="2026-01-13T00:00:00"/>
    <s v="DELTA AIR 00623891045"/>
    <s v="4511"/>
    <s v="Travel"/>
    <n v="242.73"/>
    <s v="Corporate Amex"/>
    <m/>
    <s v="Y"/>
    <s v="Travel"/>
    <s v="MATCH"/>
    <x v="0"/>
  </r>
  <r>
    <s v="EXP100161"/>
    <s v="E079"/>
    <m/>
    <d v="2026-01-10T00:00:00"/>
    <d v="2026-01-13T00:00:00"/>
    <s v=" ADOBE *CREATIVE CLOUD"/>
    <s v="5734"/>
    <s v="Software"/>
    <n v="48.66"/>
    <s v="Corporate Amex"/>
    <m/>
    <s v="Y"/>
    <s v="Software"/>
    <s v="MATCH"/>
    <x v="2"/>
  </r>
  <r>
    <s v="EXP100162"/>
    <s v="E122"/>
    <s v="AX832693994"/>
    <d v="2026-01-04T00:00:00"/>
    <d v="2026-01-13T00:00:00"/>
    <s v="SOUTHWEST AIR 5261823"/>
    <s v="4511"/>
    <s v="Travel"/>
    <n v="396.91"/>
    <s v="Corporate Amex"/>
    <m/>
    <s v="Y"/>
    <s v="Travel"/>
    <s v="MATCH"/>
    <x v="7"/>
  </r>
  <r>
    <s v="EXP100163"/>
    <s v="E249"/>
    <s v="ax296698812"/>
    <d v="2026-01-10T00:00:00"/>
    <d v="2026-01-13T00:00:00"/>
    <s v="AMC THEATRES 0021"/>
    <s v="7832"/>
    <s v="Entertainment"/>
    <n v="18.77"/>
    <s v="Corporate Amex"/>
    <m/>
    <s v="Y"/>
    <s v="Entertainment"/>
    <s v="MATCH"/>
    <x v="1"/>
  </r>
  <r>
    <s v="EXP100164"/>
    <s v="E217"/>
    <s v="AX138870937"/>
    <d v="2026-01-11T00:00:00"/>
    <d v="2026-01-13T00:00:00"/>
    <s v="HOOTSUITE INC"/>
    <s v="5734"/>
    <s v="Software"/>
    <n v="87.43"/>
    <s v="Corporate Amex"/>
    <m/>
    <s v="Y"/>
    <s v="Software"/>
    <s v="MATCH"/>
    <x v="4"/>
  </r>
  <r>
    <s v="EXP100165"/>
    <s v="E060"/>
    <s v="AX851501421"/>
    <d v="2026-01-03T00:00:00"/>
    <d v="2026-01-13T00:00:00"/>
    <s v="YELLOW CAB CO"/>
    <s v="4121"/>
    <s v="Transportation"/>
    <n v="53.13"/>
    <s v="Corporate Amex"/>
    <m/>
    <s v="Y"/>
    <s v="Transportation"/>
    <s v="MATCH"/>
    <x v="0"/>
  </r>
  <r>
    <s v="EXP100166"/>
    <s v="E223"/>
    <s v="AX-373349480"/>
    <d v="2026-01-10T00:00:00"/>
    <d v="2026-01-13T00:00:00"/>
    <s v="TOTAL PARTY RENTAL"/>
    <s v="7999"/>
    <s v="Events"/>
    <n v="496.73"/>
    <s v="Corporate Amex"/>
    <m/>
    <s v="Y"/>
    <s v="Events"/>
    <s v="MATCH"/>
    <x v="4"/>
  </r>
  <r>
    <s v="EXP100167"/>
    <s v="E045"/>
    <m/>
    <d v="2026-01-03T00:00:00"/>
    <d v="2026-01-13T00:00:00"/>
    <s v="MARRIOTT #4471"/>
    <s v="7011"/>
    <s v="Lodging"/>
    <n v="377.35"/>
    <s v="Corporate Amex"/>
    <m/>
    <s v="Y"/>
    <s v="Lodging"/>
    <s v="MATCH"/>
    <x v="0"/>
  </r>
  <r>
    <s v="EXP100168"/>
    <s v="E018"/>
    <s v="AX531666240"/>
    <d v="2026-01-05T00:00:00"/>
    <d v="2026-01-13T00:00:00"/>
    <s v="CHIPOTLE 2214"/>
    <s v="5812"/>
    <s v="Meals"/>
    <n v="17.09"/>
    <s v="Corporate Amex"/>
    <m/>
    <s v="Y"/>
    <s v="Meals"/>
    <s v="MATCH"/>
    <x v="0"/>
  </r>
  <r>
    <s v="EXP100169"/>
    <s v="E190"/>
    <s v="AX167019537"/>
    <d v="2026-01-03T00:00:00"/>
    <d v="2026-01-13T00:00:00"/>
    <s v=" ZOOM.US"/>
    <s v="5734"/>
    <s v="Software"/>
    <n v="40.51"/>
    <s v="Corporate Amex"/>
    <m/>
    <s v="Y"/>
    <s v="Software"/>
    <s v="MATCH"/>
    <x v="5"/>
  </r>
  <r>
    <s v="EXP100170"/>
    <s v="E260"/>
    <s v="ax691232882"/>
    <d v="2026-01-11T00:00:00"/>
    <d v="2026-01-13T00:00:00"/>
    <s v="REGION CATERING CO"/>
    <s v="5811"/>
    <s v="Events"/>
    <n v="146.44999999999999"/>
    <s v="Corporate Amex"/>
    <m/>
    <s v="Y"/>
    <s v="Events"/>
    <s v="MATCH"/>
    <x v="8"/>
  </r>
  <r>
    <s v="EXP100171"/>
    <s v="E185"/>
    <m/>
    <d v="2026-01-07T00:00:00"/>
    <d v="2026-01-14T00:00:00"/>
    <s v="SOUTHWEST AIR 5261823"/>
    <s v="4511"/>
    <s v="Travel"/>
    <n v="283.02999999999997"/>
    <s v="Personal (Reimbursement)"/>
    <s v="International merchant - Amex not accepted"/>
    <s v="Y"/>
    <s v="Travel"/>
    <s v="MATCH"/>
    <x v="5"/>
  </r>
  <r>
    <s v="EXP100172"/>
    <s v="E032"/>
    <s v="AX891177789"/>
    <d v="2026-01-04T00:00:00"/>
    <d v="2026-01-14T00:00:00"/>
    <s v="LYFT RIDE THU"/>
    <s v="4121"/>
    <s v="Transportation"/>
    <n v="28.73"/>
    <s v="Corporate Amex"/>
    <m/>
    <s v="Y"/>
    <s v="Transportation"/>
    <s v="MATCH"/>
    <x v="0"/>
  </r>
  <r>
    <s v="EXP100173"/>
    <s v="E044"/>
    <s v="AX952587006"/>
    <d v="2026-01-06T00:00:00"/>
    <d v="2026-01-14T00:00:00"/>
    <s v="HILTON GARDEN INN 2231"/>
    <s v="7011"/>
    <s v="Lodging"/>
    <n v="270.89"/>
    <s v="Corporate Amex"/>
    <m/>
    <s v="Y"/>
    <s v="Lodging"/>
    <s v="MATCH"/>
    <x v="0"/>
  </r>
  <r>
    <s v="EXP100174"/>
    <s v="E215"/>
    <s v="AX261032577"/>
    <d v="2026-01-06T00:00:00"/>
    <d v="2026-01-14T00:00:00"/>
    <s v="TOTAL PARTY RENTAL"/>
    <s v="7999"/>
    <s v="  Events "/>
    <n v="362.18"/>
    <s v="Corporate Amex"/>
    <m/>
    <s v="Y"/>
    <s v="Events"/>
    <s v="MATCH"/>
    <x v="4"/>
  </r>
  <r>
    <s v="EXP100175"/>
    <s v="E163"/>
    <s v="AX 682880943"/>
    <d v="2026-01-08T00:00:00"/>
    <d v="2026-01-14T00:00:00"/>
    <s v="REGION CATERING CO"/>
    <s v="5811"/>
    <s v="Events"/>
    <n v="409.34"/>
    <s v="Corporate Amex"/>
    <m/>
    <s v="Y"/>
    <s v="Events"/>
    <s v="MATCH"/>
    <x v="6"/>
  </r>
  <r>
    <s v="EXP100176"/>
    <s v="E019"/>
    <s v="AX 154244861"/>
    <d v="2026-01-09T00:00:00"/>
    <d v="2026-01-14T00:00:00"/>
    <s v="DELTA AIR 00623891045"/>
    <s v="4511"/>
    <s v="Travel"/>
    <n v="416.99"/>
    <s v="Corporate Amex"/>
    <m/>
    <s v="Y"/>
    <s v="Travel"/>
    <s v="MATCH"/>
    <x v="0"/>
  </r>
  <r>
    <s v="EXP100177"/>
    <s v="E146"/>
    <s v="AX351128946"/>
    <d v="2026-01-05T00:00:00"/>
    <d v="2026-01-14T00:00:00"/>
    <s v="UBER TRIP HELP.UBER"/>
    <s v="4121"/>
    <s v="Transportation"/>
    <n v="36.86"/>
    <s v="Corporate Amex"/>
    <m/>
    <s v="N"/>
    <s v="Transportation"/>
    <s v="MATCH"/>
    <x v="7"/>
  </r>
  <r>
    <s v="EXP100178"/>
    <s v="E174"/>
    <s v="AX402654670"/>
    <d v="2026-01-11T00:00:00"/>
    <d v="2026-01-14T00:00:00"/>
    <s v="MICROSOFT*365"/>
    <s v="5734"/>
    <s v="Software"/>
    <n v="39.19"/>
    <s v="Corporate Amex"/>
    <m/>
    <s v="Y"/>
    <s v="Software"/>
    <s v="MATCH"/>
    <x v="6"/>
  </r>
  <r>
    <s v="EXP100179"/>
    <s v="E212"/>
    <m/>
    <d v="2026-01-12T00:00:00"/>
    <d v="2026-01-14T00:00:00"/>
    <s v="MARRIOTT #4471"/>
    <s v="7011"/>
    <s v="Lodging"/>
    <n v="295"/>
    <s v="Corporate Amex"/>
    <m/>
    <s v="Y"/>
    <s v="Lodging"/>
    <s v="MATCH"/>
    <x v="4"/>
  </r>
  <r>
    <s v="EXP100180"/>
    <s v="E059"/>
    <s v="AX273246802"/>
    <d v="2026-01-07T00:00:00"/>
    <d v="2026-01-14T00:00:00"/>
    <s v="SPROUT SOCIAL"/>
    <s v="5734"/>
    <s v="Software"/>
    <n v="116.38"/>
    <s v="Corporate Amex"/>
    <m/>
    <s v="Y"/>
    <s v="Software"/>
    <s v="MATCH"/>
    <x v="0"/>
  </r>
  <r>
    <s v="EXP100181"/>
    <s v="E059"/>
    <s v="AX796839163"/>
    <d v="2026-01-13T00:00:00"/>
    <d v="2026-01-14T00:00:00"/>
    <s v="UBER TRIP HELP.UBER"/>
    <s v="4121"/>
    <s v="Transportation"/>
    <n v="51.08"/>
    <s v="Corporate Amex"/>
    <m/>
    <s v="Y"/>
    <s v="Transportation"/>
    <s v="MATCH"/>
    <x v="0"/>
  </r>
  <r>
    <s v="EXP100182"/>
    <s v="E041"/>
    <s v="AX-826446147"/>
    <d v="2026-01-14T00:00:00"/>
    <d v="2026-01-14T00:00:00"/>
    <s v="OLIVE GARDEN 00456"/>
    <s v="5812"/>
    <s v="Meals"/>
    <n v="122.62"/>
    <s v="Corporate Amex"/>
    <m/>
    <s v="N"/>
    <s v="Meals"/>
    <s v="MATCH"/>
    <x v="0"/>
  </r>
  <r>
    <s v="EXP100183"/>
    <s v="E055"/>
    <s v="AX202526222"/>
    <d v="2026-01-09T00:00:00"/>
    <d v="2026-01-14T00:00:00"/>
    <s v="AMC THEATRES 0021"/>
    <s v="7832"/>
    <s v="Entertainment"/>
    <n v="46.29"/>
    <s v="Corporate Amex"/>
    <m/>
    <s v="Y"/>
    <s v="Entertainment"/>
    <s v="MATCH"/>
    <x v="0"/>
  </r>
  <r>
    <s v="EXP100184"/>
    <s v="E092"/>
    <m/>
    <d v="2026-01-10T00:00:00"/>
    <d v="2026-01-15T00:00:00"/>
    <s v="SPROUT SOCIAL"/>
    <s v="5734"/>
    <s v="Software"/>
    <n v="220.17"/>
    <s v="Personal (Reimbursement)"/>
    <s v="Amex declined - vendor doesn't accept Amex"/>
    <s v="Y"/>
    <s v="Software"/>
    <s v="MATCH"/>
    <x v="2"/>
  </r>
  <r>
    <s v="EXP100185"/>
    <s v="E076"/>
    <s v="ax237893796"/>
    <d v="2026-01-14T00:00:00"/>
    <d v="2026-01-15T00:00:00"/>
    <s v="REGION CATERING CO"/>
    <s v="5811"/>
    <s v="  Events "/>
    <n v="86.59"/>
    <s v="Corporate Amex"/>
    <m/>
    <s v="Y"/>
    <s v="Events"/>
    <s v="MATCH"/>
    <x v="2"/>
  </r>
  <r>
    <s v="EXP100186"/>
    <s v="E083"/>
    <s v="AX260494646"/>
    <d v="2026-01-09T00:00:00"/>
    <d v="2026-01-15T00:00:00"/>
    <s v="SQ *JOES COFFEE"/>
    <s v="5812"/>
    <s v="Meals"/>
    <n v="15.02"/>
    <s v="Corporate Amex"/>
    <m/>
    <s v="Y"/>
    <s v="Meals"/>
    <s v="MATCH"/>
    <x v="2"/>
  </r>
  <r>
    <s v="EXP100187"/>
    <s v="E043"/>
    <s v="AX 262111062"/>
    <d v="2026-01-10T00:00:00"/>
    <d v="2026-01-15T00:00:00"/>
    <s v="MICROSOFT*365"/>
    <s v="5734"/>
    <s v="Software"/>
    <n v="50.01"/>
    <s v="Corporate Amex"/>
    <m/>
    <s v="Y"/>
    <s v="Software"/>
    <s v="MATCH"/>
    <x v="0"/>
  </r>
  <r>
    <s v="EXP100188"/>
    <s v="E035"/>
    <s v="AX637900447"/>
    <d v="2026-01-05T00:00:00"/>
    <d v="2026-01-15T00:00:00"/>
    <s v="BRANDWATCH LTD"/>
    <s v="5734"/>
    <s v="Software"/>
    <n v="384.95"/>
    <s v="Corporate Amex"/>
    <m/>
    <s v="Y"/>
    <s v="Software"/>
    <s v="MATCH"/>
    <x v="0"/>
  </r>
  <r>
    <s v="EXP100189"/>
    <s v="E144"/>
    <s v="AX845852520"/>
    <d v="2026-01-08T00:00:00"/>
    <d v="2026-01-15T00:00:00"/>
    <s v="SOUTHWEST AIR 5261823"/>
    <s v="4511"/>
    <s v="Travel"/>
    <n v="335.42"/>
    <s v="Corporate Amex"/>
    <m/>
    <s v="N"/>
    <s v="Travel"/>
    <s v="MATCH"/>
    <x v="7"/>
  </r>
  <r>
    <s v="EXP100190"/>
    <s v="E067"/>
    <s v="AX310351173"/>
    <d v="2026-01-10T00:00:00"/>
    <d v="2026-01-15T00:00:00"/>
    <s v="YELLOW CAB CO"/>
    <s v="4121"/>
    <s v="  Transportation "/>
    <n v="38.479999999999997"/>
    <s v="Corporate Amex"/>
    <m/>
    <s v="Y"/>
    <s v="Transportation"/>
    <s v="MATCH"/>
    <x v="0"/>
  </r>
  <r>
    <s v="EXP100191"/>
    <s v="E133"/>
    <m/>
    <d v="2026-01-11T00:00:00"/>
    <d v="2026-01-15T00:00:00"/>
    <s v="LYFT RIDE THU"/>
    <s v="4121"/>
    <s v="Transportation"/>
    <n v="40.83"/>
    <s v="Personal (Reimbursement)"/>
    <s v="Forgot corporate card"/>
    <s v="Y"/>
    <s v="Transportation"/>
    <s v="MATCH"/>
    <x v="7"/>
  </r>
  <r>
    <s v="EXP100192"/>
    <s v="E030"/>
    <m/>
    <d v="2026-01-13T00:00:00"/>
    <d v="2026-01-15T00:00:00"/>
    <s v="PANERA BREAD #0231"/>
    <s v="5812"/>
    <s v="Meals"/>
    <n v="16.59"/>
    <s v="Corporate Amex"/>
    <m/>
    <s v="N"/>
    <s v="Meals"/>
    <s v="MATCH"/>
    <x v="0"/>
  </r>
  <r>
    <s v="EXP100193"/>
    <s v="E103"/>
    <s v="AX-706775386"/>
    <d v="2026-01-05T00:00:00"/>
    <d v="2026-01-15T00:00:00"/>
    <s v="REGION CATERING CO"/>
    <s v="5811"/>
    <s v="Events"/>
    <n v="472.91"/>
    <s v="Corporate Amex"/>
    <m/>
    <s v="Y"/>
    <s v="Events"/>
    <s v="MATCH"/>
    <x v="2"/>
  </r>
  <r>
    <s v="EXP100194"/>
    <s v="E018"/>
    <m/>
    <d v="2026-01-08T00:00:00"/>
    <d v="2026-01-15T00:00:00"/>
    <s v="AMC THEATRES 0021"/>
    <s v="7832"/>
    <s v="Entertainment"/>
    <n v="42.21"/>
    <s v="Corporate Amex"/>
    <m/>
    <s v="N"/>
    <s v="Entertainment"/>
    <s v="MATCH"/>
    <x v="0"/>
  </r>
  <r>
    <s v="EXP100195"/>
    <s v="E047"/>
    <s v="AX-125909334"/>
    <d v="2026-01-14T00:00:00"/>
    <d v="2026-01-15T00:00:00"/>
    <s v="UNITED AIRLINES 0162233"/>
    <s v="4511"/>
    <s v="Travel"/>
    <n v="557.80999999999995"/>
    <s v="Corporate Amex"/>
    <m/>
    <s v="Y"/>
    <s v="Travel"/>
    <s v="MATCH"/>
    <x v="0"/>
  </r>
  <r>
    <s v="EXP100196"/>
    <s v="E047"/>
    <s v="ax402119234"/>
    <d v="2026-01-05T00:00:00"/>
    <d v="2026-01-15T00:00:00"/>
    <s v="SQ *JOES COFFEE"/>
    <s v="5812"/>
    <s v="Meals"/>
    <n v="21.12"/>
    <s v="Corporate Amex"/>
    <m/>
    <s v="Y"/>
    <s v="Meals"/>
    <s v="MATCH"/>
    <x v="0"/>
  </r>
  <r>
    <s v="EXP100197"/>
    <s v="E258"/>
    <s v="AX639487871"/>
    <d v="2026-01-11T00:00:00"/>
    <d v="2026-01-15T00:00:00"/>
    <s v="STARBUCKS #4471"/>
    <s v="5812"/>
    <s v="Meals"/>
    <n v="8.2799999999999994"/>
    <s v="Corporate Amex"/>
    <m/>
    <s v="Y"/>
    <s v="Meals"/>
    <s v="MATCH"/>
    <x v="8"/>
  </r>
  <r>
    <s v="EXP100198"/>
    <s v="E187"/>
    <s v="AX894667368"/>
    <d v="2026-01-06T00:00:00"/>
    <d v="2026-01-15T00:00:00"/>
    <s v=" TOTAL PARTY RENTAL"/>
    <s v="7999"/>
    <s v="Events"/>
    <n v="377.9"/>
    <s v="Corporate Amex"/>
    <m/>
    <s v="Y"/>
    <s v="Events"/>
    <s v="MATCH"/>
    <x v="5"/>
  </r>
  <r>
    <s v="EXP100199"/>
    <s v="E099"/>
    <s v="AX273871309"/>
    <d v="2026-01-12T00:00:00"/>
    <d v="2026-01-15T00:00:00"/>
    <s v="TOPGOLF #442"/>
    <s v="7997"/>
    <s v="Entertainment"/>
    <n v="183.04"/>
    <s v="Corporate Amex"/>
    <m/>
    <s v="Y"/>
    <s v="Entertainment"/>
    <s v="MATCH"/>
    <x v="2"/>
  </r>
  <r>
    <s v="EXP100200"/>
    <s v="E245"/>
    <s v="AX-398830738"/>
    <d v="2026-01-12T00:00:00"/>
    <d v="2026-01-15T00:00:00"/>
    <s v="TOPGOLF #442"/>
    <s v="7997"/>
    <s v="Entertainment"/>
    <n v="221.58"/>
    <s v="Corporate Amex"/>
    <m/>
    <s v="Y"/>
    <s v="Entertainment"/>
    <s v="MATCH"/>
    <x v="1"/>
  </r>
  <r>
    <s v="EXP100201"/>
    <s v="E260"/>
    <m/>
    <d v="2026-01-14T00:00:00"/>
    <d v="2026-01-15T00:00:00"/>
    <s v="MARRIOTT #4471"/>
    <s v="7011"/>
    <s v="Lodging"/>
    <n v="150.72999999999999"/>
    <s v="Corporate Amex"/>
    <m/>
    <s v="Y"/>
    <s v="Lodging"/>
    <s v="MATCH"/>
    <x v="8"/>
  </r>
  <r>
    <s v="EXP100202"/>
    <s v="E041"/>
    <s v="AX-991157197"/>
    <d v="2026-01-07T00:00:00"/>
    <d v="2026-01-15T00:00:00"/>
    <s v="TOPGOLF #442"/>
    <s v="7997"/>
    <s v="Entertainment"/>
    <n v="209.69"/>
    <s v="Corporate Amex"/>
    <m/>
    <s v="Y"/>
    <s v="Entertainment"/>
    <s v="MATCH"/>
    <x v="0"/>
  </r>
  <r>
    <s v="EXP100203"/>
    <s v="E057"/>
    <s v="AX-987619312"/>
    <d v="2026-01-08T00:00:00"/>
    <d v="2026-01-15T00:00:00"/>
    <s v="EVENTBRITE"/>
    <s v="7999"/>
    <s v="Events"/>
    <n v="90.44"/>
    <s v="Corporate Amex"/>
    <m/>
    <s v="Y"/>
    <s v="Events"/>
    <s v="MATCH"/>
    <x v="0"/>
  </r>
  <r>
    <s v="EXP100204"/>
    <s v="E161"/>
    <s v="AX645226600"/>
    <d v="2026-01-15T00:00:00"/>
    <d v="2026-01-16T00:00:00"/>
    <s v="BRANDWATCH LTD"/>
    <s v="5734"/>
    <s v="Software"/>
    <n v="167.16"/>
    <s v="Corporate Amex"/>
    <m/>
    <s v="Y"/>
    <s v="Software"/>
    <s v="MATCH"/>
    <x v="6"/>
  </r>
  <r>
    <s v="EXP100205"/>
    <s v="E120"/>
    <s v="AX 195578830"/>
    <d v="2026-01-06T00:00:00"/>
    <d v="2026-01-16T00:00:00"/>
    <s v="DELTA AIR 00623891045"/>
    <s v="4511"/>
    <s v="Travel"/>
    <n v="448.02"/>
    <s v="Corporate Amex"/>
    <m/>
    <s v="Y"/>
    <s v="Travel"/>
    <s v="MATCH"/>
    <x v="7"/>
  </r>
  <r>
    <s v="EXP100206"/>
    <s v="E007"/>
    <s v="ax109627159"/>
    <d v="2026-01-08T00:00:00"/>
    <d v="2026-01-16T00:00:00"/>
    <s v="SQ *JOES COFFEE"/>
    <s v="5812"/>
    <s v="Meals"/>
    <n v="23.13"/>
    <s v="Corporate Amex"/>
    <m/>
    <s v="Y"/>
    <s v="Meals"/>
    <s v="MATCH"/>
    <x v="0"/>
  </r>
  <r>
    <s v="EXP100207"/>
    <s v="E070"/>
    <m/>
    <d v="2026-01-10T00:00:00"/>
    <d v="2026-01-16T00:00:00"/>
    <s v="SOUTHWEST AIR 5261823"/>
    <s v="4511"/>
    <s v="Travel"/>
    <n v="238.37"/>
    <s v="Corporate Amex"/>
    <m/>
    <s v="Y"/>
    <s v="Travel"/>
    <s v="MATCH"/>
    <x v="0"/>
  </r>
  <r>
    <s v="EXP100208"/>
    <s v="E254"/>
    <m/>
    <d v="2026-01-08T00:00:00"/>
    <d v="2026-01-16T00:00:00"/>
    <s v="HOOTSUITE INC"/>
    <s v="5734"/>
    <s v="Software"/>
    <n v="50.14"/>
    <s v="Corporate Amex"/>
    <m/>
    <s v="Y"/>
    <s v="Software"/>
    <s v="MATCH"/>
    <x v="8"/>
  </r>
  <r>
    <s v="EXP100209"/>
    <s v="E006"/>
    <s v="AX199013911"/>
    <d v="2026-01-11T00:00:00"/>
    <d v="2026-01-16T00:00:00"/>
    <s v="TOTAL PARTY RENTAL"/>
    <s v="7999"/>
    <s v="Events"/>
    <n v="187.49"/>
    <s v="Corporate Amex"/>
    <m/>
    <s v="Y"/>
    <s v="Events"/>
    <s v="MATCH"/>
    <x v="0"/>
  </r>
  <r>
    <s v="EXP100210"/>
    <s v="E211"/>
    <s v="AX 754828558"/>
    <d v="2026-01-12T00:00:00"/>
    <d v="2026-01-16T00:00:00"/>
    <s v="STAPLES #0231"/>
    <s v="5943"/>
    <s v="Office Supplies"/>
    <n v="101.05"/>
    <s v="Corporate Amex"/>
    <m/>
    <s v="Y"/>
    <s v="Office Supplies"/>
    <s v="MATCH"/>
    <x v="4"/>
  </r>
  <r>
    <s v="EXP100211"/>
    <s v="E115"/>
    <s v="AX941070497"/>
    <d v="2026-01-06T00:00:00"/>
    <d v="2026-01-16T00:00:00"/>
    <s v="ZOOM.US"/>
    <s v="5734"/>
    <s v="Software"/>
    <n v="32.229999999999997"/>
    <s v="Corporate Amex"/>
    <m/>
    <s v="Y"/>
    <s v="Software"/>
    <s v="MATCH"/>
    <x v="2"/>
  </r>
  <r>
    <s v="EXP100212"/>
    <s v="E069"/>
    <s v="ax758125989"/>
    <d v="2026-01-12T00:00:00"/>
    <d v="2026-01-16T00:00:00"/>
    <s v="REGION CATERING CO"/>
    <s v="5811"/>
    <s v="Events"/>
    <n v="675.31"/>
    <s v="Corporate Amex"/>
    <m/>
    <s v="N"/>
    <s v="Events"/>
    <s v="MATCH"/>
    <x v="0"/>
  </r>
  <r>
    <s v="EXP100213"/>
    <s v="E241"/>
    <m/>
    <d v="2026-01-09T00:00:00"/>
    <d v="2026-01-16T00:00:00"/>
    <s v="STARBUCKS #4471"/>
    <s v="5812"/>
    <s v="Meals"/>
    <n v="8.3699999999999992"/>
    <s v="Personal (Reimbursement)"/>
    <s v="International merchant - Amex not accepted"/>
    <s v="Y"/>
    <s v="Meals"/>
    <s v="MATCH"/>
    <x v="1"/>
  </r>
  <r>
    <s v="EXP100214"/>
    <s v="E231"/>
    <s v="AX 411007474"/>
    <d v="2026-01-08T00:00:00"/>
    <d v="2026-01-16T00:00:00"/>
    <s v="ADOBE *CREATIVE CLOUD"/>
    <s v="5734"/>
    <m/>
    <n v="38.450000000000003"/>
    <s v="Corporate Amex"/>
    <m/>
    <s v="Y"/>
    <s v="Software"/>
    <s v="BLANK"/>
    <x v="4"/>
  </r>
  <r>
    <s v="EXP100215"/>
    <s v="E033"/>
    <s v="ax971573228"/>
    <d v="2026-01-12T00:00:00"/>
    <d v="2026-01-16T00:00:00"/>
    <s v="REGION CATERING CO"/>
    <s v="5811"/>
    <s v="Events"/>
    <n v="462.86"/>
    <s v="Corporate Amex"/>
    <m/>
    <s v="Y"/>
    <s v="Events"/>
    <s v="MATCH"/>
    <x v="0"/>
  </r>
  <r>
    <s v="EXP100216"/>
    <s v="E113"/>
    <s v="AX283948446"/>
    <d v="2026-01-10T00:00:00"/>
    <d v="2026-01-17T00:00:00"/>
    <s v="DELTA AIR 00623891045"/>
    <s v="4511"/>
    <s v="Travel"/>
    <n v="416.58"/>
    <s v="Corporate Amex"/>
    <m/>
    <s v="Y"/>
    <s v="Travel"/>
    <s v="MATCH"/>
    <x v="2"/>
  </r>
  <r>
    <s v="EXP100217"/>
    <s v="E262"/>
    <s v="AX342027928"/>
    <d v="2026-01-12T00:00:00"/>
    <d v="2026-01-17T00:00:00"/>
    <s v="OLIVE GARDEN 00456"/>
    <s v="5812"/>
    <s v="Meals"/>
    <n v="79.42"/>
    <s v="Corporate Amex"/>
    <m/>
    <s v="Y"/>
    <s v="Meals"/>
    <s v="MATCH"/>
    <x v="3"/>
  </r>
  <r>
    <s v="EXP100218"/>
    <s v="E053"/>
    <s v="AX 450284964"/>
    <d v="2026-01-17T00:00:00"/>
    <d v="2026-01-17T00:00:00"/>
    <s v="BRANDWATCH LTD"/>
    <s v="5734"/>
    <s v="Software"/>
    <n v="155.31"/>
    <s v="Corporate Amex"/>
    <m/>
    <s v="Y"/>
    <s v="Software"/>
    <s v="MATCH"/>
    <x v="0"/>
  </r>
  <r>
    <s v="EXP100219"/>
    <s v="E129"/>
    <m/>
    <d v="2026-01-08T00:00:00"/>
    <d v="2026-01-17T00:00:00"/>
    <s v="AMAZON MKTPLACE PMTS"/>
    <s v="5942"/>
    <s v="Office Supplies"/>
    <n v="179.76"/>
    <s v="Personal (Reimbursement)"/>
    <s v="Forgot corporate card"/>
    <s v="Y"/>
    <s v="Office Supplies"/>
    <s v="MATCH"/>
    <x v="7"/>
  </r>
  <r>
    <s v="EXP100220"/>
    <s v="E102"/>
    <s v="ax798751420"/>
    <d v="2026-01-11T00:00:00"/>
    <d v="2026-01-17T00:00:00"/>
    <s v="UBER TRIP HELP.UBER"/>
    <s v="4121"/>
    <s v="Transportation"/>
    <n v="45.6"/>
    <s v="Corporate Amex"/>
    <m/>
    <s v="Y"/>
    <s v="Transportation"/>
    <s v="MATCH"/>
    <x v="2"/>
  </r>
  <r>
    <s v="EXP100221"/>
    <s v="E038"/>
    <s v="AX578496258"/>
    <d v="2026-01-14T00:00:00"/>
    <d v="2026-01-17T00:00:00"/>
    <s v="ZOOM.US"/>
    <s v="5734"/>
    <s v="Software"/>
    <n v="43.27"/>
    <s v="Corporate Amex"/>
    <m/>
    <s v="Y"/>
    <s v="Software"/>
    <s v="MATCH"/>
    <x v="0"/>
  </r>
  <r>
    <s v="EXP100222"/>
    <s v="E234"/>
    <m/>
    <d v="2026-01-07T00:00:00"/>
    <d v="2026-01-17T00:00:00"/>
    <s v="PANERA BREAD #0231"/>
    <s v="5812"/>
    <s v="Meals"/>
    <n v="22.51"/>
    <s v="Personal (Reimbursement)"/>
    <s v="Forgot corporate card"/>
    <s v="Y"/>
    <s v="Meals"/>
    <s v="MATCH"/>
    <x v="1"/>
  </r>
  <r>
    <s v="EXP100223"/>
    <s v="E109"/>
    <s v="AX108049551"/>
    <d v="2026-01-15T00:00:00"/>
    <d v="2026-01-17T00:00:00"/>
    <s v="BRANDWATCH LTD"/>
    <s v="5734"/>
    <s v="Lodging"/>
    <n v="395.5"/>
    <s v="Corporate Amex"/>
    <m/>
    <s v="N"/>
    <s v="Software"/>
    <s v="MISMATCH"/>
    <x v="2"/>
  </r>
  <r>
    <s v="EXP100224"/>
    <s v="E137"/>
    <s v="ax700917059"/>
    <d v="2026-01-16T00:00:00"/>
    <d v="2026-01-17T00:00:00"/>
    <s v="ZOOM.US"/>
    <s v="5734"/>
    <m/>
    <n v="17.32"/>
    <s v="Corporate Amex"/>
    <m/>
    <s v="Y"/>
    <s v="Software"/>
    <s v="BLANK"/>
    <x v="7"/>
  </r>
  <r>
    <s v="EXP100225"/>
    <s v="E024"/>
    <s v="AX452862449"/>
    <d v="2026-01-07T00:00:00"/>
    <d v="2026-01-17T00:00:00"/>
    <s v="SQ *JOES COFFEE"/>
    <s v="5812"/>
    <s v="Meals"/>
    <n v="22.98"/>
    <s v="Corporate Amex"/>
    <m/>
    <s v="Y"/>
    <s v="Meals"/>
    <s v="MATCH"/>
    <x v="0"/>
  </r>
  <r>
    <s v="EXP100226"/>
    <s v="E051"/>
    <m/>
    <d v="2026-01-13T00:00:00"/>
    <d v="2026-01-17T00:00:00"/>
    <s v="OLIVE GARDEN 00456"/>
    <s v="5812"/>
    <s v="Meals"/>
    <n v="25.19"/>
    <s v="Corporate Amex"/>
    <m/>
    <s v="Y"/>
    <s v="Meals"/>
    <s v="MATCH"/>
    <x v="0"/>
  </r>
  <r>
    <s v="EXP100227"/>
    <s v="E221"/>
    <s v="ax441048730"/>
    <d v="2026-01-07T00:00:00"/>
    <d v="2026-01-17T00:00:00"/>
    <s v="LYFT RIDE THU"/>
    <s v="4121"/>
    <s v="Transportation"/>
    <n v="24.48"/>
    <s v="Corporate Amex"/>
    <m/>
    <s v="Y"/>
    <s v="Transportation"/>
    <s v="MATCH"/>
    <x v="4"/>
  </r>
  <r>
    <s v="EXP100228"/>
    <s v="E095"/>
    <s v="AX-535566578"/>
    <d v="2026-01-17T00:00:00"/>
    <d v="2026-01-17T00:00:00"/>
    <s v="STARBUCKS #4471"/>
    <s v="5812"/>
    <s v="Meals"/>
    <n v="10.18"/>
    <s v="Corporate Amex"/>
    <m/>
    <s v="Y"/>
    <s v="Meals"/>
    <s v="MATCH"/>
    <x v="2"/>
  </r>
  <r>
    <s v="EXP100230"/>
    <s v="E065"/>
    <s v="AX-101093454"/>
    <d v="2026-01-13T00:00:00"/>
    <d v="2026-01-17T00:00:00"/>
    <s v="OLIVE GARDEN 00456"/>
    <s v="5812"/>
    <s v="Meals"/>
    <n v="125.81"/>
    <s v="Corporate Amex"/>
    <m/>
    <s v="Y"/>
    <s v="Meals"/>
    <s v="MATCH"/>
    <x v="0"/>
  </r>
  <r>
    <s v="EXP100231"/>
    <s v="E026"/>
    <s v="AX 223438045"/>
    <d v="2026-01-13T00:00:00"/>
    <d v="2026-01-17T00:00:00"/>
    <s v="ZOOM.US"/>
    <s v="5734"/>
    <s v="Software"/>
    <n v="59.02"/>
    <s v="Corporate Amex"/>
    <m/>
    <s v="Y"/>
    <s v="Software"/>
    <s v="MATCH"/>
    <x v="0"/>
  </r>
  <r>
    <s v="EXP100232"/>
    <s v="E049"/>
    <s v="AX773387644"/>
    <d v="2026-01-13T00:00:00"/>
    <d v="2026-01-17T00:00:00"/>
    <s v="YELLOW CAB CO"/>
    <s v="4121"/>
    <s v="Transportation"/>
    <n v="19.84"/>
    <s v="Corporate Amex"/>
    <m/>
    <s v="Y"/>
    <s v="Transportation"/>
    <s v="MATCH"/>
    <x v="0"/>
  </r>
  <r>
    <s v="EXP100233"/>
    <s v="E240"/>
    <s v="AX 990556047"/>
    <d v="2026-01-11T00:00:00"/>
    <d v="2026-01-18T00:00:00"/>
    <s v="ZOOM.US"/>
    <s v="5734"/>
    <s v="Software"/>
    <n v="21.93"/>
    <s v="Corporate Amex"/>
    <m/>
    <s v="Y"/>
    <s v="Software"/>
    <s v="MATCH"/>
    <x v="1"/>
  </r>
  <r>
    <s v="EXP100234"/>
    <s v="E047"/>
    <s v="AX656728354"/>
    <d v="2026-01-10T00:00:00"/>
    <d v="2026-01-18T00:00:00"/>
    <s v="UBER TRIP HELP.UBER"/>
    <s v="4121"/>
    <s v="Transportation"/>
    <n v="12.47"/>
    <s v="Corporate Amex"/>
    <m/>
    <s v="Y"/>
    <s v="Transportation"/>
    <s v="MATCH"/>
    <x v="0"/>
  </r>
  <r>
    <s v="EXP100235"/>
    <s v="E147"/>
    <s v="AX955553678"/>
    <d v="2026-01-12T00:00:00"/>
    <d v="2026-01-18T00:00:00"/>
    <s v="HOOTSUITE INC"/>
    <s v="5734"/>
    <s v="Software"/>
    <n v="183.9"/>
    <s v="Corporate Amex"/>
    <m/>
    <s v="Y"/>
    <s v="Software"/>
    <s v="MATCH"/>
    <x v="7"/>
  </r>
  <r>
    <s v="EXP100236"/>
    <s v="E034"/>
    <m/>
    <d v="2026-01-11T00:00:00"/>
    <d v="2026-01-18T00:00:00"/>
    <s v="REGION CATERING CO"/>
    <s v="5811"/>
    <s v="Events"/>
    <n v="506.21"/>
    <s v="Corporate Amex"/>
    <m/>
    <s v="Y"/>
    <s v="Events"/>
    <s v="MATCH"/>
    <x v="0"/>
  </r>
  <r>
    <s v="EXP100237"/>
    <s v="E052"/>
    <m/>
    <d v="2026-01-13T00:00:00"/>
    <d v="2026-01-18T00:00:00"/>
    <s v="OLIVE GARDEN 00456"/>
    <s v="5812"/>
    <s v="Meals"/>
    <n v="60.89"/>
    <s v="Corporate Amex"/>
    <m/>
    <s v="Y"/>
    <s v="Meals"/>
    <s v="MATCH"/>
    <x v="0"/>
  </r>
  <r>
    <s v="EXP100238"/>
    <s v="E062"/>
    <s v="AX905881776"/>
    <d v="2026-01-14T00:00:00"/>
    <d v="2026-01-18T00:00:00"/>
    <s v="UNITED AIRLINES 0162233"/>
    <s v="4511"/>
    <s v="Travel"/>
    <n v="531.5"/>
    <s v="Corporate Amex"/>
    <m/>
    <s v="Y"/>
    <s v="Travel"/>
    <s v="MATCH"/>
    <x v="0"/>
  </r>
  <r>
    <s v="EXP100239"/>
    <s v="E213"/>
    <s v="ax914321621"/>
    <d v="2026-01-13T00:00:00"/>
    <d v="2026-01-18T00:00:00"/>
    <s v="UBER TRIP HELP.UBER"/>
    <s v="4121"/>
    <s v="Transportation"/>
    <n v="64.64"/>
    <s v="Corporate Amex"/>
    <m/>
    <s v="Y"/>
    <s v="Transportation"/>
    <s v="MATCH"/>
    <x v="4"/>
  </r>
  <r>
    <s v="EXP100240"/>
    <s v="E031"/>
    <s v="AX754894604"/>
    <d v="2026-01-11T00:00:00"/>
    <d v="2026-01-18T00:00:00"/>
    <s v="DELTA AIR 00623891045"/>
    <s v="4511"/>
    <s v="Travel"/>
    <n v="194.59"/>
    <s v="Corporate Amex"/>
    <m/>
    <s v="Y"/>
    <s v="Travel"/>
    <s v="MATCH"/>
    <x v="0"/>
  </r>
  <r>
    <s v="EXP100241"/>
    <s v="E067"/>
    <m/>
    <d v="2026-01-16T00:00:00"/>
    <d v="2026-01-18T00:00:00"/>
    <s v="HOOTSUITE INC"/>
    <s v="5734"/>
    <s v="Software"/>
    <n v="122.62"/>
    <s v="Corporate Amex"/>
    <m/>
    <s v="Y"/>
    <s v="Software"/>
    <s v="MATCH"/>
    <x v="0"/>
  </r>
  <r>
    <s v="EXP100242"/>
    <s v="E028"/>
    <s v="ax438373569"/>
    <d v="2026-01-17T00:00:00"/>
    <d v="2026-01-18T00:00:00"/>
    <s v="REGION CATERING CO"/>
    <s v="5811"/>
    <s v="Events"/>
    <n v="226.59"/>
    <s v="Corporate Amex"/>
    <m/>
    <s v="Y"/>
    <s v="Events"/>
    <s v="MATCH"/>
    <x v="0"/>
  </r>
  <r>
    <s v="EXP100243"/>
    <s v="E269"/>
    <s v="AX554445464"/>
    <d v="2026-01-14T00:00:00"/>
    <d v="2026-01-18T00:00:00"/>
    <s v="SQ *THE CORNER BISTRO"/>
    <s v="5812"/>
    <s v="Meals"/>
    <n v="65.25"/>
    <s v="Corporate Amex"/>
    <m/>
    <s v="Y"/>
    <s v="Meals"/>
    <s v="MATCH"/>
    <x v="3"/>
  </r>
  <r>
    <s v="EXP100244"/>
    <s v="E076"/>
    <m/>
    <d v="2026-01-14T00:00:00"/>
    <d v="2026-01-18T00:00:00"/>
    <s v="STARBUCKS #4471"/>
    <s v="5812"/>
    <s v="Meals"/>
    <n v="11.41"/>
    <s v="Corporate Amex"/>
    <m/>
    <s v="Y"/>
    <s v="Meals"/>
    <s v="MATCH"/>
    <x v="2"/>
  </r>
  <r>
    <s v="EXP100245"/>
    <s v="E010"/>
    <m/>
    <d v="2026-01-09T00:00:00"/>
    <d v="2026-01-18T00:00:00"/>
    <s v="SPROUT SOCIAL"/>
    <s v="5734"/>
    <s v="Software"/>
    <n v="191.08"/>
    <s v="Personal (Reimbursement)"/>
    <s v="Amex declined - vendor doesn't accept Amex"/>
    <s v="N"/>
    <s v="Software"/>
    <s v="MATCH"/>
    <x v="0"/>
  </r>
  <r>
    <s v="EXP100246"/>
    <s v="E016"/>
    <m/>
    <d v="2026-01-17T00:00:00"/>
    <d v="2026-01-18T00:00:00"/>
    <s v="ADOBE *CREATIVE CLOUD"/>
    <s v="5734"/>
    <s v="Transportation"/>
    <n v="72.81"/>
    <s v="Personal (Reimbursement)"/>
    <s v="Card not yet issued"/>
    <s v="Y"/>
    <s v="Software"/>
    <s v="MISMATCH"/>
    <x v="0"/>
  </r>
  <r>
    <s v="EXP100247"/>
    <s v="E086"/>
    <s v="AX 336670900"/>
    <d v="2026-01-18T00:00:00"/>
    <d v="2026-01-19T00:00:00"/>
    <s v="REGION CATERING CO"/>
    <s v="5811"/>
    <s v="Events"/>
    <n v="319.77999999999997"/>
    <s v="Corporate Amex"/>
    <m/>
    <s v="Y"/>
    <s v="Events"/>
    <s v="MATCH"/>
    <x v="2"/>
  </r>
  <r>
    <s v="EXP100248"/>
    <s v="E091"/>
    <s v="AX 959670615"/>
    <d v="2026-01-16T00:00:00"/>
    <d v="2026-01-19T00:00:00"/>
    <s v="SOUTHWEST AIR 5261823"/>
    <s v="4511"/>
    <s v="Travel"/>
    <n v="243.58"/>
    <s v="Corporate Amex"/>
    <m/>
    <s v="Y"/>
    <s v="Travel"/>
    <s v="MATCH"/>
    <x v="2"/>
  </r>
  <r>
    <s v="EXP100249"/>
    <s v="E255"/>
    <s v="AX849141654"/>
    <d v="2026-01-17T00:00:00"/>
    <d v="2026-01-19T00:00:00"/>
    <s v="OLIVE GARDEN 00456"/>
    <s v="5812"/>
    <s v="Meals"/>
    <n v="108.89"/>
    <s v="Corporate Amex"/>
    <m/>
    <s v="Y"/>
    <s v="Meals"/>
    <s v="MATCH"/>
    <x v="8"/>
  </r>
  <r>
    <s v="EXP100250"/>
    <s v="E066"/>
    <m/>
    <d v="2026-01-15T00:00:00"/>
    <d v="2026-01-19T00:00:00"/>
    <s v="TOPGOLF #442"/>
    <s v="7997"/>
    <s v="Entertainment"/>
    <n v="157.91"/>
    <s v="Personal (Reimbursement)"/>
    <s v="Amex declined - vendor doesn't accept Amex"/>
    <s v="Y"/>
    <s v="Entertainment"/>
    <s v="MATCH"/>
    <x v="0"/>
  </r>
  <r>
    <s v="EXP100251"/>
    <s v="E019"/>
    <s v="AX720077543"/>
    <d v="2026-01-11T00:00:00"/>
    <d v="2026-01-19T00:00:00"/>
    <s v="SQ *JOES COFFEE"/>
    <s v="5812"/>
    <s v="Meals"/>
    <n v="6.56"/>
    <s v="Corporate Amex"/>
    <m/>
    <s v="Y"/>
    <s v="Meals"/>
    <s v="MATCH"/>
    <x v="0"/>
  </r>
  <r>
    <s v="EXP100252"/>
    <s v="E019"/>
    <s v="ax475651710"/>
    <d v="2026-01-19T00:00:00"/>
    <d v="2026-01-19T00:00:00"/>
    <s v="HOOTSUITE INC"/>
    <s v="5734"/>
    <s v="Software"/>
    <n v="115.58"/>
    <s v="Corporate Amex"/>
    <m/>
    <s v="Y"/>
    <s v="Software"/>
    <s v="MATCH"/>
    <x v="0"/>
  </r>
  <r>
    <s v="EXP100253"/>
    <s v="E019"/>
    <s v="AX740496239"/>
    <d v="2026-01-09T00:00:00"/>
    <d v="2026-01-19T00:00:00"/>
    <s v="UBER TRIP HELP.UBER"/>
    <s v="4121"/>
    <s v="Transportation"/>
    <n v="56.34"/>
    <s v="Corporate Amex"/>
    <m/>
    <s v="Y"/>
    <s v="Transportation"/>
    <s v="MATCH"/>
    <x v="0"/>
  </r>
  <r>
    <s v="EXP100254"/>
    <s v="E016"/>
    <m/>
    <d v="2026-01-17T00:00:00"/>
    <d v="2026-01-19T00:00:00"/>
    <s v="DELTA AIR 00623891045"/>
    <s v="4511"/>
    <m/>
    <n v="630.29999999999995"/>
    <s v="Personal (Reimbursement)"/>
    <s v="Card not yet issued"/>
    <s v="N"/>
    <s v="Travel"/>
    <s v="BLANK"/>
    <x v="0"/>
  </r>
  <r>
    <s v="EXP100255"/>
    <s v="E228"/>
    <m/>
    <d v="2026-01-10T00:00:00"/>
    <d v="2026-01-19T00:00:00"/>
    <s v="SQ *THE CORNER BISTRO"/>
    <s v="5812"/>
    <s v="Meals"/>
    <n v="20.55"/>
    <s v="Personal (Reimbursement)"/>
    <s v="Card not yet issued"/>
    <s v="Y"/>
    <s v="Meals"/>
    <s v="MATCH"/>
    <x v="4"/>
  </r>
  <r>
    <s v="EXP100256"/>
    <s v="E034"/>
    <s v="ax791883837"/>
    <d v="2026-01-11T00:00:00"/>
    <d v="2026-01-19T00:00:00"/>
    <s v="LYFT RIDE THU"/>
    <s v="4121"/>
    <s v="Transportation"/>
    <n v="29.76"/>
    <s v="Corporate Amex"/>
    <m/>
    <s v="Y"/>
    <s v="Transportation"/>
    <s v="MATCH"/>
    <x v="0"/>
  </r>
  <r>
    <s v="EXP100257"/>
    <s v="E119"/>
    <s v="AX 748278548"/>
    <d v="2026-01-16T00:00:00"/>
    <d v="2026-01-19T00:00:00"/>
    <s v="OLIVE GARDEN 00456"/>
    <s v="5812"/>
    <s v="Meals"/>
    <n v="90.82"/>
    <s v="Corporate Amex"/>
    <m/>
    <s v="Y"/>
    <s v="Meals"/>
    <s v="MATCH"/>
    <x v="7"/>
  </r>
  <r>
    <s v="EXP100258"/>
    <s v="E025"/>
    <s v="AX514383573"/>
    <d v="2026-01-19T00:00:00"/>
    <d v="2026-01-19T00:00:00"/>
    <s v="PANERA BREAD #0231"/>
    <s v="5812"/>
    <m/>
    <n v="20.36"/>
    <s v="Corporate Amex"/>
    <m/>
    <s v="Y"/>
    <s v="Meals"/>
    <s v="BLANK"/>
    <x v="0"/>
  </r>
  <r>
    <s v="EXP100259"/>
    <s v="E081"/>
    <s v="AX-772691504"/>
    <d v="2026-01-15T00:00:00"/>
    <d v="2026-01-19T00:00:00"/>
    <s v="STARBUCKS #4471"/>
    <s v="5812"/>
    <s v="Meals"/>
    <n v="10.81"/>
    <s v="Corporate Amex"/>
    <m/>
    <s v="Y"/>
    <s v="Meals"/>
    <s v="MATCH"/>
    <x v="2"/>
  </r>
  <r>
    <s v="EXP100260"/>
    <s v="E112"/>
    <s v="AX376754252"/>
    <d v="2026-01-13T00:00:00"/>
    <d v="2026-01-19T00:00:00"/>
    <s v="YELLOW CAB CO"/>
    <s v="4121"/>
    <m/>
    <n v="47.22"/>
    <s v="Corporate Amex"/>
    <m/>
    <s v="Y"/>
    <s v="Transportation"/>
    <s v="BLANK"/>
    <x v="2"/>
  </r>
  <r>
    <s v="EXP100261"/>
    <s v="E094"/>
    <s v="ax838129979"/>
    <d v="2026-01-11T00:00:00"/>
    <d v="2026-01-19T00:00:00"/>
    <s v="UNITED AIRLINES 0162233"/>
    <s v="4511"/>
    <s v="  Travel "/>
    <n v="535.82000000000005"/>
    <s v="Corporate Amex"/>
    <m/>
    <s v="Y"/>
    <s v="Travel"/>
    <s v="MATCH"/>
    <x v="2"/>
  </r>
  <r>
    <s v="EXP100262"/>
    <s v="E118"/>
    <s v="AX948819643"/>
    <d v="2026-01-14T00:00:00"/>
    <d v="2026-01-19T00:00:00"/>
    <s v="STARBUCKS #4471"/>
    <s v="5812"/>
    <s v="Meals"/>
    <n v="14.12"/>
    <s v="Corporate Amex"/>
    <m/>
    <s v="Y"/>
    <s v="Meals"/>
    <s v="MATCH"/>
    <x v="7"/>
  </r>
  <r>
    <s v="EXP100263"/>
    <s v="E090"/>
    <s v="AX172267692"/>
    <d v="2026-01-11T00:00:00"/>
    <d v="2026-01-19T00:00:00"/>
    <s v="MICROSOFT*365"/>
    <s v="5734"/>
    <s v="Software"/>
    <n v="24.13"/>
    <s v="Corporate Amex"/>
    <m/>
    <s v="Y"/>
    <s v="Software"/>
    <s v="MATCH"/>
    <x v="2"/>
  </r>
  <r>
    <s v="EXP100264"/>
    <s v="E095"/>
    <s v="AX715054391"/>
    <d v="2026-01-18T00:00:00"/>
    <d v="2026-01-19T00:00:00"/>
    <s v="EVENTBRITE"/>
    <s v="7999"/>
    <s v="Events"/>
    <n v="51.31"/>
    <s v="Corporate Amex"/>
    <m/>
    <s v="Y"/>
    <s v="Events"/>
    <s v="MATCH"/>
    <x v="2"/>
  </r>
  <r>
    <s v="EXP100265"/>
    <s v="E167"/>
    <s v="AX369878535"/>
    <d v="2026-01-11T00:00:00"/>
    <d v="2026-01-19T00:00:00"/>
    <s v="REGION CATERING CO"/>
    <s v="5811"/>
    <s v="  Events "/>
    <n v="308.95"/>
    <s v="Corporate Amex"/>
    <m/>
    <s v="Y"/>
    <s v="Events"/>
    <s v="MATCH"/>
    <x v="6"/>
  </r>
  <r>
    <s v="EXP100266"/>
    <s v="E052"/>
    <s v="ax186731574"/>
    <d v="2026-01-16T00:00:00"/>
    <d v="2026-01-19T00:00:00"/>
    <s v="MARRIOTT #4471"/>
    <s v="7011"/>
    <s v="Lodging"/>
    <n v="285.27999999999997"/>
    <s v="Corporate Amex"/>
    <m/>
    <s v="Y"/>
    <s v="Lodging"/>
    <s v="MATCH"/>
    <x v="0"/>
  </r>
  <r>
    <s v="EXP100267"/>
    <s v="E052"/>
    <s v="AX 761876024"/>
    <d v="2026-01-19T00:00:00"/>
    <d v="2026-01-19T00:00:00"/>
    <s v="AMC THEATRES 0021"/>
    <s v="7832"/>
    <s v="Entertainment"/>
    <n v="23.77"/>
    <s v="Corporate Amex"/>
    <m/>
    <s v="Y"/>
    <s v="Entertainment"/>
    <s v="MATCH"/>
    <x v="0"/>
  </r>
  <r>
    <s v="EXP100268"/>
    <s v="E019"/>
    <s v="ax320339370"/>
    <d v="2026-01-11T00:00:00"/>
    <d v="2026-01-20T00:00:00"/>
    <s v="STAPLES #0231"/>
    <s v="5943"/>
    <s v="Office Supplies"/>
    <n v="111.24"/>
    <s v="Corporate Amex"/>
    <m/>
    <s v="Y"/>
    <s v="Office Supplies"/>
    <s v="MATCH"/>
    <x v="0"/>
  </r>
  <r>
    <s v="EXP100269"/>
    <s v="E077"/>
    <s v="AX851978844"/>
    <d v="2026-01-18T00:00:00"/>
    <d v="2026-01-20T00:00:00"/>
    <s v="DELTA AIR 00623891045"/>
    <s v="4511"/>
    <s v="Travel"/>
    <n v="279.68"/>
    <s v="Corporate Amex"/>
    <m/>
    <s v="Y"/>
    <s v="Travel"/>
    <s v="MATCH"/>
    <x v="2"/>
  </r>
  <r>
    <s v="EXP100270"/>
    <s v="E250"/>
    <s v="AX495469257"/>
    <d v="2026-01-16T00:00:00"/>
    <d v="2026-01-20T00:00:00"/>
    <s v="DELTA AIR 00623891045"/>
    <s v="4511"/>
    <s v="Travel"/>
    <n v="479.79"/>
    <s v="Corporate Amex"/>
    <m/>
    <s v="Y"/>
    <s v="Travel"/>
    <s v="MATCH"/>
    <x v="1"/>
  </r>
  <r>
    <s v="EXP100271"/>
    <s v="E050"/>
    <s v="AX137913356"/>
    <d v="2026-01-13T00:00:00"/>
    <d v="2026-01-20T00:00:00"/>
    <s v="EVENTBRITE"/>
    <s v="7999"/>
    <s v="Events"/>
    <n v="182.12"/>
    <s v="Corporate Amex"/>
    <m/>
    <s v="Y"/>
    <s v="Events"/>
    <s v="MATCH"/>
    <x v="0"/>
  </r>
  <r>
    <s v="EXP100272"/>
    <s v="E151"/>
    <m/>
    <d v="2026-01-11T00:00:00"/>
    <d v="2026-01-20T00:00:00"/>
    <s v="ADOBE *CREATIVE CLOUD"/>
    <s v="5734"/>
    <s v="Software"/>
    <n v="38.04"/>
    <s v="Corporate Amex"/>
    <m/>
    <s v="Y"/>
    <s v="Software"/>
    <s v="MATCH"/>
    <x v="6"/>
  </r>
  <r>
    <s v="EXP100273"/>
    <s v="E036"/>
    <s v="AX699024460"/>
    <d v="2026-01-13T00:00:00"/>
    <d v="2026-01-20T00:00:00"/>
    <s v="MARRIOTT #4471"/>
    <s v="7011"/>
    <s v="Lodging"/>
    <n v="183.6"/>
    <s v="Corporate Amex"/>
    <m/>
    <s v="Y"/>
    <s v="Lodging"/>
    <s v="MATCH"/>
    <x v="0"/>
  </r>
  <r>
    <s v="EXP100274"/>
    <s v="E052"/>
    <s v="AX978927663"/>
    <d v="2026-01-13T00:00:00"/>
    <d v="2026-01-20T00:00:00"/>
    <s v="AMC THEATRES 0021"/>
    <s v="7832"/>
    <s v="Entertainment"/>
    <n v="30.44"/>
    <s v="Corporate Amex"/>
    <m/>
    <s v="Y"/>
    <s v="Entertainment"/>
    <s v="MATCH"/>
    <x v="0"/>
  </r>
  <r>
    <s v="EXP100275"/>
    <s v="E066"/>
    <s v="AX778909715"/>
    <d v="2026-01-11T00:00:00"/>
    <d v="2026-01-20T00:00:00"/>
    <s v="STAPLES #0231"/>
    <s v="5943"/>
    <s v="Office Supplies"/>
    <n v="143.87"/>
    <s v="Corporate Amex"/>
    <m/>
    <s v="N"/>
    <s v="Office Supplies"/>
    <s v="MATCH"/>
    <x v="0"/>
  </r>
  <r>
    <s v="EXP100276"/>
    <s v="E209"/>
    <s v="AX 619590552"/>
    <d v="2026-01-12T00:00:00"/>
    <d v="2026-01-20T00:00:00"/>
    <s v="HOOTSUITE INC"/>
    <s v="5734"/>
    <s v="Software"/>
    <n v="130.9"/>
    <s v="Corporate Amex"/>
    <m/>
    <s v="Y"/>
    <s v="Software"/>
    <s v="MATCH"/>
    <x v="4"/>
  </r>
  <r>
    <s v="EXP100277"/>
    <s v="E205"/>
    <s v="AX397078201"/>
    <d v="2026-01-19T00:00:00"/>
    <d v="2026-01-20T00:00:00"/>
    <s v="TOTAL PARTY RENTAL"/>
    <s v="7999"/>
    <s v="Travel"/>
    <n v="149.71"/>
    <s v="Corporate Amex"/>
    <m/>
    <s v="Y"/>
    <s v="Events"/>
    <s v="MISMATCH"/>
    <x v="5"/>
  </r>
  <r>
    <s v="EXP100278"/>
    <s v="E008"/>
    <s v="AX-154369938"/>
    <d v="2026-01-13T00:00:00"/>
    <d v="2026-01-20T00:00:00"/>
    <s v="REGION CATERING CO"/>
    <s v="5811"/>
    <s v="Entertainment"/>
    <n v="355.37"/>
    <s v="Corporate Amex"/>
    <m/>
    <s v="Y"/>
    <s v="Events"/>
    <s v="MISMATCH"/>
    <x v="0"/>
  </r>
  <r>
    <s v="EXP100279"/>
    <s v="E131"/>
    <s v="AX218778680"/>
    <d v="2026-01-19T00:00:00"/>
    <d v="2026-01-20T00:00:00"/>
    <s v="SOUTHWEST AIR 5261823"/>
    <s v="4511"/>
    <m/>
    <n v="264.66000000000003"/>
    <s v="Corporate Amex"/>
    <m/>
    <s v="Y"/>
    <s v="Travel"/>
    <s v="BLANK"/>
    <x v="7"/>
  </r>
  <r>
    <s v="EXP100280"/>
    <s v="E009"/>
    <s v="AX 328244775"/>
    <d v="2026-01-19T00:00:00"/>
    <d v="2026-01-20T00:00:00"/>
    <s v="TOTAL PARTY RENTAL"/>
    <s v="7999"/>
    <s v="Other"/>
    <n v="459.56"/>
    <s v="Corporate Amex"/>
    <m/>
    <s v="Y"/>
    <s v="Events"/>
    <s v="MISMATCH"/>
    <x v="0"/>
  </r>
  <r>
    <s v="EXP100281"/>
    <s v="E199"/>
    <m/>
    <d v="2026-01-19T00:00:00"/>
    <d v="2026-01-20T00:00:00"/>
    <s v="ZOOM.US"/>
    <s v="5734"/>
    <s v="Software"/>
    <n v="26.66"/>
    <s v="Personal (Reimbursement)"/>
    <s v="International merchant - Amex not accepted"/>
    <s v="Y"/>
    <s v="Software"/>
    <s v="MATCH"/>
    <x v="5"/>
  </r>
  <r>
    <s v="EXP100282"/>
    <s v="E256"/>
    <s v="AX548287372"/>
    <d v="2026-01-10T00:00:00"/>
    <d v="2026-01-20T00:00:00"/>
    <s v="AMAZON MKTPLACE PMTS"/>
    <s v="5942"/>
    <s v="Office Supplies"/>
    <n v="104.55"/>
    <s v="Corporate Amex"/>
    <m/>
    <s v="Y"/>
    <s v="Office Supplies"/>
    <s v="MATCH"/>
    <x v="8"/>
  </r>
  <r>
    <s v="EXP100283"/>
    <s v="E067"/>
    <s v="AX 713575831"/>
    <d v="2026-01-14T00:00:00"/>
    <d v="2026-01-20T00:00:00"/>
    <s v="AMAZON MKTPLACE PMTS"/>
    <s v="5942"/>
    <s v="Office Supplies"/>
    <n v="29.06"/>
    <s v="Corporate Amex"/>
    <m/>
    <s v="Y"/>
    <s v="Office Supplies"/>
    <s v="MATCH"/>
    <x v="0"/>
  </r>
  <r>
    <s v="EXP100284"/>
    <s v="E032"/>
    <s v="AX-439701871"/>
    <d v="2026-01-18T00:00:00"/>
    <d v="2026-01-20T00:00:00"/>
    <s v=" EVENTBRITE"/>
    <s v="7999"/>
    <s v="Events"/>
    <n v="137.22"/>
    <s v="Corporate Amex"/>
    <m/>
    <s v="Y"/>
    <s v="Events"/>
    <s v="MATCH"/>
    <x v="0"/>
  </r>
  <r>
    <s v="EXP100285"/>
    <s v="E042"/>
    <m/>
    <d v="2026-01-20T00:00:00"/>
    <d v="2026-01-20T00:00:00"/>
    <s v="SPROUT SOCIAL"/>
    <s v="5734"/>
    <s v="Software"/>
    <n v="246.59"/>
    <s v="Corporate Amex"/>
    <m/>
    <s v="Y"/>
    <s v="Software"/>
    <s v="MATCH"/>
    <x v="0"/>
  </r>
  <r>
    <s v="EXP100286"/>
    <s v="E075"/>
    <s v="AX 249881641"/>
    <d v="2026-01-16T00:00:00"/>
    <d v="2026-01-20T00:00:00"/>
    <s v="SPROUT SOCIAL"/>
    <s v="5734"/>
    <s v="Software"/>
    <n v="168.33"/>
    <s v="Corporate Amex"/>
    <m/>
    <s v="Y"/>
    <s v="Software"/>
    <s v="MATCH"/>
    <x v="2"/>
  </r>
  <r>
    <s v="EXP100287"/>
    <s v="E129"/>
    <s v="ax231556690"/>
    <d v="2026-01-20T00:00:00"/>
    <d v="2026-01-20T00:00:00"/>
    <s v="UBER TRIP HELP.UBER"/>
    <s v="4121"/>
    <s v="Transportation"/>
    <n v="23.17"/>
    <s v="Corporate Amex"/>
    <m/>
    <s v="Y"/>
    <s v="Transportation"/>
    <s v="MATCH"/>
    <x v="7"/>
  </r>
  <r>
    <s v="EXP100288"/>
    <s v="E059"/>
    <s v="ax595672861"/>
    <d v="2026-01-21T00:00:00"/>
    <d v="2026-01-21T00:00:00"/>
    <s v="TOTAL PARTY RENTAL"/>
    <s v="7999"/>
    <s v="Events"/>
    <n v="213.47"/>
    <s v="Corporate Amex"/>
    <m/>
    <s v="Y"/>
    <s v="Events"/>
    <s v="MATCH"/>
    <x v="0"/>
  </r>
  <r>
    <s v="EXP100289"/>
    <s v="E059"/>
    <s v="AX417222516"/>
    <d v="2026-01-19T00:00:00"/>
    <d v="2026-01-21T00:00:00"/>
    <s v="DELTA AIR 00623891045"/>
    <s v="4511"/>
    <s v="Travel"/>
    <n v="468.39"/>
    <s v="Corporate Amex"/>
    <m/>
    <s v="Y"/>
    <s v="Travel"/>
    <s v="MATCH"/>
    <x v="0"/>
  </r>
  <r>
    <s v="EXP100290"/>
    <s v="E034"/>
    <m/>
    <d v="2026-01-18T00:00:00"/>
    <d v="2026-01-21T00:00:00"/>
    <s v="SQ *JOES COFFEE"/>
    <s v="5812"/>
    <s v="Meals"/>
    <n v="10.42"/>
    <s v="Personal (Reimbursement)"/>
    <s v="International merchant - Amex not accepted"/>
    <s v="N"/>
    <s v="Meals"/>
    <s v="MATCH"/>
    <x v="0"/>
  </r>
  <r>
    <s v="EXP100291"/>
    <s v="E016"/>
    <m/>
    <d v="2026-01-19T00:00:00"/>
    <d v="2026-01-21T00:00:00"/>
    <s v="STARBUCKS #4471"/>
    <s v="5812"/>
    <s v="Meals"/>
    <n v="16.82"/>
    <s v="Personal (Reimbursement)"/>
    <s v="Card not yet issued"/>
    <s v="Y"/>
    <s v="Meals"/>
    <s v="MATCH"/>
    <x v="0"/>
  </r>
  <r>
    <s v="EXP100292"/>
    <s v="E218"/>
    <s v="AX527019286"/>
    <d v="2026-01-12T00:00:00"/>
    <d v="2026-01-21T00:00:00"/>
    <s v="ADOBE *CREATIVE CLOUD"/>
    <s v="5734"/>
    <s v="Software"/>
    <n v="71.239999999999995"/>
    <s v="Corporate Amex"/>
    <m/>
    <s v="Y"/>
    <s v="Software"/>
    <s v="MATCH"/>
    <x v="4"/>
  </r>
  <r>
    <s v="EXP100293"/>
    <s v="E067"/>
    <s v="AX982095647"/>
    <d v="2026-01-18T00:00:00"/>
    <d v="2026-01-21T00:00:00"/>
    <s v=" ZOOM.US"/>
    <s v="5734"/>
    <s v="Software"/>
    <n v="15.29"/>
    <s v="Corporate Amex"/>
    <m/>
    <s v="Y"/>
    <s v="Software"/>
    <s v="MATCH"/>
    <x v="0"/>
  </r>
  <r>
    <s v="EXP100294"/>
    <s v="E061"/>
    <s v="AX145633280"/>
    <d v="2026-01-20T00:00:00"/>
    <d v="2026-01-21T00:00:00"/>
    <s v="TOPGOLF #442"/>
    <s v="7997"/>
    <s v="Entertainment"/>
    <n v="145.63999999999999"/>
    <s v="Corporate Amex"/>
    <m/>
    <s v="Y"/>
    <s v="Entertainment"/>
    <s v="MATCH"/>
    <x v="0"/>
  </r>
  <r>
    <s v="EXP100295"/>
    <s v="E226"/>
    <s v="AX679163929"/>
    <d v="2026-01-15T00:00:00"/>
    <d v="2026-01-21T00:00:00"/>
    <s v="HOOTSUITE INC"/>
    <s v="5734"/>
    <s v="Software"/>
    <n v="57.4"/>
    <s v="Corporate Amex"/>
    <m/>
    <s v="Y"/>
    <s v="Software"/>
    <s v="MATCH"/>
    <x v="4"/>
  </r>
  <r>
    <s v="EXP100296"/>
    <s v="E085"/>
    <s v="AX960116492"/>
    <d v="2026-01-12T00:00:00"/>
    <d v="2026-01-21T00:00:00"/>
    <s v="PANERA BREAD #0231"/>
    <s v="5812"/>
    <s v="  Meals "/>
    <n v="29.49"/>
    <s v="Corporate Amex"/>
    <m/>
    <s v="Y"/>
    <s v="Meals"/>
    <s v="MATCH"/>
    <x v="2"/>
  </r>
  <r>
    <s v="EXP100297"/>
    <s v="E009"/>
    <s v="AX757847734"/>
    <d v="2026-01-11T00:00:00"/>
    <d v="2026-01-21T00:00:00"/>
    <s v="SQ *THE CORNER BISTRO"/>
    <s v="5812"/>
    <s v="Meals"/>
    <n v="39.39"/>
    <s v="Corporate Amex"/>
    <m/>
    <s v="Y"/>
    <s v="Meals"/>
    <s v="MATCH"/>
    <x v="0"/>
  </r>
  <r>
    <s v="EXP100298"/>
    <s v="E031"/>
    <s v="ax869191850"/>
    <d v="2026-01-19T00:00:00"/>
    <d v="2026-01-21T00:00:00"/>
    <s v="SQ *JOES COFFEE"/>
    <s v="5812"/>
    <s v="Meals"/>
    <n v="15.49"/>
    <s v="Corporate Amex"/>
    <m/>
    <s v="Y"/>
    <s v="Meals"/>
    <s v="MATCH"/>
    <x v="0"/>
  </r>
  <r>
    <s v="EXP100299"/>
    <s v="E079"/>
    <m/>
    <d v="2026-01-20T00:00:00"/>
    <d v="2026-01-21T00:00:00"/>
    <s v="MARRIOTT #4471"/>
    <s v="7011"/>
    <s v="Lodging"/>
    <n v="346.13"/>
    <s v="Personal (Reimbursement)"/>
    <s v="Forgot corporate card"/>
    <s v="Y"/>
    <s v="Lodging"/>
    <s v="MATCH"/>
    <x v="2"/>
  </r>
  <r>
    <s v="EXP100300"/>
    <s v="E045"/>
    <s v="AX130195995"/>
    <d v="2026-01-20T00:00:00"/>
    <d v="2026-01-21T00:00:00"/>
    <s v="CHIPOTLE 2214"/>
    <s v="5812"/>
    <s v="Meals"/>
    <n v="10.88"/>
    <s v="Corporate Amex"/>
    <m/>
    <s v="Y"/>
    <s v="Meals"/>
    <s v="MATCH"/>
    <x v="0"/>
  </r>
  <r>
    <s v="EXP100301"/>
    <s v="E174"/>
    <s v="AX 106974841"/>
    <d v="2026-01-13T00:00:00"/>
    <d v="2026-01-21T00:00:00"/>
    <s v="HYATT REGENCY BOS"/>
    <s v="7011"/>
    <s v="Lodging"/>
    <n v="325.11"/>
    <s v="Corporate Amex"/>
    <m/>
    <s v="Y"/>
    <s v="Lodging"/>
    <s v="MATCH"/>
    <x v="6"/>
  </r>
  <r>
    <s v="EXP100302"/>
    <s v="E027"/>
    <s v="AX961654757"/>
    <d v="2026-01-19T00:00:00"/>
    <d v="2026-01-21T00:00:00"/>
    <s v="MICROSOFT*365"/>
    <s v="5734"/>
    <s v="Software"/>
    <n v="26.79"/>
    <s v="Corporate Amex"/>
    <m/>
    <s v="Y"/>
    <s v="Software"/>
    <s v="MATCH"/>
    <x v="0"/>
  </r>
  <r>
    <s v="EXP100303"/>
    <s v="E109"/>
    <m/>
    <d v="2026-01-15T00:00:00"/>
    <d v="2026-01-21T00:00:00"/>
    <s v="ADOBE *CREATIVE CLOUD"/>
    <s v="5734"/>
    <s v="Software"/>
    <n v="77.12"/>
    <s v="Corporate Amex"/>
    <m/>
    <s v="N"/>
    <s v="Software"/>
    <s v="MATCH"/>
    <x v="2"/>
  </r>
  <r>
    <s v="EXP100304"/>
    <s v="E112"/>
    <s v="AX715957443"/>
    <d v="2026-01-11T00:00:00"/>
    <d v="2026-01-21T00:00:00"/>
    <s v="TOPGOLF #442"/>
    <s v="7997"/>
    <s v="Entertainment"/>
    <n v="134.18"/>
    <s v="Corporate Amex"/>
    <m/>
    <s v="Y"/>
    <s v="Entertainment"/>
    <s v="MATCH"/>
    <x v="2"/>
  </r>
  <r>
    <s v="EXP100305"/>
    <s v="E023"/>
    <s v="AX-947011854"/>
    <d v="2026-01-12T00:00:00"/>
    <d v="2026-01-21T00:00:00"/>
    <s v="DELTA AIR 00623891045"/>
    <s v="4511"/>
    <s v="Travel"/>
    <n v="305.44"/>
    <s v="Corporate Amex"/>
    <m/>
    <s v="Y"/>
    <s v="Travel"/>
    <s v="MATCH"/>
    <x v="0"/>
  </r>
  <r>
    <s v="EXP100306"/>
    <s v="E023"/>
    <s v="ax256769314"/>
    <d v="2026-01-11T00:00:00"/>
    <d v="2026-01-21T00:00:00"/>
    <s v="UBER TRIP HELP.UBER"/>
    <s v="4121"/>
    <s v="Transportation"/>
    <n v="51.46"/>
    <s v="Corporate Amex"/>
    <m/>
    <s v="Y"/>
    <s v="Transportation"/>
    <s v="MATCH"/>
    <x v="0"/>
  </r>
  <r>
    <s v="EXP100307"/>
    <s v="E135"/>
    <s v="ax740043032"/>
    <d v="2026-01-21T00:00:00"/>
    <d v="2026-01-22T00:00:00"/>
    <s v="STARBUCKS #4471"/>
    <s v="5812"/>
    <s v="Meals"/>
    <n v="13.31"/>
    <s v="Corporate Amex"/>
    <m/>
    <s v="Y"/>
    <s v="Meals"/>
    <s v="MATCH"/>
    <x v="7"/>
  </r>
  <r>
    <s v="EXP100308"/>
    <s v="E032"/>
    <m/>
    <d v="2026-01-21T00:00:00"/>
    <d v="2026-01-22T00:00:00"/>
    <s v="CHIPOTLE 2214"/>
    <s v="5812"/>
    <s v="Meals"/>
    <n v="11.56"/>
    <s v="Personal (Reimbursement)"/>
    <s v="Amex declined - vendor doesn't accept Amex"/>
    <s v="Y"/>
    <s v="Meals"/>
    <s v="MATCH"/>
    <x v="0"/>
  </r>
  <r>
    <s v="EXP100309"/>
    <s v="E040"/>
    <s v="AX108360753"/>
    <d v="2026-01-20T00:00:00"/>
    <d v="2026-01-22T00:00:00"/>
    <s v="HOOTSUITE INC"/>
    <s v="5734"/>
    <s v="Software"/>
    <n v="55.42"/>
    <s v="Corporate Amex"/>
    <m/>
    <s v="Y"/>
    <s v="Software"/>
    <s v="MATCH"/>
    <x v="0"/>
  </r>
  <r>
    <s v="EXP100310"/>
    <s v="E143"/>
    <s v="ax765972970"/>
    <d v="2026-01-12T00:00:00"/>
    <d v="2026-01-22T00:00:00"/>
    <s v=" SOUTHWEST AIR 5261823"/>
    <s v="4511"/>
    <s v="Travel"/>
    <n v="274.04000000000002"/>
    <s v="Corporate Amex"/>
    <m/>
    <s v="Y"/>
    <s v="Travel"/>
    <s v="MATCH"/>
    <x v="7"/>
  </r>
  <r>
    <s v="EXP100311"/>
    <s v="E144"/>
    <s v="ax699353459"/>
    <d v="2026-01-14T00:00:00"/>
    <d v="2026-01-22T00:00:00"/>
    <s v="OLIVE GARDEN 00456"/>
    <s v="5812"/>
    <m/>
    <n v="33.69"/>
    <s v="Corporate Amex"/>
    <m/>
    <s v="Y"/>
    <s v="Meals"/>
    <s v="BLANK"/>
    <x v="7"/>
  </r>
  <r>
    <s v="EXP100312"/>
    <s v="E057"/>
    <s v="AX619363214"/>
    <d v="2026-01-14T00:00:00"/>
    <d v="2026-01-22T00:00:00"/>
    <s v="ZOOM.US"/>
    <s v="5734"/>
    <s v="Office Supplies"/>
    <n v="44.94"/>
    <s v="Corporate Amex"/>
    <m/>
    <s v="Y"/>
    <s v="Software"/>
    <s v="MISMATCH"/>
    <x v="0"/>
  </r>
  <r>
    <s v="EXP100313"/>
    <s v="E006"/>
    <m/>
    <d v="2026-01-17T00:00:00"/>
    <d v="2026-01-22T00:00:00"/>
    <s v="MICROSOFT*365"/>
    <s v="5734"/>
    <m/>
    <n v="12.62"/>
    <s v="Personal (Reimbursement)"/>
    <s v="International merchant - Amex not accepted"/>
    <s v="Y"/>
    <s v="Software"/>
    <s v="BLANK"/>
    <x v="0"/>
  </r>
  <r>
    <s v="EXP100314"/>
    <s v="E270"/>
    <s v="AX-920059277"/>
    <d v="2026-01-21T00:00:00"/>
    <d v="2026-01-22T00:00:00"/>
    <s v="TOPGOLF #442"/>
    <s v="7997"/>
    <s v="Software"/>
    <n v="154.44"/>
    <s v="Corporate Amex"/>
    <m/>
    <s v="N"/>
    <s v="Entertainment"/>
    <s v="MISMATCH"/>
    <x v="3"/>
  </r>
  <r>
    <s v="EXP100315"/>
    <s v="E056"/>
    <s v="AX144994930"/>
    <d v="2026-01-17T00:00:00"/>
    <d v="2026-01-22T00:00:00"/>
    <s v="EVENTBRITE"/>
    <s v="7999"/>
    <s v="Events"/>
    <n v="239.94"/>
    <s v="Corporate Amex"/>
    <m/>
    <s v="N"/>
    <s v="Events"/>
    <s v="MATCH"/>
    <x v="0"/>
  </r>
  <r>
    <s v="EXP100316"/>
    <s v="E043"/>
    <m/>
    <d v="2026-01-22T00:00:00"/>
    <d v="2026-01-22T00:00:00"/>
    <s v="SOUTHWEST AIR 5261823"/>
    <s v="4511"/>
    <s v="Travel"/>
    <n v="365.89"/>
    <s v="Corporate Amex"/>
    <m/>
    <s v="Y"/>
    <s v="Travel"/>
    <s v="MATCH"/>
    <x v="0"/>
  </r>
  <r>
    <s v="EXP100317"/>
    <s v="E058"/>
    <s v="AX316325086"/>
    <d v="2026-01-21T00:00:00"/>
    <d v="2026-01-22T00:00:00"/>
    <s v="ADOBE *CREATIVE CLOUD"/>
    <s v="5734"/>
    <s v="Software"/>
    <n v="54.27"/>
    <s v="Corporate Amex"/>
    <m/>
    <s v="Y"/>
    <s v="Software"/>
    <s v="MATCH"/>
    <x v="0"/>
  </r>
  <r>
    <s v="EXP100318"/>
    <s v="E199"/>
    <s v="AX599178230"/>
    <d v="2026-01-13T00:00:00"/>
    <d v="2026-01-22T00:00:00"/>
    <s v="MARRIOTT #4471"/>
    <s v="7011"/>
    <s v="Lodging"/>
    <n v="229.87"/>
    <s v="Corporate Amex"/>
    <m/>
    <s v="Y"/>
    <s v="Lodging"/>
    <s v="MATCH"/>
    <x v="5"/>
  </r>
  <r>
    <s v="EXP100319"/>
    <s v="E059"/>
    <m/>
    <d v="2026-01-21T00:00:00"/>
    <d v="2026-01-22T00:00:00"/>
    <s v="HOOTSUITE INC"/>
    <s v="5734"/>
    <s v="Software"/>
    <n v="105.85"/>
    <s v="Corporate Amex"/>
    <m/>
    <s v="Y"/>
    <s v="Software"/>
    <s v="MATCH"/>
    <x v="0"/>
  </r>
  <r>
    <s v="EXP100320"/>
    <s v="E054"/>
    <m/>
    <d v="2026-01-17T00:00:00"/>
    <d v="2026-01-22T00:00:00"/>
    <s v="DELTA AIR 00623891045"/>
    <s v="4511"/>
    <s v="Travel"/>
    <n v="266.87"/>
    <s v="Corporate Amex"/>
    <m/>
    <s v="Y"/>
    <s v="Travel"/>
    <s v="MATCH"/>
    <x v="0"/>
  </r>
  <r>
    <s v="EXP100321"/>
    <s v="E157"/>
    <s v="AX169116238"/>
    <d v="2026-01-14T00:00:00"/>
    <d v="2026-01-23T00:00:00"/>
    <s v="HYATT REGENCY BOS"/>
    <s v="7011"/>
    <s v="Lodging"/>
    <n v="414.25"/>
    <s v="Corporate Amex"/>
    <m/>
    <s v="N"/>
    <s v="Lodging"/>
    <s v="MATCH"/>
    <x v="6"/>
  </r>
  <r>
    <s v="EXP100322"/>
    <s v="E004"/>
    <s v="ax902244812"/>
    <d v="2026-01-20T00:00:00"/>
    <d v="2026-01-23T00:00:00"/>
    <s v="UBER TRIP HELP.UBER"/>
    <s v="4121"/>
    <s v="Transportation"/>
    <n v="17.77"/>
    <s v="Corporate Amex"/>
    <m/>
    <s v="Y"/>
    <s v="Transportation"/>
    <s v="MATCH"/>
    <x v="0"/>
  </r>
  <r>
    <s v="EXP100323"/>
    <s v="E073"/>
    <s v="AX 409778005"/>
    <d v="2026-01-15T00:00:00"/>
    <d v="2026-01-23T00:00:00"/>
    <s v="HYATT REGENCY BOS"/>
    <s v="7011"/>
    <s v="Lodging"/>
    <n v="288.83999999999997"/>
    <s v="Corporate Amex"/>
    <m/>
    <s v="Y"/>
    <s v="Lodging"/>
    <s v="MATCH"/>
    <x v="2"/>
  </r>
  <r>
    <s v="EXP100324"/>
    <s v="E066"/>
    <s v="AX-890013602"/>
    <d v="2026-01-22T00:00:00"/>
    <d v="2026-01-23T00:00:00"/>
    <s v="SQ *JOES COFFEE"/>
    <s v="5812"/>
    <s v="Meals"/>
    <n v="16.329999999999998"/>
    <s v="Corporate Amex"/>
    <m/>
    <s v="Y"/>
    <s v="Meals"/>
    <s v="MATCH"/>
    <x v="0"/>
  </r>
  <r>
    <s v="EXP100325"/>
    <s v="E217"/>
    <s v="ax601027181"/>
    <d v="2026-01-20T00:00:00"/>
    <d v="2026-01-23T00:00:00"/>
    <s v=" LYFT RIDE THU"/>
    <s v="4121"/>
    <s v="Transportation"/>
    <n v="51.82"/>
    <s v="Corporate Amex"/>
    <m/>
    <s v="Y"/>
    <s v="Transportation"/>
    <s v="MATCH"/>
    <x v="4"/>
  </r>
  <r>
    <s v="EXP100326"/>
    <s v="E078"/>
    <s v="ax587873480"/>
    <d v="2026-01-15T00:00:00"/>
    <d v="2026-01-23T00:00:00"/>
    <s v="UBER TRIP HELP.UBER"/>
    <s v="4121"/>
    <s v="Transportation"/>
    <n v="38.28"/>
    <s v="Corporate Amex"/>
    <m/>
    <s v="Y"/>
    <s v="Transportation"/>
    <s v="MATCH"/>
    <x v="2"/>
  </r>
  <r>
    <s v="EXP100327"/>
    <s v="E019"/>
    <s v="AX971554861"/>
    <d v="2026-01-20T00:00:00"/>
    <d v="2026-01-23T00:00:00"/>
    <s v="CHIPOTLE 2214"/>
    <s v="5812"/>
    <s v="Meals"/>
    <n v="20.69"/>
    <s v="Corporate Amex"/>
    <m/>
    <s v="Y"/>
    <s v="Meals"/>
    <s v="MATCH"/>
    <x v="0"/>
  </r>
  <r>
    <s v="EXP100328"/>
    <s v="E065"/>
    <s v="AX 917334189"/>
    <d v="2026-01-21T00:00:00"/>
    <d v="2026-01-23T00:00:00"/>
    <s v="HYATT REGENCY BOS"/>
    <s v="7011"/>
    <s v="Lodging"/>
    <n v="221.41"/>
    <s v="Corporate Amex"/>
    <m/>
    <s v="Y"/>
    <s v="Lodging"/>
    <s v="MATCH"/>
    <x v="0"/>
  </r>
  <r>
    <s v="EXP100329"/>
    <s v="E265"/>
    <s v="AX985806598"/>
    <d v="2026-01-18T00:00:00"/>
    <d v="2026-01-23T00:00:00"/>
    <s v="SQ *THE CORNER BISTRO"/>
    <s v="5812"/>
    <s v="Meals"/>
    <n v="66.709999999999994"/>
    <s v="Corporate Amex"/>
    <m/>
    <s v="N"/>
    <s v="Meals"/>
    <s v="MATCH"/>
    <x v="3"/>
  </r>
  <r>
    <s v="EXP100330"/>
    <s v="E122"/>
    <s v="AX-934869880"/>
    <d v="2026-01-16T00:00:00"/>
    <d v="2026-01-23T00:00:00"/>
    <s v="AMC THEATRES 0021"/>
    <s v="7832"/>
    <s v="Entertainment"/>
    <n v="23.21"/>
    <s v="Corporate Amex"/>
    <m/>
    <s v="Y"/>
    <s v="Entertainment"/>
    <s v="MATCH"/>
    <x v="7"/>
  </r>
  <r>
    <s v="EXP100331"/>
    <s v="E068"/>
    <s v="ax211026780"/>
    <d v="2026-01-16T00:00:00"/>
    <d v="2026-01-23T00:00:00"/>
    <s v="UNITED AIRLINES 0162233"/>
    <s v="4511"/>
    <s v="Travel"/>
    <n v="301.42"/>
    <s v="Corporate Amex"/>
    <m/>
    <s v="Y"/>
    <s v="Travel"/>
    <s v="MATCH"/>
    <x v="0"/>
  </r>
  <r>
    <s v="EXP100332"/>
    <s v="E037"/>
    <s v="ax710784387"/>
    <d v="2026-01-23T00:00:00"/>
    <d v="2026-01-24T00:00:00"/>
    <s v="YELLOW CAB CO"/>
    <s v="4121"/>
    <s v="Other"/>
    <n v="31.55"/>
    <s v="Corporate Amex"/>
    <m/>
    <s v="Y"/>
    <s v="Transportation"/>
    <s v="MISMATCH"/>
    <x v="0"/>
  </r>
  <r>
    <s v="EXP100334"/>
    <s v="E018"/>
    <s v="ax878203964"/>
    <d v="2026-01-21T00:00:00"/>
    <d v="2026-01-24T00:00:00"/>
    <s v="STAPLES #0231"/>
    <s v="5943"/>
    <s v="Office Supplies"/>
    <n v="89.97"/>
    <s v="Corporate Amex"/>
    <m/>
    <s v="Y"/>
    <s v="Office Supplies"/>
    <s v="MATCH"/>
    <x v="0"/>
  </r>
  <r>
    <s v="EXP100335"/>
    <s v="E141"/>
    <s v="AX-244305932"/>
    <d v="2026-01-24T00:00:00"/>
    <d v="2026-01-24T00:00:00"/>
    <s v="TOTAL PARTY RENTAL"/>
    <s v="7999"/>
    <s v="Events"/>
    <n v="483.47"/>
    <s v="Corporate Amex"/>
    <m/>
    <s v="N"/>
    <s v="Events"/>
    <s v="MATCH"/>
    <x v="7"/>
  </r>
  <r>
    <s v="EXP100336"/>
    <s v="E269"/>
    <s v="ax565936014"/>
    <d v="2026-01-18T00:00:00"/>
    <d v="2026-01-24T00:00:00"/>
    <s v="SPROUT SOCIAL"/>
    <s v="5734"/>
    <s v="  Software "/>
    <n v="167.78"/>
    <s v="Corporate Amex"/>
    <m/>
    <s v="Y"/>
    <s v="Software"/>
    <s v="MATCH"/>
    <x v="3"/>
  </r>
  <r>
    <s v="EXP100337"/>
    <s v="E024"/>
    <m/>
    <d v="2026-01-15T00:00:00"/>
    <d v="2026-01-24T00:00:00"/>
    <s v="MICROSOFT*365"/>
    <s v="5734"/>
    <s v="  Software "/>
    <n v="29.52"/>
    <s v="Personal (Reimbursement)"/>
    <s v="Forgot corporate card"/>
    <s v="Y"/>
    <s v="Software"/>
    <s v="MATCH"/>
    <x v="0"/>
  </r>
  <r>
    <s v="EXP100338"/>
    <s v="E057"/>
    <s v="AX996147851"/>
    <d v="2026-01-19T00:00:00"/>
    <d v="2026-01-24T00:00:00"/>
    <s v="TOTAL PARTY RENTAL"/>
    <s v="7999"/>
    <s v="Events"/>
    <n v="343.58"/>
    <s v="Corporate Amex"/>
    <m/>
    <s v="Y"/>
    <s v="Events"/>
    <s v="MATCH"/>
    <x v="0"/>
  </r>
  <r>
    <s v="EXP100339"/>
    <s v="E006"/>
    <m/>
    <d v="2026-01-17T00:00:00"/>
    <d v="2026-01-24T00:00:00"/>
    <s v="EVENTBRITE"/>
    <s v="7999"/>
    <s v="Events"/>
    <n v="190.76"/>
    <s v="Personal (Reimbursement)"/>
    <s v="Forgot corporate card"/>
    <s v="Y"/>
    <s v="Events"/>
    <s v="MATCH"/>
    <x v="0"/>
  </r>
  <r>
    <s v="EXP100341"/>
    <s v="E143"/>
    <s v="AX 985460570"/>
    <d v="2026-01-19T00:00:00"/>
    <d v="2026-01-24T00:00:00"/>
    <s v="HYATT REGENCY BOS"/>
    <s v="7011"/>
    <s v="Lodging"/>
    <n v="468.84"/>
    <s v="Corporate Amex"/>
    <m/>
    <s v="Y"/>
    <s v="Lodging"/>
    <s v="MATCH"/>
    <x v="7"/>
  </r>
  <r>
    <s v="EXP100342"/>
    <s v="E216"/>
    <s v="AX-934236561"/>
    <d v="2026-01-22T00:00:00"/>
    <d v="2026-01-24T00:00:00"/>
    <s v="EVENTBRITE"/>
    <s v="7999"/>
    <s v="Events"/>
    <n v="59.24"/>
    <s v="Corporate Amex"/>
    <m/>
    <s v="Y"/>
    <s v="Events"/>
    <s v="MATCH"/>
    <x v="4"/>
  </r>
  <r>
    <s v="EXP100343"/>
    <s v="E121"/>
    <s v="AX892911976"/>
    <d v="2026-01-21T00:00:00"/>
    <d v="2026-01-24T00:00:00"/>
    <s v="AMAZON MKTPLACE PMTS"/>
    <s v="5942"/>
    <s v="Office Supplies"/>
    <n v="448.74"/>
    <s v="Corporate Amex"/>
    <m/>
    <s v="Y"/>
    <s v="Office Supplies"/>
    <s v="MATCH"/>
    <x v="7"/>
  </r>
  <r>
    <s v="EXP100344"/>
    <s v="E142"/>
    <m/>
    <d v="2026-01-16T00:00:00"/>
    <d v="2026-01-24T00:00:00"/>
    <s v="REGION CATERING CO"/>
    <s v="5811"/>
    <s v="Events"/>
    <n v="116.91"/>
    <s v="Corporate Amex"/>
    <m/>
    <s v="Y"/>
    <s v="Events"/>
    <s v="MATCH"/>
    <x v="7"/>
  </r>
  <r>
    <s v="EXP100345"/>
    <s v="E012"/>
    <s v="AX-830597614"/>
    <d v="2026-01-22T00:00:00"/>
    <d v="2026-01-24T00:00:00"/>
    <s v="OLIVE GARDEN 00456"/>
    <s v="5812"/>
    <s v="Meals"/>
    <n v="58.29"/>
    <s v="Corporate Amex"/>
    <m/>
    <s v="N"/>
    <s v="Meals"/>
    <s v="MATCH"/>
    <x v="0"/>
  </r>
  <r>
    <s v="EXP100346"/>
    <s v="E088"/>
    <s v="ax962923104"/>
    <d v="2026-01-22T00:00:00"/>
    <d v="2026-01-24T00:00:00"/>
    <s v="DELTA AIR 00623891045"/>
    <s v="4511"/>
    <s v="Travel"/>
    <n v="362.3"/>
    <s v="Corporate Amex"/>
    <m/>
    <s v="Y"/>
    <s v="Travel"/>
    <s v="MATCH"/>
    <x v="2"/>
  </r>
  <r>
    <s v="EXP100347"/>
    <s v="E056"/>
    <s v="ax435859339"/>
    <d v="2026-01-14T00:00:00"/>
    <d v="2026-01-24T00:00:00"/>
    <s v="HYATT REGENCY BOS"/>
    <s v="7011"/>
    <s v="Lodging"/>
    <n v="411.22"/>
    <s v="Corporate Amex"/>
    <m/>
    <s v="Y"/>
    <s v="Lodging"/>
    <s v="MATCH"/>
    <x v="0"/>
  </r>
  <r>
    <s v="EXP100348"/>
    <s v="E234"/>
    <s v="ax496324916"/>
    <d v="2026-01-19T00:00:00"/>
    <d v="2026-01-24T00:00:00"/>
    <s v="HYATT REGENCY BOS"/>
    <s v="7011"/>
    <m/>
    <n v="274.5"/>
    <s v="Corporate Amex"/>
    <m/>
    <s v="N"/>
    <s v="Lodging"/>
    <s v="BLANK"/>
    <x v="1"/>
  </r>
  <r>
    <s v="EXP100349"/>
    <s v="E247"/>
    <s v="AX259633613"/>
    <d v="2026-01-14T00:00:00"/>
    <d v="2026-01-24T00:00:00"/>
    <s v="SPROUT SOCIAL"/>
    <s v="5734"/>
    <s v="Software"/>
    <n v="119.53"/>
    <s v="Corporate Amex"/>
    <m/>
    <s v="Y"/>
    <s v="Software"/>
    <s v="MATCH"/>
    <x v="1"/>
  </r>
  <r>
    <s v="EXP100350"/>
    <s v="E261"/>
    <m/>
    <d v="2026-01-24T00:00:00"/>
    <d v="2026-01-24T00:00:00"/>
    <s v="MARRIOTT #4471"/>
    <s v="7011"/>
    <s v="Lodging"/>
    <n v="158.38"/>
    <s v="Corporate Amex"/>
    <m/>
    <s v="Y"/>
    <s v="Lodging"/>
    <s v="MATCH"/>
    <x v="3"/>
  </r>
  <r>
    <s v="EXP100351"/>
    <s v="E196"/>
    <s v="AX558069556"/>
    <d v="2026-01-18T00:00:00"/>
    <d v="2026-01-25T00:00:00"/>
    <s v="UBER TRIP HELP.UBER"/>
    <s v="4121"/>
    <m/>
    <n v="38.75"/>
    <s v="Corporate Amex"/>
    <m/>
    <s v="Y"/>
    <s v="Transportation"/>
    <s v="BLANK"/>
    <x v="5"/>
  </r>
  <r>
    <s v="EXP100352"/>
    <s v="E032"/>
    <s v="AX642275593"/>
    <d v="2026-01-25T00:00:00"/>
    <d v="2026-01-25T00:00:00"/>
    <s v="STARBUCKS #4471"/>
    <s v="5812"/>
    <s v="Meals"/>
    <n v="5.01"/>
    <s v="Corporate Amex"/>
    <m/>
    <s v="N"/>
    <s v="Meals"/>
    <s v="MATCH"/>
    <x v="0"/>
  </r>
  <r>
    <s v="EXP100353"/>
    <s v="E123"/>
    <s v="AX755383723"/>
    <d v="2026-01-22T00:00:00"/>
    <d v="2026-01-25T00:00:00"/>
    <s v="SQ *JOES COFFEE"/>
    <s v="5812"/>
    <s v="Meals"/>
    <n v="21.44"/>
    <s v="Corporate Amex"/>
    <m/>
    <s v="Y"/>
    <s v="Meals"/>
    <s v="MATCH"/>
    <x v="7"/>
  </r>
  <r>
    <s v="EXP100354"/>
    <s v="E069"/>
    <s v="AX 709897786"/>
    <d v="2026-01-18T00:00:00"/>
    <d v="2026-01-25T00:00:00"/>
    <s v="MARRIOTT #4471"/>
    <s v="7011"/>
    <s v="Lodging"/>
    <n v="368.54"/>
    <s v="Corporate Amex"/>
    <m/>
    <s v="Y"/>
    <s v="Lodging"/>
    <s v="MATCH"/>
    <x v="0"/>
  </r>
  <r>
    <s v="EXP100355"/>
    <s v="E067"/>
    <s v="AX 769497880"/>
    <d v="2026-01-23T00:00:00"/>
    <d v="2026-01-25T00:00:00"/>
    <s v="AMAZON MKTPLACE PMTS"/>
    <s v="5942"/>
    <s v="Office Supplies"/>
    <n v="466.63"/>
    <s v="Corporate Amex"/>
    <m/>
    <s v="Y"/>
    <s v="Office Supplies"/>
    <s v="MATCH"/>
    <x v="0"/>
  </r>
  <r>
    <s v="EXP100357"/>
    <s v="E001"/>
    <m/>
    <d v="2026-01-15T00:00:00"/>
    <d v="2026-01-25T00:00:00"/>
    <s v="SOUTHWEST AIR 5261823"/>
    <s v="4511"/>
    <s v="Travel"/>
    <n v="316.37"/>
    <s v="Corporate Amex"/>
    <m/>
    <s v="Y"/>
    <s v="Travel"/>
    <s v="MATCH"/>
    <x v="0"/>
  </r>
  <r>
    <s v="EXP100358"/>
    <s v="E051"/>
    <s v="AX783292709"/>
    <d v="2026-01-20T00:00:00"/>
    <d v="2026-01-25T00:00:00"/>
    <s v="EVENTBRITE"/>
    <s v="7999"/>
    <m/>
    <n v="160.55000000000001"/>
    <s v="Corporate Amex"/>
    <m/>
    <s v="N"/>
    <s v="Events"/>
    <s v="BLANK"/>
    <x v="0"/>
  </r>
  <r>
    <s v="EXP100359"/>
    <s v="E058"/>
    <s v="ax768168962"/>
    <d v="2026-01-23T00:00:00"/>
    <d v="2026-01-25T00:00:00"/>
    <s v="SQ *JOES COFFEE"/>
    <s v="5812"/>
    <s v="Meals"/>
    <n v="7.09"/>
    <s v="Corporate Amex"/>
    <m/>
    <s v="Y"/>
    <s v="Meals"/>
    <s v="MATCH"/>
    <x v="0"/>
  </r>
  <r>
    <s v="EXP100360"/>
    <s v="E217"/>
    <s v="AX-453946693"/>
    <d v="2026-01-19T00:00:00"/>
    <d v="2026-01-25T00:00:00"/>
    <s v="DELTA AIR 00623891045"/>
    <s v="4511"/>
    <s v="Travel"/>
    <n v="236.3"/>
    <s v="Corporate Amex"/>
    <m/>
    <s v="Y"/>
    <s v="Travel"/>
    <s v="MATCH"/>
    <x v="4"/>
  </r>
  <r>
    <s v="EXP100361"/>
    <s v="E144"/>
    <m/>
    <d v="2026-01-19T00:00:00"/>
    <d v="2026-01-25T00:00:00"/>
    <s v="ADOBE *CREATIVE CLOUD"/>
    <s v="5734"/>
    <s v="Software"/>
    <n v="49.69"/>
    <s v="Personal (Reimbursement)"/>
    <s v="Forgot corporate card"/>
    <s v="Y"/>
    <s v="Software"/>
    <s v="MATCH"/>
    <x v="7"/>
  </r>
  <r>
    <s v="EXP100362"/>
    <s v="E266"/>
    <s v="AX-212209297"/>
    <d v="2026-01-21T00:00:00"/>
    <d v="2026-01-25T00:00:00"/>
    <s v="UNITED AIRLINES 0162233"/>
    <s v="4511"/>
    <s v="Travel"/>
    <n v="297.82"/>
    <s v="Corporate Amex"/>
    <m/>
    <s v="Y"/>
    <s v="Travel"/>
    <s v="MATCH"/>
    <x v="3"/>
  </r>
  <r>
    <s v="EXP100363"/>
    <s v="E142"/>
    <s v="AX792406585"/>
    <d v="2026-01-18T00:00:00"/>
    <d v="2026-01-25T00:00:00"/>
    <s v="SQ *JOES COFFEE"/>
    <s v="5812"/>
    <s v="Meals"/>
    <n v="19.62"/>
    <s v="Corporate Amex"/>
    <m/>
    <s v="Y"/>
    <s v="Meals"/>
    <s v="MATCH"/>
    <x v="7"/>
  </r>
  <r>
    <s v="EXP100364"/>
    <s v="E005"/>
    <s v="ax361729428"/>
    <d v="2026-01-15T00:00:00"/>
    <d v="2026-01-25T00:00:00"/>
    <s v="LYFT RIDE THU"/>
    <s v="4121"/>
    <s v="Transportation"/>
    <n v="12.43"/>
    <s v="Corporate Amex"/>
    <m/>
    <s v="Y"/>
    <s v="Transportation"/>
    <s v="MATCH"/>
    <x v="0"/>
  </r>
  <r>
    <s v="EXP100365"/>
    <s v="E182"/>
    <s v="AX-117314911"/>
    <d v="2026-01-22T00:00:00"/>
    <d v="2026-01-25T00:00:00"/>
    <s v="DELTA AIR 00623891045"/>
    <s v="4511"/>
    <s v="Travel"/>
    <n v="266.41000000000003"/>
    <s v="Corporate Amex"/>
    <m/>
    <s v="Y"/>
    <s v="Travel"/>
    <s v="MATCH"/>
    <x v="5"/>
  </r>
  <r>
    <s v="EXP100366"/>
    <s v="E020"/>
    <m/>
    <d v="2026-01-20T00:00:00"/>
    <d v="2026-01-25T00:00:00"/>
    <s v="LYFT RIDE THU"/>
    <s v="4121"/>
    <s v="Transportation"/>
    <n v="37.01"/>
    <s v="Corporate Amex"/>
    <m/>
    <s v="N"/>
    <s v="Transportation"/>
    <s v="MATCH"/>
    <x v="0"/>
  </r>
  <r>
    <s v="EXP100367"/>
    <s v="E041"/>
    <s v="AX466986612"/>
    <d v="2026-01-15T00:00:00"/>
    <d v="2026-01-25T00:00:00"/>
    <s v="EVENTBRITE"/>
    <s v="7999"/>
    <s v="Events"/>
    <n v="224.19"/>
    <s v="Corporate Amex"/>
    <m/>
    <s v="Y"/>
    <s v="Events"/>
    <s v="MATCH"/>
    <x v="0"/>
  </r>
  <r>
    <s v="EXP100368"/>
    <s v="E143"/>
    <s v="AX828790838"/>
    <d v="2026-01-25T00:00:00"/>
    <d v="2026-01-25T00:00:00"/>
    <s v="DELTA AIR 00623891045"/>
    <s v="4511"/>
    <s v="Travel"/>
    <n v="281.5"/>
    <s v="Corporate Amex"/>
    <m/>
    <s v="Y"/>
    <s v="Travel"/>
    <s v="MATCH"/>
    <x v="7"/>
  </r>
  <r>
    <s v="EXP100369"/>
    <s v="E062"/>
    <s v="AX 976381037"/>
    <d v="2026-01-21T00:00:00"/>
    <d v="2026-01-25T00:00:00"/>
    <s v="DELTA AIR 00623891045"/>
    <s v="4511"/>
    <s v="Travel"/>
    <n v="598.29"/>
    <s v="Corporate Amex"/>
    <m/>
    <s v="Y"/>
    <s v="Travel"/>
    <s v="MATCH"/>
    <x v="0"/>
  </r>
  <r>
    <s v="EXP100370"/>
    <s v="E028"/>
    <s v="AX504857531"/>
    <d v="2026-01-18T00:00:00"/>
    <d v="2026-01-25T00:00:00"/>
    <s v="REGION CATERING CO"/>
    <s v="5811"/>
    <s v="Events"/>
    <n v="600.97"/>
    <s v="Corporate Amex"/>
    <m/>
    <s v="N"/>
    <s v="Events"/>
    <s v="MATCH"/>
    <x v="0"/>
  </r>
  <r>
    <s v="EXP100371"/>
    <s v="E006"/>
    <s v="AX329880509"/>
    <d v="2026-01-18T00:00:00"/>
    <d v="2026-01-25T00:00:00"/>
    <s v="MICROSOFT*365"/>
    <s v="5734"/>
    <s v="Software"/>
    <n v="22.91"/>
    <s v="Corporate Amex"/>
    <m/>
    <s v="Y"/>
    <s v="Software"/>
    <s v="MATCH"/>
    <x v="0"/>
  </r>
  <r>
    <s v="EXP100372"/>
    <s v="E023"/>
    <s v="ax344081250"/>
    <d v="2026-01-15T00:00:00"/>
    <d v="2026-01-25T00:00:00"/>
    <s v="SPROUT SOCIAL"/>
    <s v="5734"/>
    <s v="Software"/>
    <n v="242.84"/>
    <s v="Corporate Amex"/>
    <m/>
    <s v="Y"/>
    <s v="Software"/>
    <s v="MATCH"/>
    <x v="0"/>
  </r>
  <r>
    <s v="EXP100373"/>
    <s v="E014"/>
    <s v="AX605724295"/>
    <d v="2026-01-18T00:00:00"/>
    <d v="2026-01-26T00:00:00"/>
    <s v="CHIPOTLE 2214"/>
    <s v="5812"/>
    <s v="Meals"/>
    <n v="20.239999999999998"/>
    <s v="Corporate Amex"/>
    <m/>
    <s v="Y"/>
    <s v="Meals"/>
    <s v="MATCH"/>
    <x v="0"/>
  </r>
  <r>
    <s v="EXP100374"/>
    <s v="E096"/>
    <s v="AX205021746"/>
    <d v="2026-01-21T00:00:00"/>
    <d v="2026-01-26T00:00:00"/>
    <s v="ZOOM.US"/>
    <s v="5734"/>
    <s v="Software"/>
    <n v="43.97"/>
    <s v="Corporate Amex"/>
    <m/>
    <s v="Y"/>
    <s v="Software"/>
    <s v="MATCH"/>
    <x v="2"/>
  </r>
  <r>
    <s v="EXP100375"/>
    <s v="E025"/>
    <m/>
    <d v="2026-01-19T00:00:00"/>
    <d v="2026-01-26T00:00:00"/>
    <s v="DELTA AIR 00623891045"/>
    <s v="4511"/>
    <s v="Transportation"/>
    <n v="507.01"/>
    <s v="Personal (Reimbursement)"/>
    <s v="Amex declined - vendor doesn't accept Amex"/>
    <s v="Y"/>
    <s v="Travel"/>
    <s v="MISMATCH"/>
    <x v="0"/>
  </r>
  <r>
    <s v="EXP100376"/>
    <s v="E045"/>
    <s v="AX-253879439"/>
    <d v="2026-01-19T00:00:00"/>
    <d v="2026-01-26T00:00:00"/>
    <s v="OLIVE GARDEN 00456"/>
    <s v="5812"/>
    <s v="Meals"/>
    <n v="54.63"/>
    <s v="Corporate Amex"/>
    <m/>
    <s v="N"/>
    <s v="Meals"/>
    <s v="MATCH"/>
    <x v="0"/>
  </r>
  <r>
    <s v="EXP100377"/>
    <s v="E061"/>
    <m/>
    <d v="2026-01-26T00:00:00"/>
    <d v="2026-01-26T00:00:00"/>
    <s v="AMC THEATRES 0021"/>
    <s v="7832"/>
    <s v="Software"/>
    <n v="55.11"/>
    <s v="Corporate Amex"/>
    <m/>
    <s v="Y"/>
    <s v="Entertainment"/>
    <s v="MISMATCH"/>
    <x v="0"/>
  </r>
  <r>
    <s v="EXP100378"/>
    <s v="E040"/>
    <m/>
    <d v="2026-01-20T00:00:00"/>
    <d v="2026-01-26T00:00:00"/>
    <s v="EVENTBRITE"/>
    <s v="7999"/>
    <s v="Events"/>
    <n v="227.94"/>
    <s v="Corporate Amex"/>
    <m/>
    <s v="Y"/>
    <s v="Events"/>
    <s v="MATCH"/>
    <x v="0"/>
  </r>
  <r>
    <s v="EXP100379"/>
    <s v="E008"/>
    <s v="AX369160188"/>
    <d v="2026-01-22T00:00:00"/>
    <d v="2026-01-26T00:00:00"/>
    <s v="LYFT RIDE THU"/>
    <s v="4121"/>
    <s v="Transportation"/>
    <n v="9.6199999999999992"/>
    <s v="Corporate Amex"/>
    <m/>
    <s v="Y"/>
    <s v="Transportation"/>
    <s v="MATCH"/>
    <x v="0"/>
  </r>
  <r>
    <s v="EXP100380"/>
    <s v="E064"/>
    <m/>
    <d v="2026-01-16T00:00:00"/>
    <d v="2026-01-26T00:00:00"/>
    <s v="ZOOM.US"/>
    <s v="5734"/>
    <s v="Software"/>
    <n v="16.86"/>
    <s v="Corporate Amex"/>
    <m/>
    <s v="Y"/>
    <s v="Software"/>
    <s v="MATCH"/>
    <x v="0"/>
  </r>
  <r>
    <s v="EXP100381"/>
    <s v="E201"/>
    <s v="AX388225637"/>
    <d v="2026-01-16T00:00:00"/>
    <d v="2026-01-26T00:00:00"/>
    <s v="EVENTBRITE"/>
    <s v="7999"/>
    <s v="Events"/>
    <n v="26.99"/>
    <s v="Corporate Amex"/>
    <m/>
    <s v="Y"/>
    <s v="Events"/>
    <s v="MATCH"/>
    <x v="5"/>
  </r>
  <r>
    <s v="EXP100382"/>
    <s v="E002"/>
    <s v="AX864584948"/>
    <d v="2026-01-21T00:00:00"/>
    <d v="2026-01-26T00:00:00"/>
    <s v="ADOBE *CREATIVE CLOUD"/>
    <s v="5734"/>
    <s v="Meals"/>
    <n v="82.56"/>
    <s v="Corporate Amex"/>
    <m/>
    <s v="Y"/>
    <s v="Software"/>
    <s v="MISMATCH"/>
    <x v="0"/>
  </r>
  <r>
    <s v="EXP100383"/>
    <s v="E050"/>
    <s v="AX 533181598"/>
    <d v="2026-01-19T00:00:00"/>
    <d v="2026-01-26T00:00:00"/>
    <s v="HYATT REGENCY BOS"/>
    <s v="7011"/>
    <s v="Lodging"/>
    <n v="438.76"/>
    <s v="Corporate Amex"/>
    <m/>
    <s v="Y"/>
    <s v="Lodging"/>
    <s v="MATCH"/>
    <x v="0"/>
  </r>
  <r>
    <s v="EXP100384"/>
    <s v="E192"/>
    <s v="ax627081589"/>
    <d v="2026-01-21T00:00:00"/>
    <d v="2026-01-26T00:00:00"/>
    <s v="HOOTSUITE INC"/>
    <s v="5734"/>
    <s v="Software"/>
    <n v="117.95"/>
    <s v="Corporate Amex"/>
    <m/>
    <s v="Y"/>
    <s v="Software"/>
    <s v="MATCH"/>
    <x v="5"/>
  </r>
  <r>
    <s v="EXP100385"/>
    <s v="E271"/>
    <s v="ax814622173"/>
    <d v="2026-01-22T00:00:00"/>
    <d v="2026-01-26T00:00:00"/>
    <s v="CHIPOTLE 2214"/>
    <s v="5812"/>
    <s v="Meals"/>
    <n v="21.56"/>
    <s v="Corporate Amex"/>
    <m/>
    <s v="Y"/>
    <s v="Meals"/>
    <s v="MATCH"/>
    <x v="3"/>
  </r>
  <r>
    <s v="EXP100386"/>
    <s v="E118"/>
    <s v="AX-750221734"/>
    <d v="2026-01-17T00:00:00"/>
    <d v="2026-01-26T00:00:00"/>
    <s v="SOUTHWEST AIR 5261823"/>
    <s v="4511"/>
    <s v="Travel"/>
    <n v="320.25"/>
    <s v="Corporate Amex"/>
    <m/>
    <s v="N"/>
    <s v="Travel"/>
    <s v="MATCH"/>
    <x v="7"/>
  </r>
  <r>
    <s v="EXP100387"/>
    <s v="E102"/>
    <s v="AX442583138"/>
    <d v="2026-01-17T00:00:00"/>
    <d v="2026-01-26T00:00:00"/>
    <s v="AMAZON MKTPLACE PMTS"/>
    <s v="5942"/>
    <s v="Office Supplies"/>
    <n v="82.37"/>
    <s v="Corporate Amex"/>
    <m/>
    <s v="Y"/>
    <s v="Office Supplies"/>
    <s v="MATCH"/>
    <x v="2"/>
  </r>
  <r>
    <s v="EXP100388"/>
    <s v="E077"/>
    <s v="AX-748476088"/>
    <d v="2026-01-23T00:00:00"/>
    <d v="2026-01-26T00:00:00"/>
    <s v="CHIPOTLE 2214"/>
    <s v="5812"/>
    <s v="  Meals "/>
    <n v="11.4"/>
    <s v="Corporate Amex"/>
    <m/>
    <s v="Y"/>
    <s v="Meals"/>
    <s v="MATCH"/>
    <x v="2"/>
  </r>
  <r>
    <s v="EXP100389"/>
    <s v="E015"/>
    <s v="AX-259563058"/>
    <d v="2026-01-21T00:00:00"/>
    <d v="2026-01-26T00:00:00"/>
    <s v="REGION CATERING CO"/>
    <s v="5811"/>
    <s v="Meals"/>
    <n v="154.69999999999999"/>
    <s v="Corporate Amex"/>
    <m/>
    <s v="Y"/>
    <s v="Events"/>
    <s v="MISMATCH"/>
    <x v="0"/>
  </r>
  <r>
    <s v="EXP100390"/>
    <s v="E059"/>
    <s v="AX922523651"/>
    <d v="2026-01-26T00:00:00"/>
    <d v="2026-01-27T00:00:00"/>
    <s v="HYATT REGENCY BOS"/>
    <s v="7011"/>
    <s v="Lodging"/>
    <n v="411.68"/>
    <s v="Corporate Amex"/>
    <m/>
    <s v="N"/>
    <s v="Lodging"/>
    <s v="MATCH"/>
    <x v="0"/>
  </r>
  <r>
    <s v="EXP100391"/>
    <s v="E258"/>
    <s v="ax737924724"/>
    <d v="2026-01-19T00:00:00"/>
    <d v="2026-01-27T00:00:00"/>
    <s v="UBER TRIP HELP.UBER"/>
    <s v="4121"/>
    <s v="Transportation"/>
    <n v="41.69"/>
    <s v="Corporate Amex"/>
    <m/>
    <s v="Y"/>
    <s v="Transportation"/>
    <s v="MATCH"/>
    <x v="8"/>
  </r>
  <r>
    <s v="EXP100392"/>
    <s v="E119"/>
    <s v="AX902030704"/>
    <d v="2026-01-19T00:00:00"/>
    <d v="2026-01-27T00:00:00"/>
    <s v="TOTAL PARTY RENTAL"/>
    <s v="7999"/>
    <s v="Events"/>
    <n v="224.78"/>
    <s v="Corporate Amex"/>
    <m/>
    <s v="Y"/>
    <s v="Events"/>
    <s v="MATCH"/>
    <x v="7"/>
  </r>
  <r>
    <s v="EXP100393"/>
    <s v="E009"/>
    <s v="AX906606439"/>
    <d v="2026-01-24T00:00:00"/>
    <d v="2026-01-27T00:00:00"/>
    <s v="EVENTBRITE"/>
    <s v="7999"/>
    <s v="Events"/>
    <n v="134.47"/>
    <s v="Corporate Amex"/>
    <m/>
    <s v="Y"/>
    <s v="Events"/>
    <s v="MATCH"/>
    <x v="0"/>
  </r>
  <r>
    <s v="EXP100394"/>
    <s v="E245"/>
    <m/>
    <d v="2026-01-18T00:00:00"/>
    <d v="2026-01-27T00:00:00"/>
    <s v="REGION CATERING CO"/>
    <s v="5811"/>
    <s v="Events"/>
    <n v="68.77"/>
    <s v="Corporate Amex"/>
    <m/>
    <s v="Y"/>
    <s v="Events"/>
    <s v="MATCH"/>
    <x v="1"/>
  </r>
  <r>
    <s v="EXP100395"/>
    <s v="E255"/>
    <s v="AX626736650"/>
    <d v="2026-01-18T00:00:00"/>
    <d v="2026-01-27T00:00:00"/>
    <s v="SPROUT SOCIAL"/>
    <s v="5734"/>
    <s v="Software"/>
    <n v="95.65"/>
    <s v="Corporate Amex"/>
    <m/>
    <s v="Y"/>
    <s v="Software"/>
    <s v="MATCH"/>
    <x v="8"/>
  </r>
  <r>
    <s v="EXP100396"/>
    <s v="E132"/>
    <s v="AX796507133"/>
    <d v="2026-01-27T00:00:00"/>
    <d v="2026-01-27T00:00:00"/>
    <s v="SQ *THE CORNER BISTRO"/>
    <s v="5812"/>
    <s v="Meals"/>
    <n v="50.14"/>
    <s v="Corporate Amex"/>
    <m/>
    <s v="Y"/>
    <s v="Meals"/>
    <s v="MATCH"/>
    <x v="7"/>
  </r>
  <r>
    <s v="EXP100397"/>
    <s v="E132"/>
    <s v="AX564180654"/>
    <d v="2026-01-23T00:00:00"/>
    <d v="2026-01-27T00:00:00"/>
    <s v="SQ *JOES COFFEE"/>
    <s v="5812"/>
    <s v="Meals"/>
    <n v="12.59"/>
    <s v="Corporate Amex"/>
    <m/>
    <s v="Y"/>
    <s v="Meals"/>
    <s v="MATCH"/>
    <x v="7"/>
  </r>
  <r>
    <s v="EXP100398"/>
    <s v="E179"/>
    <s v="AX574438003"/>
    <d v="2026-01-25T00:00:00"/>
    <d v="2026-01-27T00:00:00"/>
    <s v="HYATT REGENCY BOS"/>
    <s v="7011"/>
    <s v="Lodging"/>
    <n v="288.41000000000003"/>
    <s v="Corporate Amex"/>
    <m/>
    <s v="N"/>
    <s v="Lodging"/>
    <s v="MATCH"/>
    <x v="6"/>
  </r>
  <r>
    <s v="EXP100399"/>
    <s v="E082"/>
    <s v="AX237340691"/>
    <d v="2026-01-24T00:00:00"/>
    <d v="2026-01-27T00:00:00"/>
    <s v="HILTON GARDEN INN 2231"/>
    <s v="7011"/>
    <s v="Lodging"/>
    <n v="172.37"/>
    <s v="Corporate Amex"/>
    <m/>
    <s v="N"/>
    <s v="Lodging"/>
    <s v="MATCH"/>
    <x v="2"/>
  </r>
  <r>
    <s v="EXP100400"/>
    <s v="E076"/>
    <s v="AX789788830"/>
    <d v="2026-01-27T00:00:00"/>
    <d v="2026-01-27T00:00:00"/>
    <s v="ZOOM.US"/>
    <s v="5734"/>
    <s v="Software"/>
    <n v="55.23"/>
    <s v="Corporate Amex"/>
    <m/>
    <s v="Y"/>
    <s v="Software"/>
    <s v="MATCH"/>
    <x v="2"/>
  </r>
  <r>
    <s v="EXP100401"/>
    <s v="E154"/>
    <s v="AX127225149"/>
    <d v="2026-01-26T00:00:00"/>
    <d v="2026-01-27T00:00:00"/>
    <s v="SPROUT SOCIAL"/>
    <s v="5734"/>
    <s v="Software"/>
    <n v="144.78"/>
    <s v="Corporate Amex"/>
    <m/>
    <s v="Y"/>
    <s v="Software"/>
    <s v="MATCH"/>
    <x v="6"/>
  </r>
  <r>
    <s v="EXP100402"/>
    <s v="E041"/>
    <m/>
    <d v="2026-01-20T00:00:00"/>
    <d v="2026-01-27T00:00:00"/>
    <s v="MARRIOTT #4471"/>
    <s v="7011"/>
    <s v="Lodging"/>
    <n v="327.61"/>
    <s v="Personal (Reimbursement)"/>
    <s v="Forgot corporate card"/>
    <s v="Y"/>
    <s v="Lodging"/>
    <s v="MATCH"/>
    <x v="0"/>
  </r>
  <r>
    <s v="EXP100403"/>
    <s v="E069"/>
    <s v="AX839324640"/>
    <d v="2026-01-17T00:00:00"/>
    <d v="2026-01-27T00:00:00"/>
    <s v="PANERA BREAD #0231"/>
    <s v="5812"/>
    <m/>
    <n v="11.12"/>
    <s v="Corporate Amex"/>
    <m/>
    <s v="Y"/>
    <s v="Meals"/>
    <s v="BLANK"/>
    <x v="0"/>
  </r>
  <r>
    <s v="EXP100404"/>
    <s v="E028"/>
    <s v="AX240555916"/>
    <d v="2026-01-19T00:00:00"/>
    <d v="2026-01-27T00:00:00"/>
    <s v="ADOBE *CREATIVE CLOUD"/>
    <s v="5734"/>
    <s v="Software"/>
    <n v="42.96"/>
    <s v="Corporate Amex"/>
    <m/>
    <s v="Y"/>
    <s v="Software"/>
    <s v="MATCH"/>
    <x v="0"/>
  </r>
  <r>
    <s v="EXP100405"/>
    <s v="E005"/>
    <s v="AX165119127"/>
    <d v="2026-01-17T00:00:00"/>
    <d v="2026-01-27T00:00:00"/>
    <s v="HILTON GARDEN INN 2231"/>
    <s v="7011"/>
    <m/>
    <n v="319.5"/>
    <s v="Corporate Amex"/>
    <m/>
    <s v="Y"/>
    <s v="Lodging"/>
    <s v="BLANK"/>
    <x v="0"/>
  </r>
  <r>
    <s v="EXP100406"/>
    <s v="E043"/>
    <m/>
    <d v="2026-01-18T00:00:00"/>
    <d v="2026-01-27T00:00:00"/>
    <s v="PANERA BREAD #0231"/>
    <s v="5812"/>
    <s v="Transportation"/>
    <n v="13.41"/>
    <s v="Corporate Amex"/>
    <m/>
    <s v="Y"/>
    <s v="Meals"/>
    <s v="MISMATCH"/>
    <x v="0"/>
  </r>
  <r>
    <s v="EXP100407"/>
    <s v="E034"/>
    <s v="AX 934036997"/>
    <d v="2026-01-18T00:00:00"/>
    <d v="2026-01-27T00:00:00"/>
    <s v="MICROSOFT*365"/>
    <s v="5734"/>
    <s v="Software"/>
    <n v="23.35"/>
    <s v="Corporate Amex"/>
    <m/>
    <s v="Y"/>
    <s v="Software"/>
    <s v="MATCH"/>
    <x v="0"/>
  </r>
  <r>
    <s v="EXP100408"/>
    <s v="E015"/>
    <s v="ax782732853"/>
    <d v="2026-01-20T00:00:00"/>
    <d v="2026-01-27T00:00:00"/>
    <s v="SOUTHWEST AIR 5261823"/>
    <s v="4511"/>
    <s v="Travel"/>
    <n v="360.5"/>
    <s v="Corporate Amex"/>
    <m/>
    <s v="Y"/>
    <s v="Travel"/>
    <s v="MATCH"/>
    <x v="0"/>
  </r>
  <r>
    <s v="EXP100409"/>
    <s v="E049"/>
    <s v="AX-333548923"/>
    <d v="2026-01-20T00:00:00"/>
    <d v="2026-01-27T00:00:00"/>
    <s v="LYFT RIDE THU"/>
    <s v="4121"/>
    <s v="Transportation"/>
    <n v="35.450000000000003"/>
    <s v="Corporate Amex"/>
    <m/>
    <s v="N"/>
    <s v="Transportation"/>
    <s v="MATCH"/>
    <x v="0"/>
  </r>
  <r>
    <s v="EXP100410"/>
    <s v="E015"/>
    <s v="ax771759935"/>
    <d v="2026-01-24T00:00:00"/>
    <d v="2026-01-28T00:00:00"/>
    <s v="ZOOM.US"/>
    <s v="5734"/>
    <s v="Software"/>
    <n v="39.24"/>
    <s v="Corporate Amex"/>
    <m/>
    <s v="Y"/>
    <s v="Software"/>
    <s v="MATCH"/>
    <x v="0"/>
  </r>
  <r>
    <s v="EXP100411"/>
    <s v="E014"/>
    <s v="AX 361751609"/>
    <d v="2026-01-20T00:00:00"/>
    <d v="2026-01-28T00:00:00"/>
    <s v="STARBUCKS #4471"/>
    <s v="5812"/>
    <s v="Meals"/>
    <n v="10.85"/>
    <s v="Corporate Amex"/>
    <m/>
    <s v="Y"/>
    <s v="Meals"/>
    <s v="MATCH"/>
    <x v="0"/>
  </r>
  <r>
    <s v="EXP100412"/>
    <s v="E025"/>
    <m/>
    <d v="2026-01-26T00:00:00"/>
    <d v="2026-01-28T00:00:00"/>
    <s v="MICROSOFT*365"/>
    <s v="5734"/>
    <s v="Software"/>
    <n v="34.119999999999997"/>
    <s v="Corporate Amex"/>
    <m/>
    <s v="Y"/>
    <s v="Software"/>
    <s v="MATCH"/>
    <x v="0"/>
  </r>
  <r>
    <s v="EXP100413"/>
    <s v="E039"/>
    <s v="AX243334664"/>
    <d v="2026-01-26T00:00:00"/>
    <d v="2026-01-28T00:00:00"/>
    <s v="LYFT RIDE THU"/>
    <s v="4121"/>
    <s v="Transportation"/>
    <n v="40.79"/>
    <s v="Corporate Amex"/>
    <m/>
    <s v="Y"/>
    <s v="Transportation"/>
    <s v="MATCH"/>
    <x v="0"/>
  </r>
  <r>
    <s v="EXP100414"/>
    <s v="E138"/>
    <s v="AX 164684494"/>
    <d v="2026-01-20T00:00:00"/>
    <d v="2026-01-28T00:00:00"/>
    <s v="STARBUCKS #4471"/>
    <s v="5812"/>
    <s v="Meals"/>
    <n v="11.69"/>
    <s v="Corporate Amex"/>
    <m/>
    <s v="Y"/>
    <s v="Meals"/>
    <s v="MATCH"/>
    <x v="7"/>
  </r>
  <r>
    <s v="EXP100415"/>
    <s v="E064"/>
    <s v="ax245674061"/>
    <d v="2026-01-24T00:00:00"/>
    <d v="2026-01-28T00:00:00"/>
    <s v="ZOOM.US"/>
    <s v="5734"/>
    <m/>
    <n v="43.27"/>
    <s v="Corporate Amex"/>
    <m/>
    <s v="Y"/>
    <s v="Software"/>
    <s v="BLANK"/>
    <x v="0"/>
  </r>
  <r>
    <s v="EXP100416"/>
    <s v="E050"/>
    <s v="AX-901629905"/>
    <d v="2026-01-25T00:00:00"/>
    <d v="2026-01-28T00:00:00"/>
    <s v="ZOOM.US"/>
    <s v="5734"/>
    <s v="Software"/>
    <n v="19.55"/>
    <s v="Corporate Amex"/>
    <m/>
    <s v="Y"/>
    <s v="Software"/>
    <s v="MATCH"/>
    <x v="0"/>
  </r>
  <r>
    <s v="EXP100417"/>
    <s v="E049"/>
    <s v="AX738173546"/>
    <d v="2026-01-22T00:00:00"/>
    <d v="2026-01-28T00:00:00"/>
    <s v="SPROUT SOCIAL"/>
    <s v="5734"/>
    <s v="Software"/>
    <n v="177.38"/>
    <s v="Corporate Amex"/>
    <m/>
    <s v="Y"/>
    <s v="Software"/>
    <s v="MATCH"/>
    <x v="0"/>
  </r>
  <r>
    <s v="EXP100418"/>
    <s v="E075"/>
    <s v="AX261738259"/>
    <d v="2026-01-18T00:00:00"/>
    <d v="2026-01-28T00:00:00"/>
    <s v="AMAZON MKTPLACE PMTS"/>
    <s v="5942"/>
    <s v="Office Supplies"/>
    <n v="157.08000000000001"/>
    <s v="Corporate Amex"/>
    <m/>
    <s v="N"/>
    <s v="Office Supplies"/>
    <s v="MATCH"/>
    <x v="2"/>
  </r>
  <r>
    <s v="EXP100419"/>
    <s v="E075"/>
    <s v="AX870727580"/>
    <d v="2026-01-25T00:00:00"/>
    <d v="2026-01-28T00:00:00"/>
    <s v="DELTA AIR 00623891045"/>
    <s v="4511"/>
    <s v="Travel"/>
    <n v="230.44"/>
    <s v="Corporate Amex"/>
    <m/>
    <s v="Y"/>
    <s v="Travel"/>
    <s v="MATCH"/>
    <x v="2"/>
  </r>
  <r>
    <s v="EXP100420"/>
    <s v="E091"/>
    <s v="ax513329270"/>
    <d v="2026-01-20T00:00:00"/>
    <d v="2026-01-28T00:00:00"/>
    <s v="CHIPOTLE 2214"/>
    <s v="5812"/>
    <s v="Meals"/>
    <n v="10.9"/>
    <s v="Corporate Amex"/>
    <m/>
    <s v="Y"/>
    <s v="Meals"/>
    <s v="MATCH"/>
    <x v="2"/>
  </r>
  <r>
    <s v="EXP100421"/>
    <s v="E040"/>
    <s v="ax457192162"/>
    <d v="2026-01-23T00:00:00"/>
    <d v="2026-01-28T00:00:00"/>
    <s v="ZOOM.US"/>
    <s v="5734"/>
    <s v="Software"/>
    <n v="34.729999999999997"/>
    <s v="Corporate Amex"/>
    <m/>
    <s v="Y"/>
    <s v="Software"/>
    <s v="MATCH"/>
    <x v="0"/>
  </r>
  <r>
    <s v="EXP100422"/>
    <s v="E013"/>
    <s v="ax400525252"/>
    <d v="2026-01-23T00:00:00"/>
    <d v="2026-01-28T00:00:00"/>
    <s v="PANERA BREAD #0231"/>
    <s v="5812"/>
    <s v="Meals"/>
    <n v="22.01"/>
    <s v="Corporate Amex"/>
    <m/>
    <s v="Y"/>
    <s v="Meals"/>
    <s v="MATCH"/>
    <x v="0"/>
  </r>
  <r>
    <s v="EXP100423"/>
    <s v="E067"/>
    <m/>
    <d v="2026-01-23T00:00:00"/>
    <d v="2026-01-28T00:00:00"/>
    <s v="SQ *THE CORNER BISTRO"/>
    <s v="5812"/>
    <s v="Meals"/>
    <n v="37.9"/>
    <s v="Corporate Amex"/>
    <m/>
    <s v="Y"/>
    <s v="Meals"/>
    <s v="MATCH"/>
    <x v="0"/>
  </r>
  <r>
    <s v="EXP100424"/>
    <s v="E182"/>
    <m/>
    <d v="2026-01-24T00:00:00"/>
    <d v="2026-01-28T00:00:00"/>
    <s v="TOTAL PARTY RENTAL"/>
    <s v="7999"/>
    <s v="Events"/>
    <n v="203.14"/>
    <s v="Corporate Amex"/>
    <m/>
    <s v="Y"/>
    <s v="Events"/>
    <s v="MATCH"/>
    <x v="5"/>
  </r>
  <r>
    <s v="EXP100425"/>
    <s v="E065"/>
    <s v="AX 464347681"/>
    <d v="2026-01-27T00:00:00"/>
    <d v="2026-01-28T00:00:00"/>
    <s v="AMC THEATRES 0021"/>
    <s v="7832"/>
    <s v="Entertainment"/>
    <n v="47.88"/>
    <s v="Corporate Amex"/>
    <m/>
    <s v="Y"/>
    <s v="Entertainment"/>
    <s v="MATCH"/>
    <x v="0"/>
  </r>
  <r>
    <s v="EXP100426"/>
    <s v="E017"/>
    <s v="ax725759297"/>
    <d v="2026-01-27T00:00:00"/>
    <d v="2026-01-28T00:00:00"/>
    <s v="BRANDWATCH LTD"/>
    <s v="5734"/>
    <s v="Software"/>
    <n v="414.54"/>
    <s v="Corporate Amex"/>
    <m/>
    <s v="Y"/>
    <s v="Software"/>
    <s v="MATCH"/>
    <x v="0"/>
  </r>
  <r>
    <s v="EXP100427"/>
    <s v="E128"/>
    <s v="AX462317494"/>
    <d v="2026-01-28T00:00:00"/>
    <d v="2026-01-28T00:00:00"/>
    <s v="TOTAL PARTY RENTAL"/>
    <s v="7999"/>
    <s v="Events"/>
    <n v="292.11"/>
    <s v="Corporate Amex"/>
    <m/>
    <s v="Y"/>
    <s v="Events"/>
    <s v="MATCH"/>
    <x v="7"/>
  </r>
  <r>
    <s v="EXP100428"/>
    <s v="E206"/>
    <s v="AX774113342"/>
    <d v="2026-01-27T00:00:00"/>
    <d v="2026-01-28T00:00:00"/>
    <s v="BRANDWATCH LTD"/>
    <s v="5734"/>
    <s v="Software"/>
    <n v="461.32"/>
    <s v="Corporate Amex"/>
    <m/>
    <s v="Y"/>
    <s v="Software"/>
    <s v="MATCH"/>
    <x v="5"/>
  </r>
  <r>
    <s v="EXP100429"/>
    <s v="E206"/>
    <s v="AX641166805"/>
    <d v="2026-01-28T00:00:00"/>
    <d v="2026-01-28T00:00:00"/>
    <s v="REGION CATERING CO"/>
    <s v="5811"/>
    <s v="Events"/>
    <n v="421.48"/>
    <s v="Corporate Amex"/>
    <m/>
    <s v="Y"/>
    <s v="Events"/>
    <s v="MATCH"/>
    <x v="5"/>
  </r>
  <r>
    <s v="EXP100430"/>
    <s v="E054"/>
    <m/>
    <d v="2026-01-23T00:00:00"/>
    <d v="2026-01-28T00:00:00"/>
    <s v="TOPGOLF #442"/>
    <s v="7997"/>
    <s v="Entertainment"/>
    <n v="105.44"/>
    <s v="Personal (Reimbursement)"/>
    <s v="International merchant - Amex not accepted"/>
    <s v="Y"/>
    <s v="Entertainment"/>
    <s v="MATCH"/>
    <x v="0"/>
  </r>
  <r>
    <s v="EXP100431"/>
    <s v="E023"/>
    <s v="AX813256384"/>
    <d v="2026-01-25T00:00:00"/>
    <d v="2026-01-28T00:00:00"/>
    <s v="YELLOW CAB CO"/>
    <s v="4121"/>
    <s v="Travel"/>
    <n v="14.73"/>
    <s v="Corporate Amex"/>
    <m/>
    <s v="Y"/>
    <s v="Transportation"/>
    <s v="MISMATCH"/>
    <x v="0"/>
  </r>
  <r>
    <s v="EXP100432"/>
    <s v="E051"/>
    <s v="AX 968405738"/>
    <d v="2026-01-20T00:00:00"/>
    <d v="2026-01-28T00:00:00"/>
    <s v="REGION CATERING CO"/>
    <s v="5811"/>
    <s v="Events"/>
    <n v="144.02000000000001"/>
    <s v="Corporate Amex"/>
    <m/>
    <s v="Y"/>
    <s v="Events"/>
    <s v="MATCH"/>
    <x v="0"/>
  </r>
  <r>
    <s v="EXP100433"/>
    <s v="E139"/>
    <s v="AX663532117"/>
    <d v="2026-01-26T00:00:00"/>
    <d v="2026-01-28T00:00:00"/>
    <s v="TOPGOLF #442"/>
    <s v="7997"/>
    <s v="Entertainment"/>
    <n v="65.22"/>
    <s v="Corporate Amex"/>
    <m/>
    <s v="Y"/>
    <s v="Entertainment"/>
    <s v="MATCH"/>
    <x v="7"/>
  </r>
  <r>
    <s v="EXP100434"/>
    <s v="E224"/>
    <s v="AX633505417"/>
    <d v="2026-01-25T00:00:00"/>
    <d v="2026-01-28T00:00:00"/>
    <s v="TOTAL PARTY RENTAL"/>
    <s v="7999"/>
    <s v="Events"/>
    <n v="135.66999999999999"/>
    <s v="Corporate Amex"/>
    <m/>
    <s v="Y"/>
    <s v="Events"/>
    <s v="MATCH"/>
    <x v="4"/>
  </r>
  <r>
    <s v="EXP100435"/>
    <s v="E187"/>
    <m/>
    <d v="2026-01-23T00:00:00"/>
    <d v="2026-01-28T00:00:00"/>
    <s v="STAPLES #0231"/>
    <s v="5943"/>
    <s v="Office Supplies"/>
    <n v="69.62"/>
    <s v="Corporate Amex"/>
    <m/>
    <s v="Y"/>
    <s v="Office Supplies"/>
    <s v="MATCH"/>
    <x v="5"/>
  </r>
  <r>
    <s v="EXP100436"/>
    <s v="E090"/>
    <m/>
    <d v="2026-01-19T00:00:00"/>
    <d v="2026-01-29T00:00:00"/>
    <s v=" REGION CATERING CO"/>
    <s v="5811"/>
    <s v="Events"/>
    <n v="285.60000000000002"/>
    <s v="Corporate Amex"/>
    <m/>
    <s v="Y"/>
    <s v="Events"/>
    <s v="MATCH"/>
    <x v="2"/>
  </r>
  <r>
    <s v="EXP100437"/>
    <s v="E061"/>
    <s v="ax365469468"/>
    <d v="2026-01-23T00:00:00"/>
    <d v="2026-01-29T00:00:00"/>
    <s v="SOUTHWEST AIR 5261823"/>
    <s v="4511"/>
    <s v="Travel"/>
    <n v="379.14"/>
    <s v="Corporate Amex"/>
    <m/>
    <s v="Y"/>
    <s v="Travel"/>
    <s v="MATCH"/>
    <x v="0"/>
  </r>
  <r>
    <s v="EXP100438"/>
    <s v="E256"/>
    <s v="ax786747582"/>
    <d v="2026-01-27T00:00:00"/>
    <d v="2026-01-29T00:00:00"/>
    <s v="MICROSOFT*365"/>
    <s v="5734"/>
    <s v="Software"/>
    <n v="17.89"/>
    <s v="Corporate Amex"/>
    <m/>
    <s v="Y"/>
    <s v="Software"/>
    <s v="MATCH"/>
    <x v="8"/>
  </r>
  <r>
    <s v="EXP100439"/>
    <s v="E035"/>
    <s v="AX622809469"/>
    <d v="2026-01-19T00:00:00"/>
    <d v="2026-01-29T00:00:00"/>
    <s v="STAPLES #0231"/>
    <s v="5943"/>
    <s v="Office Supplies"/>
    <n v="154.15"/>
    <s v="Corporate Amex"/>
    <m/>
    <s v="Y"/>
    <s v="Office Supplies"/>
    <s v="MATCH"/>
    <x v="0"/>
  </r>
  <r>
    <s v="EXP100440"/>
    <s v="E070"/>
    <s v="AX159546846"/>
    <d v="2026-01-29T00:00:00"/>
    <d v="2026-01-29T00:00:00"/>
    <s v=" ZOOM.US"/>
    <s v="5734"/>
    <s v="Software"/>
    <n v="42.17"/>
    <s v="Corporate Amex"/>
    <m/>
    <s v="N"/>
    <s v="Software"/>
    <s v="MATCH"/>
    <x v="0"/>
  </r>
  <r>
    <s v="EXP100441"/>
    <s v="E133"/>
    <m/>
    <d v="2026-01-28T00:00:00"/>
    <d v="2026-01-29T00:00:00"/>
    <s v="ZOOM.US"/>
    <s v="5734"/>
    <s v="Software"/>
    <n v="49.72"/>
    <s v="Personal (Reimbursement)"/>
    <s v="Forgot corporate card"/>
    <s v="Y"/>
    <s v="Software"/>
    <s v="MATCH"/>
    <x v="7"/>
  </r>
  <r>
    <s v="EXP100442"/>
    <s v="E094"/>
    <s v="AX-447170593"/>
    <d v="2026-01-28T00:00:00"/>
    <d v="2026-01-29T00:00:00"/>
    <s v="HYATT REGENCY BOS"/>
    <s v="7011"/>
    <s v="Lodging"/>
    <n v="440.45"/>
    <s v="Corporate Amex"/>
    <m/>
    <s v="Y"/>
    <s v="Lodging"/>
    <s v="MATCH"/>
    <x v="2"/>
  </r>
  <r>
    <s v="EXP100443"/>
    <s v="E028"/>
    <s v="AX 181434036"/>
    <d v="2026-01-26T00:00:00"/>
    <d v="2026-01-29T00:00:00"/>
    <s v="STARBUCKS #4471"/>
    <s v="5812"/>
    <s v="Meals"/>
    <n v="5.93"/>
    <s v="Corporate Amex"/>
    <m/>
    <s v="Y"/>
    <s v="Meals"/>
    <s v="MATCH"/>
    <x v="0"/>
  </r>
  <r>
    <s v="EXP100444"/>
    <s v="E067"/>
    <m/>
    <d v="2026-01-29T00:00:00"/>
    <d v="2026-01-29T00:00:00"/>
    <s v="SQ *THE CORNER BISTRO"/>
    <s v="5812"/>
    <s v="Meals"/>
    <n v="84.8"/>
    <s v="Corporate Amex"/>
    <m/>
    <s v="Y"/>
    <s v="Meals"/>
    <s v="MATCH"/>
    <x v="0"/>
  </r>
  <r>
    <s v="EXP100445"/>
    <s v="E018"/>
    <s v="AX480366000"/>
    <d v="2026-01-28T00:00:00"/>
    <d v="2026-01-29T00:00:00"/>
    <s v="HOOTSUITE INC"/>
    <s v="5734"/>
    <m/>
    <n v="215.11"/>
    <s v="Corporate Amex"/>
    <m/>
    <s v="Y"/>
    <s v="Software"/>
    <s v="BLANK"/>
    <x v="0"/>
  </r>
  <r>
    <s v="EXP100446"/>
    <s v="E003"/>
    <s v="AX675237259"/>
    <d v="2026-01-20T00:00:00"/>
    <d v="2026-01-29T00:00:00"/>
    <s v="REGION CATERING CO"/>
    <s v="5811"/>
    <s v="Events"/>
    <n v="214.8"/>
    <s v="Corporate Amex"/>
    <m/>
    <s v="Y"/>
    <s v="Events"/>
    <s v="MATCH"/>
    <x v="0"/>
  </r>
  <r>
    <s v="EXP100447"/>
    <s v="E274"/>
    <s v="AX 389885503"/>
    <d v="2026-01-27T00:00:00"/>
    <d v="2026-01-29T00:00:00"/>
    <s v="SQ *THE CORNER BISTRO"/>
    <s v="5812"/>
    <s v="Meals"/>
    <n v="71.430000000000007"/>
    <s v="Corporate Amex"/>
    <m/>
    <s v="Y"/>
    <s v="Meals"/>
    <s v="MATCH"/>
    <x v="3"/>
  </r>
  <r>
    <s v="EXP100448"/>
    <s v="E055"/>
    <s v="AX893395877"/>
    <d v="2026-01-19T00:00:00"/>
    <d v="2026-01-29T00:00:00"/>
    <s v="HYATT REGENCY BOS"/>
    <s v="7011"/>
    <s v="Lodging"/>
    <n v="453.78"/>
    <s v="Corporate Amex"/>
    <m/>
    <s v="Y"/>
    <s v="Lodging"/>
    <s v="MATCH"/>
    <x v="0"/>
  </r>
  <r>
    <s v="EXP100449"/>
    <s v="E036"/>
    <s v="AX454692899"/>
    <d v="2026-01-22T00:00:00"/>
    <d v="2026-01-29T00:00:00"/>
    <s v="HYATT REGENCY BOS"/>
    <s v="7011"/>
    <s v="Lodging"/>
    <n v="360.91"/>
    <s v="Corporate Amex"/>
    <m/>
    <s v="Y"/>
    <s v="Lodging"/>
    <s v="MATCH"/>
    <x v="0"/>
  </r>
  <r>
    <s v="EXP100450"/>
    <s v="E008"/>
    <s v="ax925939263"/>
    <d v="2026-01-20T00:00:00"/>
    <d v="2026-01-29T00:00:00"/>
    <s v="UBER TRIP HELP.UBER"/>
    <s v="4121"/>
    <s v="Transportation"/>
    <n v="38.18"/>
    <s v="Corporate Amex"/>
    <m/>
    <s v="Y"/>
    <s v="Transportation"/>
    <s v="MATCH"/>
    <x v="0"/>
  </r>
  <r>
    <s v="EXP100451"/>
    <s v="E251"/>
    <s v="AX-390028976"/>
    <d v="2026-01-22T00:00:00"/>
    <d v="2026-01-29T00:00:00"/>
    <s v="SQ *THE CORNER BISTRO"/>
    <s v="5812"/>
    <m/>
    <n v="58.31"/>
    <s v="Corporate Amex"/>
    <m/>
    <s v="Y"/>
    <s v="Meals"/>
    <s v="BLANK"/>
    <x v="1"/>
  </r>
  <r>
    <s v="EXP100452"/>
    <s v="E017"/>
    <s v="AX570980987"/>
    <d v="2026-01-22T00:00:00"/>
    <d v="2026-01-29T00:00:00"/>
    <s v="PANERA BREAD #0231"/>
    <s v="5812"/>
    <s v="Meals"/>
    <n v="18.7"/>
    <s v="Corporate Amex"/>
    <m/>
    <s v="Y"/>
    <s v="Meals"/>
    <s v="MATCH"/>
    <x v="0"/>
  </r>
  <r>
    <s v="EXP100453"/>
    <s v="E027"/>
    <s v="AX132498530"/>
    <d v="2026-01-20T00:00:00"/>
    <d v="2026-01-29T00:00:00"/>
    <s v="SQ *JOES COFFEE"/>
    <s v="5812"/>
    <m/>
    <n v="20.43"/>
    <s v="Corporate Amex"/>
    <m/>
    <s v="Y"/>
    <s v="Meals"/>
    <s v="BLANK"/>
    <x v="0"/>
  </r>
  <r>
    <s v="EXP100454"/>
    <s v="E031"/>
    <s v="ax953328624"/>
    <d v="2026-01-25T00:00:00"/>
    <d v="2026-01-29T00:00:00"/>
    <s v="EVENTBRITE"/>
    <s v="7999"/>
    <s v="Events"/>
    <n v="39.06"/>
    <s v="Corporate Amex"/>
    <m/>
    <s v="Y"/>
    <s v="Events"/>
    <s v="MATCH"/>
    <x v="0"/>
  </r>
  <r>
    <s v="EXP100455"/>
    <s v="E123"/>
    <m/>
    <d v="2026-01-22T00:00:00"/>
    <d v="2026-01-29T00:00:00"/>
    <s v="YELLOW CAB CO"/>
    <s v="4121"/>
    <s v="Transportation"/>
    <n v="13.95"/>
    <s v="Personal (Reimbursement)"/>
    <s v="Amex declined - vendor doesn't accept Amex"/>
    <s v="Y"/>
    <s v="Transportation"/>
    <s v="MATCH"/>
    <x v="7"/>
  </r>
  <r>
    <s v="EXP100456"/>
    <s v="E265"/>
    <s v="AX 806062404"/>
    <d v="2026-01-26T00:00:00"/>
    <d v="2026-01-29T00:00:00"/>
    <s v="DELTA AIR 00623891045"/>
    <s v="4511"/>
    <s v="Meals"/>
    <n v="388.32"/>
    <s v="Corporate Amex"/>
    <m/>
    <s v="Y"/>
    <s v="Travel"/>
    <s v="MISMATCH"/>
    <x v="3"/>
  </r>
  <r>
    <s v="EXP100457"/>
    <s v="E145"/>
    <s v="AX902655890"/>
    <d v="2026-01-23T00:00:00"/>
    <d v="2026-01-29T00:00:00"/>
    <s v="ADOBE *CREATIVE CLOUD"/>
    <s v="5734"/>
    <s v="Software"/>
    <n v="68.930000000000007"/>
    <s v="Corporate Amex"/>
    <m/>
    <s v="Y"/>
    <s v="Software"/>
    <s v="MATCH"/>
    <x v="7"/>
  </r>
  <r>
    <s v="EXP100458"/>
    <s v="E259"/>
    <s v="AX729261396"/>
    <d v="2026-01-22T00:00:00"/>
    <d v="2026-01-29T00:00:00"/>
    <s v="EVENTBRITE"/>
    <s v="7999"/>
    <s v="Events"/>
    <n v="270.8"/>
    <s v="Corporate Amex"/>
    <m/>
    <s v="N"/>
    <s v="Events"/>
    <s v="MATCH"/>
    <x v="8"/>
  </r>
  <r>
    <s v="EXP100459"/>
    <s v="E230"/>
    <s v="AX671742221"/>
    <d v="2026-01-26T00:00:00"/>
    <d v="2026-01-29T00:00:00"/>
    <s v="EVENTBRITE"/>
    <s v="7999"/>
    <s v="Events"/>
    <n v="172.68"/>
    <s v="Corporate Amex"/>
    <m/>
    <s v="Y"/>
    <s v="Events"/>
    <s v="MATCH"/>
    <x v="4"/>
  </r>
  <r>
    <s v="EXP100460"/>
    <s v="E098"/>
    <s v="AX960488985"/>
    <d v="2026-01-26T00:00:00"/>
    <d v="2026-01-29T00:00:00"/>
    <s v="TOPGOLF #442"/>
    <s v="7997"/>
    <s v="Entertainment"/>
    <n v="239.09"/>
    <s v="Corporate Amex"/>
    <m/>
    <s v="Y"/>
    <s v="Entertainment"/>
    <s v="MATCH"/>
    <x v="2"/>
  </r>
  <r>
    <s v="EXP100461"/>
    <s v="E173"/>
    <s v="AX571220588"/>
    <d v="2026-01-22T00:00:00"/>
    <d v="2026-01-30T00:00:00"/>
    <s v="DELTA AIR 00623891045"/>
    <s v="4511"/>
    <s v="Travel"/>
    <n v="196.85"/>
    <s v="Corporate Amex"/>
    <m/>
    <s v="Y"/>
    <s v="Travel"/>
    <s v="MATCH"/>
    <x v="6"/>
  </r>
  <r>
    <s v="EXP100462"/>
    <s v="E166"/>
    <s v="AX 317959784"/>
    <d v="2026-01-23T00:00:00"/>
    <d v="2026-01-30T00:00:00"/>
    <s v="TOTAL PARTY RENTAL"/>
    <s v="7999"/>
    <s v="Events"/>
    <n v="314.97000000000003"/>
    <s v="Corporate Amex"/>
    <m/>
    <s v="N"/>
    <s v="Events"/>
    <s v="MATCH"/>
    <x v="6"/>
  </r>
  <r>
    <s v="EXP100463"/>
    <s v="E262"/>
    <s v="AX610917640"/>
    <d v="2026-01-25T00:00:00"/>
    <d v="2026-01-30T00:00:00"/>
    <s v="AMAZON MKTPLACE PMTS"/>
    <s v="5942"/>
    <s v="Office Supplies"/>
    <n v="348.4"/>
    <s v="Corporate Amex"/>
    <m/>
    <s v="Y"/>
    <s v="Office Supplies"/>
    <s v="MATCH"/>
    <x v="3"/>
  </r>
  <r>
    <s v="EXP100464"/>
    <s v="E062"/>
    <m/>
    <d v="2026-01-27T00:00:00"/>
    <d v="2026-01-30T00:00:00"/>
    <s v="TOTAL PARTY RENTAL"/>
    <s v="7999"/>
    <s v="Events"/>
    <n v="390.49"/>
    <s v="Corporate Amex"/>
    <m/>
    <s v="Y"/>
    <s v="Events"/>
    <s v="MATCH"/>
    <x v="0"/>
  </r>
  <r>
    <s v="EXP100465"/>
    <s v="E170"/>
    <s v="AX 721526681"/>
    <d v="2026-01-22T00:00:00"/>
    <d v="2026-01-30T00:00:00"/>
    <s v="CHIPOTLE 2214"/>
    <s v="5812"/>
    <s v="Meals"/>
    <n v="11.44"/>
    <s v="Corporate Amex"/>
    <m/>
    <s v="Y"/>
    <s v="Meals"/>
    <s v="MATCH"/>
    <x v="6"/>
  </r>
  <r>
    <s v="EXP100466"/>
    <s v="E083"/>
    <s v="ax657617608"/>
    <d v="2026-01-23T00:00:00"/>
    <d v="2026-01-30T00:00:00"/>
    <s v="SOUTHWEST AIR 5261823"/>
    <s v="4511"/>
    <s v="Travel"/>
    <n v="144.28"/>
    <s v="Corporate Amex"/>
    <m/>
    <s v="Y"/>
    <s v="Travel"/>
    <s v="MATCH"/>
    <x v="2"/>
  </r>
  <r>
    <s v="EXP100467"/>
    <s v="E066"/>
    <s v="AX779153673"/>
    <d v="2026-01-24T00:00:00"/>
    <d v="2026-01-30T00:00:00"/>
    <s v="HILTON GARDEN INN 2231"/>
    <s v="7011"/>
    <s v="Lodging"/>
    <n v="315.06"/>
    <s v="Corporate Amex"/>
    <m/>
    <s v="Y"/>
    <s v="Lodging"/>
    <s v="MATCH"/>
    <x v="0"/>
  </r>
  <r>
    <s v="EXP100468"/>
    <s v="E066"/>
    <s v="AX-298325109"/>
    <d v="2026-01-23T00:00:00"/>
    <d v="2026-01-30T00:00:00"/>
    <s v="SOUTHWEST AIR 5261823"/>
    <s v="4511"/>
    <s v="Travel"/>
    <n v="416.77"/>
    <s v="Corporate Amex"/>
    <m/>
    <s v="Y"/>
    <s v="Travel"/>
    <s v="MATCH"/>
    <x v="0"/>
  </r>
  <r>
    <s v="EXP100469"/>
    <s v="E082"/>
    <s v="ax814821365"/>
    <d v="2026-01-20T00:00:00"/>
    <d v="2026-01-30T00:00:00"/>
    <s v="LYFT RIDE THU"/>
    <s v="4121"/>
    <s v="Transportation"/>
    <n v="13.72"/>
    <s v="Corporate Amex"/>
    <m/>
    <s v="Y"/>
    <s v="Transportation"/>
    <s v="MATCH"/>
    <x v="2"/>
  </r>
  <r>
    <s v="EXP100470"/>
    <s v="E082"/>
    <s v="AX 533592927"/>
    <d v="2026-01-24T00:00:00"/>
    <d v="2026-01-30T00:00:00"/>
    <s v="CHIPOTLE 2214"/>
    <s v="5812"/>
    <s v="Meals"/>
    <n v="16.27"/>
    <s v="Corporate Amex"/>
    <m/>
    <s v="Y"/>
    <s v="Meals"/>
    <s v="MATCH"/>
    <x v="2"/>
  </r>
  <r>
    <s v="EXP100471"/>
    <s v="E025"/>
    <s v="AX-332006700"/>
    <d v="2026-01-24T00:00:00"/>
    <d v="2026-01-30T00:00:00"/>
    <s v="HILTON GARDEN INN 2231"/>
    <s v="7011"/>
    <s v="Lodging"/>
    <n v="346.42"/>
    <s v="Corporate Amex"/>
    <m/>
    <s v="Y"/>
    <s v="Lodging"/>
    <s v="MATCH"/>
    <x v="0"/>
  </r>
  <r>
    <s v="EXP100472"/>
    <s v="E085"/>
    <s v="AX 988038069"/>
    <d v="2026-01-29T00:00:00"/>
    <d v="2026-01-30T00:00:00"/>
    <s v="AMC THEATRES 0021"/>
    <s v="7832"/>
    <s v="Entertainment"/>
    <n v="20.96"/>
    <s v="Corporate Amex"/>
    <m/>
    <s v="Y"/>
    <s v="Entertainment"/>
    <s v="MATCH"/>
    <x v="2"/>
  </r>
  <r>
    <s v="EXP100473"/>
    <s v="E258"/>
    <m/>
    <d v="2026-01-25T00:00:00"/>
    <d v="2026-01-30T00:00:00"/>
    <s v="STAPLES #0231"/>
    <s v="5943"/>
    <s v="Office Supplies"/>
    <n v="123.98"/>
    <s v="Corporate Amex"/>
    <m/>
    <s v="Y"/>
    <s v="Office Supplies"/>
    <s v="MATCH"/>
    <x v="8"/>
  </r>
  <r>
    <s v="EXP100474"/>
    <s v="E119"/>
    <m/>
    <d v="2026-01-20T00:00:00"/>
    <d v="2026-01-30T00:00:00"/>
    <s v="AMAZON MKTPLACE PMTS"/>
    <s v="5942"/>
    <s v="Office Supplies"/>
    <n v="341.22"/>
    <s v="Personal (Reimbursement)"/>
    <s v="Forgot corporate card"/>
    <s v="Y"/>
    <s v="Office Supplies"/>
    <s v="MATCH"/>
    <x v="7"/>
  </r>
  <r>
    <s v="EXP100475"/>
    <s v="E194"/>
    <s v="AX300163469"/>
    <d v="2026-01-27T00:00:00"/>
    <d v="2026-01-30T00:00:00"/>
    <s v="PANERA BREAD #0231"/>
    <s v="5812"/>
    <s v="Meals"/>
    <n v="14.83"/>
    <s v="Corporate Amex"/>
    <m/>
    <s v="Y"/>
    <s v="Meals"/>
    <s v="MATCH"/>
    <x v="5"/>
  </r>
  <r>
    <s v="EXP100476"/>
    <s v="E197"/>
    <s v="AX704458560"/>
    <d v="2026-01-29T00:00:00"/>
    <d v="2026-01-30T00:00:00"/>
    <s v="SQ *THE CORNER BISTRO"/>
    <s v="5812"/>
    <s v="Meals"/>
    <n v="42.44"/>
    <s v="Corporate Amex"/>
    <m/>
    <s v="Y"/>
    <s v="Meals"/>
    <s v="MATCH"/>
    <x v="5"/>
  </r>
  <r>
    <s v="EXP100478"/>
    <s v="E092"/>
    <s v="AX 870648971"/>
    <d v="2026-01-20T00:00:00"/>
    <d v="2026-01-30T00:00:00"/>
    <s v="AMC THEATRES 0021"/>
    <s v="7832"/>
    <s v="Entertainment"/>
    <n v="40.619999999999997"/>
    <s v="Corporate Amex"/>
    <m/>
    <s v="Y"/>
    <s v="Entertainment"/>
    <s v="MATCH"/>
    <x v="2"/>
  </r>
  <r>
    <s v="EXP100479"/>
    <s v="E142"/>
    <s v="AX587638650"/>
    <d v="2026-01-26T00:00:00"/>
    <d v="2026-01-30T00:00:00"/>
    <s v="SQ *THE CORNER BISTRO"/>
    <s v="5812"/>
    <s v="Meals"/>
    <n v="71.599999999999994"/>
    <s v="Corporate Amex"/>
    <m/>
    <s v="Y"/>
    <s v="Meals"/>
    <s v="MATCH"/>
    <x v="7"/>
  </r>
  <r>
    <s v="EXP100480"/>
    <s v="E028"/>
    <s v="ax185748038"/>
    <d v="2026-01-26T00:00:00"/>
    <d v="2026-01-31T00:00:00"/>
    <s v="MICROSOFT*365"/>
    <s v="5734"/>
    <s v="Software"/>
    <n v="22.19"/>
    <s v="Corporate Amex"/>
    <m/>
    <s v="Y"/>
    <s v="Software"/>
    <s v="MATCH"/>
    <x v="0"/>
  </r>
  <r>
    <s v="EXP100481"/>
    <s v="E176"/>
    <s v="AX766683555"/>
    <d v="2026-01-24T00:00:00"/>
    <d v="2026-01-31T00:00:00"/>
    <s v="SOUTHWEST AIR 5261823"/>
    <s v="4511"/>
    <s v="Travel"/>
    <n v="153.66999999999999"/>
    <s v="Corporate Amex"/>
    <m/>
    <s v="Y"/>
    <s v="Travel"/>
    <s v="MATCH"/>
    <x v="6"/>
  </r>
  <r>
    <s v="EXP100482"/>
    <s v="E240"/>
    <s v="ax701481781"/>
    <d v="2026-01-21T00:00:00"/>
    <d v="2026-01-31T00:00:00"/>
    <s v="LYFT RIDE THU"/>
    <s v="4121"/>
    <s v="Transportation"/>
    <n v="50.75"/>
    <s v="Corporate Amex"/>
    <m/>
    <s v="Y"/>
    <s v="Transportation"/>
    <s v="MATCH"/>
    <x v="1"/>
  </r>
  <r>
    <s v="EXP100483"/>
    <s v="E034"/>
    <s v="AX-702910462"/>
    <d v="2026-01-30T00:00:00"/>
    <d v="2026-01-31T00:00:00"/>
    <s v="LYFT RIDE THU"/>
    <s v="4121"/>
    <s v="Transportation"/>
    <n v="14.44"/>
    <s v="Corporate Amex"/>
    <m/>
    <s v="Y"/>
    <s v="Transportation"/>
    <s v="MATCH"/>
    <x v="0"/>
  </r>
  <r>
    <s v="EXP100484"/>
    <s v="E142"/>
    <s v="AX130857469"/>
    <d v="2026-01-22T00:00:00"/>
    <d v="2026-01-31T00:00:00"/>
    <s v="AMC THEATRES 0021"/>
    <s v="7832"/>
    <s v="Entertainment"/>
    <n v="21.49"/>
    <s v="Corporate Amex"/>
    <m/>
    <s v="Y"/>
    <s v="Entertainment"/>
    <s v="MATCH"/>
    <x v="7"/>
  </r>
  <r>
    <s v="EXP100485"/>
    <s v="E068"/>
    <s v="ax497099579"/>
    <d v="2026-01-22T00:00:00"/>
    <d v="2026-01-31T00:00:00"/>
    <s v="SQ *THE CORNER BISTRO"/>
    <s v="5812"/>
    <s v="Meals"/>
    <n v="80.81"/>
    <s v="Corporate Amex"/>
    <m/>
    <s v="Y"/>
    <s v="Meals"/>
    <s v="MATCH"/>
    <x v="0"/>
  </r>
  <r>
    <s v="EXP100486"/>
    <s v="E186"/>
    <s v="AX723722166"/>
    <d v="2026-01-29T00:00:00"/>
    <d v="2026-01-31T00:00:00"/>
    <s v="AMAZON MKTPLACE PMTS"/>
    <s v="5942"/>
    <s v="Office Supplies"/>
    <n v="108.32"/>
    <s v="Corporate Amex"/>
    <m/>
    <s v="Y"/>
    <s v="Office Supplies"/>
    <s v="MATCH"/>
    <x v="5"/>
  </r>
  <r>
    <s v="EXP100487"/>
    <s v="E271"/>
    <s v="ax920950929"/>
    <d v="2026-01-23T00:00:00"/>
    <d v="2026-01-31T00:00:00"/>
    <s v="SOUTHWEST AIR 5261823"/>
    <s v="4511"/>
    <s v="Travel"/>
    <n v="380.8"/>
    <s v="Corporate Amex"/>
    <m/>
    <s v="Y"/>
    <s v="Travel"/>
    <s v="MATCH"/>
    <x v="3"/>
  </r>
  <r>
    <s v="EXP100488"/>
    <s v="E105"/>
    <s v="AX 416519824"/>
    <d v="2026-01-30T00:00:00"/>
    <d v="2026-01-31T00:00:00"/>
    <s v="TOPGOLF #442"/>
    <s v="7997"/>
    <s v="Entertainment"/>
    <n v="206.37"/>
    <s v="Corporate Amex"/>
    <m/>
    <s v="Y"/>
    <s v="Entertainment"/>
    <s v="MATCH"/>
    <x v="2"/>
  </r>
  <r>
    <s v="EXP100489"/>
    <s v="E255"/>
    <s v="AX-437948137"/>
    <d v="2026-01-27T00:00:00"/>
    <d v="2026-01-31T00:00:00"/>
    <s v="STARBUCKS #4471"/>
    <s v="5812"/>
    <s v="Meals"/>
    <n v="7.05"/>
    <s v="Corporate Amex"/>
    <m/>
    <s v="Y"/>
    <s v="Meals"/>
    <s v="MATCH"/>
    <x v="8"/>
  </r>
  <r>
    <s v="EXP100490"/>
    <s v="E239"/>
    <s v="AX722156498"/>
    <d v="2026-01-21T00:00:00"/>
    <d v="2026-01-31T00:00:00"/>
    <s v="TOPGOLF #442"/>
    <s v="7997"/>
    <s v="Entertainment"/>
    <n v="188.4"/>
    <s v="Corporate Amex"/>
    <m/>
    <s v="Y"/>
    <s v="Entertainment"/>
    <s v="MATCH"/>
    <x v="1"/>
  </r>
  <r>
    <s v="EXP100491"/>
    <s v="E217"/>
    <s v="AX 979469427"/>
    <d v="2026-01-27T00:00:00"/>
    <d v="2026-01-31T00:00:00"/>
    <s v="SPROUT SOCIAL"/>
    <s v="5734"/>
    <s v="Software"/>
    <n v="245.06"/>
    <s v="Corporate Amex"/>
    <m/>
    <s v="Y"/>
    <s v="Software"/>
    <s v="MATCH"/>
    <x v="4"/>
  </r>
  <r>
    <s v="EXP100492"/>
    <s v="E194"/>
    <m/>
    <d v="2026-01-23T00:00:00"/>
    <d v="2026-01-31T00:00:00"/>
    <s v="SOUTHWEST AIR 5261823"/>
    <s v="4511"/>
    <s v="Travel"/>
    <n v="257.52"/>
    <s v="Corporate Amex"/>
    <m/>
    <s v="Y"/>
    <s v="Travel"/>
    <s v="MATCH"/>
    <x v="5"/>
  </r>
  <r>
    <s v="EXP100493"/>
    <s v="E049"/>
    <s v="ax866159480"/>
    <d v="2026-01-23T00:00:00"/>
    <d v="2026-01-31T00:00:00"/>
    <s v="UBER TRIP HELP.UBER"/>
    <s v="4121"/>
    <s v="  Transportation "/>
    <n v="31.35"/>
    <s v="Corporate Amex"/>
    <m/>
    <s v="Y"/>
    <s v="Transportation"/>
    <s v="MATCH"/>
    <x v="0"/>
  </r>
  <r>
    <s v="EXP100494"/>
    <s v="E257"/>
    <s v="AX233782604"/>
    <d v="2026-01-24T00:00:00"/>
    <d v="2026-01-31T00:00:00"/>
    <s v="OLIVE GARDEN 00456"/>
    <s v="5812"/>
    <s v="Meals"/>
    <n v="127.02"/>
    <s v="Corporate Amex"/>
    <m/>
    <s v="Y"/>
    <s v="Meals"/>
    <s v="MATCH"/>
    <x v="8"/>
  </r>
  <r>
    <s v="EXP100495"/>
    <s v="E218"/>
    <s v="AX129742506"/>
    <d v="2026-01-26T00:00:00"/>
    <d v="2026-01-31T00:00:00"/>
    <s v="SPROUT SOCIAL"/>
    <s v="5734"/>
    <s v="Software"/>
    <n v="240.72"/>
    <s v="Corporate Amex"/>
    <m/>
    <s v="Y"/>
    <s v="Software"/>
    <s v="MATCH"/>
    <x v="4"/>
  </r>
  <r>
    <s v="EXP100496"/>
    <s v="E149"/>
    <s v="AX358068518"/>
    <d v="2026-01-29T00:00:00"/>
    <d v="2026-01-31T00:00:00"/>
    <s v="CHIPOTLE 2214"/>
    <s v="5812"/>
    <m/>
    <n v="9.86"/>
    <s v="Corporate Amex"/>
    <m/>
    <s v="Y"/>
    <s v="Meals"/>
    <s v="BLANK"/>
    <x v="7"/>
  </r>
  <r>
    <s v="EXP100497"/>
    <s v="E149"/>
    <s v="AX-376005387"/>
    <d v="2026-01-21T00:00:00"/>
    <d v="2026-01-31T00:00:00"/>
    <s v="EVENTBRITE"/>
    <s v="7999"/>
    <s v="Events"/>
    <n v="73.06"/>
    <s v="Corporate Amex"/>
    <m/>
    <s v="Y"/>
    <s v="Events"/>
    <s v="MATCH"/>
    <x v="7"/>
  </r>
  <r>
    <s v="EXP100498"/>
    <s v="E149"/>
    <m/>
    <d v="2026-01-31T00:00:00"/>
    <d v="2026-01-31T00:00:00"/>
    <s v="TOTAL PARTY RENTAL"/>
    <s v="7999"/>
    <s v="Events"/>
    <n v="135.05000000000001"/>
    <s v="Corporate Amex"/>
    <m/>
    <s v="Y"/>
    <s v="Events"/>
    <s v="MATCH"/>
    <x v="7"/>
  </r>
  <r>
    <s v="EXP100499"/>
    <s v="E048"/>
    <s v="AX428548249"/>
    <d v="2026-01-31T00:00:00"/>
    <d v="2026-01-31T00:00:00"/>
    <s v="BRANDWATCH LTD"/>
    <s v="5734"/>
    <s v="Software"/>
    <n v="526.99"/>
    <s v="Corporate Amex"/>
    <m/>
    <s v="Y"/>
    <s v="Software"/>
    <s v="MATCH"/>
    <x v="0"/>
  </r>
  <r>
    <s v="EXP100500"/>
    <s v="E119"/>
    <m/>
    <d v="2026-01-24T00:00:00"/>
    <d v="2026-02-01T00:00:00"/>
    <s v="BRANDWATCH LTD"/>
    <s v="5734"/>
    <s v="Software"/>
    <n v="390.37"/>
    <s v="Corporate Amex"/>
    <m/>
    <s v="Y"/>
    <s v="Software"/>
    <s v="MATCH"/>
    <x v="7"/>
  </r>
  <r>
    <s v="EXP100501"/>
    <s v="E220"/>
    <s v="AX121329005"/>
    <d v="2026-01-29T00:00:00"/>
    <d v="2026-02-01T00:00:00"/>
    <s v="SQ *THE CORNER BISTRO"/>
    <s v="5812"/>
    <s v="Meals"/>
    <n v="78.86"/>
    <s v="Corporate Amex"/>
    <m/>
    <s v="Y"/>
    <s v="Meals"/>
    <s v="MATCH"/>
    <x v="4"/>
  </r>
  <r>
    <s v="EXP100502"/>
    <s v="E014"/>
    <s v="AX958119103"/>
    <d v="2026-01-24T00:00:00"/>
    <d v="2026-02-01T00:00:00"/>
    <s v="STAPLES #0231"/>
    <s v="5943"/>
    <s v="Office Supplies"/>
    <n v="173.36"/>
    <s v="Corporate Amex"/>
    <m/>
    <s v="Y"/>
    <s v="Office Supplies"/>
    <s v="MATCH"/>
    <x v="0"/>
  </r>
  <r>
    <s v="EXP100503"/>
    <s v="E160"/>
    <m/>
    <d v="2026-01-29T00:00:00"/>
    <d v="2026-02-01T00:00:00"/>
    <s v="STAPLES #0231"/>
    <s v="5943"/>
    <s v="Office Supplies"/>
    <n v="101.82"/>
    <s v="Corporate Amex"/>
    <m/>
    <s v="Y"/>
    <s v="Office Supplies"/>
    <s v="MATCH"/>
    <x v="6"/>
  </r>
  <r>
    <s v="EXP100504"/>
    <s v="E275"/>
    <m/>
    <d v="2026-01-31T00:00:00"/>
    <d v="2026-02-01T00:00:00"/>
    <s v="SPROUT SOCIAL"/>
    <s v="5734"/>
    <s v="Software"/>
    <n v="100.83"/>
    <s v="Corporate Amex"/>
    <m/>
    <s v="Y"/>
    <s v="Software"/>
    <s v="MATCH"/>
    <x v="3"/>
  </r>
  <r>
    <s v="EXP100505"/>
    <s v="E047"/>
    <s v="ax276686025"/>
    <d v="2026-01-25T00:00:00"/>
    <d v="2026-02-01T00:00:00"/>
    <s v="UNITED AIRLINES 0162233"/>
    <s v="4511"/>
    <s v="Travel"/>
    <n v="190.86"/>
    <s v="Corporate Amex"/>
    <m/>
    <s v="Y"/>
    <s v="Travel"/>
    <s v="MATCH"/>
    <x v="0"/>
  </r>
  <r>
    <s v="EXP100506"/>
    <s v="E118"/>
    <s v="AX209015771"/>
    <d v="2026-01-31T00:00:00"/>
    <d v="2026-02-01T00:00:00"/>
    <s v="ZOOM.US"/>
    <s v="5734"/>
    <s v="Software"/>
    <n v="38.71"/>
    <s v="Corporate Amex"/>
    <m/>
    <s v="Y"/>
    <s v="Software"/>
    <s v="MATCH"/>
    <x v="7"/>
  </r>
  <r>
    <s v="EXP100507"/>
    <s v="E050"/>
    <s v="AX683728672"/>
    <d v="2026-01-26T00:00:00"/>
    <d v="2026-02-01T00:00:00"/>
    <s v="REGION CATERING CO"/>
    <s v="5811"/>
    <s v="Events"/>
    <n v="678.6"/>
    <s v="Corporate Amex"/>
    <m/>
    <s v="Y"/>
    <s v="Events"/>
    <s v="MATCH"/>
    <x v="0"/>
  </r>
  <r>
    <s v="EXP100508"/>
    <s v="E031"/>
    <s v="AX-806123090"/>
    <d v="2026-01-30T00:00:00"/>
    <d v="2026-02-01T00:00:00"/>
    <s v="AMAZON MKTPLACE PMTS"/>
    <s v="5942"/>
    <m/>
    <n v="451.39"/>
    <s v="Corporate Amex"/>
    <m/>
    <s v="N"/>
    <s v="Office Supplies"/>
    <s v="BLANK"/>
    <x v="0"/>
  </r>
  <r>
    <s v="EXP100509"/>
    <s v="E061"/>
    <s v="AX576146209"/>
    <d v="2026-01-30T00:00:00"/>
    <d v="2026-02-01T00:00:00"/>
    <s v="STAPLES #0231"/>
    <s v="5943"/>
    <s v="Office Supplies"/>
    <n v="161.34"/>
    <s v="Corporate Amex"/>
    <m/>
    <s v="Y"/>
    <s v="Office Supplies"/>
    <s v="MATCH"/>
    <x v="0"/>
  </r>
  <r>
    <s v="EXP100510"/>
    <s v="E005"/>
    <s v="AX607515684"/>
    <d v="2026-01-27T00:00:00"/>
    <d v="2026-02-01T00:00:00"/>
    <s v="TOTAL PARTY RENTAL"/>
    <s v="7999"/>
    <s v="Events"/>
    <n v="527.07000000000005"/>
    <s v="Corporate Amex"/>
    <m/>
    <s v="Y"/>
    <s v="Events"/>
    <s v="MATCH"/>
    <x v="0"/>
  </r>
  <r>
    <s v="EXP100511"/>
    <s v="E001"/>
    <m/>
    <d v="2026-01-26T00:00:00"/>
    <d v="2026-02-01T00:00:00"/>
    <s v="OLIVE GARDEN 00456"/>
    <s v="5812"/>
    <s v="Meals"/>
    <n v="55.45"/>
    <s v="Corporate Amex"/>
    <m/>
    <s v="Y"/>
    <s v="Meals"/>
    <s v="MATCH"/>
    <x v="0"/>
  </r>
  <r>
    <s v="EXP100512"/>
    <s v="E265"/>
    <s v="AX788525185"/>
    <d v="2026-01-24T00:00:00"/>
    <d v="2026-02-01T00:00:00"/>
    <s v="ZOOM.US"/>
    <s v="5734"/>
    <s v="Software"/>
    <n v="59.96"/>
    <s v="Corporate Amex"/>
    <m/>
    <s v="Y"/>
    <s v="Software"/>
    <s v="MATCH"/>
    <x v="3"/>
  </r>
  <r>
    <s v="EXP100513"/>
    <s v="E015"/>
    <s v="ax176217868"/>
    <d v="2026-01-27T00:00:00"/>
    <d v="2026-02-01T00:00:00"/>
    <s v="AMAZON MKTPLACE PMTS"/>
    <s v="5942"/>
    <s v="Office Supplies"/>
    <n v="260.25"/>
    <s v="Corporate Amex"/>
    <m/>
    <s v="Y"/>
    <s v="Office Supplies"/>
    <s v="MATCH"/>
    <x v="0"/>
  </r>
  <r>
    <s v="EXP100514"/>
    <s v="E055"/>
    <s v="AX 185053467"/>
    <d v="2026-01-30T00:00:00"/>
    <d v="2026-02-01T00:00:00"/>
    <s v="ZOOM.US"/>
    <s v="5734"/>
    <s v="Software"/>
    <n v="39.28"/>
    <s v="Corporate Amex"/>
    <m/>
    <s v="Y"/>
    <s v="Software"/>
    <s v="MATCH"/>
    <x v="0"/>
  </r>
  <r>
    <s v="EXP100515"/>
    <s v="E069"/>
    <s v="AX 454173996"/>
    <d v="2026-01-27T00:00:00"/>
    <d v="2026-02-01T00:00:00"/>
    <s v="SQ *JOES COFFEE"/>
    <s v="5812"/>
    <s v="Meals"/>
    <n v="14.58"/>
    <s v="Corporate Amex"/>
    <m/>
    <s v="Y"/>
    <s v="Meals"/>
    <s v="MATCH"/>
    <x v="0"/>
  </r>
  <r>
    <s v="EXP100516"/>
    <s v="E025"/>
    <s v="ax223992379"/>
    <d v="2026-01-24T00:00:00"/>
    <d v="2026-02-01T00:00:00"/>
    <s v="SQ *THE CORNER BISTRO"/>
    <s v="5812"/>
    <s v="Meals"/>
    <n v="75.78"/>
    <s v="Corporate Amex"/>
    <m/>
    <s v="N"/>
    <s v="Meals"/>
    <s v="MATCH"/>
    <x v="0"/>
  </r>
  <r>
    <s v="EXP100517"/>
    <s v="E022"/>
    <m/>
    <d v="2026-01-30T00:00:00"/>
    <d v="2026-02-01T00:00:00"/>
    <s v="STAPLES #0231"/>
    <s v="5943"/>
    <s v="Office Supplies"/>
    <n v="24.41"/>
    <s v="Personal (Reimbursement)"/>
    <s v="Card not yet issued"/>
    <s v="Y"/>
    <s v="Office Supplies"/>
    <s v="MATCH"/>
    <x v="0"/>
  </r>
  <r>
    <s v="EXP100518"/>
    <s v="E049"/>
    <s v="AX476527762"/>
    <d v="2026-01-27T00:00:00"/>
    <d v="2026-02-02T00:00:00"/>
    <s v="YELLOW CAB CO"/>
    <s v="4121"/>
    <s v="  Transportation "/>
    <n v="53.31"/>
    <s v="Corporate Amex"/>
    <m/>
    <s v="N"/>
    <s v="Transportation"/>
    <s v="MATCH"/>
    <x v="0"/>
  </r>
  <r>
    <s v="EXP100520"/>
    <s v="E036"/>
    <s v="ax403842097"/>
    <d v="2026-01-29T00:00:00"/>
    <d v="2026-02-02T00:00:00"/>
    <s v="TOTAL PARTY RENTAL"/>
    <s v="7999"/>
    <s v="Events"/>
    <n v="276.86"/>
    <s v="Corporate Amex"/>
    <m/>
    <s v="Y"/>
    <s v="Events"/>
    <s v="MATCH"/>
    <x v="0"/>
  </r>
  <r>
    <s v="EXP100521"/>
    <s v="E065"/>
    <s v="AX-710439656"/>
    <d v="2026-01-29T00:00:00"/>
    <d v="2026-02-02T00:00:00"/>
    <s v="OLIVE GARDEN 00456"/>
    <s v="5812"/>
    <m/>
    <n v="127.88"/>
    <s v="Corporate Amex"/>
    <m/>
    <s v="Y"/>
    <s v="Meals"/>
    <s v="BLANK"/>
    <x v="0"/>
  </r>
  <r>
    <s v="EXP100522"/>
    <s v="E058"/>
    <s v="ax464837791"/>
    <d v="2026-01-28T00:00:00"/>
    <d v="2026-02-02T00:00:00"/>
    <s v="OLIVE GARDEN 00456"/>
    <s v="5812"/>
    <s v="Meals"/>
    <n v="32.22"/>
    <s v="Corporate Amex"/>
    <m/>
    <s v="Y"/>
    <s v="Meals"/>
    <s v="MATCH"/>
    <x v="0"/>
  </r>
  <r>
    <s v="EXP100523"/>
    <s v="E070"/>
    <m/>
    <d v="2026-02-02T00:00:00"/>
    <d v="2026-02-02T00:00:00"/>
    <s v="MICROSOFT*365"/>
    <s v="5734"/>
    <s v="Software"/>
    <n v="28.64"/>
    <s v="Corporate Amex"/>
    <m/>
    <s v="Y"/>
    <s v="Software"/>
    <s v="MATCH"/>
    <x v="0"/>
  </r>
  <r>
    <s v="EXP100524"/>
    <s v="E019"/>
    <m/>
    <d v="2026-02-01T00:00:00"/>
    <d v="2026-02-02T00:00:00"/>
    <s v="YELLOW CAB CO"/>
    <s v="4121"/>
    <s v="Transportation"/>
    <n v="43.99"/>
    <s v="Corporate Amex"/>
    <m/>
    <s v="Y"/>
    <s v="Transportation"/>
    <s v="MATCH"/>
    <x v="0"/>
  </r>
  <r>
    <s v="EXP100525"/>
    <s v="E020"/>
    <s v="AX551055468"/>
    <d v="2026-01-28T00:00:00"/>
    <d v="2026-02-02T00:00:00"/>
    <s v="OLIVE GARDEN 00456"/>
    <s v="5812"/>
    <s v="Meals"/>
    <n v="70.459999999999994"/>
    <s v="Corporate Amex"/>
    <m/>
    <s v="Y"/>
    <s v="Meals"/>
    <s v="MATCH"/>
    <x v="0"/>
  </r>
  <r>
    <s v="EXP100526"/>
    <s v="E258"/>
    <s v="AX297381539"/>
    <d v="2026-01-29T00:00:00"/>
    <d v="2026-02-02T00:00:00"/>
    <s v="HYATT REGENCY BOS"/>
    <s v="7011"/>
    <s v="Lodging"/>
    <n v="464.91"/>
    <s v="Corporate Amex"/>
    <m/>
    <s v="Y"/>
    <s v="Lodging"/>
    <s v="MATCH"/>
    <x v="8"/>
  </r>
  <r>
    <s v="EXP100527"/>
    <s v="E218"/>
    <s v="ax456636080"/>
    <d v="2026-01-31T00:00:00"/>
    <d v="2026-02-02T00:00:00"/>
    <s v="YELLOW CAB CO"/>
    <s v="4121"/>
    <s v="Transportation"/>
    <n v="37.21"/>
    <s v="Corporate Amex"/>
    <m/>
    <s v="Y"/>
    <s v="Transportation"/>
    <s v="MATCH"/>
    <x v="4"/>
  </r>
  <r>
    <s v="EXP100528"/>
    <s v="E123"/>
    <s v="AX 539270391"/>
    <d v="2026-01-24T00:00:00"/>
    <d v="2026-02-02T00:00:00"/>
    <s v="AMC THEATRES 0021"/>
    <s v="7832"/>
    <s v="Entertainment"/>
    <n v="43.62"/>
    <s v="Corporate Amex"/>
    <m/>
    <s v="Y"/>
    <s v="Entertainment"/>
    <s v="MATCH"/>
    <x v="7"/>
  </r>
  <r>
    <s v="EXP100529"/>
    <s v="E097"/>
    <s v="AX-168456147"/>
    <d v="2026-01-25T00:00:00"/>
    <d v="2026-02-02T00:00:00"/>
    <s v="SPROUT SOCIAL"/>
    <s v="5734"/>
    <s v="Software"/>
    <n v="119.98"/>
    <s v="Corporate Amex"/>
    <m/>
    <s v="Y"/>
    <s v="Software"/>
    <s v="MATCH"/>
    <x v="2"/>
  </r>
  <r>
    <s v="EXP100530"/>
    <s v="E189"/>
    <s v="ax867992510"/>
    <d v="2026-01-23T00:00:00"/>
    <d v="2026-02-02T00:00:00"/>
    <s v="AMAZON MKTPLACE PMTS"/>
    <s v="5942"/>
    <s v="Office Supplies"/>
    <n v="460.11"/>
    <s v="Corporate Amex"/>
    <m/>
    <s v="N"/>
    <s v="Office Supplies"/>
    <s v="MATCH"/>
    <x v="5"/>
  </r>
  <r>
    <s v="EXP100531"/>
    <s v="E193"/>
    <s v="AX219418239"/>
    <d v="2026-01-29T00:00:00"/>
    <d v="2026-02-02T00:00:00"/>
    <s v="TOPGOLF #442"/>
    <s v="7997"/>
    <m/>
    <n v="209.59"/>
    <s v="Corporate Amex"/>
    <m/>
    <s v="Y"/>
    <s v="Entertainment"/>
    <s v="BLANK"/>
    <x v="5"/>
  </r>
  <r>
    <s v="EXP100532"/>
    <s v="E045"/>
    <s v="AX678877356"/>
    <d v="2026-02-02T00:00:00"/>
    <d v="2026-02-02T00:00:00"/>
    <s v="SQ *THE CORNER BISTRO"/>
    <s v="5812"/>
    <s v="Meals"/>
    <n v="45.42"/>
    <s v="Corporate Amex"/>
    <m/>
    <s v="Y"/>
    <s v="Meals"/>
    <s v="MATCH"/>
    <x v="0"/>
  </r>
  <r>
    <s v="EXP100533"/>
    <s v="E079"/>
    <s v="AX 651009837"/>
    <d v="2026-01-23T00:00:00"/>
    <d v="2026-02-02T00:00:00"/>
    <s v="HILTON GARDEN INN 2231"/>
    <s v="7011"/>
    <s v="Lodging"/>
    <n v="321.42"/>
    <s v="Corporate Amex"/>
    <m/>
    <s v="Y"/>
    <s v="Lodging"/>
    <s v="MATCH"/>
    <x v="2"/>
  </r>
  <r>
    <s v="EXP100534"/>
    <s v="E257"/>
    <s v="AX199754208"/>
    <d v="2026-01-29T00:00:00"/>
    <d v="2026-02-02T00:00:00"/>
    <s v="ZOOM.US"/>
    <s v="5734"/>
    <s v="Software"/>
    <n v="17.010000000000002"/>
    <s v="Corporate Amex"/>
    <m/>
    <s v="Y"/>
    <s v="Software"/>
    <s v="MATCH"/>
    <x v="8"/>
  </r>
  <r>
    <s v="EXP100535"/>
    <s v="E258"/>
    <s v="AX 982847258"/>
    <d v="2026-01-26T00:00:00"/>
    <d v="2026-02-03T00:00:00"/>
    <s v="CHIPOTLE 2214"/>
    <s v="5812"/>
    <s v="  Meals "/>
    <n v="14.07"/>
    <s v="Corporate Amex"/>
    <m/>
    <s v="Y"/>
    <s v="Meals"/>
    <s v="MATCH"/>
    <x v="8"/>
  </r>
  <r>
    <s v="EXP100536"/>
    <s v="E067"/>
    <s v="AX215333978"/>
    <d v="2026-01-25T00:00:00"/>
    <d v="2026-02-03T00:00:00"/>
    <s v="ZOOM.US"/>
    <s v="5734"/>
    <s v="Software"/>
    <n v="52.62"/>
    <s v="Corporate Amex"/>
    <m/>
    <s v="Y"/>
    <s v="Software"/>
    <s v="MATCH"/>
    <x v="0"/>
  </r>
  <r>
    <s v="EXP100537"/>
    <s v="E048"/>
    <s v="AX360615614"/>
    <d v="2026-01-25T00:00:00"/>
    <d v="2026-02-03T00:00:00"/>
    <s v="AMC THEATRES 0021"/>
    <s v="7832"/>
    <m/>
    <n v="28.8"/>
    <s v="Corporate Amex"/>
    <m/>
    <s v="Y"/>
    <s v="Entertainment"/>
    <s v="BLANK"/>
    <x v="0"/>
  </r>
  <r>
    <s v="EXP100538"/>
    <s v="E010"/>
    <s v="AX377741879"/>
    <d v="2026-01-28T00:00:00"/>
    <d v="2026-02-03T00:00:00"/>
    <s v="SPROUT SOCIAL"/>
    <s v="5734"/>
    <s v="Software"/>
    <n v="105.88"/>
    <s v="Corporate Amex"/>
    <m/>
    <s v="N"/>
    <s v="Software"/>
    <s v="MATCH"/>
    <x v="0"/>
  </r>
  <r>
    <s v="EXP100539"/>
    <s v="E105"/>
    <s v="AX291466752"/>
    <d v="2026-01-29T00:00:00"/>
    <d v="2026-02-03T00:00:00"/>
    <s v="CHIPOTLE 2214"/>
    <s v="5812"/>
    <s v="Meals"/>
    <n v="16.38"/>
    <s v="Corporate Amex"/>
    <m/>
    <s v="N"/>
    <s v="Meals"/>
    <s v="MATCH"/>
    <x v="2"/>
  </r>
  <r>
    <s v="EXP100540"/>
    <s v="E119"/>
    <s v="AX616046912"/>
    <d v="2026-01-29T00:00:00"/>
    <d v="2026-02-03T00:00:00"/>
    <s v="TOTAL PARTY RENTAL"/>
    <s v="7999"/>
    <s v="Events"/>
    <n v="421.77"/>
    <s v="Corporate Amex"/>
    <m/>
    <s v="Y"/>
    <s v="Events"/>
    <s v="MATCH"/>
    <x v="7"/>
  </r>
  <r>
    <s v="EXP100541"/>
    <s v="E193"/>
    <s v="AX451424338"/>
    <d v="2026-01-25T00:00:00"/>
    <d v="2026-02-03T00:00:00"/>
    <s v="ADOBE *CREATIVE CLOUD"/>
    <s v="5734"/>
    <s v="Software"/>
    <n v="53.96"/>
    <s v="Corporate Amex"/>
    <m/>
    <s v="Y"/>
    <s v="Software"/>
    <s v="MATCH"/>
    <x v="5"/>
  </r>
  <r>
    <s v="EXP100542"/>
    <s v="E236"/>
    <s v="AX710454817"/>
    <d v="2026-01-24T00:00:00"/>
    <d v="2026-02-03T00:00:00"/>
    <s v="AMC THEATRES 0021"/>
    <s v="7832"/>
    <s v="Entertainment"/>
    <n v="46.96"/>
    <s v="Corporate Amex"/>
    <m/>
    <s v="N"/>
    <s v="Entertainment"/>
    <s v="MATCH"/>
    <x v="1"/>
  </r>
  <r>
    <s v="EXP100543"/>
    <s v="E056"/>
    <s v="AX237810594"/>
    <d v="2026-02-01T00:00:00"/>
    <d v="2026-02-03T00:00:00"/>
    <s v="MICROSOFT*365"/>
    <s v="5734"/>
    <s v="  Software "/>
    <n v="64.02"/>
    <s v="Corporate Amex"/>
    <m/>
    <s v="Y"/>
    <s v="Software"/>
    <s v="MATCH"/>
    <x v="0"/>
  </r>
  <r>
    <s v="EXP100544"/>
    <s v="E044"/>
    <s v="AX805714767"/>
    <d v="2026-01-28T00:00:00"/>
    <d v="2026-02-03T00:00:00"/>
    <s v="TOTAL PARTY RENTAL"/>
    <s v="7999"/>
    <s v="Events"/>
    <n v="331.06"/>
    <s v="Corporate Amex"/>
    <m/>
    <s v="Y"/>
    <s v="Events"/>
    <s v="MATCH"/>
    <x v="0"/>
  </r>
  <r>
    <s v="EXP100545"/>
    <s v="E180"/>
    <s v="ax215343899"/>
    <d v="2026-01-24T00:00:00"/>
    <d v="2026-02-03T00:00:00"/>
    <s v="HILTON GARDEN INN 2231"/>
    <s v="7011"/>
    <s v="Lodging"/>
    <n v="266.43"/>
    <s v="Corporate Amex"/>
    <m/>
    <s v="Y"/>
    <s v="Lodging"/>
    <s v="MATCH"/>
    <x v="6"/>
  </r>
  <r>
    <s v="EXP100546"/>
    <s v="E062"/>
    <s v="AX352441764"/>
    <d v="2026-02-03T00:00:00"/>
    <d v="2026-02-03T00:00:00"/>
    <s v="SOUTHWEST AIR 5261823"/>
    <s v="4511"/>
    <s v="Travel"/>
    <n v="458.57"/>
    <s v="Corporate Amex"/>
    <m/>
    <s v="Y"/>
    <s v="Travel"/>
    <s v="MATCH"/>
    <x v="0"/>
  </r>
  <r>
    <s v="EXP100547"/>
    <s v="E063"/>
    <s v="AX295874037"/>
    <d v="2026-01-31T00:00:00"/>
    <d v="2026-02-03T00:00:00"/>
    <s v="PANERA BREAD #0231"/>
    <s v="5812"/>
    <s v="Meals"/>
    <n v="28.66"/>
    <s v="Corporate Amex"/>
    <m/>
    <s v="Y"/>
    <s v="Meals"/>
    <s v="MATCH"/>
    <x v="0"/>
  </r>
  <r>
    <s v="EXP100548"/>
    <s v="E076"/>
    <m/>
    <d v="2026-01-30T00:00:00"/>
    <d v="2026-02-03T00:00:00"/>
    <s v="OLIVE GARDEN 00456"/>
    <s v="5812"/>
    <s v="Meals"/>
    <n v="57.93"/>
    <s v="Personal (Reimbursement)"/>
    <s v="Amex declined - vendor doesn't accept Amex"/>
    <s v="Y"/>
    <s v="Meals"/>
    <s v="MATCH"/>
    <x v="2"/>
  </r>
  <r>
    <s v="EXP100549"/>
    <s v="E241"/>
    <m/>
    <d v="2026-02-03T00:00:00"/>
    <d v="2026-02-03T00:00:00"/>
    <s v="EVENTBRITE"/>
    <s v="7999"/>
    <s v="Events"/>
    <n v="143.33000000000001"/>
    <s v="Corporate Amex"/>
    <m/>
    <s v="Y"/>
    <s v="Events"/>
    <s v="MATCH"/>
    <x v="1"/>
  </r>
  <r>
    <s v="EXP100550"/>
    <s v="E052"/>
    <s v="AX975307358"/>
    <d v="2026-02-02T00:00:00"/>
    <d v="2026-02-03T00:00:00"/>
    <s v="HYATT REGENCY BOS"/>
    <s v="7011"/>
    <s v="Lodging"/>
    <n v="471.62"/>
    <s v="Corporate Amex"/>
    <m/>
    <s v="Y"/>
    <s v="Lodging"/>
    <s v="MATCH"/>
    <x v="0"/>
  </r>
  <r>
    <s v="EXP100551"/>
    <s v="E132"/>
    <s v="AX 622199379"/>
    <d v="2026-01-30T00:00:00"/>
    <d v="2026-02-03T00:00:00"/>
    <s v="AMAZON MKTPLACE PMTS"/>
    <s v="5942"/>
    <s v="Office Supplies"/>
    <n v="410.04"/>
    <s v="Corporate Amex"/>
    <m/>
    <s v="Y"/>
    <s v="Office Supplies"/>
    <s v="MATCH"/>
    <x v="7"/>
  </r>
  <r>
    <s v="EXP100552"/>
    <s v="E248"/>
    <s v="AX228259133"/>
    <d v="2026-01-27T00:00:00"/>
    <d v="2026-02-03T00:00:00"/>
    <s v="OLIVE GARDEN 00456"/>
    <s v="5812"/>
    <s v="Meals"/>
    <n v="88.94"/>
    <s v="Corporate Amex"/>
    <m/>
    <s v="Y"/>
    <s v="Meals"/>
    <s v="MATCH"/>
    <x v="1"/>
  </r>
  <r>
    <s v="EXP100553"/>
    <s v="E215"/>
    <m/>
    <d v="2026-01-30T00:00:00"/>
    <d v="2026-02-03T00:00:00"/>
    <s v="BRANDWATCH LTD"/>
    <s v="5734"/>
    <s v="Entertainment"/>
    <n v="410.91"/>
    <s v="Personal (Reimbursement)"/>
    <s v="Amex declined - vendor doesn't accept Amex"/>
    <s v="Y"/>
    <s v="Software"/>
    <s v="MISMATCH"/>
    <x v="4"/>
  </r>
  <r>
    <s v="EXP100554"/>
    <s v="E268"/>
    <s v="AX488456373"/>
    <d v="2026-01-31T00:00:00"/>
    <d v="2026-02-03T00:00:00"/>
    <s v="MARRIOTT #4471"/>
    <s v="7011"/>
    <s v="Lodging"/>
    <n v="153.06"/>
    <s v="Corporate Amex"/>
    <m/>
    <s v="N"/>
    <s v="Lodging"/>
    <s v="MATCH"/>
    <x v="3"/>
  </r>
  <r>
    <s v="EXP100555"/>
    <s v="E034"/>
    <s v="AX116641095"/>
    <d v="2026-02-03T00:00:00"/>
    <d v="2026-02-03T00:00:00"/>
    <s v="EVENTBRITE"/>
    <s v="7999"/>
    <m/>
    <n v="116.13"/>
    <s v="Corporate Amex"/>
    <m/>
    <s v="Y"/>
    <s v="Events"/>
    <s v="BLANK"/>
    <x v="0"/>
  </r>
  <r>
    <s v="EXP100556"/>
    <s v="E265"/>
    <s v="ax737746647"/>
    <d v="2026-02-04T00:00:00"/>
    <d v="2026-02-04T00:00:00"/>
    <s v="AMC THEATRES 0021"/>
    <s v="7832"/>
    <s v="Entertainment"/>
    <n v="59.92"/>
    <s v="Corporate Amex"/>
    <m/>
    <s v="Y"/>
    <s v="Entertainment"/>
    <s v="MATCH"/>
    <x v="3"/>
  </r>
  <r>
    <s v="EXP100557"/>
    <s v="E070"/>
    <s v="AX279638818"/>
    <d v="2026-01-31T00:00:00"/>
    <d v="2026-02-04T00:00:00"/>
    <s v="BRANDWATCH LTD"/>
    <s v="5734"/>
    <s v="Software"/>
    <n v="596.85"/>
    <s v="Corporate Amex"/>
    <m/>
    <s v="Y"/>
    <s v="Software"/>
    <s v="MATCH"/>
    <x v="0"/>
  </r>
  <r>
    <s v="EXP100558"/>
    <s v="E014"/>
    <s v="ax710093666"/>
    <d v="2026-01-29T00:00:00"/>
    <d v="2026-02-04T00:00:00"/>
    <s v="HOOTSUITE INC"/>
    <s v="5734"/>
    <s v="Lodging"/>
    <n v="220.85"/>
    <s v="Corporate Amex"/>
    <m/>
    <s v="Y"/>
    <s v="Software"/>
    <s v="MISMATCH"/>
    <x v="0"/>
  </r>
  <r>
    <s v="EXP100559"/>
    <s v="E040"/>
    <s v="AX260914891"/>
    <d v="2026-01-31T00:00:00"/>
    <d v="2026-02-04T00:00:00"/>
    <s v="TOPGOLF #442"/>
    <s v="7997"/>
    <s v="Entertainment"/>
    <n v="207.25"/>
    <s v="Corporate Amex"/>
    <m/>
    <s v="Y"/>
    <s v="Entertainment"/>
    <s v="MATCH"/>
    <x v="0"/>
  </r>
  <r>
    <s v="EXP100560"/>
    <s v="E132"/>
    <m/>
    <d v="2026-01-28T00:00:00"/>
    <d v="2026-02-04T00:00:00"/>
    <s v="STARBUCKS #4471"/>
    <s v="5812"/>
    <s v="Meals"/>
    <n v="15.96"/>
    <s v="Personal (Reimbursement)"/>
    <s v="International merchant - Amex not accepted"/>
    <s v="Y"/>
    <s v="Meals"/>
    <s v="MATCH"/>
    <x v="7"/>
  </r>
  <r>
    <s v="EXP100561"/>
    <s v="E069"/>
    <s v="AX269292808"/>
    <d v="2026-01-26T00:00:00"/>
    <d v="2026-02-04T00:00:00"/>
    <s v="SQ *THE CORNER BISTRO"/>
    <s v="5812"/>
    <s v="Meals"/>
    <n v="40.32"/>
    <s v="Corporate Amex"/>
    <m/>
    <s v="Y"/>
    <s v="Meals"/>
    <s v="MATCH"/>
    <x v="0"/>
  </r>
  <r>
    <s v="EXP100562"/>
    <s v="E099"/>
    <s v="AX312392100"/>
    <d v="2026-02-04T00:00:00"/>
    <d v="2026-02-04T00:00:00"/>
    <s v="AMAZON MKTPLACE PMTS"/>
    <s v="5942"/>
    <s v="Office Supplies"/>
    <n v="161.76"/>
    <s v="Corporate Amex"/>
    <m/>
    <s v="Y"/>
    <s v="Office Supplies"/>
    <s v="MATCH"/>
    <x v="2"/>
  </r>
  <r>
    <s v="EXP100563"/>
    <s v="E117"/>
    <s v="AX847138342"/>
    <d v="2026-01-30T00:00:00"/>
    <d v="2026-02-04T00:00:00"/>
    <s v="SQ *JOES COFFEE"/>
    <s v="5812"/>
    <m/>
    <n v="9.7100000000000009"/>
    <s v="Corporate Amex"/>
    <m/>
    <s v="Y"/>
    <s v="Meals"/>
    <s v="BLANK"/>
    <x v="7"/>
  </r>
  <r>
    <s v="EXP100564"/>
    <s v="E217"/>
    <m/>
    <d v="2026-02-04T00:00:00"/>
    <d v="2026-02-04T00:00:00"/>
    <s v="STARBUCKS #4471"/>
    <s v="5812"/>
    <s v="Meals"/>
    <n v="6.99"/>
    <s v="Corporate Amex"/>
    <m/>
    <s v="Y"/>
    <s v="Meals"/>
    <s v="MATCH"/>
    <x v="4"/>
  </r>
  <r>
    <s v="EXP100565"/>
    <s v="E013"/>
    <s v="ax311017119"/>
    <d v="2026-01-28T00:00:00"/>
    <d v="2026-02-04T00:00:00"/>
    <s v="STAPLES #0231"/>
    <s v="5943"/>
    <s v="Office Supplies"/>
    <n v="178.45"/>
    <s v="Corporate Amex"/>
    <m/>
    <s v="Y"/>
    <s v="Office Supplies"/>
    <s v="MATCH"/>
    <x v="0"/>
  </r>
  <r>
    <s v="EXP100566"/>
    <s v="E138"/>
    <s v="AX-344252643"/>
    <d v="2026-01-31T00:00:00"/>
    <d v="2026-02-04T00:00:00"/>
    <s v="SOUTHWEST AIR 5261823"/>
    <s v="4511"/>
    <s v="  Travel "/>
    <n v="462.12"/>
    <s v="Corporate Amex"/>
    <m/>
    <s v="Y"/>
    <s v="Travel"/>
    <s v="MATCH"/>
    <x v="7"/>
  </r>
  <r>
    <s v="EXP100567"/>
    <s v="E046"/>
    <s v="AX280266437"/>
    <d v="2026-01-27T00:00:00"/>
    <d v="2026-02-04T00:00:00"/>
    <s v="REGION CATERING CO"/>
    <s v="5811"/>
    <s v="Events"/>
    <n v="367.25"/>
    <s v="Corporate Amex"/>
    <m/>
    <s v="Y"/>
    <s v="Events"/>
    <s v="MATCH"/>
    <x v="0"/>
  </r>
  <r>
    <s v="EXP100568"/>
    <s v="E042"/>
    <s v="AX683727841"/>
    <d v="2026-02-01T00:00:00"/>
    <d v="2026-02-04T00:00:00"/>
    <s v="MARRIOTT #4471"/>
    <s v="7011"/>
    <m/>
    <n v="352.52"/>
    <s v="Corporate Amex"/>
    <m/>
    <s v="Y"/>
    <s v="Lodging"/>
    <s v="BLANK"/>
    <x v="0"/>
  </r>
  <r>
    <s v="EXP100569"/>
    <s v="E005"/>
    <s v="AX727585579"/>
    <d v="2026-02-04T00:00:00"/>
    <d v="2026-02-04T00:00:00"/>
    <s v="STAPLES #0231"/>
    <s v="5943"/>
    <m/>
    <n v="125.32"/>
    <s v="Corporate Amex"/>
    <m/>
    <s v="Y"/>
    <s v="Office Supplies"/>
    <s v="BLANK"/>
    <x v="0"/>
  </r>
  <r>
    <s v="EXP100570"/>
    <s v="E196"/>
    <s v="AX680056553"/>
    <d v="2026-01-25T00:00:00"/>
    <d v="2026-02-04T00:00:00"/>
    <s v="HOOTSUITE INC"/>
    <s v="5734"/>
    <s v="Software"/>
    <n v="112.11"/>
    <s v="Corporate Amex"/>
    <m/>
    <s v="Y"/>
    <s v="Software"/>
    <s v="MATCH"/>
    <x v="5"/>
  </r>
  <r>
    <s v="EXP100571"/>
    <s v="E032"/>
    <m/>
    <d v="2026-01-26T00:00:00"/>
    <d v="2026-02-04T00:00:00"/>
    <s v="ZOOM.US"/>
    <s v="5734"/>
    <s v="Software"/>
    <n v="22.44"/>
    <s v="Corporate Amex"/>
    <m/>
    <s v="Y"/>
    <s v="Software"/>
    <s v="MATCH"/>
    <x v="0"/>
  </r>
  <r>
    <s v="EXP100572"/>
    <s v="E258"/>
    <s v="AX 668795915"/>
    <d v="2026-02-04T00:00:00"/>
    <d v="2026-02-04T00:00:00"/>
    <s v="UNITED AIRLINES 0162233"/>
    <s v="4511"/>
    <s v="Travel"/>
    <n v="278.89999999999998"/>
    <s v="Corporate Amex"/>
    <m/>
    <s v="Y"/>
    <s v="Travel"/>
    <s v="MATCH"/>
    <x v="8"/>
  </r>
  <r>
    <s v="EXP100573"/>
    <s v="E054"/>
    <m/>
    <d v="2026-01-31T00:00:00"/>
    <d v="2026-02-04T00:00:00"/>
    <s v="MICROSOFT*365"/>
    <s v="5734"/>
    <s v="Software"/>
    <n v="20.420000000000002"/>
    <s v="Corporate Amex"/>
    <m/>
    <s v="Y"/>
    <s v="Software"/>
    <s v="MATCH"/>
    <x v="0"/>
  </r>
  <r>
    <s v="EXP100574"/>
    <s v="E054"/>
    <s v="ax796718159"/>
    <d v="2026-01-30T00:00:00"/>
    <d v="2026-02-04T00:00:00"/>
    <s v="YELLOW CAB CO"/>
    <s v="4121"/>
    <s v="Transportation"/>
    <n v="18.95"/>
    <s v="Corporate Amex"/>
    <m/>
    <s v="Y"/>
    <s v="Transportation"/>
    <s v="MATCH"/>
    <x v="0"/>
  </r>
  <r>
    <s v="EXP100575"/>
    <s v="E173"/>
    <s v="AX550387186"/>
    <d v="2026-02-03T00:00:00"/>
    <d v="2026-02-05T00:00:00"/>
    <s v="PANERA BREAD #0231"/>
    <s v="5812"/>
    <s v="Meals"/>
    <n v="9.58"/>
    <s v="Corporate Amex"/>
    <m/>
    <s v="N"/>
    <s v="Meals"/>
    <s v="MATCH"/>
    <x v="6"/>
  </r>
  <r>
    <s v="EXP100576"/>
    <s v="E010"/>
    <s v="AX-950321609"/>
    <d v="2026-01-29T00:00:00"/>
    <d v="2026-02-05T00:00:00"/>
    <s v="BRANDWATCH LTD"/>
    <s v="5734"/>
    <m/>
    <n v="350.39"/>
    <s v="Corporate Amex"/>
    <m/>
    <s v="Y"/>
    <s v="Software"/>
    <s v="BLANK"/>
    <x v="0"/>
  </r>
  <r>
    <s v="EXP100577"/>
    <s v="E171"/>
    <s v="AX697486654"/>
    <d v="2026-01-30T00:00:00"/>
    <d v="2026-02-05T00:00:00"/>
    <s v="SQ *JOES COFFEE"/>
    <s v="5812"/>
    <s v="Meals"/>
    <n v="9.41"/>
    <s v="Corporate Amex"/>
    <m/>
    <s v="Y"/>
    <s v="Meals"/>
    <s v="MATCH"/>
    <x v="6"/>
  </r>
  <r>
    <s v="EXP100578"/>
    <s v="E065"/>
    <s v="AX 718342049"/>
    <d v="2026-02-02T00:00:00"/>
    <d v="2026-02-05T00:00:00"/>
    <s v="HYATT REGENCY BOS"/>
    <s v="7011"/>
    <s v="Lodging"/>
    <n v="405.45"/>
    <s v="Corporate Amex"/>
    <m/>
    <s v="Y"/>
    <s v="Lodging"/>
    <s v="MATCH"/>
    <x v="0"/>
  </r>
  <r>
    <s v="EXP100579"/>
    <s v="E039"/>
    <s v="AX749445483"/>
    <d v="2026-02-05T00:00:00"/>
    <d v="2026-02-05T00:00:00"/>
    <s v="SPROUT SOCIAL"/>
    <s v="5734"/>
    <s v="Software"/>
    <n v="128.43"/>
    <s v="Corporate Amex"/>
    <m/>
    <s v="N"/>
    <s v="Software"/>
    <s v="MATCH"/>
    <x v="0"/>
  </r>
  <r>
    <s v="EXP100580"/>
    <s v="E039"/>
    <s v="AX-948846674"/>
    <d v="2026-01-26T00:00:00"/>
    <d v="2026-02-05T00:00:00"/>
    <s v="AMAZON MKTPLACE PMTS"/>
    <s v="5942"/>
    <s v="Meals"/>
    <n v="383.24"/>
    <s v="Corporate Amex"/>
    <m/>
    <s v="Y"/>
    <s v="Office Supplies"/>
    <s v="MISMATCH"/>
    <x v="0"/>
  </r>
  <r>
    <s v="EXP100581"/>
    <s v="E083"/>
    <s v="AX210265159"/>
    <d v="2026-01-29T00:00:00"/>
    <d v="2026-02-05T00:00:00"/>
    <s v="EVENTBRITE"/>
    <s v="7999"/>
    <s v="Events"/>
    <n v="23.37"/>
    <s v="Corporate Amex"/>
    <m/>
    <s v="Y"/>
    <s v="Events"/>
    <s v="MATCH"/>
    <x v="2"/>
  </r>
  <r>
    <s v="EXP100582"/>
    <s v="E083"/>
    <s v="AX190248063"/>
    <d v="2026-02-01T00:00:00"/>
    <d v="2026-02-05T00:00:00"/>
    <s v="MICROSOFT*365"/>
    <s v="5734"/>
    <s v="Software"/>
    <n v="61.32"/>
    <s v="Corporate Amex"/>
    <m/>
    <s v="Y"/>
    <s v="Software"/>
    <s v="MATCH"/>
    <x v="2"/>
  </r>
  <r>
    <s v="EXP100583"/>
    <s v="E254"/>
    <s v="AX392566120"/>
    <d v="2026-02-03T00:00:00"/>
    <d v="2026-02-05T00:00:00"/>
    <s v="EVENTBRITE"/>
    <s v="7999"/>
    <s v="Events"/>
    <n v="189.56"/>
    <s v="Corporate Amex"/>
    <m/>
    <s v="Y"/>
    <s v="Events"/>
    <s v="MATCH"/>
    <x v="8"/>
  </r>
  <r>
    <s v="EXP100584"/>
    <s v="E151"/>
    <m/>
    <d v="2026-01-31T00:00:00"/>
    <d v="2026-02-05T00:00:00"/>
    <s v="HYATT REGENCY BOS"/>
    <s v="7011"/>
    <s v="Other"/>
    <n v="284.62"/>
    <s v="Corporate Amex"/>
    <m/>
    <s v="Y"/>
    <s v="Lodging"/>
    <s v="MISMATCH"/>
    <x v="6"/>
  </r>
  <r>
    <s v="EXP100585"/>
    <s v="E255"/>
    <s v="AX925302067"/>
    <d v="2026-02-04T00:00:00"/>
    <d v="2026-02-05T00:00:00"/>
    <s v="MARRIOTT #4471"/>
    <s v="7011"/>
    <s v="Lodging"/>
    <n v="261.52999999999997"/>
    <s v="Corporate Amex"/>
    <m/>
    <s v="Y"/>
    <s v="Lodging"/>
    <s v="MATCH"/>
    <x v="8"/>
  </r>
  <r>
    <s v="EXP100586"/>
    <s v="E057"/>
    <m/>
    <d v="2026-01-31T00:00:00"/>
    <d v="2026-02-05T00:00:00"/>
    <s v=" HILTON GARDEN INN 2231"/>
    <s v="7011"/>
    <s v="Lodging"/>
    <n v="134.08000000000001"/>
    <s v="Personal (Reimbursement)"/>
    <s v="Forgot corporate card"/>
    <s v="Y"/>
    <s v="Lodging"/>
    <s v="MATCH"/>
    <x v="0"/>
  </r>
  <r>
    <s v="EXP100587"/>
    <s v="E025"/>
    <s v="AX-650022094"/>
    <d v="2026-02-04T00:00:00"/>
    <d v="2026-02-05T00:00:00"/>
    <s v="SPROUT SOCIAL"/>
    <s v="5734"/>
    <s v="Software"/>
    <n v="218.36"/>
    <s v="Corporate Amex"/>
    <m/>
    <s v="Y"/>
    <s v="Software"/>
    <s v="MATCH"/>
    <x v="0"/>
  </r>
  <r>
    <s v="EXP100588"/>
    <s v="E064"/>
    <s v="AX-219512927"/>
    <d v="2026-02-03T00:00:00"/>
    <d v="2026-02-05T00:00:00"/>
    <s v="ADOBE *CREATIVE CLOUD"/>
    <s v="5734"/>
    <s v="Software"/>
    <n v="65.28"/>
    <s v="Corporate Amex"/>
    <m/>
    <s v="Y"/>
    <s v="Software"/>
    <s v="MATCH"/>
    <x v="0"/>
  </r>
  <r>
    <s v="EXP100589"/>
    <s v="E054"/>
    <s v="AX 262726127"/>
    <d v="2026-02-04T00:00:00"/>
    <d v="2026-02-05T00:00:00"/>
    <s v="AMAZON MKTPLACE PMTS"/>
    <s v="5942"/>
    <s v="Office Supplies"/>
    <n v="33.020000000000003"/>
    <s v="Corporate Amex"/>
    <m/>
    <s v="Y"/>
    <s v="Office Supplies"/>
    <s v="MATCH"/>
    <x v="0"/>
  </r>
  <r>
    <s v="EXP100590"/>
    <s v="E016"/>
    <m/>
    <d v="2026-02-03T00:00:00"/>
    <d v="2026-02-05T00:00:00"/>
    <s v="HYATT REGENCY BOS"/>
    <s v="7011"/>
    <s v="Lodging"/>
    <n v="221.6"/>
    <s v="Personal (Reimbursement)"/>
    <s v="Card not yet issued"/>
    <s v="Y"/>
    <s v="Lodging"/>
    <s v="MATCH"/>
    <x v="0"/>
  </r>
  <r>
    <s v="EXP100591"/>
    <s v="E099"/>
    <s v="AX-765180295"/>
    <d v="2026-01-30T00:00:00"/>
    <d v="2026-02-05T00:00:00"/>
    <s v="EVENTBRITE"/>
    <s v="7999"/>
    <s v="Events"/>
    <n v="96.69"/>
    <s v="Corporate Amex"/>
    <m/>
    <s v="N"/>
    <s v="Events"/>
    <s v="MATCH"/>
    <x v="2"/>
  </r>
  <r>
    <s v="EXP100592"/>
    <s v="E098"/>
    <s v="AX-587874181"/>
    <d v="2026-01-28T00:00:00"/>
    <d v="2026-02-05T00:00:00"/>
    <s v="SOUTHWEST AIR 5261823"/>
    <s v="4511"/>
    <s v="Travel"/>
    <n v="156.35"/>
    <s v="Corporate Amex"/>
    <m/>
    <s v="Y"/>
    <s v="Travel"/>
    <s v="MATCH"/>
    <x v="2"/>
  </r>
  <r>
    <s v="EXP100593"/>
    <s v="E027"/>
    <s v="AX863273027"/>
    <d v="2026-02-04T00:00:00"/>
    <d v="2026-02-05T00:00:00"/>
    <s v="UNITED AIRLINES 0162233"/>
    <s v="4511"/>
    <s v="Travel"/>
    <n v="658.37"/>
    <s v="Corporate Amex"/>
    <m/>
    <s v="Y"/>
    <s v="Travel"/>
    <s v="MATCH"/>
    <x v="0"/>
  </r>
  <r>
    <s v="EXP100594"/>
    <s v="E142"/>
    <s v="AX602618650"/>
    <d v="2026-02-04T00:00:00"/>
    <d v="2026-02-05T00:00:00"/>
    <s v="DELTA AIR 00623891045"/>
    <s v="4511"/>
    <s v="Travel"/>
    <n v="614.48"/>
    <s v="Corporate Amex"/>
    <m/>
    <s v="Y"/>
    <s v="Travel"/>
    <s v="MATCH"/>
    <x v="7"/>
  </r>
  <r>
    <s v="EXP100595"/>
    <s v="E070"/>
    <s v="ax234366572"/>
    <d v="2026-01-29T00:00:00"/>
    <d v="2026-02-05T00:00:00"/>
    <s v="STAPLES #0231"/>
    <s v="5943"/>
    <s v="Office Supplies"/>
    <n v="57.71"/>
    <s v="Corporate Amex"/>
    <m/>
    <s v="Y"/>
    <s v="Office Supplies"/>
    <s v="MATCH"/>
    <x v="0"/>
  </r>
  <r>
    <s v="EXP100596"/>
    <s v="E236"/>
    <s v="AX247053360"/>
    <d v="2026-02-03T00:00:00"/>
    <d v="2026-02-06T00:00:00"/>
    <s v="TOPGOLF #442"/>
    <s v="7997"/>
    <s v="Entertainment"/>
    <n v="181.86"/>
    <s v="Corporate Amex"/>
    <m/>
    <s v="Y"/>
    <s v="Entertainment"/>
    <s v="MATCH"/>
    <x v="1"/>
  </r>
  <r>
    <s v="EXP100597"/>
    <s v="E038"/>
    <s v="AX413824624"/>
    <d v="2026-01-31T00:00:00"/>
    <d v="2026-02-06T00:00:00"/>
    <s v="HYATT REGENCY BOS"/>
    <s v="7011"/>
    <s v="Lodging"/>
    <n v="296.97000000000003"/>
    <s v="Corporate Amex"/>
    <m/>
    <s v="Y"/>
    <s v="Lodging"/>
    <s v="MATCH"/>
    <x v="0"/>
  </r>
  <r>
    <s v="EXP100598"/>
    <s v="E011"/>
    <s v="ax722063695"/>
    <d v="2026-01-28T00:00:00"/>
    <d v="2026-02-06T00:00:00"/>
    <s v="ADOBE *CREATIVE CLOUD"/>
    <s v="5734"/>
    <s v="Software"/>
    <n v="63.93"/>
    <s v="Corporate Amex"/>
    <m/>
    <s v="Y"/>
    <s v="Software"/>
    <s v="MATCH"/>
    <x v="0"/>
  </r>
  <r>
    <s v="EXP100599"/>
    <s v="E260"/>
    <s v="AX540889532"/>
    <d v="2026-02-05T00:00:00"/>
    <d v="2026-02-06T00:00:00"/>
    <s v="UBER TRIP HELP.UBER"/>
    <s v="4121"/>
    <s v="Transportation"/>
    <n v="32.1"/>
    <s v="Corporate Amex"/>
    <m/>
    <s v="Y"/>
    <s v="Transportation"/>
    <s v="MATCH"/>
    <x v="8"/>
  </r>
  <r>
    <s v="EXP100600"/>
    <s v="E260"/>
    <s v="AX-572388757"/>
    <d v="2026-02-06T00:00:00"/>
    <d v="2026-02-06T00:00:00"/>
    <s v="BRANDWATCH LTD"/>
    <s v="5734"/>
    <s v="Software"/>
    <n v="504.78"/>
    <s v="Corporate Amex"/>
    <m/>
    <s v="Y"/>
    <s v="Software"/>
    <s v="MATCH"/>
    <x v="8"/>
  </r>
  <r>
    <s v="EXP100601"/>
    <s v="E147"/>
    <s v="AX438472254"/>
    <d v="2026-02-02T00:00:00"/>
    <d v="2026-02-06T00:00:00"/>
    <s v="TOPGOLF #442"/>
    <s v="7997"/>
    <m/>
    <n v="201.24"/>
    <s v="Corporate Amex"/>
    <m/>
    <s v="Y"/>
    <s v="Entertainment"/>
    <s v="BLANK"/>
    <x v="7"/>
  </r>
  <r>
    <s v="EXP100602"/>
    <s v="E024"/>
    <s v="AX177558678"/>
    <d v="2026-01-28T00:00:00"/>
    <d v="2026-02-06T00:00:00"/>
    <s v="REGION CATERING CO"/>
    <s v="5811"/>
    <s v="Events"/>
    <n v="483.58"/>
    <s v="Corporate Amex"/>
    <m/>
    <s v="Y"/>
    <s v="Events"/>
    <s v="MATCH"/>
    <x v="0"/>
  </r>
  <r>
    <s v="EXP100603"/>
    <s v="E010"/>
    <s v="AX237661685"/>
    <d v="2026-02-06T00:00:00"/>
    <d v="2026-02-06T00:00:00"/>
    <s v="UNITED AIRLINES 0162233"/>
    <s v="4511"/>
    <s v="Travel"/>
    <n v="494.98"/>
    <s v="Corporate Amex"/>
    <m/>
    <s v="Y"/>
    <s v="Travel"/>
    <s v="MATCH"/>
    <x v="0"/>
  </r>
  <r>
    <s v="EXP100605"/>
    <s v="E035"/>
    <s v="ax875989948"/>
    <d v="2026-01-29T00:00:00"/>
    <d v="2026-02-06T00:00:00"/>
    <s v="MARRIOTT #4471"/>
    <s v="7011"/>
    <s v="Lodging"/>
    <n v="419.61"/>
    <s v="Corporate Amex"/>
    <m/>
    <s v="Y"/>
    <s v="Lodging"/>
    <s v="MATCH"/>
    <x v="0"/>
  </r>
  <r>
    <s v="EXP100606"/>
    <s v="E084"/>
    <s v="AX437355966"/>
    <d v="2026-02-05T00:00:00"/>
    <d v="2026-02-06T00:00:00"/>
    <s v="HILTON GARDEN INN 2231"/>
    <s v="7011"/>
    <m/>
    <n v="295.39999999999998"/>
    <s v="Corporate Amex"/>
    <m/>
    <s v="Y"/>
    <s v="Lodging"/>
    <s v="BLANK"/>
    <x v="2"/>
  </r>
  <r>
    <s v="EXP100607"/>
    <s v="E184"/>
    <s v="ax750287250"/>
    <d v="2026-02-01T00:00:00"/>
    <d v="2026-02-06T00:00:00"/>
    <s v="TOTAL PARTY RENTAL"/>
    <s v="7999"/>
    <s v="Events"/>
    <n v="356.37"/>
    <s v="Corporate Amex"/>
    <m/>
    <s v="N"/>
    <s v="Events"/>
    <s v="MATCH"/>
    <x v="5"/>
  </r>
  <r>
    <s v="EXP100608"/>
    <s v="E143"/>
    <s v="AX250803812"/>
    <d v="2026-02-05T00:00:00"/>
    <d v="2026-02-06T00:00:00"/>
    <s v="AMAZON MKTPLACE PMTS"/>
    <s v="5942"/>
    <s v="Office Supplies"/>
    <n v="245.18"/>
    <s v="Corporate Amex"/>
    <m/>
    <s v="Y"/>
    <s v="Office Supplies"/>
    <s v="MATCH"/>
    <x v="7"/>
  </r>
  <r>
    <s v="EXP100609"/>
    <s v="E055"/>
    <s v="AX-288931524"/>
    <d v="2026-01-28T00:00:00"/>
    <d v="2026-02-06T00:00:00"/>
    <s v="DELTA AIR 00623891045"/>
    <s v="4511"/>
    <s v="Travel"/>
    <n v="607.9"/>
    <s v="Corporate Amex"/>
    <m/>
    <s v="Y"/>
    <s v="Travel"/>
    <s v="MATCH"/>
    <x v="0"/>
  </r>
  <r>
    <s v="EXP100610"/>
    <s v="E092"/>
    <s v="ax385298074"/>
    <d v="2026-02-02T00:00:00"/>
    <d v="2026-02-06T00:00:00"/>
    <s v="TOPGOLF #442"/>
    <s v="7997"/>
    <s v="Entertainment"/>
    <n v="66.739999999999995"/>
    <s v="Corporate Amex"/>
    <m/>
    <s v="Y"/>
    <s v="Entertainment"/>
    <s v="MATCH"/>
    <x v="2"/>
  </r>
  <r>
    <s v="EXP100611"/>
    <s v="E018"/>
    <s v="AX 269890929"/>
    <d v="2026-02-04T00:00:00"/>
    <d v="2026-02-06T00:00:00"/>
    <s v="STAPLES #0231"/>
    <s v="5943"/>
    <s v="Office Supplies"/>
    <n v="137.88"/>
    <s v="Corporate Amex"/>
    <m/>
    <s v="N"/>
    <s v="Office Supplies"/>
    <s v="MATCH"/>
    <x v="0"/>
  </r>
  <r>
    <s v="EXP100612"/>
    <s v="E115"/>
    <s v="AX 418586550"/>
    <d v="2026-01-28T00:00:00"/>
    <d v="2026-02-06T00:00:00"/>
    <s v="DELTA AIR 00623891045"/>
    <s v="4511"/>
    <s v="Travel"/>
    <n v="581.4"/>
    <s v="Corporate Amex"/>
    <m/>
    <s v="Y"/>
    <s v="Travel"/>
    <s v="MATCH"/>
    <x v="2"/>
  </r>
  <r>
    <s v="EXP100613"/>
    <s v="E142"/>
    <s v="AX248597153"/>
    <d v="2026-01-31T00:00:00"/>
    <d v="2026-02-06T00:00:00"/>
    <s v="STARBUCKS #4471"/>
    <s v="5812"/>
    <s v="Meals"/>
    <n v="13.83"/>
    <s v="Corporate Amex"/>
    <m/>
    <s v="Y"/>
    <s v="Meals"/>
    <s v="MATCH"/>
    <x v="7"/>
  </r>
  <r>
    <s v="EXP100614"/>
    <s v="E186"/>
    <m/>
    <d v="2026-01-29T00:00:00"/>
    <d v="2026-02-07T00:00:00"/>
    <s v="UBER TRIP HELP.UBER"/>
    <s v="4121"/>
    <s v="Transportation"/>
    <n v="18.260000000000002"/>
    <s v="Personal (Reimbursement)"/>
    <s v="Forgot corporate card"/>
    <s v="N"/>
    <s v="Transportation"/>
    <s v="MATCH"/>
    <x v="5"/>
  </r>
  <r>
    <s v="EXP100615"/>
    <s v="E186"/>
    <m/>
    <d v="2026-02-03T00:00:00"/>
    <d v="2026-02-07T00:00:00"/>
    <s v="EVENTBRITE"/>
    <s v="7999"/>
    <s v="Events"/>
    <n v="244.93"/>
    <s v="Personal (Reimbursement)"/>
    <s v="International merchant - Amex not accepted"/>
    <s v="Y"/>
    <s v="Events"/>
    <s v="MATCH"/>
    <x v="5"/>
  </r>
  <r>
    <s v="EXP100616"/>
    <s v="E191"/>
    <s v="ax538938709"/>
    <d v="2026-02-04T00:00:00"/>
    <d v="2026-02-07T00:00:00"/>
    <s v="SPROUT SOCIAL"/>
    <s v="5734"/>
    <s v="Software"/>
    <n v="100.39"/>
    <s v="Corporate Amex"/>
    <m/>
    <s v="Y"/>
    <s v="Software"/>
    <s v="MATCH"/>
    <x v="5"/>
  </r>
  <r>
    <s v="EXP100617"/>
    <s v="E117"/>
    <m/>
    <d v="2026-02-06T00:00:00"/>
    <d v="2026-02-07T00:00:00"/>
    <s v=" MARRIOTT #4471"/>
    <s v="7011"/>
    <s v="Lodging"/>
    <n v="242.83"/>
    <s v="Corporate Amex"/>
    <m/>
    <s v="Y"/>
    <s v="Lodging"/>
    <s v="MATCH"/>
    <x v="7"/>
  </r>
  <r>
    <s v="EXP100618"/>
    <s v="E072"/>
    <s v="AX 920187373"/>
    <d v="2026-01-28T00:00:00"/>
    <d v="2026-02-07T00:00:00"/>
    <s v="DELTA AIR 00623891045"/>
    <s v="4511"/>
    <s v="Travel"/>
    <n v="488.49"/>
    <s v="Corporate Amex"/>
    <m/>
    <s v="Y"/>
    <s v="Travel"/>
    <s v="MATCH"/>
    <x v="2"/>
  </r>
  <r>
    <s v="EXP100619"/>
    <s v="E170"/>
    <s v="AX-871944690"/>
    <d v="2026-02-05T00:00:00"/>
    <d v="2026-02-07T00:00:00"/>
    <s v="MICROSOFT*365"/>
    <s v="5734"/>
    <s v="Software"/>
    <n v="69.98"/>
    <s v="Corporate Amex"/>
    <m/>
    <s v="Y"/>
    <s v="Software"/>
    <s v="MATCH"/>
    <x v="6"/>
  </r>
  <r>
    <s v="EXP100620"/>
    <s v="E207"/>
    <s v="AX426931324"/>
    <d v="2026-02-05T00:00:00"/>
    <d v="2026-02-07T00:00:00"/>
    <s v="SQ *JOES COFFEE"/>
    <s v="5812"/>
    <s v="Meals"/>
    <n v="13.82"/>
    <s v="Corporate Amex"/>
    <m/>
    <s v="Y"/>
    <s v="Meals"/>
    <s v="MATCH"/>
    <x v="5"/>
  </r>
  <r>
    <s v="EXP100621"/>
    <s v="E038"/>
    <s v="AX647435152"/>
    <d v="2026-02-04T00:00:00"/>
    <d v="2026-02-07T00:00:00"/>
    <s v="HOOTSUITE INC"/>
    <s v="5734"/>
    <m/>
    <n v="225.58"/>
    <s v="Corporate Amex"/>
    <m/>
    <s v="Y"/>
    <s v="Software"/>
    <s v="BLANK"/>
    <x v="0"/>
  </r>
  <r>
    <s v="EXP100622"/>
    <s v="E016"/>
    <m/>
    <d v="2026-01-31T00:00:00"/>
    <d v="2026-02-07T00:00:00"/>
    <s v="EVENTBRITE"/>
    <s v="7999"/>
    <s v="Events"/>
    <n v="58.39"/>
    <s v="Personal (Reimbursement)"/>
    <s v="Card not yet issued"/>
    <s v="Y"/>
    <s v="Events"/>
    <s v="MATCH"/>
    <x v="0"/>
  </r>
  <r>
    <s v="EXP100623"/>
    <s v="E027"/>
    <s v="AX756316021"/>
    <d v="2026-02-03T00:00:00"/>
    <d v="2026-02-07T00:00:00"/>
    <s v="ADOBE *CREATIVE CLOUD"/>
    <s v="5734"/>
    <s v="Software"/>
    <n v="46.32"/>
    <s v="Corporate Amex"/>
    <m/>
    <s v="N"/>
    <s v="Software"/>
    <s v="MATCH"/>
    <x v="0"/>
  </r>
  <r>
    <s v="EXP100624"/>
    <s v="E039"/>
    <m/>
    <d v="2026-02-04T00:00:00"/>
    <d v="2026-02-07T00:00:00"/>
    <s v="REGION CATERING CO"/>
    <s v="5811"/>
    <s v="Events"/>
    <n v="302.73"/>
    <s v="Corporate Amex"/>
    <m/>
    <s v="Y"/>
    <s v="Events"/>
    <s v="MATCH"/>
    <x v="0"/>
  </r>
  <r>
    <s v="EXP100625"/>
    <s v="E019"/>
    <m/>
    <d v="2026-02-07T00:00:00"/>
    <d v="2026-02-07T00:00:00"/>
    <s v="AMC THEATRES 0021"/>
    <s v="7832"/>
    <s v="Entertainment"/>
    <n v="45.18"/>
    <s v="Personal (Reimbursement)"/>
    <s v="International merchant - Amex not accepted"/>
    <s v="Y"/>
    <s v="Entertainment"/>
    <s v="MATCH"/>
    <x v="0"/>
  </r>
  <r>
    <s v="EXP100626"/>
    <s v="E115"/>
    <m/>
    <d v="2026-02-04T00:00:00"/>
    <d v="2026-02-07T00:00:00"/>
    <s v="STARBUCKS #4471"/>
    <s v="5812"/>
    <s v="Meals"/>
    <n v="7.77"/>
    <s v="Corporate Amex"/>
    <m/>
    <s v="Y"/>
    <s v="Meals"/>
    <s v="MATCH"/>
    <x v="2"/>
  </r>
  <r>
    <s v="EXP100627"/>
    <s v="E146"/>
    <s v="ax490538666"/>
    <d v="2026-01-31T00:00:00"/>
    <d v="2026-02-07T00:00:00"/>
    <s v="EVENTBRITE"/>
    <s v="7999"/>
    <s v="Events"/>
    <n v="222.88"/>
    <s v="Corporate Amex"/>
    <m/>
    <s v="N"/>
    <s v="Events"/>
    <s v="MATCH"/>
    <x v="7"/>
  </r>
  <r>
    <s v="EXP100628"/>
    <s v="E130"/>
    <s v="ax184481097"/>
    <d v="2026-02-02T00:00:00"/>
    <d v="2026-02-07T00:00:00"/>
    <s v="AMC THEATRES 0021"/>
    <s v="7832"/>
    <s v="  Entertainment "/>
    <n v="39.6"/>
    <s v="Corporate Amex"/>
    <m/>
    <s v="Y"/>
    <s v="Entertainment"/>
    <s v="MATCH"/>
    <x v="7"/>
  </r>
  <r>
    <s v="EXP100629"/>
    <s v="E004"/>
    <m/>
    <d v="2026-02-07T00:00:00"/>
    <d v="2026-02-07T00:00:00"/>
    <s v="CHIPOTLE 2214"/>
    <s v="5812"/>
    <s v="Meals"/>
    <n v="14.1"/>
    <s v="Corporate Amex"/>
    <m/>
    <s v="Y"/>
    <s v="Meals"/>
    <s v="MATCH"/>
    <x v="0"/>
  </r>
  <r>
    <s v="EXP100630"/>
    <s v="E057"/>
    <s v="AX566897928"/>
    <d v="2026-02-07T00:00:00"/>
    <d v="2026-02-07T00:00:00"/>
    <s v="STARBUCKS #4471"/>
    <s v="5812"/>
    <s v="Transportation"/>
    <n v="9.76"/>
    <s v="Corporate Amex"/>
    <m/>
    <s v="Y"/>
    <s v="Meals"/>
    <s v="MISMATCH"/>
    <x v="0"/>
  </r>
  <r>
    <s v="EXP100631"/>
    <s v="E069"/>
    <s v="AX 811632852"/>
    <d v="2026-02-03T00:00:00"/>
    <d v="2026-02-07T00:00:00"/>
    <s v="MARRIOTT #4471"/>
    <s v="7011"/>
    <s v="Lodging"/>
    <n v="148.34"/>
    <s v="Corporate Amex"/>
    <m/>
    <s v="Y"/>
    <s v="Lodging"/>
    <s v="MATCH"/>
    <x v="0"/>
  </r>
  <r>
    <s v="EXP100632"/>
    <s v="E053"/>
    <s v="AX-410471315"/>
    <d v="2026-02-02T00:00:00"/>
    <d v="2026-02-08T00:00:00"/>
    <s v="STAPLES #0231"/>
    <s v="5943"/>
    <s v="Office Supplies"/>
    <n v="26.85"/>
    <s v="Corporate Amex"/>
    <m/>
    <s v="N"/>
    <s v="Office Supplies"/>
    <s v="MATCH"/>
    <x v="0"/>
  </r>
  <r>
    <s v="EXP100633"/>
    <s v="E112"/>
    <s v="AX-938349528"/>
    <d v="2026-01-31T00:00:00"/>
    <d v="2026-02-08T00:00:00"/>
    <s v="SQ *JOES COFFEE"/>
    <s v="5812"/>
    <s v="Meals"/>
    <n v="14.23"/>
    <s v="Corporate Amex"/>
    <m/>
    <s v="Y"/>
    <s v="Meals"/>
    <s v="MATCH"/>
    <x v="2"/>
  </r>
  <r>
    <s v="EXP100634"/>
    <s v="E138"/>
    <s v="AX271671351"/>
    <d v="2026-02-01T00:00:00"/>
    <d v="2026-02-08T00:00:00"/>
    <s v="STAPLES #0231"/>
    <s v="5943"/>
    <s v="Office Supplies"/>
    <n v="158.59"/>
    <s v="Corporate Amex"/>
    <m/>
    <s v="Y"/>
    <s v="Office Supplies"/>
    <s v="MATCH"/>
    <x v="7"/>
  </r>
  <r>
    <s v="EXP100635"/>
    <s v="E069"/>
    <s v="ax288613038"/>
    <d v="2026-02-04T00:00:00"/>
    <d v="2026-02-08T00:00:00"/>
    <s v="ZOOM.US"/>
    <s v="5734"/>
    <s v="Software"/>
    <n v="40.22"/>
    <s v="Corporate Amex"/>
    <m/>
    <s v="Y"/>
    <s v="Software"/>
    <s v="MATCH"/>
    <x v="0"/>
  </r>
  <r>
    <s v="EXP100636"/>
    <s v="E018"/>
    <s v="AX-939156567"/>
    <d v="2026-01-29T00:00:00"/>
    <d v="2026-02-08T00:00:00"/>
    <s v="YELLOW CAB CO"/>
    <s v="4121"/>
    <s v="Transportation"/>
    <n v="17.190000000000001"/>
    <s v="Corporate Amex"/>
    <m/>
    <s v="Y"/>
    <s v="Transportation"/>
    <s v="MATCH"/>
    <x v="0"/>
  </r>
  <r>
    <s v="EXP100637"/>
    <s v="E137"/>
    <s v="AX 481177835"/>
    <d v="2026-02-04T00:00:00"/>
    <d v="2026-02-08T00:00:00"/>
    <s v="SPROUT SOCIAL"/>
    <s v="5734"/>
    <s v="Software"/>
    <n v="139.69"/>
    <s v="Corporate Amex"/>
    <m/>
    <s v="Y"/>
    <s v="Software"/>
    <s v="MATCH"/>
    <x v="7"/>
  </r>
  <r>
    <s v="EXP100638"/>
    <s v="E063"/>
    <s v="AX873901053"/>
    <d v="2026-01-29T00:00:00"/>
    <d v="2026-02-08T00:00:00"/>
    <s v="EVENTBRITE"/>
    <s v="7999"/>
    <s v="Events"/>
    <n v="18.010000000000002"/>
    <s v="Corporate Amex"/>
    <m/>
    <s v="Y"/>
    <s v="Events"/>
    <s v="MATCH"/>
    <x v="0"/>
  </r>
  <r>
    <s v="EXP100639"/>
    <s v="E063"/>
    <s v="AX608173744"/>
    <d v="2026-02-02T00:00:00"/>
    <d v="2026-02-08T00:00:00"/>
    <s v="CHIPOTLE 2214"/>
    <s v="5812"/>
    <s v="Meals"/>
    <n v="11.17"/>
    <s v="Corporate Amex"/>
    <m/>
    <s v="Y"/>
    <s v="Meals"/>
    <s v="MATCH"/>
    <x v="0"/>
  </r>
  <r>
    <s v="EXP100640"/>
    <s v="E030"/>
    <s v="AX-619121831"/>
    <d v="2026-02-01T00:00:00"/>
    <d v="2026-02-08T00:00:00"/>
    <s v=" TOPGOLF #442"/>
    <s v="7997"/>
    <s v="Entertainment"/>
    <n v="235.64"/>
    <s v="Corporate Amex"/>
    <m/>
    <s v="N"/>
    <s v="Entertainment"/>
    <s v="MATCH"/>
    <x v="0"/>
  </r>
  <r>
    <s v="EXP100641"/>
    <s v="E014"/>
    <m/>
    <d v="2026-02-04T00:00:00"/>
    <d v="2026-02-08T00:00:00"/>
    <s v="UBER TRIP HELP.UBER"/>
    <s v="4121"/>
    <s v="Office Supplies"/>
    <n v="27.87"/>
    <s v="Corporate Amex"/>
    <m/>
    <s v="Y"/>
    <s v="Transportation"/>
    <s v="MISMATCH"/>
    <x v="0"/>
  </r>
  <r>
    <s v="EXP100642"/>
    <s v="E044"/>
    <s v="AX 902848744"/>
    <d v="2026-02-06T00:00:00"/>
    <d v="2026-02-08T00:00:00"/>
    <s v="HYATT REGENCY BOS"/>
    <s v="7011"/>
    <s v="Lodging"/>
    <n v="201.03"/>
    <s v="Corporate Amex"/>
    <m/>
    <s v="N"/>
    <s v="Lodging"/>
    <s v="MATCH"/>
    <x v="0"/>
  </r>
  <r>
    <s v="EXP100643"/>
    <s v="E040"/>
    <s v="AX567348223"/>
    <d v="2026-02-04T00:00:00"/>
    <d v="2026-02-08T00:00:00"/>
    <s v="UNITED AIRLINES 0162233"/>
    <s v="4511"/>
    <s v="Travel"/>
    <n v="673.54"/>
    <s v="Corporate Amex"/>
    <m/>
    <s v="Y"/>
    <s v="Travel"/>
    <s v="MATCH"/>
    <x v="0"/>
  </r>
  <r>
    <s v="EXP100644"/>
    <s v="E076"/>
    <s v="AX536327460"/>
    <d v="2026-02-03T00:00:00"/>
    <d v="2026-02-08T00:00:00"/>
    <s v="ZOOM.US"/>
    <s v="5734"/>
    <s v="Software"/>
    <n v="27.57"/>
    <s v="Corporate Amex"/>
    <m/>
    <s v="Y"/>
    <s v="Software"/>
    <s v="MATCH"/>
    <x v="2"/>
  </r>
  <r>
    <s v="EXP100645"/>
    <s v="E035"/>
    <s v="AX512888430"/>
    <d v="2026-02-07T00:00:00"/>
    <d v="2026-02-08T00:00:00"/>
    <s v="HILTON GARDEN INN 2231"/>
    <s v="7011"/>
    <s v="  Lodging "/>
    <n v="213.97"/>
    <s v="Corporate Amex"/>
    <m/>
    <s v="Y"/>
    <s v="Lodging"/>
    <s v="MATCH"/>
    <x v="0"/>
  </r>
  <r>
    <s v="EXP100646"/>
    <s v="E047"/>
    <s v="AX 571051276"/>
    <d v="2026-02-04T00:00:00"/>
    <d v="2026-02-09T00:00:00"/>
    <s v="SQ *JOES COFFEE"/>
    <s v="5812"/>
    <s v="Meals"/>
    <n v="20.69"/>
    <s v="Corporate Amex"/>
    <m/>
    <s v="Y"/>
    <s v="Meals"/>
    <s v="MATCH"/>
    <x v="0"/>
  </r>
  <r>
    <s v="EXP100647"/>
    <s v="E046"/>
    <s v="AX333904751"/>
    <d v="2026-02-06T00:00:00"/>
    <d v="2026-02-09T00:00:00"/>
    <s v="STARBUCKS #4471"/>
    <s v="5812"/>
    <s v="Meals"/>
    <n v="8.6199999999999992"/>
    <s v="Corporate Amex"/>
    <m/>
    <s v="Y"/>
    <s v="Meals"/>
    <s v="MATCH"/>
    <x v="0"/>
  </r>
  <r>
    <s v="EXP100648"/>
    <s v="E151"/>
    <s v="AX950624061"/>
    <d v="2026-02-05T00:00:00"/>
    <d v="2026-02-09T00:00:00"/>
    <s v="LYFT RIDE THU"/>
    <s v="4121"/>
    <s v="Transportation"/>
    <n v="21.88"/>
    <s v="Corporate Amex"/>
    <m/>
    <s v="N"/>
    <s v="Transportation"/>
    <s v="MATCH"/>
    <x v="6"/>
  </r>
  <r>
    <s v="EXP100649"/>
    <s v="E054"/>
    <s v="AX 195627847"/>
    <d v="2026-02-03T00:00:00"/>
    <d v="2026-02-09T00:00:00"/>
    <s v="AMC THEATRES 0021"/>
    <s v="7832"/>
    <s v="Entertainment"/>
    <n v="31.24"/>
    <s v="Corporate Amex"/>
    <m/>
    <s v="Y"/>
    <s v="Entertainment"/>
    <s v="MATCH"/>
    <x v="0"/>
  </r>
  <r>
    <s v="EXP100650"/>
    <s v="E244"/>
    <s v="AX 448099549"/>
    <d v="2026-02-02T00:00:00"/>
    <d v="2026-02-09T00:00:00"/>
    <s v="HILTON GARDEN INN 2231"/>
    <s v="7011"/>
    <s v="Lodging"/>
    <n v="202.71"/>
    <s v="Corporate Amex"/>
    <m/>
    <s v="Y"/>
    <s v="Lodging"/>
    <s v="MATCH"/>
    <x v="1"/>
  </r>
  <r>
    <s v="EXP100651"/>
    <s v="E134"/>
    <s v="AX162543273"/>
    <d v="2026-02-05T00:00:00"/>
    <d v="2026-02-09T00:00:00"/>
    <s v="EVENTBRITE"/>
    <s v="7999"/>
    <s v="Events"/>
    <n v="174.25"/>
    <s v="Corporate Amex"/>
    <m/>
    <s v="Y"/>
    <s v="Events"/>
    <s v="MATCH"/>
    <x v="7"/>
  </r>
  <r>
    <s v="EXP100652"/>
    <s v="E229"/>
    <s v="AX 186844027"/>
    <d v="2026-02-07T00:00:00"/>
    <d v="2026-02-09T00:00:00"/>
    <s v="PANERA BREAD #0231"/>
    <s v="5812"/>
    <s v="Meals"/>
    <n v="21.65"/>
    <s v="Corporate Amex"/>
    <m/>
    <s v="Y"/>
    <s v="Meals"/>
    <s v="MATCH"/>
    <x v="4"/>
  </r>
  <r>
    <s v="EXP100653"/>
    <s v="E060"/>
    <s v="AX 821697159"/>
    <d v="2026-02-09T00:00:00"/>
    <d v="2026-02-09T00:00:00"/>
    <s v="SQ *THE CORNER BISTRO"/>
    <s v="5812"/>
    <s v="Meals"/>
    <n v="68.400000000000006"/>
    <s v="Corporate Amex"/>
    <m/>
    <s v="Y"/>
    <s v="Meals"/>
    <s v="MATCH"/>
    <x v="0"/>
  </r>
  <r>
    <s v="EXP100654"/>
    <s v="E111"/>
    <s v="AX310335676"/>
    <d v="2026-01-30T00:00:00"/>
    <d v="2026-02-09T00:00:00"/>
    <s v="SPROUT SOCIAL"/>
    <s v="5734"/>
    <s v="Software"/>
    <n v="190.72"/>
    <s v="Corporate Amex"/>
    <m/>
    <s v="Y"/>
    <s v="Software"/>
    <s v="MATCH"/>
    <x v="2"/>
  </r>
  <r>
    <s v="EXP100655"/>
    <s v="E031"/>
    <m/>
    <d v="2026-01-31T00:00:00"/>
    <d v="2026-02-09T00:00:00"/>
    <s v="REGION CATERING CO"/>
    <s v="5811"/>
    <s v="Events"/>
    <n v="74.680000000000007"/>
    <s v="Corporate Amex"/>
    <m/>
    <s v="Y"/>
    <s v="Events"/>
    <s v="MATCH"/>
    <x v="0"/>
  </r>
  <r>
    <s v="EXP100656"/>
    <s v="E139"/>
    <s v="ax393351879"/>
    <d v="2026-02-03T00:00:00"/>
    <d v="2026-02-09T00:00:00"/>
    <s v="OLIVE GARDEN 00456"/>
    <s v="5812"/>
    <s v="  Meals "/>
    <n v="118.64"/>
    <s v="Corporate Amex"/>
    <m/>
    <s v="Y"/>
    <s v="Meals"/>
    <s v="MATCH"/>
    <x v="7"/>
  </r>
  <r>
    <s v="EXP100657"/>
    <s v="E036"/>
    <s v="AX259885663"/>
    <d v="2026-02-05T00:00:00"/>
    <d v="2026-02-09T00:00:00"/>
    <s v="HOOTSUITE INC"/>
    <s v="5734"/>
    <s v="Software"/>
    <n v="173.52"/>
    <s v="Corporate Amex"/>
    <m/>
    <s v="Y"/>
    <s v="Software"/>
    <s v="MATCH"/>
    <x v="0"/>
  </r>
  <r>
    <s v="EXP100658"/>
    <s v="E021"/>
    <s v="AX 769278138"/>
    <d v="2026-02-05T00:00:00"/>
    <d v="2026-02-09T00:00:00"/>
    <s v="MICROSOFT*365"/>
    <s v="5734"/>
    <s v="  Software "/>
    <n v="34.049999999999997"/>
    <s v="Corporate Amex"/>
    <m/>
    <s v="Y"/>
    <s v="Software"/>
    <s v="MATCH"/>
    <x v="0"/>
  </r>
  <r>
    <s v="EXP100659"/>
    <s v="E021"/>
    <m/>
    <d v="2026-02-04T00:00:00"/>
    <d v="2026-02-09T00:00:00"/>
    <s v=" STAPLES #0231"/>
    <s v="5943"/>
    <s v="Office Supplies"/>
    <n v="62.18"/>
    <s v="Corporate Amex"/>
    <m/>
    <s v="Y"/>
    <s v="Office Supplies"/>
    <s v="MATCH"/>
    <x v="0"/>
  </r>
  <r>
    <s v="EXP100660"/>
    <s v="E127"/>
    <s v="ax157972647"/>
    <d v="2026-02-02T00:00:00"/>
    <d v="2026-02-09T00:00:00"/>
    <s v="SQ *JOES COFFEE"/>
    <s v="5812"/>
    <s v="Meals"/>
    <n v="23.09"/>
    <s v="Corporate Amex"/>
    <m/>
    <s v="Y"/>
    <s v="Meals"/>
    <s v="MATCH"/>
    <x v="7"/>
  </r>
  <r>
    <s v="EXP100661"/>
    <s v="E044"/>
    <m/>
    <d v="2026-02-01T00:00:00"/>
    <d v="2026-02-09T00:00:00"/>
    <s v="UNITED AIRLINES 0162233"/>
    <s v="4511"/>
    <s v="Travel"/>
    <n v="570.12"/>
    <s v="Personal (Reimbursement)"/>
    <s v="Forgot corporate card"/>
    <s v="Y"/>
    <s v="Travel"/>
    <s v="MATCH"/>
    <x v="0"/>
  </r>
  <r>
    <s v="EXP100662"/>
    <s v="E223"/>
    <s v="AX-805227812"/>
    <d v="2026-02-04T00:00:00"/>
    <d v="2026-02-09T00:00:00"/>
    <s v="UBER TRIP HELP.UBER"/>
    <s v="4121"/>
    <s v="Transportation"/>
    <n v="40.75"/>
    <s v="Corporate Amex"/>
    <m/>
    <s v="N"/>
    <s v="Transportation"/>
    <s v="MATCH"/>
    <x v="4"/>
  </r>
  <r>
    <s v="EXP100663"/>
    <s v="E067"/>
    <s v="AX467986096"/>
    <d v="2026-02-05T00:00:00"/>
    <d v="2026-02-09T00:00:00"/>
    <s v="EVENTBRITE"/>
    <s v="7999"/>
    <s v="Events"/>
    <n v="203.26"/>
    <s v="Corporate Amex"/>
    <m/>
    <s v="N"/>
    <s v="Events"/>
    <s v="MATCH"/>
    <x v="0"/>
  </r>
  <r>
    <s v="EXP100664"/>
    <s v="E259"/>
    <m/>
    <d v="2026-02-03T00:00:00"/>
    <d v="2026-02-09T00:00:00"/>
    <s v="SOUTHWEST AIR 5261823"/>
    <s v="4511"/>
    <m/>
    <n v="217.52"/>
    <s v="Personal (Reimbursement)"/>
    <s v="International merchant - Amex not accepted"/>
    <s v="Y"/>
    <s v="Travel"/>
    <s v="BLANK"/>
    <x v="8"/>
  </r>
  <r>
    <s v="EXP100665"/>
    <s v="E272"/>
    <s v="AX988932524"/>
    <d v="2026-02-05T00:00:00"/>
    <d v="2026-02-09T00:00:00"/>
    <s v="HILTON GARDEN INN 2231"/>
    <s v="7011"/>
    <s v="Lodging"/>
    <n v="185.83"/>
    <s v="Corporate Amex"/>
    <m/>
    <s v="Y"/>
    <s v="Lodging"/>
    <s v="MATCH"/>
    <x v="3"/>
  </r>
  <r>
    <s v="EXP100666"/>
    <s v="E272"/>
    <s v="AX-906459285"/>
    <d v="2026-01-31T00:00:00"/>
    <d v="2026-02-09T00:00:00"/>
    <s v="ADOBE *CREATIVE CLOUD"/>
    <s v="5734"/>
    <s v="  Software "/>
    <n v="44.91"/>
    <s v="Corporate Amex"/>
    <m/>
    <s v="Y"/>
    <s v="Software"/>
    <s v="MATCH"/>
    <x v="3"/>
  </r>
  <r>
    <s v="EXP100667"/>
    <s v="E049"/>
    <s v="AX567553795"/>
    <d v="2026-02-08T00:00:00"/>
    <d v="2026-02-09T00:00:00"/>
    <s v="TOTAL PARTY RENTAL"/>
    <s v="7999"/>
    <s v="Events"/>
    <n v="87.76"/>
    <s v="Corporate Amex"/>
    <m/>
    <s v="Y"/>
    <s v="Events"/>
    <s v="MATCH"/>
    <x v="0"/>
  </r>
  <r>
    <s v="EXP100668"/>
    <s v="E005"/>
    <m/>
    <d v="2026-01-31T00:00:00"/>
    <d v="2026-02-09T00:00:00"/>
    <s v="CHIPOTLE 2214"/>
    <s v="5812"/>
    <s v="  Meals "/>
    <n v="15.41"/>
    <s v="Corporate Amex"/>
    <m/>
    <s v="Y"/>
    <s v="Meals"/>
    <s v="MATCH"/>
    <x v="0"/>
  </r>
  <r>
    <s v="EXP100669"/>
    <s v="E130"/>
    <s v="AX-870455989"/>
    <d v="2026-02-05T00:00:00"/>
    <d v="2026-02-09T00:00:00"/>
    <s v="REGION CATERING CO"/>
    <s v="5811"/>
    <s v="Events"/>
    <n v="554.20000000000005"/>
    <s v="Corporate Amex"/>
    <m/>
    <s v="Y"/>
    <s v="Events"/>
    <s v="MATCH"/>
    <x v="7"/>
  </r>
  <r>
    <s v="EXP100670"/>
    <s v="E026"/>
    <s v="AX795733868"/>
    <d v="2026-02-03T00:00:00"/>
    <d v="2026-02-09T00:00:00"/>
    <s v="SPROUT SOCIAL"/>
    <s v="5734"/>
    <s v="Software"/>
    <n v="234.64"/>
    <s v="Corporate Amex"/>
    <m/>
    <s v="Y"/>
    <s v="Software"/>
    <s v="MATCH"/>
    <x v="0"/>
  </r>
  <r>
    <s v="EXP100671"/>
    <s v="E250"/>
    <s v="AX-106953319"/>
    <d v="2026-02-09T00:00:00"/>
    <d v="2026-02-09T00:00:00"/>
    <s v="HILTON GARDEN INN 2231"/>
    <s v="7011"/>
    <s v="Lodging"/>
    <n v="150.72"/>
    <s v="Corporate Amex"/>
    <m/>
    <s v="Y"/>
    <s v="Lodging"/>
    <s v="MATCH"/>
    <x v="1"/>
  </r>
  <r>
    <s v="EXP100672"/>
    <s v="E008"/>
    <s v="AX-551319515"/>
    <d v="2026-02-06T00:00:00"/>
    <d v="2026-02-09T00:00:00"/>
    <s v="EVENTBRITE"/>
    <s v="7999"/>
    <s v="Events"/>
    <n v="15.79"/>
    <s v="Corporate Amex"/>
    <m/>
    <s v="Y"/>
    <s v="Events"/>
    <s v="MATCH"/>
    <x v="0"/>
  </r>
  <r>
    <s v="EXP100673"/>
    <s v="E007"/>
    <s v="AX371803539"/>
    <d v="2026-02-07T00:00:00"/>
    <d v="2026-02-09T00:00:00"/>
    <s v="SPROUT SOCIAL"/>
    <s v="5734"/>
    <s v="Software"/>
    <n v="239.72"/>
    <s v="Corporate Amex"/>
    <m/>
    <s v="Y"/>
    <s v="Software"/>
    <s v="MATCH"/>
    <x v="0"/>
  </r>
  <r>
    <s v="EXP100674"/>
    <s v="E194"/>
    <s v="AX160385041"/>
    <d v="2026-02-09T00:00:00"/>
    <d v="2026-02-09T00:00:00"/>
    <s v="SQ *JOES COFFEE"/>
    <s v="5812"/>
    <s v="Meals"/>
    <n v="16.68"/>
    <s v="Corporate Amex"/>
    <m/>
    <s v="Y"/>
    <s v="Meals"/>
    <s v="MATCH"/>
    <x v="5"/>
  </r>
  <r>
    <s v="EXP100675"/>
    <s v="E209"/>
    <m/>
    <d v="2026-01-30T00:00:00"/>
    <d v="2026-02-09T00:00:00"/>
    <s v="LYFT RIDE THU"/>
    <s v="4121"/>
    <s v="Transportation"/>
    <n v="48.31"/>
    <s v="Corporate Amex"/>
    <m/>
    <s v="Y"/>
    <s v="Transportation"/>
    <s v="MATCH"/>
    <x v="4"/>
  </r>
  <r>
    <s v="EXP100676"/>
    <s v="E032"/>
    <s v="AX175521129"/>
    <d v="2026-02-02T00:00:00"/>
    <d v="2026-02-10T00:00:00"/>
    <s v="SQ *THE CORNER BISTRO"/>
    <s v="5812"/>
    <s v="Meals"/>
    <n v="22.93"/>
    <s v="Corporate Amex"/>
    <m/>
    <s v="Y"/>
    <s v="Meals"/>
    <s v="MATCH"/>
    <x v="0"/>
  </r>
  <r>
    <s v="EXP100677"/>
    <s v="E020"/>
    <s v="ax794891722"/>
    <d v="2026-02-10T00:00:00"/>
    <d v="2026-02-10T00:00:00"/>
    <s v="SQ *JOES COFFEE"/>
    <s v="5812"/>
    <s v="Meals"/>
    <n v="10.45"/>
    <s v="Corporate Amex"/>
    <m/>
    <s v="Y"/>
    <s v="Meals"/>
    <s v="MATCH"/>
    <x v="0"/>
  </r>
  <r>
    <s v="EXP100678"/>
    <s v="E212"/>
    <m/>
    <d v="2026-02-07T00:00:00"/>
    <d v="2026-02-10T00:00:00"/>
    <s v="HYATT REGENCY BOS"/>
    <s v="7011"/>
    <s v="Lodging"/>
    <n v="471.88"/>
    <s v="Personal (Reimbursement)"/>
    <s v="International merchant - Amex not accepted"/>
    <s v="Y"/>
    <s v="Lodging"/>
    <s v="MATCH"/>
    <x v="4"/>
  </r>
  <r>
    <s v="EXP100679"/>
    <s v="E076"/>
    <s v="AX 896335251"/>
    <d v="2026-02-05T00:00:00"/>
    <d v="2026-02-10T00:00:00"/>
    <s v="SQ *THE CORNER BISTRO"/>
    <s v="5812"/>
    <s v="Meals"/>
    <n v="74.790000000000006"/>
    <s v="Corporate Amex"/>
    <m/>
    <s v="Y"/>
    <s v="Meals"/>
    <s v="MATCH"/>
    <x v="2"/>
  </r>
  <r>
    <s v="EXP100680"/>
    <s v="E121"/>
    <s v="AX-867343205"/>
    <d v="2026-02-08T00:00:00"/>
    <d v="2026-02-10T00:00:00"/>
    <s v="HYATT REGENCY BOS"/>
    <s v="7011"/>
    <s v="Lodging"/>
    <n v="410.55"/>
    <s v="Corporate Amex"/>
    <m/>
    <s v="Y"/>
    <s v="Lodging"/>
    <s v="MATCH"/>
    <x v="7"/>
  </r>
  <r>
    <s v="EXP100681"/>
    <s v="E079"/>
    <s v="AX422495424"/>
    <d v="2026-02-01T00:00:00"/>
    <d v="2026-02-10T00:00:00"/>
    <s v="SPROUT SOCIAL"/>
    <s v="5734"/>
    <s v="Software"/>
    <n v="154.99"/>
    <s v="Corporate Amex"/>
    <m/>
    <s v="Y"/>
    <s v="Software"/>
    <s v="MATCH"/>
    <x v="2"/>
  </r>
  <r>
    <s v="EXP100682"/>
    <s v="E042"/>
    <s v="AX533168269"/>
    <d v="2026-02-04T00:00:00"/>
    <d v="2026-02-10T00:00:00"/>
    <s v="BRANDWATCH LTD"/>
    <s v="5734"/>
    <s v="Software"/>
    <n v="433.79"/>
    <s v="Corporate Amex"/>
    <m/>
    <s v="Y"/>
    <s v="Software"/>
    <s v="MATCH"/>
    <x v="0"/>
  </r>
  <r>
    <s v="EXP100683"/>
    <s v="E074"/>
    <s v="ax241159363"/>
    <d v="2026-02-10T00:00:00"/>
    <d v="2026-02-10T00:00:00"/>
    <s v="AMAZON MKTPLACE PMTS"/>
    <s v="5942"/>
    <s v="Office Supplies"/>
    <n v="49.16"/>
    <s v="Corporate Amex"/>
    <m/>
    <s v="Y"/>
    <s v="Office Supplies"/>
    <s v="MATCH"/>
    <x v="2"/>
  </r>
  <r>
    <s v="EXP100684"/>
    <s v="E125"/>
    <s v="AX171832231"/>
    <d v="2026-02-01T00:00:00"/>
    <d v="2026-02-10T00:00:00"/>
    <s v="ADOBE *CREATIVE CLOUD"/>
    <s v="5734"/>
    <m/>
    <n v="89.04"/>
    <s v="Corporate Amex"/>
    <m/>
    <s v="Y"/>
    <s v="Software"/>
    <s v="BLANK"/>
    <x v="7"/>
  </r>
  <r>
    <s v="EXP100685"/>
    <s v="E125"/>
    <s v="AX-887085514"/>
    <d v="2026-02-07T00:00:00"/>
    <d v="2026-02-10T00:00:00"/>
    <s v="DELTA AIR 00623891045"/>
    <s v="4511"/>
    <s v="Travel"/>
    <n v="243.55"/>
    <s v="Corporate Amex"/>
    <m/>
    <s v="Y"/>
    <s v="Travel"/>
    <s v="MATCH"/>
    <x v="7"/>
  </r>
  <r>
    <s v="EXP100686"/>
    <s v="E211"/>
    <s v="AX-250145898"/>
    <d v="2026-02-05T00:00:00"/>
    <d v="2026-02-10T00:00:00"/>
    <s v="ADOBE *CREATIVE CLOUD"/>
    <s v="5734"/>
    <s v="Software"/>
    <n v="33.51"/>
    <s v="Corporate Amex"/>
    <m/>
    <s v="Y"/>
    <s v="Software"/>
    <s v="MATCH"/>
    <x v="4"/>
  </r>
  <r>
    <s v="EXP100687"/>
    <s v="E046"/>
    <s v="AX 997847189"/>
    <d v="2026-02-10T00:00:00"/>
    <d v="2026-02-10T00:00:00"/>
    <s v="MICROSOFT*365"/>
    <s v="5734"/>
    <s v="Software"/>
    <n v="19.260000000000002"/>
    <s v="Corporate Amex"/>
    <m/>
    <s v="Y"/>
    <s v="Software"/>
    <s v="MATCH"/>
    <x v="0"/>
  </r>
  <r>
    <s v="EXP100688"/>
    <s v="E069"/>
    <s v="AX-638034848"/>
    <d v="2026-02-04T00:00:00"/>
    <d v="2026-02-10T00:00:00"/>
    <s v="TOPGOLF #442"/>
    <s v="7997"/>
    <s v="Entertainment"/>
    <n v="93.27"/>
    <s v="Corporate Amex"/>
    <m/>
    <s v="Y"/>
    <s v="Entertainment"/>
    <s v="MATCH"/>
    <x v="0"/>
  </r>
  <r>
    <s v="EXP100689"/>
    <s v="E082"/>
    <s v="AX745048610"/>
    <d v="2026-02-04T00:00:00"/>
    <d v="2026-02-10T00:00:00"/>
    <s v="PANERA BREAD #0231"/>
    <s v="5812"/>
    <s v="Meals"/>
    <n v="9.7100000000000009"/>
    <s v="Corporate Amex"/>
    <m/>
    <s v="Y"/>
    <s v="Meals"/>
    <s v="MATCH"/>
    <x v="2"/>
  </r>
  <r>
    <s v="EXP100690"/>
    <s v="E080"/>
    <s v="AX390409486"/>
    <d v="2026-02-03T00:00:00"/>
    <d v="2026-02-10T00:00:00"/>
    <s v="ZOOM.US"/>
    <s v="5734"/>
    <s v="Software"/>
    <n v="49.25"/>
    <s v="Corporate Amex"/>
    <m/>
    <s v="Y"/>
    <s v="Software"/>
    <s v="MATCH"/>
    <x v="2"/>
  </r>
  <r>
    <s v="EXP100691"/>
    <s v="E260"/>
    <s v="AX702053439"/>
    <d v="2026-02-03T00:00:00"/>
    <d v="2026-02-10T00:00:00"/>
    <s v="HILTON GARDEN INN 2231"/>
    <s v="7011"/>
    <s v="Lodging"/>
    <n v="179.39"/>
    <s v="Corporate Amex"/>
    <m/>
    <s v="Y"/>
    <s v="Lodging"/>
    <s v="MATCH"/>
    <x v="8"/>
  </r>
  <r>
    <s v="EXP100692"/>
    <s v="E256"/>
    <m/>
    <d v="2026-02-09T00:00:00"/>
    <d v="2026-02-10T00:00:00"/>
    <s v="HOOTSUITE INC"/>
    <s v="5734"/>
    <m/>
    <n v="165.37"/>
    <s v="Corporate Amex"/>
    <m/>
    <s v="Y"/>
    <s v="Software"/>
    <s v="BLANK"/>
    <x v="8"/>
  </r>
  <r>
    <s v="EXP100693"/>
    <s v="E050"/>
    <s v="AX908579977"/>
    <d v="2026-01-31T00:00:00"/>
    <d v="2026-02-10T00:00:00"/>
    <s v="LYFT RIDE THU"/>
    <s v="4121"/>
    <s v="Transportation"/>
    <n v="37.049999999999997"/>
    <s v="Corporate Amex"/>
    <m/>
    <s v="Y"/>
    <s v="Transportation"/>
    <s v="MATCH"/>
    <x v="0"/>
  </r>
  <r>
    <s v="EXP100694"/>
    <s v="E275"/>
    <s v="AX 148880680"/>
    <d v="2026-01-31T00:00:00"/>
    <d v="2026-02-10T00:00:00"/>
    <s v="BRANDWATCH LTD"/>
    <s v="5734"/>
    <s v="Software"/>
    <n v="431.22"/>
    <s v="Corporate Amex"/>
    <m/>
    <s v="Y"/>
    <s v="Software"/>
    <s v="MATCH"/>
    <x v="3"/>
  </r>
  <r>
    <s v="EXP100695"/>
    <s v="E019"/>
    <m/>
    <d v="2026-02-09T00:00:00"/>
    <d v="2026-02-10T00:00:00"/>
    <s v="HYATT REGENCY BOS"/>
    <s v="7011"/>
    <s v="Lodging"/>
    <n v="454.18"/>
    <s v="Personal (Reimbursement)"/>
    <s v="International merchant - Amex not accepted"/>
    <s v="Y"/>
    <s v="Lodging"/>
    <s v="MATCH"/>
    <x v="0"/>
  </r>
  <r>
    <s v="EXP100696"/>
    <s v="E030"/>
    <s v="ax923560977"/>
    <d v="2026-02-09T00:00:00"/>
    <d v="2026-02-10T00:00:00"/>
    <s v="YELLOW CAB CO"/>
    <s v="4121"/>
    <s v="Transportation"/>
    <n v="26.35"/>
    <s v="Corporate Amex"/>
    <m/>
    <s v="Y"/>
    <s v="Transportation"/>
    <s v="MATCH"/>
    <x v="0"/>
  </r>
  <r>
    <s v="EXP100697"/>
    <s v="E021"/>
    <s v="ax966856897"/>
    <d v="2026-02-04T00:00:00"/>
    <d v="2026-02-10T00:00:00"/>
    <s v="BRANDWATCH LTD"/>
    <s v="5734"/>
    <s v="Software"/>
    <n v="483.08"/>
    <s v="Corporate Amex"/>
    <m/>
    <s v="Y"/>
    <s v="Software"/>
    <s v="MATCH"/>
    <x v="0"/>
  </r>
  <r>
    <s v="EXP100698"/>
    <s v="E023"/>
    <s v="AX-197278575"/>
    <d v="2026-02-05T00:00:00"/>
    <d v="2026-02-11T00:00:00"/>
    <s v="UBER TRIP HELP.UBER"/>
    <s v="4121"/>
    <s v="Transportation"/>
    <n v="8.5399999999999991"/>
    <s v="Corporate Amex"/>
    <m/>
    <s v="Y"/>
    <s v="Transportation"/>
    <s v="MATCH"/>
    <x v="0"/>
  </r>
  <r>
    <s v="EXP100699"/>
    <s v="E056"/>
    <m/>
    <d v="2026-02-09T00:00:00"/>
    <d v="2026-02-11T00:00:00"/>
    <s v="ZOOM.US"/>
    <s v="5734"/>
    <s v="Software"/>
    <n v="39.54"/>
    <s v="Personal (Reimbursement)"/>
    <s v="Forgot corporate card"/>
    <s v="Y"/>
    <s v="Software"/>
    <s v="MATCH"/>
    <x v="0"/>
  </r>
  <r>
    <s v="EXP100700"/>
    <s v="E130"/>
    <m/>
    <d v="2026-02-04T00:00:00"/>
    <d v="2026-02-11T00:00:00"/>
    <s v="MARRIOTT #4471"/>
    <s v="7011"/>
    <m/>
    <n v="294.89"/>
    <s v="Personal (Reimbursement)"/>
    <s v="Amex declined - vendor doesn't accept Amex"/>
    <s v="Y"/>
    <s v="Lodging"/>
    <s v="BLANK"/>
    <x v="7"/>
  </r>
  <r>
    <s v="EXP100701"/>
    <s v="E076"/>
    <s v="AX838021740"/>
    <d v="2026-02-03T00:00:00"/>
    <d v="2026-02-11T00:00:00"/>
    <s v="BRANDWATCH LTD"/>
    <s v="5734"/>
    <s v="Software"/>
    <n v="253.98"/>
    <s v="Corporate Amex"/>
    <m/>
    <s v="Y"/>
    <s v="Software"/>
    <s v="MATCH"/>
    <x v="2"/>
  </r>
  <r>
    <s v="EXP100702"/>
    <s v="E213"/>
    <s v="AX913068363"/>
    <d v="2026-02-05T00:00:00"/>
    <d v="2026-02-11T00:00:00"/>
    <s v="CHIPOTLE 2214"/>
    <s v="5812"/>
    <s v="Meals"/>
    <n v="11.58"/>
    <s v="Corporate Amex"/>
    <m/>
    <s v="Y"/>
    <s v="Meals"/>
    <s v="MATCH"/>
    <x v="4"/>
  </r>
  <r>
    <s v="EXP100703"/>
    <s v="E217"/>
    <s v="AX340722314"/>
    <d v="2026-02-09T00:00:00"/>
    <d v="2026-02-11T00:00:00"/>
    <s v="EVENTBRITE"/>
    <s v="7999"/>
    <s v="Events"/>
    <n v="131.30000000000001"/>
    <s v="Corporate Amex"/>
    <m/>
    <s v="Y"/>
    <s v="Events"/>
    <s v="MATCH"/>
    <x v="4"/>
  </r>
  <r>
    <s v="EXP100704"/>
    <s v="E249"/>
    <s v="AX-753886994"/>
    <d v="2026-02-07T00:00:00"/>
    <d v="2026-02-11T00:00:00"/>
    <s v="HILTON GARDEN INN 2231"/>
    <s v="7011"/>
    <s v="Lodging"/>
    <n v="334.22"/>
    <s v="Corporate Amex"/>
    <m/>
    <s v="Y"/>
    <s v="Lodging"/>
    <s v="MATCH"/>
    <x v="1"/>
  </r>
  <r>
    <s v="EXP100705"/>
    <s v="E068"/>
    <m/>
    <d v="2026-02-06T00:00:00"/>
    <d v="2026-02-11T00:00:00"/>
    <s v="HILTON GARDEN INN 2231"/>
    <s v="7011"/>
    <s v="Lodging"/>
    <n v="335.9"/>
    <s v="Corporate Amex"/>
    <m/>
    <s v="Y"/>
    <s v="Lodging"/>
    <s v="MATCH"/>
    <x v="0"/>
  </r>
  <r>
    <s v="EXP100706"/>
    <s v="E273"/>
    <s v="AX279331336"/>
    <d v="2026-02-04T00:00:00"/>
    <d v="2026-02-11T00:00:00"/>
    <s v="SPROUT SOCIAL"/>
    <s v="5734"/>
    <s v="Software"/>
    <n v="127.86"/>
    <s v="Corporate Amex"/>
    <m/>
    <s v="Y"/>
    <s v="Software"/>
    <s v="MATCH"/>
    <x v="3"/>
  </r>
  <r>
    <s v="EXP100707"/>
    <s v="E259"/>
    <s v="AX859274099"/>
    <d v="2026-02-03T00:00:00"/>
    <d v="2026-02-11T00:00:00"/>
    <s v="STAPLES #0231"/>
    <s v="5943"/>
    <s v="Office Supplies"/>
    <n v="138.22999999999999"/>
    <s v="Corporate Amex"/>
    <m/>
    <s v="Y"/>
    <s v="Office Supplies"/>
    <s v="MATCH"/>
    <x v="8"/>
  </r>
  <r>
    <s v="EXP100708"/>
    <s v="E026"/>
    <s v="AX178211729"/>
    <d v="2026-02-07T00:00:00"/>
    <d v="2026-02-11T00:00:00"/>
    <s v="HOOTSUITE INC"/>
    <s v="5734"/>
    <m/>
    <n v="215.56"/>
    <s v="Corporate Amex"/>
    <m/>
    <s v="N"/>
    <s v="Software"/>
    <s v="BLANK"/>
    <x v="0"/>
  </r>
  <r>
    <s v="EXP100709"/>
    <s v="E265"/>
    <s v="AX800104155"/>
    <d v="2026-02-01T00:00:00"/>
    <d v="2026-02-11T00:00:00"/>
    <s v="DELTA AIR 00623891045"/>
    <s v="4511"/>
    <s v="Travel"/>
    <n v="566.59"/>
    <s v="Corporate Amex"/>
    <m/>
    <s v="Y"/>
    <s v="Travel"/>
    <s v="MATCH"/>
    <x v="3"/>
  </r>
  <r>
    <s v="EXP100710"/>
    <s v="E036"/>
    <s v="AX-153746930"/>
    <d v="2026-02-01T00:00:00"/>
    <d v="2026-02-11T00:00:00"/>
    <s v="TOTAL PARTY RENTAL"/>
    <s v="7999"/>
    <s v="Events"/>
    <n v="343.96"/>
    <s v="Corporate Amex"/>
    <m/>
    <s v="Y"/>
    <s v="Events"/>
    <s v="MATCH"/>
    <x v="0"/>
  </r>
  <r>
    <s v="EXP100711"/>
    <s v="E003"/>
    <s v="AX675259353"/>
    <d v="2026-02-04T00:00:00"/>
    <d v="2026-02-11T00:00:00"/>
    <s v="YELLOW CAB CO"/>
    <s v="4121"/>
    <m/>
    <n v="20.8"/>
    <s v="Corporate Amex"/>
    <m/>
    <s v="N"/>
    <s v="Transportation"/>
    <s v="BLANK"/>
    <x v="0"/>
  </r>
  <r>
    <s v="EXP100712"/>
    <s v="E065"/>
    <s v="AX 314677075"/>
    <d v="2026-02-03T00:00:00"/>
    <d v="2026-02-11T00:00:00"/>
    <s v="OLIVE GARDEN 00456"/>
    <s v="5812"/>
    <s v="Meals"/>
    <n v="59.23"/>
    <s v="Corporate Amex"/>
    <m/>
    <s v="Y"/>
    <s v="Meals"/>
    <s v="MATCH"/>
    <x v="0"/>
  </r>
  <r>
    <s v="EXP100713"/>
    <s v="E258"/>
    <s v="AX958339474"/>
    <d v="2026-02-02T00:00:00"/>
    <d v="2026-02-11T00:00:00"/>
    <s v="EVENTBRITE"/>
    <s v="7999"/>
    <s v="Events"/>
    <n v="163.13999999999999"/>
    <s v="Corporate Amex"/>
    <m/>
    <s v="Y"/>
    <s v="Events"/>
    <s v="MATCH"/>
    <x v="8"/>
  </r>
  <r>
    <s v="EXP100714"/>
    <s v="E128"/>
    <s v="AX-776907548"/>
    <d v="2026-02-08T00:00:00"/>
    <d v="2026-02-11T00:00:00"/>
    <s v="SOUTHWEST AIR 5261823"/>
    <s v="4511"/>
    <s v="Travel"/>
    <n v="425.46"/>
    <s v="Corporate Amex"/>
    <m/>
    <s v="Y"/>
    <s v="Travel"/>
    <s v="MATCH"/>
    <x v="7"/>
  </r>
  <r>
    <s v="EXP100715"/>
    <s v="E045"/>
    <s v="AX524911337"/>
    <d v="2026-02-02T00:00:00"/>
    <d v="2026-02-11T00:00:00"/>
    <s v="OLIVE GARDEN 00456"/>
    <s v="5812"/>
    <s v="Meals"/>
    <n v="36.479999999999997"/>
    <s v="Corporate Amex"/>
    <m/>
    <s v="Y"/>
    <s v="Meals"/>
    <s v="MATCH"/>
    <x v="0"/>
  </r>
  <r>
    <s v="EXP100716"/>
    <s v="E240"/>
    <s v="ax993212222"/>
    <d v="2026-02-06T00:00:00"/>
    <d v="2026-02-12T00:00:00"/>
    <s v="CHIPOTLE 2214"/>
    <s v="5812"/>
    <s v="Meals"/>
    <n v="15.76"/>
    <s v="Corporate Amex"/>
    <m/>
    <s v="Y"/>
    <s v="Meals"/>
    <s v="MATCH"/>
    <x v="1"/>
  </r>
  <r>
    <s v="EXP100717"/>
    <s v="E029"/>
    <s v="ax606911660"/>
    <d v="2026-02-05T00:00:00"/>
    <d v="2026-02-12T00:00:00"/>
    <s v="TOTAL PARTY RENTAL"/>
    <s v="7999"/>
    <s v="Events"/>
    <n v="460.51"/>
    <s v="Corporate Amex"/>
    <m/>
    <s v="Y"/>
    <s v="Events"/>
    <s v="MATCH"/>
    <x v="0"/>
  </r>
  <r>
    <s v="EXP100718"/>
    <s v="E063"/>
    <s v="AX 509248172"/>
    <d v="2026-02-12T00:00:00"/>
    <d v="2026-02-12T00:00:00"/>
    <s v="SPROUT SOCIAL"/>
    <s v="5734"/>
    <m/>
    <n v="146.46"/>
    <s v="Corporate Amex"/>
    <m/>
    <s v="Y"/>
    <s v="Software"/>
    <s v="BLANK"/>
    <x v="0"/>
  </r>
  <r>
    <s v="EXP100719"/>
    <s v="E028"/>
    <s v="AX850614521"/>
    <d v="2026-02-03T00:00:00"/>
    <d v="2026-02-12T00:00:00"/>
    <s v="SQ *THE CORNER BISTRO"/>
    <s v="5812"/>
    <s v="Meals"/>
    <n v="61.08"/>
    <s v="Corporate Amex"/>
    <m/>
    <s v="Y"/>
    <s v="Meals"/>
    <s v="MATCH"/>
    <x v="0"/>
  </r>
  <r>
    <s v="EXP100720"/>
    <s v="E259"/>
    <m/>
    <d v="2026-02-07T00:00:00"/>
    <d v="2026-02-12T00:00:00"/>
    <s v="LYFT RIDE THU"/>
    <s v="4121"/>
    <s v="Transportation"/>
    <n v="15.47"/>
    <s v="Corporate Amex"/>
    <m/>
    <s v="Y"/>
    <s v="Transportation"/>
    <s v="MATCH"/>
    <x v="8"/>
  </r>
  <r>
    <s v="EXP100721"/>
    <s v="E025"/>
    <s v="AX 322996668"/>
    <d v="2026-02-10T00:00:00"/>
    <d v="2026-02-12T00:00:00"/>
    <s v="BRANDWATCH LTD"/>
    <s v="5734"/>
    <s v="Software"/>
    <n v="515.25"/>
    <s v="Corporate Amex"/>
    <m/>
    <s v="Y"/>
    <s v="Software"/>
    <s v="MATCH"/>
    <x v="0"/>
  </r>
  <r>
    <s v="EXP100723"/>
    <s v="E003"/>
    <s v="AX778186934"/>
    <d v="2026-02-12T00:00:00"/>
    <d v="2026-02-12T00:00:00"/>
    <s v="YELLOW CAB CO"/>
    <s v="4121"/>
    <m/>
    <n v="34.299999999999997"/>
    <s v="Corporate Amex"/>
    <m/>
    <s v="Y"/>
    <s v="Transportation"/>
    <s v="BLANK"/>
    <x v="0"/>
  </r>
  <r>
    <s v="EXP100724"/>
    <s v="E149"/>
    <m/>
    <d v="2026-02-08T00:00:00"/>
    <d v="2026-02-12T00:00:00"/>
    <s v="PANERA BREAD #0231"/>
    <s v="5812"/>
    <s v="Meals"/>
    <n v="21.17"/>
    <s v="Personal (Reimbursement)"/>
    <s v="International merchant - Amex not accepted"/>
    <s v="Y"/>
    <s v="Meals"/>
    <s v="MATCH"/>
    <x v="7"/>
  </r>
  <r>
    <s v="EXP100725"/>
    <s v="E058"/>
    <s v="ax143962740"/>
    <d v="2026-02-06T00:00:00"/>
    <d v="2026-02-12T00:00:00"/>
    <s v="MICROSOFT*365"/>
    <s v="5734"/>
    <s v="Software"/>
    <n v="13.37"/>
    <s v="Corporate Amex"/>
    <m/>
    <s v="Y"/>
    <s v="Software"/>
    <s v="MATCH"/>
    <x v="0"/>
  </r>
  <r>
    <s v="EXP100726"/>
    <s v="E263"/>
    <m/>
    <d v="2026-02-05T00:00:00"/>
    <d v="2026-02-12T00:00:00"/>
    <s v="SPROUT SOCIAL"/>
    <s v="5734"/>
    <s v="Software"/>
    <n v="112.43"/>
    <s v="Corporate Amex"/>
    <m/>
    <s v="Y"/>
    <s v="Software"/>
    <s v="MATCH"/>
    <x v="3"/>
  </r>
  <r>
    <s v="EXP100727"/>
    <s v="E175"/>
    <s v="AX-260951067"/>
    <d v="2026-02-03T00:00:00"/>
    <d v="2026-02-12T00:00:00"/>
    <s v="MICROSOFT*365"/>
    <s v="5734"/>
    <s v="Software"/>
    <n v="62.01"/>
    <s v="Corporate Amex"/>
    <m/>
    <s v="Y"/>
    <s v="Software"/>
    <s v="MATCH"/>
    <x v="6"/>
  </r>
  <r>
    <s v="EXP100728"/>
    <s v="E114"/>
    <s v="AX468148206"/>
    <d v="2026-02-08T00:00:00"/>
    <d v="2026-02-12T00:00:00"/>
    <s v="STAPLES #0231"/>
    <s v="5943"/>
    <s v="Office Supplies"/>
    <n v="53.66"/>
    <s v="Corporate Amex"/>
    <m/>
    <s v="Y"/>
    <s v="Office Supplies"/>
    <s v="MATCH"/>
    <x v="2"/>
  </r>
  <r>
    <s v="EXP100729"/>
    <s v="E054"/>
    <s v="AX 697015147"/>
    <d v="2026-02-02T00:00:00"/>
    <d v="2026-02-12T00:00:00"/>
    <s v="ADOBE *CREATIVE CLOUD"/>
    <s v="5734"/>
    <s v="Software"/>
    <n v="45.29"/>
    <s v="Corporate Amex"/>
    <m/>
    <s v="Y"/>
    <s v="Software"/>
    <s v="MATCH"/>
    <x v="0"/>
  </r>
  <r>
    <s v="EXP100730"/>
    <s v="E106"/>
    <s v="AX146683205"/>
    <d v="2026-02-08T00:00:00"/>
    <d v="2026-02-12T00:00:00"/>
    <s v="HILTON GARDEN INN 2231"/>
    <s v="7011"/>
    <s v="Lodging"/>
    <n v="322.33"/>
    <s v="Corporate Amex"/>
    <m/>
    <s v="Y"/>
    <s v="Lodging"/>
    <s v="MATCH"/>
    <x v="2"/>
  </r>
  <r>
    <s v="EXP100731"/>
    <s v="E037"/>
    <s v="ax707512362"/>
    <d v="2026-02-08T00:00:00"/>
    <d v="2026-02-12T00:00:00"/>
    <s v="SQ *THE CORNER BISTRO"/>
    <s v="5812"/>
    <s v="Meals"/>
    <n v="31.91"/>
    <s v="Corporate Amex"/>
    <m/>
    <s v="Y"/>
    <s v="Meals"/>
    <s v="MATCH"/>
    <x v="0"/>
  </r>
  <r>
    <s v="EXP100732"/>
    <s v="E166"/>
    <m/>
    <d v="2026-02-08T00:00:00"/>
    <d v="2026-02-13T00:00:00"/>
    <s v=" TOTAL PARTY RENTAL"/>
    <s v="7999"/>
    <s v="Events"/>
    <n v="518.84"/>
    <s v="Corporate Amex"/>
    <m/>
    <s v="Y"/>
    <s v="Events"/>
    <s v="MATCH"/>
    <x v="6"/>
  </r>
  <r>
    <s v="EXP100733"/>
    <s v="E207"/>
    <s v="ax836600502"/>
    <d v="2026-02-05T00:00:00"/>
    <d v="2026-02-13T00:00:00"/>
    <s v=" CHIPOTLE 2214"/>
    <s v="5812"/>
    <s v="Meals"/>
    <n v="11.61"/>
    <s v="Corporate Amex"/>
    <m/>
    <s v="Y"/>
    <s v="Meals"/>
    <s v="MATCH"/>
    <x v="5"/>
  </r>
  <r>
    <s v="EXP100734"/>
    <s v="E267"/>
    <s v="AX 932425850"/>
    <d v="2026-02-09T00:00:00"/>
    <d v="2026-02-13T00:00:00"/>
    <s v="TOTAL PARTY RENTAL"/>
    <s v="7999"/>
    <s v="Events"/>
    <n v="439.67"/>
    <s v="Corporate Amex"/>
    <m/>
    <s v="Y"/>
    <s v="Events"/>
    <s v="MATCH"/>
    <x v="3"/>
  </r>
  <r>
    <s v="EXP100735"/>
    <s v="E147"/>
    <s v="AX660910370"/>
    <d v="2026-02-13T00:00:00"/>
    <d v="2026-02-13T00:00:00"/>
    <s v="SQ *THE CORNER BISTRO"/>
    <s v="5812"/>
    <s v="Meals"/>
    <n v="82.38"/>
    <s v="Corporate Amex"/>
    <m/>
    <s v="Y"/>
    <s v="Meals"/>
    <s v="MATCH"/>
    <x v="7"/>
  </r>
  <r>
    <s v="EXP100736"/>
    <s v="E135"/>
    <m/>
    <d v="2026-02-05T00:00:00"/>
    <d v="2026-02-13T00:00:00"/>
    <s v="OLIVE GARDEN 00456"/>
    <s v="5812"/>
    <s v="Meals"/>
    <n v="27.51"/>
    <s v="Personal (Reimbursement)"/>
    <s v="Forgot corporate card"/>
    <s v="Y"/>
    <s v="Meals"/>
    <s v="MATCH"/>
    <x v="7"/>
  </r>
  <r>
    <s v="EXP100737"/>
    <s v="E029"/>
    <s v="AX991448701"/>
    <d v="2026-02-05T00:00:00"/>
    <d v="2026-02-13T00:00:00"/>
    <s v="TOTAL PARTY RENTAL"/>
    <s v="7999"/>
    <s v="Events"/>
    <n v="531.37"/>
    <s v="Corporate Amex"/>
    <m/>
    <s v="Y"/>
    <s v="Events"/>
    <s v="MATCH"/>
    <x v="0"/>
  </r>
  <r>
    <s v="EXP100738"/>
    <s v="E151"/>
    <s v="AX-670734602"/>
    <d v="2026-02-12T00:00:00"/>
    <d v="2026-02-13T00:00:00"/>
    <s v="PANERA BREAD #0231"/>
    <s v="5812"/>
    <s v="Meals"/>
    <n v="27.71"/>
    <s v="Corporate Amex"/>
    <m/>
    <s v="Y"/>
    <s v="Meals"/>
    <s v="MATCH"/>
    <x v="6"/>
  </r>
  <r>
    <s v="EXP100739"/>
    <s v="E003"/>
    <m/>
    <d v="2026-02-03T00:00:00"/>
    <d v="2026-02-13T00:00:00"/>
    <s v="HYATT REGENCY BOS"/>
    <s v="7011"/>
    <s v="Lodging"/>
    <n v="412.73"/>
    <s v="Personal (Reimbursement)"/>
    <s v="Amex declined - vendor doesn't accept Amex"/>
    <s v="Y"/>
    <s v="Lodging"/>
    <s v="MATCH"/>
    <x v="0"/>
  </r>
  <r>
    <s v="EXP100740"/>
    <s v="E262"/>
    <s v="ax449804300"/>
    <d v="2026-02-11T00:00:00"/>
    <d v="2026-02-13T00:00:00"/>
    <s v="HOOTSUITE INC"/>
    <s v="5734"/>
    <s v="  Software "/>
    <n v="221.19"/>
    <s v="Corporate Amex"/>
    <m/>
    <s v="Y"/>
    <s v="Software"/>
    <s v="MATCH"/>
    <x v="3"/>
  </r>
  <r>
    <s v="EXP100741"/>
    <s v="E121"/>
    <s v="AX 364804521"/>
    <d v="2026-02-10T00:00:00"/>
    <d v="2026-02-13T00:00:00"/>
    <s v="HYATT REGENCY BOS"/>
    <s v="7011"/>
    <s v="Lodging"/>
    <n v="229.38"/>
    <s v="Corporate Amex"/>
    <m/>
    <s v="Y"/>
    <s v="Lodging"/>
    <s v="MATCH"/>
    <x v="7"/>
  </r>
  <r>
    <s v="EXP100742"/>
    <s v="E127"/>
    <s v="AX320943700"/>
    <d v="2026-02-04T00:00:00"/>
    <d v="2026-02-13T00:00:00"/>
    <s v="BRANDWATCH LTD"/>
    <s v="5734"/>
    <s v="Software"/>
    <n v="514.41999999999996"/>
    <s v="Corporate Amex"/>
    <m/>
    <s v="Y"/>
    <s v="Software"/>
    <s v="MATCH"/>
    <x v="7"/>
  </r>
  <r>
    <s v="EXP100743"/>
    <s v="E065"/>
    <s v="AX 518914417"/>
    <d v="2026-02-08T00:00:00"/>
    <d v="2026-02-13T00:00:00"/>
    <s v="SQ *JOES COFFEE"/>
    <s v="5812"/>
    <s v="Meals"/>
    <n v="12.38"/>
    <s v="Corporate Amex"/>
    <m/>
    <s v="Y"/>
    <s v="Meals"/>
    <s v="MATCH"/>
    <x v="0"/>
  </r>
  <r>
    <s v="EXP100744"/>
    <s v="E040"/>
    <s v="AX207402375"/>
    <d v="2026-02-10T00:00:00"/>
    <d v="2026-02-13T00:00:00"/>
    <s v="CHIPOTLE 2214"/>
    <s v="5812"/>
    <m/>
    <n v="21.14"/>
    <s v="Corporate Amex"/>
    <m/>
    <s v="Y"/>
    <s v="Meals"/>
    <s v="BLANK"/>
    <x v="0"/>
  </r>
  <r>
    <s v="EXP100745"/>
    <s v="E273"/>
    <s v="AX 319627022"/>
    <d v="2026-02-03T00:00:00"/>
    <d v="2026-02-13T00:00:00"/>
    <s v="OLIVE GARDEN 00456"/>
    <s v="5812"/>
    <s v="Meals"/>
    <n v="70.59"/>
    <s v="Corporate Amex"/>
    <m/>
    <s v="N"/>
    <s v="Meals"/>
    <s v="MATCH"/>
    <x v="3"/>
  </r>
  <r>
    <s v="EXP100746"/>
    <s v="E272"/>
    <s v="AX759843096"/>
    <d v="2026-02-12T00:00:00"/>
    <d v="2026-02-13T00:00:00"/>
    <s v="AMC THEATRES 0021"/>
    <s v="7832"/>
    <s v="Entertainment"/>
    <n v="47.21"/>
    <s v="Corporate Amex"/>
    <m/>
    <s v="Y"/>
    <s v="Entertainment"/>
    <s v="MATCH"/>
    <x v="3"/>
  </r>
  <r>
    <s v="EXP100747"/>
    <s v="E254"/>
    <s v="AX970137433"/>
    <d v="2026-02-06T00:00:00"/>
    <d v="2026-02-14T00:00:00"/>
    <s v="DELTA AIR 00623891045"/>
    <s v="4511"/>
    <s v="Travel"/>
    <n v="239.95"/>
    <s v="Corporate Amex"/>
    <m/>
    <s v="Y"/>
    <s v="Travel"/>
    <s v="MATCH"/>
    <x v="8"/>
  </r>
  <r>
    <s v="EXP100748"/>
    <s v="E241"/>
    <s v="AX716461342"/>
    <d v="2026-02-04T00:00:00"/>
    <d v="2026-02-14T00:00:00"/>
    <s v="OLIVE GARDEN 00456"/>
    <s v="5812"/>
    <s v="Meals"/>
    <n v="100.18"/>
    <s v="Corporate Amex"/>
    <m/>
    <s v="Y"/>
    <s v="Meals"/>
    <s v="MATCH"/>
    <x v="1"/>
  </r>
  <r>
    <s v="EXP100749"/>
    <s v="E021"/>
    <m/>
    <d v="2026-02-14T00:00:00"/>
    <d v="2026-02-14T00:00:00"/>
    <s v="STARBUCKS #4471"/>
    <s v="5812"/>
    <s v="Meals"/>
    <n v="14.96"/>
    <s v="Personal (Reimbursement)"/>
    <s v="International merchant - Amex not accepted"/>
    <s v="Y"/>
    <s v="Meals"/>
    <s v="MATCH"/>
    <x v="0"/>
  </r>
  <r>
    <s v="EXP100750"/>
    <s v="E201"/>
    <s v="ax882877330"/>
    <d v="2026-02-04T00:00:00"/>
    <d v="2026-02-14T00:00:00"/>
    <s v="PANERA BREAD #0231"/>
    <s v="5812"/>
    <s v="Meals"/>
    <n v="9.76"/>
    <s v="Corporate Amex"/>
    <m/>
    <s v="Y"/>
    <s v="Meals"/>
    <s v="MATCH"/>
    <x v="5"/>
  </r>
  <r>
    <s v="EXP100751"/>
    <s v="E245"/>
    <s v="ax217847465"/>
    <d v="2026-02-07T00:00:00"/>
    <d v="2026-02-14T00:00:00"/>
    <s v="REGION CATERING CO"/>
    <s v="5811"/>
    <s v="Events"/>
    <n v="382.47"/>
    <s v="Corporate Amex"/>
    <m/>
    <s v="Y"/>
    <s v="Events"/>
    <s v="MATCH"/>
    <x v="1"/>
  </r>
  <r>
    <s v="EXP100752"/>
    <s v="E029"/>
    <s v="AX352496272"/>
    <d v="2026-02-10T00:00:00"/>
    <d v="2026-02-14T00:00:00"/>
    <s v="DELTA AIR 00623891045"/>
    <s v="4511"/>
    <s v="Travel"/>
    <n v="593.55999999999995"/>
    <s v="Corporate Amex"/>
    <m/>
    <s v="Y"/>
    <s v="Travel"/>
    <s v="MATCH"/>
    <x v="0"/>
  </r>
  <r>
    <s v="EXP100753"/>
    <s v="E029"/>
    <s v="AX-471790455"/>
    <d v="2026-02-06T00:00:00"/>
    <d v="2026-02-14T00:00:00"/>
    <s v="UNITED AIRLINES 0162233"/>
    <s v="4511"/>
    <s v="Travel"/>
    <n v="376.5"/>
    <s v="Corporate Amex"/>
    <m/>
    <s v="Y"/>
    <s v="Travel"/>
    <s v="MATCH"/>
    <x v="0"/>
  </r>
  <r>
    <s v="EXP100754"/>
    <s v="E045"/>
    <s v="AX 856376995"/>
    <d v="2026-02-04T00:00:00"/>
    <d v="2026-02-14T00:00:00"/>
    <s v="HILTON GARDEN INN 2231"/>
    <s v="7011"/>
    <s v="Lodging"/>
    <n v="198.02"/>
    <s v="Corporate Amex"/>
    <m/>
    <s v="Y"/>
    <s v="Lodging"/>
    <s v="MATCH"/>
    <x v="0"/>
  </r>
  <r>
    <s v="EXP100755"/>
    <s v="E064"/>
    <s v="AX 391947987"/>
    <d v="2026-02-04T00:00:00"/>
    <d v="2026-02-14T00:00:00"/>
    <s v="DELTA AIR 00623891045"/>
    <s v="4511"/>
    <s v="Travel"/>
    <n v="511.96"/>
    <s v="Corporate Amex"/>
    <m/>
    <s v="Y"/>
    <s v="Travel"/>
    <s v="MATCH"/>
    <x v="0"/>
  </r>
  <r>
    <s v="EXP100756"/>
    <s v="E202"/>
    <s v="AX104729974"/>
    <d v="2026-02-12T00:00:00"/>
    <d v="2026-02-14T00:00:00"/>
    <s v="OLIVE GARDEN 00456"/>
    <s v="5812"/>
    <s v="Meals"/>
    <n v="100.6"/>
    <s v="Corporate Amex"/>
    <m/>
    <s v="Y"/>
    <s v="Meals"/>
    <s v="MATCH"/>
    <x v="5"/>
  </r>
  <r>
    <s v="EXP100757"/>
    <s v="E140"/>
    <s v="ax226063789"/>
    <d v="2026-02-14T00:00:00"/>
    <d v="2026-02-14T00:00:00"/>
    <s v="AMAZON MKTPLACE PMTS"/>
    <s v="5942"/>
    <s v="Entertainment"/>
    <n v="416.43"/>
    <s v="Corporate Amex"/>
    <m/>
    <s v="Y"/>
    <s v="Office Supplies"/>
    <s v="MISMATCH"/>
    <x v="7"/>
  </r>
  <r>
    <s v="EXP100758"/>
    <s v="E068"/>
    <m/>
    <d v="2026-02-04T00:00:00"/>
    <d v="2026-02-14T00:00:00"/>
    <s v="UBER TRIP HELP.UBER"/>
    <s v="4121"/>
    <s v="Transportation"/>
    <n v="20.94"/>
    <s v="Personal (Reimbursement)"/>
    <s v="International merchant - Amex not accepted"/>
    <s v="Y"/>
    <s v="Transportation"/>
    <s v="MATCH"/>
    <x v="0"/>
  </r>
  <r>
    <s v="EXP100759"/>
    <s v="E112"/>
    <s v="AX-560119408"/>
    <d v="2026-02-11T00:00:00"/>
    <d v="2026-02-14T00:00:00"/>
    <s v="TOPGOLF #442"/>
    <s v="7997"/>
    <s v="Entertainment"/>
    <n v="231.24"/>
    <s v="Corporate Amex"/>
    <m/>
    <s v="Y"/>
    <s v="Entertainment"/>
    <s v="MATCH"/>
    <x v="2"/>
  </r>
  <r>
    <s v="EXP100760"/>
    <s v="E112"/>
    <m/>
    <d v="2026-02-04T00:00:00"/>
    <d v="2026-02-14T00:00:00"/>
    <s v="AMAZON MKTPLACE PMTS"/>
    <s v="5942"/>
    <s v="Office Supplies"/>
    <n v="277.58"/>
    <s v="Personal (Reimbursement)"/>
    <s v="International merchant - Amex not accepted"/>
    <s v="Y"/>
    <s v="Office Supplies"/>
    <s v="MATCH"/>
    <x v="2"/>
  </r>
  <r>
    <s v="EXP100761"/>
    <s v="E073"/>
    <s v="AX617314718"/>
    <d v="2026-02-11T00:00:00"/>
    <d v="2026-02-14T00:00:00"/>
    <s v="TOPGOLF #442"/>
    <s v="7997"/>
    <s v="Entertainment"/>
    <n v="138.43"/>
    <s v="Corporate Amex"/>
    <m/>
    <s v="Y"/>
    <s v="Entertainment"/>
    <s v="MATCH"/>
    <x v="2"/>
  </r>
  <r>
    <s v="EXP100762"/>
    <s v="E227"/>
    <s v="AX 277326067"/>
    <d v="2026-02-11T00:00:00"/>
    <d v="2026-02-14T00:00:00"/>
    <s v="UNITED AIRLINES 0162233"/>
    <s v="4511"/>
    <s v="Travel"/>
    <n v="463.86"/>
    <s v="Corporate Amex"/>
    <m/>
    <s v="Y"/>
    <s v="Travel"/>
    <s v="MATCH"/>
    <x v="4"/>
  </r>
  <r>
    <s v="EXP100763"/>
    <s v="E054"/>
    <s v="ax784546913"/>
    <d v="2026-02-07T00:00:00"/>
    <d v="2026-02-14T00:00:00"/>
    <s v="ADOBE *CREATIVE CLOUD"/>
    <s v="5734"/>
    <s v="Software"/>
    <n v="32.130000000000003"/>
    <s v="Corporate Amex"/>
    <m/>
    <s v="Y"/>
    <s v="Software"/>
    <s v="MATCH"/>
    <x v="0"/>
  </r>
  <r>
    <s v="EXP100764"/>
    <s v="E217"/>
    <m/>
    <d v="2026-02-10T00:00:00"/>
    <d v="2026-02-14T00:00:00"/>
    <s v="AMAZON MKTPLACE PMTS"/>
    <s v="5942"/>
    <s v="Office Supplies"/>
    <n v="208.81"/>
    <s v="Corporate Amex"/>
    <m/>
    <s v="Y"/>
    <s v="Office Supplies"/>
    <s v="MATCH"/>
    <x v="4"/>
  </r>
  <r>
    <s v="EXP100765"/>
    <s v="E259"/>
    <s v="AX982932230"/>
    <d v="2026-02-12T00:00:00"/>
    <d v="2026-02-14T00:00:00"/>
    <s v="EVENTBRITE"/>
    <s v="7999"/>
    <s v="Events"/>
    <n v="274.5"/>
    <s v="Corporate Amex"/>
    <m/>
    <s v="Y"/>
    <s v="Events"/>
    <s v="MATCH"/>
    <x v="8"/>
  </r>
  <r>
    <s v="EXP100766"/>
    <s v="E024"/>
    <s v="AX130046680"/>
    <d v="2026-02-07T00:00:00"/>
    <d v="2026-02-14T00:00:00"/>
    <s v="AMAZON MKTPLACE PMTS"/>
    <s v="5942"/>
    <s v="Office Supplies"/>
    <n v="402.21"/>
    <s v="Corporate Amex"/>
    <m/>
    <s v="Y"/>
    <s v="Office Supplies"/>
    <s v="MATCH"/>
    <x v="0"/>
  </r>
  <r>
    <s v="EXP100767"/>
    <s v="E137"/>
    <s v="AX-834255796"/>
    <d v="2026-02-05T00:00:00"/>
    <d v="2026-02-14T00:00:00"/>
    <s v="AMC THEATRES 0021"/>
    <s v="7832"/>
    <s v="Entertainment"/>
    <n v="52.8"/>
    <s v="Corporate Amex"/>
    <m/>
    <s v="Y"/>
    <s v="Entertainment"/>
    <s v="MATCH"/>
    <x v="7"/>
  </r>
  <r>
    <s v="EXP100768"/>
    <s v="E243"/>
    <m/>
    <d v="2026-02-13T00:00:00"/>
    <d v="2026-02-14T00:00:00"/>
    <s v="AMC THEATRES 0021"/>
    <s v="7832"/>
    <s v="Entertainment"/>
    <n v="23.37"/>
    <s v="Corporate Amex"/>
    <m/>
    <s v="N"/>
    <s v="Entertainment"/>
    <s v="MATCH"/>
    <x v="1"/>
  </r>
  <r>
    <s v="EXP100769"/>
    <s v="E143"/>
    <s v="AX 522553489"/>
    <d v="2026-02-11T00:00:00"/>
    <d v="2026-02-15T00:00:00"/>
    <s v="STAPLES #0231"/>
    <s v="5943"/>
    <s v="Office Supplies"/>
    <n v="16.21"/>
    <s v="Corporate Amex"/>
    <m/>
    <s v="Y"/>
    <s v="Office Supplies"/>
    <s v="MATCH"/>
    <x v="7"/>
  </r>
  <r>
    <s v="EXP100770"/>
    <s v="E037"/>
    <s v="AX 279213260"/>
    <d v="2026-02-10T00:00:00"/>
    <d v="2026-02-15T00:00:00"/>
    <s v="MICROSOFT*365"/>
    <s v="5734"/>
    <s v="Software"/>
    <n v="34.869999999999997"/>
    <s v="Corporate Amex"/>
    <m/>
    <s v="Y"/>
    <s v="Software"/>
    <s v="MATCH"/>
    <x v="0"/>
  </r>
  <r>
    <s v="EXP100771"/>
    <s v="E038"/>
    <m/>
    <d v="2026-02-15T00:00:00"/>
    <d v="2026-02-15T00:00:00"/>
    <s v="TOPGOLF #442"/>
    <s v="7997"/>
    <s v="Entertainment"/>
    <n v="76.41"/>
    <s v="Corporate Amex"/>
    <m/>
    <s v="N"/>
    <s v="Entertainment"/>
    <s v="MATCH"/>
    <x v="0"/>
  </r>
  <r>
    <s v="EXP100772"/>
    <s v="E032"/>
    <m/>
    <d v="2026-02-08T00:00:00"/>
    <d v="2026-02-15T00:00:00"/>
    <s v="HYATT REGENCY BOS"/>
    <s v="7011"/>
    <s v="Lodging"/>
    <n v="433.62"/>
    <s v="Personal (Reimbursement)"/>
    <s v="Amex declined - vendor doesn't accept Amex"/>
    <s v="Y"/>
    <s v="Lodging"/>
    <s v="MATCH"/>
    <x v="0"/>
  </r>
  <r>
    <s v="EXP100773"/>
    <s v="E032"/>
    <s v="AX 422464517"/>
    <d v="2026-02-10T00:00:00"/>
    <d v="2026-02-15T00:00:00"/>
    <s v="YELLOW CAB CO"/>
    <s v="4121"/>
    <s v="Transportation"/>
    <n v="46.72"/>
    <s v="Corporate Amex"/>
    <m/>
    <s v="Y"/>
    <s v="Transportation"/>
    <s v="MATCH"/>
    <x v="0"/>
  </r>
  <r>
    <s v="EXP100775"/>
    <s v="E244"/>
    <s v="AX 363432499"/>
    <d v="2026-02-12T00:00:00"/>
    <d v="2026-02-15T00:00:00"/>
    <s v="TOPGOLF #442"/>
    <s v="7997"/>
    <s v="Entertainment"/>
    <n v="83.62"/>
    <s v="Corporate Amex"/>
    <m/>
    <s v="Y"/>
    <s v="Entertainment"/>
    <s v="MATCH"/>
    <x v="1"/>
  </r>
  <r>
    <s v="EXP100776"/>
    <s v="E169"/>
    <m/>
    <d v="2026-02-13T00:00:00"/>
    <d v="2026-02-15T00:00:00"/>
    <s v="YELLOW CAB CO"/>
    <s v="4121"/>
    <s v="Transportation"/>
    <n v="12.86"/>
    <s v="Corporate Amex"/>
    <m/>
    <s v="Y"/>
    <s v="Transportation"/>
    <s v="MATCH"/>
    <x v="6"/>
  </r>
  <r>
    <s v="EXP100777"/>
    <s v="E024"/>
    <s v="AX 713621394"/>
    <d v="2026-02-13T00:00:00"/>
    <d v="2026-02-15T00:00:00"/>
    <s v="DELTA AIR 00623891045"/>
    <s v="4511"/>
    <s v="Travel"/>
    <n v="322.2"/>
    <s v="Corporate Amex"/>
    <m/>
    <s v="Y"/>
    <s v="Travel"/>
    <s v="MATCH"/>
    <x v="0"/>
  </r>
  <r>
    <s v="EXP100778"/>
    <s v="E070"/>
    <s v="AX718725423"/>
    <d v="2026-02-11T00:00:00"/>
    <d v="2026-02-15T00:00:00"/>
    <s v="ZOOM.US"/>
    <s v="5734"/>
    <s v="Software"/>
    <n v="55.97"/>
    <s v="Corporate Amex"/>
    <m/>
    <s v="Y"/>
    <s v="Software"/>
    <s v="MATCH"/>
    <x v="0"/>
  </r>
  <r>
    <s v="EXP100779"/>
    <s v="E057"/>
    <m/>
    <d v="2026-02-06T00:00:00"/>
    <d v="2026-02-15T00:00:00"/>
    <s v="SOUTHWEST AIR 5261823"/>
    <s v="4511"/>
    <s v="Travel"/>
    <n v="229.72"/>
    <s v="Corporate Amex"/>
    <m/>
    <s v="Y"/>
    <s v="Travel"/>
    <s v="MATCH"/>
    <x v="0"/>
  </r>
  <r>
    <s v="EXP100780"/>
    <s v="E036"/>
    <s v="AX995774128"/>
    <d v="2026-02-15T00:00:00"/>
    <d v="2026-02-15T00:00:00"/>
    <s v="OLIVE GARDEN 00456"/>
    <s v="5812"/>
    <s v="Meals"/>
    <n v="130.51"/>
    <s v="Corporate Amex"/>
    <m/>
    <s v="Y"/>
    <s v="Meals"/>
    <s v="MATCH"/>
    <x v="0"/>
  </r>
  <r>
    <s v="EXP100781"/>
    <s v="E194"/>
    <s v="AX 979701831"/>
    <d v="2026-02-13T00:00:00"/>
    <d v="2026-02-15T00:00:00"/>
    <s v="LYFT RIDE THU"/>
    <s v="4121"/>
    <s v="Transportation"/>
    <n v="28.19"/>
    <s v="Corporate Amex"/>
    <m/>
    <s v="Y"/>
    <s v="Transportation"/>
    <s v="MATCH"/>
    <x v="5"/>
  </r>
  <r>
    <s v="EXP100782"/>
    <s v="E109"/>
    <m/>
    <d v="2026-02-05T00:00:00"/>
    <d v="2026-02-15T00:00:00"/>
    <s v="REGION CATERING CO"/>
    <s v="5811"/>
    <s v="  Events "/>
    <n v="98.45"/>
    <s v="Corporate Amex"/>
    <m/>
    <s v="Y"/>
    <s v="Events"/>
    <s v="MATCH"/>
    <x v="2"/>
  </r>
  <r>
    <s v="EXP100783"/>
    <s v="E051"/>
    <s v="AX 760534335"/>
    <d v="2026-02-13T00:00:00"/>
    <d v="2026-02-15T00:00:00"/>
    <s v="PANERA BREAD #0231"/>
    <s v="5812"/>
    <s v="Meals"/>
    <n v="10.43"/>
    <s v="Corporate Amex"/>
    <m/>
    <s v="Y"/>
    <s v="Meals"/>
    <s v="MATCH"/>
    <x v="0"/>
  </r>
  <r>
    <s v="EXP100784"/>
    <s v="E235"/>
    <s v="AX783473700"/>
    <d v="2026-02-08T00:00:00"/>
    <d v="2026-02-15T00:00:00"/>
    <s v="YELLOW CAB CO"/>
    <s v="4121"/>
    <s v="  Transportation "/>
    <n v="33.86"/>
    <s v="Corporate Amex"/>
    <m/>
    <s v="Y"/>
    <s v="Transportation"/>
    <s v="MATCH"/>
    <x v="1"/>
  </r>
  <r>
    <s v="EXP100785"/>
    <s v="E147"/>
    <m/>
    <d v="2026-02-15T00:00:00"/>
    <d v="2026-02-15T00:00:00"/>
    <s v="ZOOM.US"/>
    <s v="5734"/>
    <s v="Software"/>
    <n v="39"/>
    <s v="Corporate Amex"/>
    <m/>
    <s v="Y"/>
    <s v="Software"/>
    <s v="MATCH"/>
    <x v="7"/>
  </r>
  <r>
    <s v="EXP100786"/>
    <s v="E041"/>
    <s v="AX312432312"/>
    <d v="2026-02-15T00:00:00"/>
    <d v="2026-02-15T00:00:00"/>
    <s v="MICROSOFT*365"/>
    <s v="5734"/>
    <s v="Software"/>
    <n v="19.82"/>
    <s v="Corporate Amex"/>
    <m/>
    <s v="Y"/>
    <s v="Software"/>
    <s v="MATCH"/>
    <x v="0"/>
  </r>
  <r>
    <s v="EXP100787"/>
    <s v="E257"/>
    <s v="ax732605641"/>
    <d v="2026-02-15T00:00:00"/>
    <d v="2026-02-15T00:00:00"/>
    <s v=" STAPLES #0231"/>
    <s v="5943"/>
    <s v="Office Supplies"/>
    <n v="178.52"/>
    <s v="Corporate Amex"/>
    <m/>
    <s v="Y"/>
    <s v="Office Supplies"/>
    <s v="MATCH"/>
    <x v="8"/>
  </r>
  <r>
    <s v="EXP100788"/>
    <s v="E044"/>
    <s v="AX547734007"/>
    <d v="2026-02-07T00:00:00"/>
    <d v="2026-02-16T00:00:00"/>
    <s v="HOOTSUITE INC"/>
    <s v="5734"/>
    <s v="Software"/>
    <n v="127.53"/>
    <s v="Corporate Amex"/>
    <m/>
    <s v="Y"/>
    <s v="Software"/>
    <s v="MATCH"/>
    <x v="0"/>
  </r>
  <r>
    <s v="EXP100789"/>
    <s v="E216"/>
    <s v="AX285143807"/>
    <d v="2026-02-07T00:00:00"/>
    <d v="2026-02-16T00:00:00"/>
    <s v="DELTA AIR 00623891045"/>
    <s v="4511"/>
    <s v="Travel"/>
    <n v="220.67"/>
    <s v="Corporate Amex"/>
    <m/>
    <s v="Y"/>
    <s v="Travel"/>
    <s v="MATCH"/>
    <x v="4"/>
  </r>
  <r>
    <s v="EXP100790"/>
    <s v="E045"/>
    <m/>
    <d v="2026-02-15T00:00:00"/>
    <d v="2026-02-16T00:00:00"/>
    <s v="TOPGOLF #442"/>
    <s v="7997"/>
    <s v="Entertainment"/>
    <n v="150.96"/>
    <s v="Corporate Amex"/>
    <m/>
    <s v="Y"/>
    <s v="Entertainment"/>
    <s v="MATCH"/>
    <x v="0"/>
  </r>
  <r>
    <s v="EXP100791"/>
    <s v="E233"/>
    <s v="ax397150235"/>
    <d v="2026-02-08T00:00:00"/>
    <d v="2026-02-16T00:00:00"/>
    <s v="AMC THEATRES 0021"/>
    <s v="7832"/>
    <m/>
    <n v="23.94"/>
    <s v="Corporate Amex"/>
    <m/>
    <s v="Y"/>
    <s v="Entertainment"/>
    <s v="BLANK"/>
    <x v="1"/>
  </r>
  <r>
    <s v="EXP100792"/>
    <s v="E053"/>
    <s v="AX-968403341"/>
    <d v="2026-02-14T00:00:00"/>
    <d v="2026-02-16T00:00:00"/>
    <s v="EVENTBRITE"/>
    <s v="7999"/>
    <s v="Events"/>
    <n v="151.11000000000001"/>
    <s v="Corporate Amex"/>
    <m/>
    <s v="Y"/>
    <s v="Events"/>
    <s v="MATCH"/>
    <x v="0"/>
  </r>
  <r>
    <s v="EXP100793"/>
    <s v="E143"/>
    <s v="AX532466843"/>
    <d v="2026-02-06T00:00:00"/>
    <d v="2026-02-16T00:00:00"/>
    <s v="SPROUT SOCIAL"/>
    <s v="5734"/>
    <s v="Software"/>
    <n v="177.02"/>
    <s v="Corporate Amex"/>
    <m/>
    <s v="Y"/>
    <s v="Software"/>
    <s v="MATCH"/>
    <x v="7"/>
  </r>
  <r>
    <s v="EXP100794"/>
    <s v="E143"/>
    <s v="AX-237159657"/>
    <d v="2026-02-15T00:00:00"/>
    <d v="2026-02-16T00:00:00"/>
    <s v="SOUTHWEST AIR 5261823"/>
    <s v="4511"/>
    <s v="Travel"/>
    <n v="139.82"/>
    <s v="Corporate Amex"/>
    <m/>
    <s v="Y"/>
    <s v="Travel"/>
    <s v="MATCH"/>
    <x v="7"/>
  </r>
  <r>
    <s v="EXP100795"/>
    <s v="E077"/>
    <s v="AX863364313"/>
    <d v="2026-02-09T00:00:00"/>
    <d v="2026-02-16T00:00:00"/>
    <s v="TOPGOLF #442"/>
    <s v="7997"/>
    <m/>
    <n v="111.01"/>
    <s v="Corporate Amex"/>
    <m/>
    <s v="N"/>
    <s v="Entertainment"/>
    <s v="BLANK"/>
    <x v="2"/>
  </r>
  <r>
    <s v="EXP100796"/>
    <s v="E081"/>
    <s v="AX886774462"/>
    <d v="2026-02-16T00:00:00"/>
    <d v="2026-02-16T00:00:00"/>
    <s v="BRANDWATCH LTD"/>
    <s v="5734"/>
    <s v="Software"/>
    <n v="338.6"/>
    <s v="Corporate Amex"/>
    <m/>
    <s v="Y"/>
    <s v="Software"/>
    <s v="MATCH"/>
    <x v="2"/>
  </r>
  <r>
    <s v="EXP100797"/>
    <s v="E081"/>
    <m/>
    <d v="2026-02-11T00:00:00"/>
    <d v="2026-02-16T00:00:00"/>
    <s v="OLIVE GARDEN 00456"/>
    <s v="5812"/>
    <s v="Meals"/>
    <n v="112.26"/>
    <s v="Corporate Amex"/>
    <m/>
    <s v="Y"/>
    <s v="Meals"/>
    <s v="MATCH"/>
    <x v="2"/>
  </r>
  <r>
    <s v="EXP100798"/>
    <s v="E013"/>
    <s v="AX887425276"/>
    <d v="2026-02-09T00:00:00"/>
    <d v="2026-02-16T00:00:00"/>
    <s v="HYATT REGENCY BOS"/>
    <s v="7011"/>
    <s v="Events"/>
    <n v="357.46"/>
    <s v="Corporate Amex"/>
    <m/>
    <s v="Y"/>
    <s v="Lodging"/>
    <s v="MISMATCH"/>
    <x v="0"/>
  </r>
  <r>
    <s v="EXP100799"/>
    <s v="E145"/>
    <s v="AX768361550"/>
    <d v="2026-02-10T00:00:00"/>
    <d v="2026-02-16T00:00:00"/>
    <s v="DELTA AIR 00623891045"/>
    <s v="4511"/>
    <s v="Travel"/>
    <n v="296.56"/>
    <s v="Corporate Amex"/>
    <m/>
    <s v="Y"/>
    <s v="Travel"/>
    <s v="MATCH"/>
    <x v="7"/>
  </r>
  <r>
    <s v="EXP100800"/>
    <s v="E221"/>
    <s v="AX939771800"/>
    <d v="2026-02-12T00:00:00"/>
    <d v="2026-02-16T00:00:00"/>
    <s v="HOOTSUITE INC"/>
    <s v="5734"/>
    <s v="Software"/>
    <n v="56.61"/>
    <s v="Corporate Amex"/>
    <m/>
    <s v="Y"/>
    <s v="Software"/>
    <s v="MATCH"/>
    <x v="4"/>
  </r>
  <r>
    <s v="EXP100801"/>
    <s v="E079"/>
    <s v="AX217221398"/>
    <d v="2026-02-08T00:00:00"/>
    <d v="2026-02-16T00:00:00"/>
    <s v="STARBUCKS #4471"/>
    <s v="5812"/>
    <s v="Meals"/>
    <n v="9.11"/>
    <s v="Corporate Amex"/>
    <m/>
    <s v="Y"/>
    <s v="Meals"/>
    <s v="MATCH"/>
    <x v="2"/>
  </r>
  <r>
    <s v="EXP100802"/>
    <s v="E005"/>
    <s v="AX882635729"/>
    <d v="2026-02-13T00:00:00"/>
    <d v="2026-02-16T00:00:00"/>
    <s v="OLIVE GARDEN 00456"/>
    <s v="5812"/>
    <s v="Meals"/>
    <n v="115.11"/>
    <s v="Corporate Amex"/>
    <m/>
    <s v="Y"/>
    <s v="Meals"/>
    <s v="MATCH"/>
    <x v="0"/>
  </r>
  <r>
    <s v="EXP100803"/>
    <s v="E139"/>
    <s v="AX714436422"/>
    <d v="2026-02-12T00:00:00"/>
    <d v="2026-02-16T00:00:00"/>
    <s v="TOPGOLF #442"/>
    <s v="7997"/>
    <m/>
    <n v="167.67"/>
    <s v="Corporate Amex"/>
    <m/>
    <s v="N"/>
    <s v="Entertainment"/>
    <s v="BLANK"/>
    <x v="7"/>
  </r>
  <r>
    <s v="EXP100804"/>
    <s v="E001"/>
    <s v="ax342714866"/>
    <d v="2026-02-16T00:00:00"/>
    <d v="2026-02-16T00:00:00"/>
    <s v="AMC THEATRES 0021"/>
    <s v="7832"/>
    <s v="Entertainment"/>
    <n v="53.57"/>
    <s v="Corporate Amex"/>
    <m/>
    <s v="Y"/>
    <s v="Entertainment"/>
    <s v="MATCH"/>
    <x v="0"/>
  </r>
  <r>
    <s v="EXP100805"/>
    <s v="E029"/>
    <m/>
    <d v="2026-02-13T00:00:00"/>
    <d v="2026-02-16T00:00:00"/>
    <s v="HOOTSUITE INC"/>
    <s v="5734"/>
    <s v="Software"/>
    <n v="75.569999999999993"/>
    <s v="Personal (Reimbursement)"/>
    <s v="Forgot corporate card"/>
    <s v="Y"/>
    <s v="Software"/>
    <s v="MATCH"/>
    <x v="0"/>
  </r>
  <r>
    <s v="EXP100806"/>
    <s v="E250"/>
    <s v="ax389461814"/>
    <d v="2026-02-06T00:00:00"/>
    <d v="2026-02-16T00:00:00"/>
    <s v="STARBUCKS #4471"/>
    <s v="5812"/>
    <s v="Meals"/>
    <n v="12.43"/>
    <s v="Corporate Amex"/>
    <m/>
    <s v="Y"/>
    <s v="Meals"/>
    <s v="MATCH"/>
    <x v="1"/>
  </r>
  <r>
    <s v="EXP100807"/>
    <s v="E113"/>
    <s v="AX113543638"/>
    <d v="2026-02-12T00:00:00"/>
    <d v="2026-02-16T00:00:00"/>
    <s v="AMC THEATRES 0021"/>
    <s v="7832"/>
    <s v="Entertainment"/>
    <n v="45.52"/>
    <s v="Corporate Amex"/>
    <m/>
    <s v="Y"/>
    <s v="Entertainment"/>
    <s v="MATCH"/>
    <x v="2"/>
  </r>
  <r>
    <s v="EXP100808"/>
    <s v="E030"/>
    <s v="ax773888787"/>
    <d v="2026-02-16T00:00:00"/>
    <d v="2026-02-16T00:00:00"/>
    <s v="SOUTHWEST AIR 5261823"/>
    <s v="4511"/>
    <s v="Travel"/>
    <n v="151.44999999999999"/>
    <s v="Corporate Amex"/>
    <m/>
    <s v="Y"/>
    <s v="Travel"/>
    <s v="MATCH"/>
    <x v="0"/>
  </r>
  <r>
    <s v="EXP100809"/>
    <s v="E017"/>
    <s v="AX 492464441"/>
    <d v="2026-02-07T00:00:00"/>
    <d v="2026-02-16T00:00:00"/>
    <s v="SOUTHWEST AIR 5261823"/>
    <s v="4511"/>
    <s v="Travel"/>
    <n v="362.95"/>
    <s v="Corporate Amex"/>
    <m/>
    <s v="Y"/>
    <s v="Travel"/>
    <s v="MATCH"/>
    <x v="0"/>
  </r>
  <r>
    <s v="EXP100810"/>
    <s v="E027"/>
    <s v="ax561957883"/>
    <d v="2026-02-10T00:00:00"/>
    <d v="2026-02-17T00:00:00"/>
    <s v="ZOOM.US"/>
    <s v="5734"/>
    <s v="Software"/>
    <n v="15.55"/>
    <s v="Corporate Amex"/>
    <m/>
    <s v="N"/>
    <s v="Software"/>
    <s v="MATCH"/>
    <x v="0"/>
  </r>
  <r>
    <s v="EXP100811"/>
    <s v="E049"/>
    <s v="AX823523375"/>
    <d v="2026-02-14T00:00:00"/>
    <d v="2026-02-17T00:00:00"/>
    <s v=" AMAZON MKTPLACE PMTS"/>
    <s v="5942"/>
    <s v="Office Supplies"/>
    <n v="146.13"/>
    <s v="Corporate Amex"/>
    <m/>
    <s v="Y"/>
    <s v="Office Supplies"/>
    <s v="MATCH"/>
    <x v="0"/>
  </r>
  <r>
    <s v="EXP100812"/>
    <s v="E049"/>
    <m/>
    <d v="2026-02-10T00:00:00"/>
    <d v="2026-02-17T00:00:00"/>
    <s v="ZOOM.US"/>
    <s v="5734"/>
    <m/>
    <n v="44.34"/>
    <s v="Corporate Amex"/>
    <m/>
    <s v="Y"/>
    <s v="Software"/>
    <s v="BLANK"/>
    <x v="0"/>
  </r>
  <r>
    <s v="EXP100814"/>
    <s v="E048"/>
    <s v="AX428537704"/>
    <d v="2026-02-15T00:00:00"/>
    <d v="2026-02-17T00:00:00"/>
    <s v="AMAZON MKTPLACE PMTS"/>
    <s v="5942"/>
    <s v="Other"/>
    <n v="373.21"/>
    <s v="Corporate Amex"/>
    <m/>
    <s v="Y"/>
    <s v="Office Supplies"/>
    <s v="MISMATCH"/>
    <x v="0"/>
  </r>
  <r>
    <s v="EXP100815"/>
    <s v="E048"/>
    <s v="AX166642109"/>
    <d v="2026-02-12T00:00:00"/>
    <d v="2026-02-17T00:00:00"/>
    <s v="STARBUCKS #4471"/>
    <s v="5812"/>
    <s v="Meals"/>
    <n v="16.309999999999999"/>
    <s v="Corporate Amex"/>
    <m/>
    <s v="Y"/>
    <s v="Meals"/>
    <s v="MATCH"/>
    <x v="0"/>
  </r>
  <r>
    <s v="EXP100816"/>
    <s v="E008"/>
    <s v="ax654554883"/>
    <d v="2026-02-13T00:00:00"/>
    <d v="2026-02-17T00:00:00"/>
    <s v="TOTAL PARTY RENTAL"/>
    <s v="7999"/>
    <s v="Events"/>
    <n v="489.19"/>
    <s v="Corporate Amex"/>
    <m/>
    <s v="Y"/>
    <s v="Events"/>
    <s v="MATCH"/>
    <x v="0"/>
  </r>
  <r>
    <s v="EXP100817"/>
    <s v="E063"/>
    <s v="ax740293737"/>
    <d v="2026-02-10T00:00:00"/>
    <d v="2026-02-17T00:00:00"/>
    <s v="AMC THEATRES 0021"/>
    <s v="7832"/>
    <s v="Entertainment"/>
    <n v="49.53"/>
    <s v="Corporate Amex"/>
    <m/>
    <s v="Y"/>
    <s v="Entertainment"/>
    <s v="MATCH"/>
    <x v="0"/>
  </r>
  <r>
    <s v="EXP100818"/>
    <s v="E116"/>
    <s v="AX597543381"/>
    <d v="2026-02-09T00:00:00"/>
    <d v="2026-02-17T00:00:00"/>
    <s v="HILTON GARDEN INN 2231"/>
    <s v="7011"/>
    <s v="Lodging"/>
    <n v="155.94"/>
    <s v="Corporate Amex"/>
    <m/>
    <s v="Y"/>
    <s v="Lodging"/>
    <s v="MATCH"/>
    <x v="7"/>
  </r>
  <r>
    <s v="EXP100819"/>
    <s v="E011"/>
    <s v="ax560812488"/>
    <d v="2026-02-08T00:00:00"/>
    <d v="2026-02-17T00:00:00"/>
    <s v="SPROUT SOCIAL"/>
    <s v="5734"/>
    <s v="Software"/>
    <n v="138.94999999999999"/>
    <s v="Corporate Amex"/>
    <m/>
    <s v="Y"/>
    <s v="Software"/>
    <s v="MATCH"/>
    <x v="0"/>
  </r>
  <r>
    <s v="EXP100820"/>
    <s v="E011"/>
    <s v="AX-679579299"/>
    <d v="2026-02-11T00:00:00"/>
    <d v="2026-02-17T00:00:00"/>
    <s v="STAPLES #0231"/>
    <s v="5943"/>
    <s v="Office Supplies"/>
    <n v="173.36"/>
    <s v="Corporate Amex"/>
    <m/>
    <s v="Y"/>
    <s v="Office Supplies"/>
    <s v="MATCH"/>
    <x v="0"/>
  </r>
  <r>
    <s v="EXP100821"/>
    <s v="E078"/>
    <m/>
    <d v="2026-02-16T00:00:00"/>
    <d v="2026-02-17T00:00:00"/>
    <s v="REGION CATERING CO"/>
    <s v="5811"/>
    <s v="Events"/>
    <n v="511.16"/>
    <s v="Corporate Amex"/>
    <m/>
    <s v="Y"/>
    <s v="Events"/>
    <s v="MATCH"/>
    <x v="2"/>
  </r>
  <r>
    <s v="EXP100822"/>
    <s v="E069"/>
    <s v="AX 912229071"/>
    <d v="2026-02-10T00:00:00"/>
    <d v="2026-02-17T00:00:00"/>
    <s v="ZOOM.US"/>
    <s v="5734"/>
    <s v="  Software "/>
    <n v="39.299999999999997"/>
    <s v="Corporate Amex"/>
    <m/>
    <s v="Y"/>
    <s v="Software"/>
    <s v="MATCH"/>
    <x v="0"/>
  </r>
  <r>
    <s v="EXP100823"/>
    <s v="E066"/>
    <m/>
    <d v="2026-02-15T00:00:00"/>
    <d v="2026-02-17T00:00:00"/>
    <s v="OLIVE GARDEN 00456"/>
    <s v="5812"/>
    <s v="Meals"/>
    <n v="53.78"/>
    <s v="Corporate Amex"/>
    <m/>
    <s v="Y"/>
    <s v="Meals"/>
    <s v="MATCH"/>
    <x v="0"/>
  </r>
  <r>
    <s v="EXP100824"/>
    <s v="E108"/>
    <s v="AX516065364"/>
    <d v="2026-02-12T00:00:00"/>
    <d v="2026-02-17T00:00:00"/>
    <s v="ZOOM.US"/>
    <s v="5734"/>
    <s v="Software"/>
    <n v="49.74"/>
    <s v="Corporate Amex"/>
    <m/>
    <s v="Y"/>
    <s v="Software"/>
    <s v="MATCH"/>
    <x v="2"/>
  </r>
  <r>
    <s v="EXP100825"/>
    <s v="E064"/>
    <s v="ax378428973"/>
    <d v="2026-02-12T00:00:00"/>
    <d v="2026-02-17T00:00:00"/>
    <s v=" CHIPOTLE 2214"/>
    <s v="5812"/>
    <s v="Meals"/>
    <n v="10.56"/>
    <s v="Corporate Amex"/>
    <m/>
    <s v="Y"/>
    <s v="Meals"/>
    <s v="MATCH"/>
    <x v="0"/>
  </r>
  <r>
    <s v="EXP100826"/>
    <s v="E263"/>
    <s v="AX247756447"/>
    <d v="2026-02-08T00:00:00"/>
    <d v="2026-02-17T00:00:00"/>
    <s v="LYFT RIDE THU"/>
    <s v="4121"/>
    <s v="Transportation"/>
    <n v="32.6"/>
    <s v="Corporate Amex"/>
    <m/>
    <s v="Y"/>
    <s v="Transportation"/>
    <s v="MATCH"/>
    <x v="3"/>
  </r>
  <r>
    <s v="EXP100827"/>
    <s v="E188"/>
    <s v="AX 626738477"/>
    <d v="2026-02-07T00:00:00"/>
    <d v="2026-02-17T00:00:00"/>
    <s v="HOOTSUITE INC"/>
    <s v="5734"/>
    <s v="Software"/>
    <n v="74.34"/>
    <s v="Corporate Amex"/>
    <m/>
    <s v="Y"/>
    <s v="Software"/>
    <s v="MATCH"/>
    <x v="5"/>
  </r>
  <r>
    <s v="EXP100828"/>
    <s v="E150"/>
    <s v="AX103342081"/>
    <d v="2026-02-15T00:00:00"/>
    <d v="2026-02-17T00:00:00"/>
    <s v="TOTAL PARTY RENTAL"/>
    <s v="7999"/>
    <m/>
    <n v="380.71"/>
    <s v="Corporate Amex"/>
    <m/>
    <s v="Y"/>
    <s v="Events"/>
    <s v="BLANK"/>
    <x v="7"/>
  </r>
  <r>
    <s v="EXP100829"/>
    <s v="E254"/>
    <s v="AX352542232"/>
    <d v="2026-02-16T00:00:00"/>
    <d v="2026-02-17T00:00:00"/>
    <s v="YELLOW CAB CO"/>
    <s v="4121"/>
    <s v="Transportation"/>
    <n v="13.8"/>
    <s v="Corporate Amex"/>
    <m/>
    <s v="Y"/>
    <s v="Transportation"/>
    <s v="MATCH"/>
    <x v="8"/>
  </r>
  <r>
    <s v="EXP100830"/>
    <s v="E109"/>
    <m/>
    <d v="2026-02-12T00:00:00"/>
    <d v="2026-02-17T00:00:00"/>
    <s v="OLIVE GARDEN 00456"/>
    <s v="5812"/>
    <s v="Meals"/>
    <n v="124.9"/>
    <s v="Corporate Amex"/>
    <m/>
    <s v="Y"/>
    <s v="Meals"/>
    <s v="MATCH"/>
    <x v="2"/>
  </r>
  <r>
    <s v="EXP100831"/>
    <s v="E058"/>
    <s v="ax946007913"/>
    <d v="2026-02-16T00:00:00"/>
    <d v="2026-02-17T00:00:00"/>
    <s v="REGION CATERING CO"/>
    <s v="5811"/>
    <s v="Events"/>
    <n v="510.8"/>
    <s v="Corporate Amex"/>
    <m/>
    <s v="Y"/>
    <s v="Events"/>
    <s v="MATCH"/>
    <x v="0"/>
  </r>
  <r>
    <s v="EXP100832"/>
    <s v="E045"/>
    <s v="AX394083892"/>
    <d v="2026-02-08T00:00:00"/>
    <d v="2026-02-17T00:00:00"/>
    <s v="SOUTHWEST AIR 5261823"/>
    <s v="4511"/>
    <s v="Travel"/>
    <n v="399.51"/>
    <s v="Corporate Amex"/>
    <m/>
    <s v="Y"/>
    <s v="Travel"/>
    <s v="MATCH"/>
    <x v="0"/>
  </r>
  <r>
    <s v="EXP100833"/>
    <s v="E012"/>
    <s v="AX642129210"/>
    <d v="2026-02-15T00:00:00"/>
    <d v="2026-02-17T00:00:00"/>
    <s v="PANERA BREAD #0231"/>
    <s v="5812"/>
    <s v="Meals"/>
    <n v="18.5"/>
    <s v="Corporate Amex"/>
    <m/>
    <s v="Y"/>
    <s v="Meals"/>
    <s v="MATCH"/>
    <x v="0"/>
  </r>
  <r>
    <s v="EXP100834"/>
    <s v="E022"/>
    <m/>
    <d v="2026-02-12T00:00:00"/>
    <d v="2026-02-17T00:00:00"/>
    <s v="OLIVE GARDEN 00456"/>
    <s v="5812"/>
    <s v="Meals"/>
    <n v="79.59"/>
    <s v="Personal (Reimbursement)"/>
    <s v="Card not yet issued"/>
    <s v="Y"/>
    <s v="Meals"/>
    <s v="MATCH"/>
    <x v="0"/>
  </r>
  <r>
    <s v="EXP100835"/>
    <s v="E125"/>
    <s v="AX-857565230"/>
    <d v="2026-02-10T00:00:00"/>
    <d v="2026-02-17T00:00:00"/>
    <s v="MICROSOFT*365"/>
    <s v="5734"/>
    <s v="  Software "/>
    <n v="65.12"/>
    <s v="Corporate Amex"/>
    <m/>
    <s v="Y"/>
    <s v="Software"/>
    <s v="MATCH"/>
    <x v="7"/>
  </r>
  <r>
    <s v="EXP100836"/>
    <s v="E055"/>
    <s v="AX-358868583"/>
    <d v="2026-02-16T00:00:00"/>
    <d v="2026-02-17T00:00:00"/>
    <s v="BRANDWATCH LTD"/>
    <s v="5734"/>
    <s v="Software"/>
    <n v="405.73"/>
    <s v="Corporate Amex"/>
    <m/>
    <s v="N"/>
    <s v="Software"/>
    <s v="MATCH"/>
    <x v="0"/>
  </r>
  <r>
    <s v="EXP100837"/>
    <s v="E055"/>
    <s v="ax598877389"/>
    <d v="2026-02-17T00:00:00"/>
    <d v="2026-02-17T00:00:00"/>
    <s v="ZOOM.US"/>
    <s v="5734"/>
    <m/>
    <n v="18.440000000000001"/>
    <s v="Corporate Amex"/>
    <m/>
    <s v="Y"/>
    <s v="Software"/>
    <s v="BLANK"/>
    <x v="0"/>
  </r>
  <r>
    <s v="EXP100838"/>
    <s v="E021"/>
    <s v="AX 552176715"/>
    <d v="2026-02-17T00:00:00"/>
    <d v="2026-02-17T00:00:00"/>
    <s v="LYFT RIDE THU"/>
    <s v="4121"/>
    <s v="Transportation"/>
    <n v="32.950000000000003"/>
    <s v="Corporate Amex"/>
    <m/>
    <s v="Y"/>
    <s v="Transportation"/>
    <s v="MATCH"/>
    <x v="0"/>
  </r>
  <r>
    <s v="EXP100839"/>
    <s v="E106"/>
    <s v="AX407724819"/>
    <d v="2026-02-07T00:00:00"/>
    <d v="2026-02-17T00:00:00"/>
    <s v="HOOTSUITE INC"/>
    <s v="5734"/>
    <m/>
    <n v="180.69"/>
    <s v="Corporate Amex"/>
    <m/>
    <s v="Y"/>
    <s v="Software"/>
    <s v="BLANK"/>
    <x v="2"/>
  </r>
  <r>
    <s v="EXP100840"/>
    <s v="E244"/>
    <s v="AX-723676561"/>
    <d v="2026-02-12T00:00:00"/>
    <d v="2026-02-18T00:00:00"/>
    <s v=" SOUTHWEST AIR 5261823"/>
    <s v="4511"/>
    <s v="Travel"/>
    <n v="310.63"/>
    <s v="Corporate Amex"/>
    <m/>
    <s v="Y"/>
    <s v="Travel"/>
    <s v="MATCH"/>
    <x v="1"/>
  </r>
  <r>
    <s v="EXP100841"/>
    <s v="E042"/>
    <s v="AX499645949"/>
    <d v="2026-02-08T00:00:00"/>
    <d v="2026-02-18T00:00:00"/>
    <s v="AMAZON MKTPLACE PMTS"/>
    <s v="5942"/>
    <s v="Office Supplies"/>
    <n v="466.46"/>
    <s v="Corporate Amex"/>
    <m/>
    <s v="Y"/>
    <s v="Office Supplies"/>
    <s v="MATCH"/>
    <x v="0"/>
  </r>
  <r>
    <s v="EXP100842"/>
    <s v="E015"/>
    <s v="AX143247928"/>
    <d v="2026-02-08T00:00:00"/>
    <d v="2026-02-18T00:00:00"/>
    <s v="SOUTHWEST AIR 5261823"/>
    <s v="4511"/>
    <s v="  Travel "/>
    <n v="428.18"/>
    <s v="Corporate Amex"/>
    <m/>
    <s v="Y"/>
    <s v="Travel"/>
    <s v="MATCH"/>
    <x v="0"/>
  </r>
  <r>
    <s v="EXP100843"/>
    <s v="E052"/>
    <s v="AX 146373834"/>
    <d v="2026-02-15T00:00:00"/>
    <d v="2026-02-18T00:00:00"/>
    <s v="AMAZON MKTPLACE PMTS"/>
    <s v="5942"/>
    <m/>
    <n v="412.19"/>
    <s v="Corporate Amex"/>
    <m/>
    <s v="Y"/>
    <s v="Office Supplies"/>
    <s v="BLANK"/>
    <x v="0"/>
  </r>
  <r>
    <s v="EXP100844"/>
    <s v="E053"/>
    <s v="AX151567136"/>
    <d v="2026-02-15T00:00:00"/>
    <d v="2026-02-18T00:00:00"/>
    <s v="MARRIOTT #4471"/>
    <s v="7011"/>
    <s v="Lodging"/>
    <n v="148.63999999999999"/>
    <s v="Corporate Amex"/>
    <m/>
    <s v="Y"/>
    <s v="Lodging"/>
    <s v="MATCH"/>
    <x v="0"/>
  </r>
  <r>
    <s v="EXP100845"/>
    <s v="E026"/>
    <s v="AX472329814"/>
    <d v="2026-02-17T00:00:00"/>
    <d v="2026-02-18T00:00:00"/>
    <s v="UBER TRIP HELP.UBER"/>
    <s v="4121"/>
    <s v="Transportation"/>
    <n v="12.98"/>
    <s v="Corporate Amex"/>
    <m/>
    <s v="N"/>
    <s v="Transportation"/>
    <s v="MATCH"/>
    <x v="0"/>
  </r>
  <r>
    <s v="EXP100846"/>
    <s v="E236"/>
    <s v="AX451803969"/>
    <d v="2026-02-15T00:00:00"/>
    <d v="2026-02-18T00:00:00"/>
    <s v="STAPLES #0231"/>
    <s v="5943"/>
    <s v="Office Supplies"/>
    <n v="42.61"/>
    <s v="Corporate Amex"/>
    <m/>
    <s v="Y"/>
    <s v="Office Supplies"/>
    <s v="MATCH"/>
    <x v="1"/>
  </r>
  <r>
    <s v="EXP100847"/>
    <s v="E129"/>
    <s v="AX825783516"/>
    <d v="2026-02-10T00:00:00"/>
    <d v="2026-02-18T00:00:00"/>
    <s v="ADOBE *CREATIVE CLOUD"/>
    <s v="5734"/>
    <s v="Software"/>
    <n v="65.319999999999993"/>
    <s v="Corporate Amex"/>
    <m/>
    <s v="Y"/>
    <s v="Software"/>
    <s v="MATCH"/>
    <x v="7"/>
  </r>
  <r>
    <s v="EXP100848"/>
    <s v="E224"/>
    <s v="AX-691833082"/>
    <d v="2026-02-15T00:00:00"/>
    <d v="2026-02-18T00:00:00"/>
    <s v="STARBUCKS #4471"/>
    <s v="5812"/>
    <s v="Meals"/>
    <n v="7.36"/>
    <s v="Corporate Amex"/>
    <m/>
    <s v="Y"/>
    <s v="Meals"/>
    <s v="MATCH"/>
    <x v="4"/>
  </r>
  <r>
    <s v="EXP100849"/>
    <s v="E034"/>
    <s v="AX-511963941"/>
    <d v="2026-02-15T00:00:00"/>
    <d v="2026-02-18T00:00:00"/>
    <s v="MARRIOTT #4471"/>
    <s v="7011"/>
    <s v="Meals"/>
    <n v="170.53"/>
    <s v="Corporate Amex"/>
    <m/>
    <s v="Y"/>
    <s v="Lodging"/>
    <s v="MISMATCH"/>
    <x v="0"/>
  </r>
  <r>
    <s v="EXP100850"/>
    <s v="E045"/>
    <s v="ax134125146"/>
    <d v="2026-02-17T00:00:00"/>
    <d v="2026-02-18T00:00:00"/>
    <s v="AMC THEATRES 0021"/>
    <s v="7832"/>
    <s v="Entertainment"/>
    <n v="51.27"/>
    <s v="Corporate Amex"/>
    <m/>
    <s v="N"/>
    <s v="Entertainment"/>
    <s v="MATCH"/>
    <x v="0"/>
  </r>
  <r>
    <s v="EXP100851"/>
    <s v="E128"/>
    <s v="ax696111457"/>
    <d v="2026-02-13T00:00:00"/>
    <d v="2026-02-18T00:00:00"/>
    <s v="HOOTSUITE INC"/>
    <s v="5734"/>
    <s v="Software"/>
    <n v="201.54"/>
    <s v="Corporate Amex"/>
    <m/>
    <s v="N"/>
    <s v="Software"/>
    <s v="MATCH"/>
    <x v="7"/>
  </r>
  <r>
    <s v="EXP100852"/>
    <s v="E077"/>
    <s v="AX415397281"/>
    <d v="2026-02-10T00:00:00"/>
    <d v="2026-02-18T00:00:00"/>
    <s v=" DELTA AIR 00623891045"/>
    <s v="4511"/>
    <s v="  Travel "/>
    <n v="586.07000000000005"/>
    <s v="Corporate Amex"/>
    <m/>
    <s v="Y"/>
    <s v="Travel"/>
    <s v="MATCH"/>
    <x v="2"/>
  </r>
  <r>
    <s v="EXP100853"/>
    <s v="E022"/>
    <m/>
    <d v="2026-02-11T00:00:00"/>
    <d v="2026-02-18T00:00:00"/>
    <s v="TOTAL PARTY RENTAL"/>
    <s v="7999"/>
    <s v="Events"/>
    <n v="431.97"/>
    <s v="Personal (Reimbursement)"/>
    <s v="Card not yet issued"/>
    <s v="Y"/>
    <s v="Events"/>
    <s v="MATCH"/>
    <x v="0"/>
  </r>
  <r>
    <s v="EXP100854"/>
    <s v="E252"/>
    <s v="ax649357379"/>
    <d v="2026-02-16T00:00:00"/>
    <d v="2026-02-18T00:00:00"/>
    <s v="BRANDWATCH LTD"/>
    <s v="5734"/>
    <s v="Software"/>
    <n v="170.7"/>
    <s v="Corporate Amex"/>
    <m/>
    <s v="Y"/>
    <s v="Software"/>
    <s v="MATCH"/>
    <x v="1"/>
  </r>
  <r>
    <s v="EXP100855"/>
    <s v="E131"/>
    <s v="AX-659974652"/>
    <d v="2026-02-13T00:00:00"/>
    <d v="2026-02-18T00:00:00"/>
    <s v="TOTAL PARTY RENTAL"/>
    <s v="7999"/>
    <s v="Meals"/>
    <n v="308.16000000000003"/>
    <s v="Corporate Amex"/>
    <m/>
    <s v="Y"/>
    <s v="Events"/>
    <s v="MISMATCH"/>
    <x v="7"/>
  </r>
  <r>
    <s v="EXP100856"/>
    <s v="E012"/>
    <m/>
    <d v="2026-02-16T00:00:00"/>
    <d v="2026-02-18T00:00:00"/>
    <s v="SQ *JOES COFFEE"/>
    <s v="5812"/>
    <s v="Entertainment"/>
    <n v="13.29"/>
    <s v="Corporate Amex"/>
    <m/>
    <s v="Y"/>
    <s v="Meals"/>
    <s v="MISMATCH"/>
    <x v="0"/>
  </r>
  <r>
    <s v="EXP100857"/>
    <s v="E240"/>
    <s v="AX349102933"/>
    <d v="2026-02-16T00:00:00"/>
    <d v="2026-02-18T00:00:00"/>
    <s v="SQ *THE CORNER BISTRO"/>
    <s v="5812"/>
    <s v="Meals"/>
    <n v="84.29"/>
    <s v="Corporate Amex"/>
    <m/>
    <s v="N"/>
    <s v="Meals"/>
    <s v="MATCH"/>
    <x v="1"/>
  </r>
  <r>
    <s v="EXP100858"/>
    <s v="E075"/>
    <s v="AX896244726"/>
    <d v="2026-02-12T00:00:00"/>
    <d v="2026-02-18T00:00:00"/>
    <s v="ZOOM.US"/>
    <s v="5734"/>
    <s v="Software"/>
    <n v="24.64"/>
    <s v="Corporate Amex"/>
    <m/>
    <s v="Y"/>
    <s v="Software"/>
    <s v="MATCH"/>
    <x v="2"/>
  </r>
  <r>
    <s v="EXP100859"/>
    <s v="E210"/>
    <s v="AX 803845170"/>
    <d v="2026-02-09T00:00:00"/>
    <d v="2026-02-19T00:00:00"/>
    <s v="AMC THEATRES 0021"/>
    <s v="7832"/>
    <s v="Entertainment"/>
    <n v="28.91"/>
    <s v="Corporate Amex"/>
    <m/>
    <s v="N"/>
    <s v="Entertainment"/>
    <s v="MATCH"/>
    <x v="4"/>
  </r>
  <r>
    <s v="EXP100860"/>
    <s v="E020"/>
    <s v="AX176703343"/>
    <d v="2026-02-16T00:00:00"/>
    <d v="2026-02-19T00:00:00"/>
    <s v="MICROSOFT*365"/>
    <s v="5734"/>
    <s v="Software"/>
    <n v="40.78"/>
    <s v="Corporate Amex"/>
    <m/>
    <s v="Y"/>
    <s v="Software"/>
    <s v="MATCH"/>
    <x v="0"/>
  </r>
  <r>
    <s v="EXP100861"/>
    <s v="E020"/>
    <s v="AX811289655"/>
    <d v="2026-02-11T00:00:00"/>
    <d v="2026-02-19T00:00:00"/>
    <s v="HYATT REGENCY BOS"/>
    <s v="7011"/>
    <s v="Transportation"/>
    <n v="471.22"/>
    <s v="Corporate Amex"/>
    <m/>
    <s v="Y"/>
    <s v="Lodging"/>
    <s v="MISMATCH"/>
    <x v="0"/>
  </r>
  <r>
    <s v="EXP100862"/>
    <s v="E050"/>
    <s v="AX144639006"/>
    <d v="2026-02-19T00:00:00"/>
    <d v="2026-02-19T00:00:00"/>
    <s v="HOOTSUITE INC"/>
    <s v="5734"/>
    <s v="Software"/>
    <n v="208.32"/>
    <s v="Corporate Amex"/>
    <m/>
    <s v="N"/>
    <s v="Software"/>
    <s v="MATCH"/>
    <x v="0"/>
  </r>
  <r>
    <s v="EXP100863"/>
    <s v="E112"/>
    <s v="AX 510732445"/>
    <d v="2026-02-13T00:00:00"/>
    <d v="2026-02-19T00:00:00"/>
    <s v="SQ *THE CORNER BISTRO"/>
    <s v="5812"/>
    <s v="Meals"/>
    <n v="60.8"/>
    <s v="Corporate Amex"/>
    <m/>
    <s v="Y"/>
    <s v="Meals"/>
    <s v="MATCH"/>
    <x v="2"/>
  </r>
  <r>
    <s v="EXP100864"/>
    <s v="E051"/>
    <s v="AX288465119"/>
    <d v="2026-02-11T00:00:00"/>
    <d v="2026-02-19T00:00:00"/>
    <s v="HYATT REGENCY BOS"/>
    <s v="7011"/>
    <s v="Lodging"/>
    <n v="297.45999999999998"/>
    <s v="Corporate Amex"/>
    <m/>
    <s v="Y"/>
    <s v="Lodging"/>
    <s v="MATCH"/>
    <x v="0"/>
  </r>
  <r>
    <s v="EXP100865"/>
    <s v="E001"/>
    <m/>
    <d v="2026-02-12T00:00:00"/>
    <d v="2026-02-19T00:00:00"/>
    <s v="HILTON GARDEN INN 2231"/>
    <s v="7011"/>
    <s v="Lodging"/>
    <n v="289.11"/>
    <s v="Personal (Reimbursement)"/>
    <s v="Amex declined - vendor doesn't accept Amex"/>
    <s v="Y"/>
    <s v="Lodging"/>
    <s v="MATCH"/>
    <x v="0"/>
  </r>
  <r>
    <s v="EXP100866"/>
    <s v="E036"/>
    <s v="ax670006503"/>
    <d v="2026-02-17T00:00:00"/>
    <d v="2026-02-19T00:00:00"/>
    <s v="UNITED AIRLINES 0162233"/>
    <s v="4511"/>
    <s v="Travel"/>
    <n v="293.85000000000002"/>
    <s v="Corporate Amex"/>
    <m/>
    <s v="Y"/>
    <s v="Travel"/>
    <s v="MATCH"/>
    <x v="0"/>
  </r>
  <r>
    <s v="EXP100867"/>
    <s v="E067"/>
    <s v="AX 839344295"/>
    <d v="2026-02-10T00:00:00"/>
    <d v="2026-02-19T00:00:00"/>
    <s v="YELLOW CAB CO"/>
    <s v="4121"/>
    <s v="Transportation"/>
    <n v="52.41"/>
    <s v="Corporate Amex"/>
    <m/>
    <s v="Y"/>
    <s v="Transportation"/>
    <s v="MATCH"/>
    <x v="0"/>
  </r>
  <r>
    <s v="EXP100868"/>
    <s v="E187"/>
    <m/>
    <d v="2026-02-13T00:00:00"/>
    <d v="2026-02-19T00:00:00"/>
    <s v="HYATT REGENCY BOS"/>
    <s v="7011"/>
    <s v="Lodging"/>
    <n v="250.41"/>
    <s v="Corporate Amex"/>
    <m/>
    <s v="Y"/>
    <s v="Lodging"/>
    <s v="MATCH"/>
    <x v="5"/>
  </r>
  <r>
    <s v="EXP100869"/>
    <s v="E217"/>
    <s v="AX-989405536"/>
    <d v="2026-02-11T00:00:00"/>
    <d v="2026-02-19T00:00:00"/>
    <s v="AMAZON MKTPLACE PMTS"/>
    <s v="5942"/>
    <s v="Office Supplies"/>
    <n v="19.27"/>
    <s v="Corporate Amex"/>
    <m/>
    <s v="Y"/>
    <s v="Office Supplies"/>
    <s v="MATCH"/>
    <x v="4"/>
  </r>
  <r>
    <s v="EXP100870"/>
    <s v="E008"/>
    <s v="AX-739718108"/>
    <d v="2026-02-13T00:00:00"/>
    <d v="2026-02-19T00:00:00"/>
    <s v="AMC THEATRES 0021"/>
    <s v="7832"/>
    <s v="Entertainment"/>
    <n v="55.98"/>
    <s v="Corporate Amex"/>
    <m/>
    <s v="Y"/>
    <s v="Entertainment"/>
    <s v="MATCH"/>
    <x v="0"/>
  </r>
  <r>
    <s v="EXP100871"/>
    <s v="E115"/>
    <s v="ax677160296"/>
    <d v="2026-02-10T00:00:00"/>
    <d v="2026-02-19T00:00:00"/>
    <s v="STARBUCKS #4471"/>
    <s v="5812"/>
    <s v="Meals"/>
    <n v="11.98"/>
    <s v="Corporate Amex"/>
    <m/>
    <s v="Y"/>
    <s v="Meals"/>
    <s v="MATCH"/>
    <x v="2"/>
  </r>
  <r>
    <s v="EXP100872"/>
    <s v="E034"/>
    <s v="AX502945047"/>
    <d v="2026-02-14T00:00:00"/>
    <d v="2026-02-19T00:00:00"/>
    <s v="REGION CATERING CO"/>
    <s v="5811"/>
    <s v="Events"/>
    <n v="630.98"/>
    <s v="Corporate Amex"/>
    <m/>
    <s v="N"/>
    <s v="Events"/>
    <s v="MATCH"/>
    <x v="0"/>
  </r>
  <r>
    <s v="EXP100873"/>
    <s v="E014"/>
    <s v="AX476023415"/>
    <d v="2026-02-10T00:00:00"/>
    <d v="2026-02-19T00:00:00"/>
    <s v="SQ *THE CORNER BISTRO"/>
    <s v="5812"/>
    <m/>
    <n v="67.83"/>
    <s v="Corporate Amex"/>
    <m/>
    <s v="Y"/>
    <s v="Meals"/>
    <s v="BLANK"/>
    <x v="0"/>
  </r>
  <r>
    <s v="EXP100874"/>
    <s v="E022"/>
    <m/>
    <d v="2026-02-15T00:00:00"/>
    <d v="2026-02-19T00:00:00"/>
    <s v="LYFT RIDE THU"/>
    <s v="4121"/>
    <m/>
    <n v="52.09"/>
    <s v="Personal (Reimbursement)"/>
    <s v="Card not yet issued"/>
    <s v="Y"/>
    <s v="Transportation"/>
    <s v="BLANK"/>
    <x v="0"/>
  </r>
  <r>
    <s v="EXP100875"/>
    <s v="E113"/>
    <s v="AX594912756"/>
    <d v="2026-02-15T00:00:00"/>
    <d v="2026-02-20T00:00:00"/>
    <s v="SQ *THE CORNER BISTRO"/>
    <s v="5812"/>
    <s v="Meals"/>
    <n v="84.73"/>
    <s v="Corporate Amex"/>
    <m/>
    <s v="Y"/>
    <s v="Meals"/>
    <s v="MATCH"/>
    <x v="2"/>
  </r>
  <r>
    <s v="EXP100876"/>
    <s v="E066"/>
    <s v="AX-541722904"/>
    <d v="2026-02-13T00:00:00"/>
    <d v="2026-02-20T00:00:00"/>
    <s v="STAPLES #0231"/>
    <s v="5943"/>
    <s v="Office Supplies"/>
    <n v="176.65"/>
    <s v="Corporate Amex"/>
    <m/>
    <s v="Y"/>
    <s v="Office Supplies"/>
    <s v="MATCH"/>
    <x v="0"/>
  </r>
  <r>
    <s v="EXP100877"/>
    <s v="E199"/>
    <s v="AX282639912"/>
    <d v="2026-02-11T00:00:00"/>
    <d v="2026-02-20T00:00:00"/>
    <s v="UNITED AIRLINES 0162233"/>
    <s v="4511"/>
    <s v="Travel"/>
    <n v="398.77"/>
    <s v="Corporate Amex"/>
    <m/>
    <s v="Y"/>
    <s v="Travel"/>
    <s v="MATCH"/>
    <x v="5"/>
  </r>
  <r>
    <s v="EXP100878"/>
    <s v="E258"/>
    <s v="AX188595848"/>
    <d v="2026-02-12T00:00:00"/>
    <d v="2026-02-20T00:00:00"/>
    <s v=" HILTON GARDEN INN 2231"/>
    <s v="7011"/>
    <s v="Lodging"/>
    <n v="220.64"/>
    <s v="Corporate Amex"/>
    <m/>
    <s v="Y"/>
    <s v="Lodging"/>
    <s v="MATCH"/>
    <x v="8"/>
  </r>
  <r>
    <s v="EXP100879"/>
    <s v="E009"/>
    <s v="AX 904167793"/>
    <d v="2026-02-20T00:00:00"/>
    <d v="2026-02-20T00:00:00"/>
    <s v="ZOOM.US"/>
    <s v="5734"/>
    <m/>
    <n v="58.85"/>
    <s v="Corporate Amex"/>
    <m/>
    <s v="Y"/>
    <s v="Software"/>
    <s v="BLANK"/>
    <x v="0"/>
  </r>
  <r>
    <s v="EXP100880"/>
    <s v="E018"/>
    <s v="ax262484366"/>
    <d v="2026-02-17T00:00:00"/>
    <d v="2026-02-20T00:00:00"/>
    <s v="SQ *JOES COFFEE"/>
    <s v="5812"/>
    <s v="Meals"/>
    <n v="20.07"/>
    <s v="Corporate Amex"/>
    <m/>
    <s v="Y"/>
    <s v="Meals"/>
    <s v="MATCH"/>
    <x v="0"/>
  </r>
  <r>
    <s v="EXP100881"/>
    <s v="E015"/>
    <s v="ax990309447"/>
    <d v="2026-02-12T00:00:00"/>
    <d v="2026-02-20T00:00:00"/>
    <s v="REGION CATERING CO"/>
    <s v="5811"/>
    <s v="Events"/>
    <n v="81.290000000000006"/>
    <s v="Corporate Amex"/>
    <m/>
    <s v="Y"/>
    <s v="Events"/>
    <s v="MATCH"/>
    <x v="0"/>
  </r>
  <r>
    <s v="EXP100882"/>
    <s v="E044"/>
    <s v="ax423075469"/>
    <d v="2026-02-19T00:00:00"/>
    <d v="2026-02-20T00:00:00"/>
    <s v="PANERA BREAD #0231"/>
    <s v="5812"/>
    <s v="Meals"/>
    <n v="18.010000000000002"/>
    <s v="Corporate Amex"/>
    <m/>
    <s v="Y"/>
    <s v="Meals"/>
    <s v="MATCH"/>
    <x v="0"/>
  </r>
  <r>
    <s v="EXP100883"/>
    <s v="E050"/>
    <s v="AX 800848091"/>
    <d v="2026-02-17T00:00:00"/>
    <d v="2026-02-20T00:00:00"/>
    <s v="UBER TRIP HELP.UBER"/>
    <s v="4121"/>
    <s v="Transportation"/>
    <n v="27.53"/>
    <s v="Corporate Amex"/>
    <m/>
    <s v="Y"/>
    <s v="Transportation"/>
    <s v="MATCH"/>
    <x v="0"/>
  </r>
  <r>
    <s v="EXP100884"/>
    <s v="E062"/>
    <m/>
    <d v="2026-02-17T00:00:00"/>
    <d v="2026-02-20T00:00:00"/>
    <s v="PANERA BREAD #0231"/>
    <s v="5812"/>
    <s v="Meals"/>
    <n v="17.77"/>
    <s v="Corporate Amex"/>
    <m/>
    <s v="N"/>
    <s v="Meals"/>
    <s v="MATCH"/>
    <x v="0"/>
  </r>
  <r>
    <s v="EXP100885"/>
    <s v="E230"/>
    <s v="AX300399688"/>
    <d v="2026-02-13T00:00:00"/>
    <d v="2026-02-20T00:00:00"/>
    <s v="EVENTBRITE"/>
    <s v="7999"/>
    <s v="Events"/>
    <n v="38.729999999999997"/>
    <s v="Corporate Amex"/>
    <m/>
    <s v="Y"/>
    <s v="Events"/>
    <s v="MATCH"/>
    <x v="4"/>
  </r>
  <r>
    <s v="EXP100886"/>
    <s v="E126"/>
    <s v="ax377444116"/>
    <d v="2026-02-14T00:00:00"/>
    <d v="2026-02-20T00:00:00"/>
    <s v="DELTA AIR 00623891045"/>
    <s v="4511"/>
    <s v="Travel"/>
    <n v="475.58"/>
    <s v="Corporate Amex"/>
    <m/>
    <s v="Y"/>
    <s v="Travel"/>
    <s v="MATCH"/>
    <x v="7"/>
  </r>
  <r>
    <s v="EXP100887"/>
    <s v="E196"/>
    <s v="AX107273399"/>
    <d v="2026-02-15T00:00:00"/>
    <d v="2026-02-20T00:00:00"/>
    <s v="TOTAL PARTY RENTAL"/>
    <s v="7999"/>
    <s v="Events"/>
    <n v="402.67"/>
    <s v="Corporate Amex"/>
    <m/>
    <s v="N"/>
    <s v="Events"/>
    <s v="MATCH"/>
    <x v="5"/>
  </r>
  <r>
    <s v="EXP100888"/>
    <s v="E142"/>
    <s v="ax869994684"/>
    <d v="2026-02-14T00:00:00"/>
    <d v="2026-02-20T00:00:00"/>
    <s v="OLIVE GARDEN 00456"/>
    <s v="5812"/>
    <s v="Meals"/>
    <n v="71.5"/>
    <s v="Corporate Amex"/>
    <m/>
    <s v="Y"/>
    <s v="Meals"/>
    <s v="MATCH"/>
    <x v="7"/>
  </r>
  <r>
    <s v="EXP100889"/>
    <s v="E259"/>
    <s v="AX-645023114"/>
    <d v="2026-02-12T00:00:00"/>
    <d v="2026-02-20T00:00:00"/>
    <s v="STAPLES #0231"/>
    <s v="5943"/>
    <s v="Office Supplies"/>
    <n v="137.86000000000001"/>
    <s v="Corporate Amex"/>
    <m/>
    <s v="N"/>
    <s v="Office Supplies"/>
    <s v="MATCH"/>
    <x v="8"/>
  </r>
  <r>
    <s v="EXP100890"/>
    <s v="E059"/>
    <s v="AX940308396"/>
    <d v="2026-02-19T00:00:00"/>
    <d v="2026-02-20T00:00:00"/>
    <s v="TOPGOLF #442"/>
    <s v="7997"/>
    <s v="Entertainment"/>
    <n v="105.65"/>
    <s v="Corporate Amex"/>
    <m/>
    <s v="Y"/>
    <s v="Entertainment"/>
    <s v="MATCH"/>
    <x v="0"/>
  </r>
  <r>
    <s v="EXP100891"/>
    <s v="E108"/>
    <s v="AX941693687"/>
    <d v="2026-02-11T00:00:00"/>
    <d v="2026-02-20T00:00:00"/>
    <s v="LYFT RIDE THU"/>
    <s v="4121"/>
    <s v="Transportation"/>
    <n v="41.48"/>
    <s v="Corporate Amex"/>
    <m/>
    <s v="Y"/>
    <s v="Transportation"/>
    <s v="MATCH"/>
    <x v="2"/>
  </r>
  <r>
    <s v="EXP100892"/>
    <s v="E078"/>
    <m/>
    <d v="2026-02-18T00:00:00"/>
    <d v="2026-02-20T00:00:00"/>
    <s v="YELLOW CAB CO"/>
    <s v="4121"/>
    <s v="Transportation"/>
    <n v="53.76"/>
    <s v="Personal (Reimbursement)"/>
    <s v="Amex declined - vendor doesn't accept Amex"/>
    <s v="Y"/>
    <s v="Transportation"/>
    <s v="MATCH"/>
    <x v="2"/>
  </r>
  <r>
    <s v="EXP100893"/>
    <s v="E056"/>
    <s v="AX223872541"/>
    <d v="2026-02-12T00:00:00"/>
    <d v="2026-02-20T00:00:00"/>
    <s v="UBER TRIP HELP.UBER"/>
    <s v="4121"/>
    <s v="Transportation"/>
    <n v="53.24"/>
    <s v="Corporate Amex"/>
    <m/>
    <s v="Y"/>
    <s v="Transportation"/>
    <s v="MATCH"/>
    <x v="0"/>
  </r>
  <r>
    <s v="EXP100894"/>
    <s v="E057"/>
    <s v="AX500169693"/>
    <d v="2026-02-12T00:00:00"/>
    <d v="2026-02-20T00:00:00"/>
    <s v=" UBER TRIP HELP.UBER"/>
    <s v="4121"/>
    <s v="Transportation"/>
    <n v="30.72"/>
    <s v="Corporate Amex"/>
    <m/>
    <s v="Y"/>
    <s v="Transportation"/>
    <s v="MATCH"/>
    <x v="0"/>
  </r>
  <r>
    <s v="EXP100895"/>
    <s v="E042"/>
    <m/>
    <d v="2026-02-16T00:00:00"/>
    <d v="2026-02-20T00:00:00"/>
    <s v="UBER TRIP HELP.UBER"/>
    <s v="4121"/>
    <m/>
    <n v="46.32"/>
    <s v="Personal (Reimbursement)"/>
    <s v="Forgot corporate card"/>
    <s v="Y"/>
    <s v="Transportation"/>
    <s v="BLANK"/>
    <x v="0"/>
  </r>
  <r>
    <s v="EXP100896"/>
    <s v="E048"/>
    <s v="AX965584991"/>
    <d v="2026-02-15T00:00:00"/>
    <d v="2026-02-20T00:00:00"/>
    <s v="REGION CATERING CO"/>
    <s v="5811"/>
    <s v="Events"/>
    <n v="403.07"/>
    <s v="Corporate Amex"/>
    <m/>
    <s v="N"/>
    <s v="Events"/>
    <s v="MATCH"/>
    <x v="0"/>
  </r>
  <r>
    <s v="EXP100897"/>
    <s v="E029"/>
    <s v="ax332215222"/>
    <d v="2026-02-13T00:00:00"/>
    <d v="2026-02-20T00:00:00"/>
    <s v="SPROUT SOCIAL"/>
    <s v="5734"/>
    <s v="Software"/>
    <n v="129.72999999999999"/>
    <s v="Corporate Amex"/>
    <m/>
    <s v="Y"/>
    <s v="Software"/>
    <s v="MATCH"/>
    <x v="0"/>
  </r>
  <r>
    <s v="EXP100898"/>
    <s v="E187"/>
    <m/>
    <d v="2026-02-17T00:00:00"/>
    <d v="2026-02-20T00:00:00"/>
    <s v="HOOTSUITE INC"/>
    <s v="5734"/>
    <s v="Software"/>
    <n v="219.45"/>
    <s v="Personal (Reimbursement)"/>
    <s v="International merchant - Amex not accepted"/>
    <s v="N"/>
    <s v="Software"/>
    <s v="MATCH"/>
    <x v="5"/>
  </r>
  <r>
    <s v="EXP100899"/>
    <s v="E035"/>
    <s v="ax528752018"/>
    <d v="2026-02-10T00:00:00"/>
    <d v="2026-02-20T00:00:00"/>
    <s v="ADOBE *CREATIVE CLOUD"/>
    <s v="5734"/>
    <s v="Software"/>
    <n v="36.42"/>
    <s v="Corporate Amex"/>
    <m/>
    <s v="N"/>
    <s v="Software"/>
    <s v="MATCH"/>
    <x v="0"/>
  </r>
  <r>
    <s v="EXP100900"/>
    <s v="E035"/>
    <s v="AX380959722"/>
    <d v="2026-02-20T00:00:00"/>
    <d v="2026-02-20T00:00:00"/>
    <s v="AMC THEATRES 0021"/>
    <s v="7832"/>
    <s v="Entertainment"/>
    <n v="56.48"/>
    <s v="Corporate Amex"/>
    <m/>
    <s v="Y"/>
    <s v="Entertainment"/>
    <s v="MATCH"/>
    <x v="0"/>
  </r>
  <r>
    <s v="EXP100901"/>
    <s v="E035"/>
    <s v="AX892030081"/>
    <d v="2026-02-17T00:00:00"/>
    <d v="2026-02-20T00:00:00"/>
    <s v="MICROSOFT*365"/>
    <s v="5734"/>
    <s v="Software"/>
    <n v="20.55"/>
    <s v="Corporate Amex"/>
    <m/>
    <s v="Y"/>
    <s v="Software"/>
    <s v="MATCH"/>
    <x v="0"/>
  </r>
  <r>
    <s v="EXP100902"/>
    <s v="E035"/>
    <s v="AX-741265271"/>
    <d v="2026-02-14T00:00:00"/>
    <d v="2026-02-21T00:00:00"/>
    <s v="MICROSOFT*365"/>
    <s v="5734"/>
    <s v="Software"/>
    <n v="56.96"/>
    <s v="Corporate Amex"/>
    <m/>
    <s v="Y"/>
    <s v="Software"/>
    <s v="MATCH"/>
    <x v="0"/>
  </r>
  <r>
    <s v="EXP100903"/>
    <s v="E137"/>
    <m/>
    <d v="2026-02-16T00:00:00"/>
    <d v="2026-02-21T00:00:00"/>
    <s v="STARBUCKS #4471"/>
    <s v="5812"/>
    <s v="Meals"/>
    <n v="7.61"/>
    <s v="Corporate Amex"/>
    <m/>
    <s v="Y"/>
    <s v="Meals"/>
    <s v="MATCH"/>
    <x v="7"/>
  </r>
  <r>
    <s v="EXP100904"/>
    <s v="E068"/>
    <s v="AX297305728"/>
    <d v="2026-02-14T00:00:00"/>
    <d v="2026-02-21T00:00:00"/>
    <s v="MICROSOFT*365"/>
    <s v="5734"/>
    <s v="Software"/>
    <n v="44.12"/>
    <s v="Corporate Amex"/>
    <m/>
    <s v="Y"/>
    <s v="Software"/>
    <s v="MATCH"/>
    <x v="0"/>
  </r>
  <r>
    <s v="EXP100905"/>
    <s v="E039"/>
    <s v="AX741433428"/>
    <d v="2026-02-14T00:00:00"/>
    <d v="2026-02-21T00:00:00"/>
    <s v="UBER TRIP HELP.UBER"/>
    <s v="4121"/>
    <s v="Transportation"/>
    <n v="14.45"/>
    <s v="Corporate Amex"/>
    <m/>
    <s v="Y"/>
    <s v="Transportation"/>
    <s v="MATCH"/>
    <x v="0"/>
  </r>
  <r>
    <s v="EXP100906"/>
    <s v="E060"/>
    <s v="AX345588891"/>
    <d v="2026-02-13T00:00:00"/>
    <d v="2026-02-21T00:00:00"/>
    <s v="DELTA AIR 00623891045"/>
    <s v="4511"/>
    <s v="Travel"/>
    <n v="392.09"/>
    <s v="Corporate Amex"/>
    <m/>
    <s v="Y"/>
    <s v="Travel"/>
    <s v="MATCH"/>
    <x v="0"/>
  </r>
  <r>
    <s v="EXP100907"/>
    <s v="E096"/>
    <s v="AX579549271"/>
    <d v="2026-02-20T00:00:00"/>
    <d v="2026-02-21T00:00:00"/>
    <s v="STARBUCKS #4471"/>
    <s v="5812"/>
    <s v="Meals"/>
    <n v="10.32"/>
    <s v="Corporate Amex"/>
    <m/>
    <s v="Y"/>
    <s v="Meals"/>
    <s v="MATCH"/>
    <x v="2"/>
  </r>
  <r>
    <s v="EXP100908"/>
    <s v="E044"/>
    <s v="AX592322914"/>
    <d v="2026-02-13T00:00:00"/>
    <d v="2026-02-21T00:00:00"/>
    <s v="SQ *THE CORNER BISTRO"/>
    <s v="5812"/>
    <s v="Meals"/>
    <n v="58.22"/>
    <s v="Corporate Amex"/>
    <m/>
    <s v="Y"/>
    <s v="Meals"/>
    <s v="MATCH"/>
    <x v="0"/>
  </r>
  <r>
    <s v="EXP100909"/>
    <s v="E197"/>
    <s v="AX-938611281"/>
    <d v="2026-02-14T00:00:00"/>
    <d v="2026-02-21T00:00:00"/>
    <s v="EVENTBRITE"/>
    <s v="7999"/>
    <s v="Events"/>
    <n v="104.05"/>
    <s v="Corporate Amex"/>
    <m/>
    <s v="Y"/>
    <s v="Events"/>
    <s v="MATCH"/>
    <x v="5"/>
  </r>
  <r>
    <s v="EXP100910"/>
    <s v="E049"/>
    <s v="ax285095704"/>
    <d v="2026-02-16T00:00:00"/>
    <d v="2026-02-21T00:00:00"/>
    <s v="TOTAL PARTY RENTAL"/>
    <s v="7999"/>
    <s v="Events"/>
    <n v="519.41"/>
    <s v="Corporate Amex"/>
    <m/>
    <s v="Y"/>
    <s v="Events"/>
    <s v="MATCH"/>
    <x v="0"/>
  </r>
  <r>
    <s v="EXP100911"/>
    <s v="E240"/>
    <s v="AX620579335"/>
    <d v="2026-02-19T00:00:00"/>
    <d v="2026-02-21T00:00:00"/>
    <s v="TOTAL PARTY RENTAL"/>
    <s v="7999"/>
    <s v="Events"/>
    <n v="286.83999999999997"/>
    <s v="Corporate Amex"/>
    <m/>
    <s v="Y"/>
    <s v="Events"/>
    <s v="MATCH"/>
    <x v="1"/>
  </r>
  <r>
    <s v="EXP100912"/>
    <s v="E271"/>
    <s v="AX-675976074"/>
    <d v="2026-02-11T00:00:00"/>
    <d v="2026-02-21T00:00:00"/>
    <s v=" REGION CATERING CO"/>
    <s v="5811"/>
    <s v="Events"/>
    <n v="497.32"/>
    <s v="Corporate Amex"/>
    <m/>
    <s v="Y"/>
    <s v="Events"/>
    <s v="MATCH"/>
    <x v="3"/>
  </r>
  <r>
    <s v="EXP100913"/>
    <s v="E051"/>
    <m/>
    <d v="2026-02-12T00:00:00"/>
    <d v="2026-02-21T00:00:00"/>
    <s v="AMAZON MKTPLACE PMTS"/>
    <s v="5942"/>
    <s v="Office Supplies"/>
    <n v="229.84"/>
    <s v="Corporate Amex"/>
    <m/>
    <s v="Y"/>
    <s v="Office Supplies"/>
    <s v="MATCH"/>
    <x v="0"/>
  </r>
  <r>
    <s v="EXP100914"/>
    <s v="E057"/>
    <m/>
    <d v="2026-02-15T00:00:00"/>
    <d v="2026-02-21T00:00:00"/>
    <s v="UNITED AIRLINES 0162233"/>
    <s v="4511"/>
    <s v="Travel"/>
    <n v="562.79999999999995"/>
    <s v="Personal (Reimbursement)"/>
    <s v="International merchant - Amex not accepted"/>
    <s v="N"/>
    <s v="Travel"/>
    <s v="MATCH"/>
    <x v="0"/>
  </r>
  <r>
    <s v="EXP100915"/>
    <s v="E057"/>
    <m/>
    <d v="2026-02-18T00:00:00"/>
    <d v="2026-02-21T00:00:00"/>
    <s v="STARBUCKS #4471"/>
    <s v="5812"/>
    <s v="Meals"/>
    <n v="14.06"/>
    <s v="Personal (Reimbursement)"/>
    <s v="International merchant - Amex not accepted"/>
    <s v="Y"/>
    <s v="Meals"/>
    <s v="MATCH"/>
    <x v="0"/>
  </r>
  <r>
    <s v="EXP100917"/>
    <s v="E270"/>
    <s v="AX676119159"/>
    <d v="2026-02-12T00:00:00"/>
    <d v="2026-02-21T00:00:00"/>
    <s v="CHIPOTLE 2214"/>
    <s v="5812"/>
    <s v="Meals"/>
    <n v="20.13"/>
    <s v="Corporate Amex"/>
    <m/>
    <s v="Y"/>
    <s v="Meals"/>
    <s v="MATCH"/>
    <x v="3"/>
  </r>
  <r>
    <s v="EXP100918"/>
    <s v="E088"/>
    <s v="AX746426315"/>
    <d v="2026-02-12T00:00:00"/>
    <d v="2026-02-21T00:00:00"/>
    <s v="SQ *JOES COFFEE"/>
    <s v="5812"/>
    <s v="Meals"/>
    <n v="15.92"/>
    <s v="Corporate Amex"/>
    <m/>
    <s v="Y"/>
    <s v="Meals"/>
    <s v="MATCH"/>
    <x v="2"/>
  </r>
  <r>
    <s v="EXP100919"/>
    <s v="E047"/>
    <s v="AX544556982"/>
    <d v="2026-02-12T00:00:00"/>
    <d v="2026-02-21T00:00:00"/>
    <s v="TOPGOLF #442"/>
    <s v="7997"/>
    <s v="Entertainment"/>
    <n v="185.1"/>
    <s v="Corporate Amex"/>
    <m/>
    <s v="Y"/>
    <s v="Entertainment"/>
    <s v="MATCH"/>
    <x v="0"/>
  </r>
  <r>
    <s v="EXP100920"/>
    <s v="E003"/>
    <s v="AX181813706"/>
    <d v="2026-02-14T00:00:00"/>
    <d v="2026-02-21T00:00:00"/>
    <s v="STARBUCKS #4471"/>
    <s v="5812"/>
    <s v="Meals"/>
    <n v="10.57"/>
    <s v="Corporate Amex"/>
    <m/>
    <s v="Y"/>
    <s v="Meals"/>
    <s v="MATCH"/>
    <x v="0"/>
  </r>
  <r>
    <s v="EXP100921"/>
    <s v="E231"/>
    <s v="AX766369340"/>
    <d v="2026-02-19T00:00:00"/>
    <d v="2026-02-22T00:00:00"/>
    <s v="ADOBE *CREATIVE CLOUD"/>
    <s v="5734"/>
    <s v="Software"/>
    <n v="39.81"/>
    <s v="Corporate Amex"/>
    <m/>
    <s v="Y"/>
    <s v="Software"/>
    <s v="MATCH"/>
    <x v="4"/>
  </r>
  <r>
    <s v="EXP100922"/>
    <s v="E275"/>
    <s v="AX 498103332"/>
    <d v="2026-02-17T00:00:00"/>
    <d v="2026-02-22T00:00:00"/>
    <s v="ZOOM.US"/>
    <s v="5734"/>
    <s v="Software"/>
    <n v="58.73"/>
    <s v="Corporate Amex"/>
    <m/>
    <s v="Y"/>
    <s v="Software"/>
    <s v="MATCH"/>
    <x v="3"/>
  </r>
  <r>
    <s v="EXP100923"/>
    <s v="E057"/>
    <s v="AX253310454"/>
    <d v="2026-02-16T00:00:00"/>
    <d v="2026-02-22T00:00:00"/>
    <s v="SQ *THE CORNER BISTRO"/>
    <s v="5812"/>
    <s v="Meals"/>
    <n v="40.18"/>
    <s v="Corporate Amex"/>
    <m/>
    <s v="Y"/>
    <s v="Meals"/>
    <s v="MATCH"/>
    <x v="0"/>
  </r>
  <r>
    <s v="EXP100924"/>
    <s v="E021"/>
    <s v="AX418607911"/>
    <d v="2026-02-19T00:00:00"/>
    <d v="2026-02-22T00:00:00"/>
    <s v="MARRIOTT #4471"/>
    <s v="7011"/>
    <s v="Lodging"/>
    <n v="152.38"/>
    <s v="Corporate Amex"/>
    <m/>
    <s v="N"/>
    <s v="Lodging"/>
    <s v="MATCH"/>
    <x v="0"/>
  </r>
  <r>
    <s v="EXP100925"/>
    <s v="E028"/>
    <s v="AX363485167"/>
    <d v="2026-02-22T00:00:00"/>
    <d v="2026-02-22T00:00:00"/>
    <s v="CHIPOTLE 2214"/>
    <s v="5812"/>
    <m/>
    <n v="16.16"/>
    <s v="Corporate Amex"/>
    <m/>
    <s v="Y"/>
    <s v="Meals"/>
    <s v="BLANK"/>
    <x v="0"/>
  </r>
  <r>
    <s v="EXP100926"/>
    <s v="E204"/>
    <m/>
    <d v="2026-02-19T00:00:00"/>
    <d v="2026-02-22T00:00:00"/>
    <s v="REGION CATERING CO"/>
    <s v="5811"/>
    <s v="Events"/>
    <n v="135.32"/>
    <s v="Corporate Amex"/>
    <m/>
    <s v="Y"/>
    <s v="Events"/>
    <s v="MATCH"/>
    <x v="5"/>
  </r>
  <r>
    <s v="EXP100927"/>
    <s v="E131"/>
    <m/>
    <d v="2026-02-20T00:00:00"/>
    <d v="2026-02-22T00:00:00"/>
    <s v="TOTAL PARTY RENTAL"/>
    <s v="7999"/>
    <s v="Events"/>
    <n v="218.76"/>
    <s v="Corporate Amex"/>
    <m/>
    <s v="Y"/>
    <s v="Events"/>
    <s v="MATCH"/>
    <x v="7"/>
  </r>
  <r>
    <s v="EXP100928"/>
    <s v="E121"/>
    <s v="AX446320383"/>
    <d v="2026-02-15T00:00:00"/>
    <d v="2026-02-22T00:00:00"/>
    <s v="ZOOM.US"/>
    <s v="5734"/>
    <s v="Software"/>
    <n v="52.5"/>
    <s v="Corporate Amex"/>
    <m/>
    <s v="Y"/>
    <s v="Software"/>
    <s v="MATCH"/>
    <x v="7"/>
  </r>
  <r>
    <s v="EXP100929"/>
    <s v="E042"/>
    <s v="AX 297570024"/>
    <d v="2026-02-19T00:00:00"/>
    <d v="2026-02-22T00:00:00"/>
    <s v="TOTAL PARTY RENTAL"/>
    <s v="7999"/>
    <s v="Events"/>
    <n v="101.02"/>
    <s v="Corporate Amex"/>
    <m/>
    <s v="Y"/>
    <s v="Events"/>
    <s v="MATCH"/>
    <x v="0"/>
  </r>
  <r>
    <s v="EXP100930"/>
    <s v="E019"/>
    <s v="ax451110794"/>
    <d v="2026-02-12T00:00:00"/>
    <d v="2026-02-22T00:00:00"/>
    <s v="UBER TRIP HELP.UBER"/>
    <s v="4121"/>
    <s v="Transportation"/>
    <n v="52.48"/>
    <s v="Corporate Amex"/>
    <m/>
    <s v="Y"/>
    <s v="Transportation"/>
    <s v="MATCH"/>
    <x v="0"/>
  </r>
  <r>
    <s v="EXP100931"/>
    <s v="E048"/>
    <m/>
    <d v="2026-02-19T00:00:00"/>
    <d v="2026-02-22T00:00:00"/>
    <s v="HYATT REGENCY BOS"/>
    <s v="7011"/>
    <s v="Lodging"/>
    <n v="273.41000000000003"/>
    <s v="Personal (Reimbursement)"/>
    <s v="International merchant - Amex not accepted"/>
    <s v="Y"/>
    <s v="Lodging"/>
    <s v="MATCH"/>
    <x v="0"/>
  </r>
  <r>
    <s v="EXP100932"/>
    <s v="E233"/>
    <s v="AX719232711"/>
    <d v="2026-02-21T00:00:00"/>
    <d v="2026-02-22T00:00:00"/>
    <s v="BRANDWATCH LTD"/>
    <s v="5734"/>
    <s v="Software"/>
    <n v="228.39"/>
    <s v="Corporate Amex"/>
    <m/>
    <s v="Y"/>
    <s v="Software"/>
    <s v="MATCH"/>
    <x v="1"/>
  </r>
  <r>
    <s v="EXP100933"/>
    <s v="E123"/>
    <s v="AX577808179"/>
    <d v="2026-02-13T00:00:00"/>
    <d v="2026-02-22T00:00:00"/>
    <s v="HOOTSUITE INC"/>
    <s v="5734"/>
    <s v="Software"/>
    <n v="225.91"/>
    <s v="Corporate Amex"/>
    <m/>
    <s v="Y"/>
    <s v="Software"/>
    <s v="MATCH"/>
    <x v="7"/>
  </r>
  <r>
    <s v="EXP100934"/>
    <s v="E029"/>
    <s v="AX696022009"/>
    <d v="2026-02-16T00:00:00"/>
    <d v="2026-02-22T00:00:00"/>
    <s v="TOTAL PARTY RENTAL"/>
    <s v="7999"/>
    <s v="Events"/>
    <n v="164.69"/>
    <s v="Corporate Amex"/>
    <m/>
    <s v="N"/>
    <s v="Events"/>
    <s v="MATCH"/>
    <x v="0"/>
  </r>
  <r>
    <s v="EXP100935"/>
    <s v="E025"/>
    <s v="AX638904241"/>
    <d v="2026-02-15T00:00:00"/>
    <d v="2026-02-22T00:00:00"/>
    <s v="SQ *JOES COFFEE"/>
    <s v="5812"/>
    <s v="Meals"/>
    <n v="11.58"/>
    <s v="Corporate Amex"/>
    <m/>
    <s v="Y"/>
    <s v="Meals"/>
    <s v="MATCH"/>
    <x v="0"/>
  </r>
  <r>
    <s v="EXP100936"/>
    <s v="E177"/>
    <s v="AX 811032909"/>
    <d v="2026-02-16T00:00:00"/>
    <d v="2026-02-22T00:00:00"/>
    <s v="SOUTHWEST AIR 5261823"/>
    <s v="4511"/>
    <s v="Travel"/>
    <n v="387.35"/>
    <s v="Corporate Amex"/>
    <m/>
    <s v="Y"/>
    <s v="Travel"/>
    <s v="MATCH"/>
    <x v="6"/>
  </r>
  <r>
    <s v="EXP100937"/>
    <s v="E149"/>
    <m/>
    <d v="2026-02-14T00:00:00"/>
    <d v="2026-02-22T00:00:00"/>
    <s v="HOOTSUITE INC"/>
    <s v="5734"/>
    <s v="Software"/>
    <n v="79.260000000000005"/>
    <s v="Personal (Reimbursement)"/>
    <s v="Amex declined - vendor doesn't accept Amex"/>
    <s v="Y"/>
    <s v="Software"/>
    <s v="MATCH"/>
    <x v="7"/>
  </r>
  <r>
    <s v="EXP100938"/>
    <s v="E035"/>
    <s v="AX100645767"/>
    <d v="2026-02-13T00:00:00"/>
    <d v="2026-02-22T00:00:00"/>
    <s v="MICROSOFT*365"/>
    <s v="5734"/>
    <s v="Software"/>
    <n v="14.69"/>
    <s v="Corporate Amex"/>
    <m/>
    <s v="Y"/>
    <s v="Software"/>
    <s v="MATCH"/>
    <x v="0"/>
  </r>
  <r>
    <s v="EXP100939"/>
    <s v="E143"/>
    <s v="AX 261956268"/>
    <d v="2026-02-21T00:00:00"/>
    <d v="2026-02-22T00:00:00"/>
    <s v="AMC THEATRES 0021"/>
    <s v="7832"/>
    <s v="Entertainment"/>
    <n v="52.73"/>
    <s v="Corporate Amex"/>
    <m/>
    <s v="Y"/>
    <s v="Entertainment"/>
    <s v="MATCH"/>
    <x v="7"/>
  </r>
  <r>
    <s v="EXP100940"/>
    <s v="E183"/>
    <s v="AX-567234915"/>
    <d v="2026-02-19T00:00:00"/>
    <d v="2026-02-22T00:00:00"/>
    <s v="HILTON GARDEN INN 2231"/>
    <s v="7011"/>
    <s v="Lodging"/>
    <n v="315.01"/>
    <s v="Corporate Amex"/>
    <m/>
    <s v="Y"/>
    <s v="Lodging"/>
    <s v="MATCH"/>
    <x v="5"/>
  </r>
  <r>
    <s v="EXP100941"/>
    <s v="E165"/>
    <s v="AX159066299"/>
    <d v="2026-02-16T00:00:00"/>
    <d v="2026-02-22T00:00:00"/>
    <s v="STAPLES #0231"/>
    <s v="5943"/>
    <s v="Office Supplies"/>
    <n v="34.53"/>
    <s v="Corporate Amex"/>
    <m/>
    <s v="Y"/>
    <s v="Office Supplies"/>
    <s v="MATCH"/>
    <x v="6"/>
  </r>
  <r>
    <s v="EXP100943"/>
    <s v="E022"/>
    <m/>
    <d v="2026-02-20T00:00:00"/>
    <d v="2026-02-22T00:00:00"/>
    <s v="BRANDWATCH LTD"/>
    <s v="5734"/>
    <s v="Software"/>
    <n v="283.35000000000002"/>
    <s v="Personal (Reimbursement)"/>
    <s v="Card not yet issued"/>
    <s v="Y"/>
    <s v="Software"/>
    <s v="MATCH"/>
    <x v="0"/>
  </r>
  <r>
    <s v="EXP100944"/>
    <s v="E022"/>
    <m/>
    <d v="2026-02-21T00:00:00"/>
    <d v="2026-02-22T00:00:00"/>
    <s v="SOUTHWEST AIR 5261823"/>
    <s v="4511"/>
    <s v="Travel"/>
    <n v="462.92"/>
    <s v="Personal (Reimbursement)"/>
    <s v="Card not yet issued"/>
    <s v="N"/>
    <s v="Travel"/>
    <s v="MATCH"/>
    <x v="0"/>
  </r>
  <r>
    <s v="EXP100945"/>
    <s v="E039"/>
    <s v="AX413512157"/>
    <d v="2026-02-18T00:00:00"/>
    <d v="2026-02-22T00:00:00"/>
    <s v="AMC THEATRES 0021"/>
    <s v="7832"/>
    <s v="Entertainment"/>
    <n v="45.63"/>
    <s v="Corporate Amex"/>
    <m/>
    <s v="N"/>
    <s v="Entertainment"/>
    <s v="MATCH"/>
    <x v="0"/>
  </r>
  <r>
    <s v="EXP100946"/>
    <s v="E126"/>
    <s v="AX-681384636"/>
    <d v="2026-02-13T00:00:00"/>
    <d v="2026-02-22T00:00:00"/>
    <s v="OLIVE GARDEN 00456"/>
    <s v="5812"/>
    <s v="Meals"/>
    <n v="125.99"/>
    <s v="Corporate Amex"/>
    <m/>
    <s v="Y"/>
    <s v="Meals"/>
    <s v="MATCH"/>
    <x v="7"/>
  </r>
  <r>
    <s v="EXP100947"/>
    <s v="E148"/>
    <s v="AX656528020"/>
    <d v="2026-02-22T00:00:00"/>
    <d v="2026-02-22T00:00:00"/>
    <s v="TOTAL PARTY RENTAL"/>
    <s v="7999"/>
    <s v="Events"/>
    <n v="260.31"/>
    <s v="Corporate Amex"/>
    <m/>
    <s v="Y"/>
    <s v="Events"/>
    <s v="MATCH"/>
    <x v="7"/>
  </r>
  <r>
    <s v="EXP100948"/>
    <s v="E041"/>
    <m/>
    <d v="2026-02-19T00:00:00"/>
    <d v="2026-02-22T00:00:00"/>
    <s v="STAPLES #0231"/>
    <s v="5943"/>
    <s v="Office Supplies"/>
    <n v="51.17"/>
    <s v="Corporate Amex"/>
    <m/>
    <s v="Y"/>
    <s v="Office Supplies"/>
    <s v="MATCH"/>
    <x v="0"/>
  </r>
  <r>
    <s v="EXP100949"/>
    <s v="E043"/>
    <s v="ax242789105"/>
    <d v="2026-02-18T00:00:00"/>
    <d v="2026-02-22T00:00:00"/>
    <s v="PANERA BREAD #0231"/>
    <s v="5812"/>
    <s v="Other"/>
    <n v="17.52"/>
    <s v="Corporate Amex"/>
    <m/>
    <s v="Y"/>
    <s v="Meals"/>
    <s v="MISMATCH"/>
    <x v="0"/>
  </r>
  <r>
    <s v="EXP100950"/>
    <s v="E188"/>
    <s v="AX988556165"/>
    <d v="2026-02-17T00:00:00"/>
    <d v="2026-02-23T00:00:00"/>
    <s v="EVENTBRITE"/>
    <s v="7999"/>
    <s v="Office Supplies"/>
    <n v="166.72"/>
    <s v="Corporate Amex"/>
    <m/>
    <s v="Y"/>
    <s v="Events"/>
    <s v="MISMATCH"/>
    <x v="5"/>
  </r>
  <r>
    <s v="EXP100951"/>
    <s v="E023"/>
    <s v="AX586229417"/>
    <d v="2026-02-15T00:00:00"/>
    <d v="2026-02-23T00:00:00"/>
    <s v=" TOTAL PARTY RENTAL"/>
    <s v="7999"/>
    <s v="Events"/>
    <n v="166.19"/>
    <s v="Corporate Amex"/>
    <m/>
    <s v="Y"/>
    <s v="Events"/>
    <s v="MATCH"/>
    <x v="0"/>
  </r>
  <r>
    <s v="EXP100952"/>
    <s v="E254"/>
    <s v="AX300835423"/>
    <d v="2026-02-23T00:00:00"/>
    <d v="2026-02-23T00:00:00"/>
    <s v="LYFT RIDE THU"/>
    <s v="4121"/>
    <s v="Transportation"/>
    <n v="34.49"/>
    <s v="Corporate Amex"/>
    <m/>
    <s v="Y"/>
    <s v="Transportation"/>
    <s v="MATCH"/>
    <x v="8"/>
  </r>
  <r>
    <s v="EXP100953"/>
    <s v="E037"/>
    <s v="AX235447218"/>
    <d v="2026-02-18T00:00:00"/>
    <d v="2026-02-23T00:00:00"/>
    <s v=" HOOTSUITE INC"/>
    <s v="5734"/>
    <s v="Software"/>
    <n v="184.98"/>
    <s v="Corporate Amex"/>
    <m/>
    <s v="Y"/>
    <s v="Software"/>
    <s v="MATCH"/>
    <x v="0"/>
  </r>
  <r>
    <s v="EXP100954"/>
    <s v="E065"/>
    <s v="AX-827079423"/>
    <d v="2026-02-15T00:00:00"/>
    <d v="2026-02-23T00:00:00"/>
    <s v="AMC THEATRES 0021"/>
    <s v="7832"/>
    <s v="Entertainment"/>
    <n v="33.979999999999997"/>
    <s v="Corporate Amex"/>
    <m/>
    <s v="Y"/>
    <s v="Entertainment"/>
    <s v="MATCH"/>
    <x v="0"/>
  </r>
  <r>
    <s v="EXP100956"/>
    <s v="E260"/>
    <s v="AX-963287743"/>
    <d v="2026-02-16T00:00:00"/>
    <d v="2026-02-23T00:00:00"/>
    <s v="YELLOW CAB CO"/>
    <s v="4121"/>
    <s v="Transportation"/>
    <n v="58.29"/>
    <s v="Corporate Amex"/>
    <m/>
    <s v="Y"/>
    <s v="Transportation"/>
    <s v="MATCH"/>
    <x v="8"/>
  </r>
  <r>
    <s v="EXP100957"/>
    <s v="E016"/>
    <m/>
    <d v="2026-02-19T00:00:00"/>
    <d v="2026-02-23T00:00:00"/>
    <s v="UBER TRIP HELP.UBER"/>
    <s v="4121"/>
    <s v="Transportation"/>
    <n v="17.27"/>
    <s v="Personal (Reimbursement)"/>
    <s v="Card not yet issued"/>
    <s v="Y"/>
    <s v="Transportation"/>
    <s v="MATCH"/>
    <x v="0"/>
  </r>
  <r>
    <s v="EXP100958"/>
    <s v="E044"/>
    <s v="AX578316181"/>
    <d v="2026-02-18T00:00:00"/>
    <d v="2026-02-24T00:00:00"/>
    <s v="YELLOW CAB CO"/>
    <s v="4121"/>
    <s v="Transportation"/>
    <n v="45.18"/>
    <s v="Corporate Amex"/>
    <m/>
    <s v="Y"/>
    <s v="Transportation"/>
    <s v="MATCH"/>
    <x v="0"/>
  </r>
  <r>
    <s v="EXP100959"/>
    <s v="E008"/>
    <s v="AX528004780"/>
    <d v="2026-02-15T00:00:00"/>
    <d v="2026-02-24T00:00:00"/>
    <s v="AMAZON MKTPLACE PMTS"/>
    <s v="5942"/>
    <m/>
    <n v="138.5"/>
    <s v="Corporate Amex"/>
    <m/>
    <s v="Y"/>
    <s v="Office Supplies"/>
    <s v="BLANK"/>
    <x v="0"/>
  </r>
  <r>
    <s v="EXP100960"/>
    <s v="E161"/>
    <s v="ax137234718"/>
    <d v="2026-02-18T00:00:00"/>
    <d v="2026-02-24T00:00:00"/>
    <s v="SQ *JOES COFFEE"/>
    <s v="5812"/>
    <s v="Meals"/>
    <n v="19.48"/>
    <s v="Corporate Amex"/>
    <m/>
    <s v="Y"/>
    <s v="Meals"/>
    <s v="MATCH"/>
    <x v="6"/>
  </r>
  <r>
    <s v="EXP100961"/>
    <s v="E190"/>
    <s v="AX901273424"/>
    <d v="2026-02-22T00:00:00"/>
    <d v="2026-02-24T00:00:00"/>
    <s v="ZOOM.US"/>
    <s v="5734"/>
    <m/>
    <n v="58.26"/>
    <s v="Corporate Amex"/>
    <m/>
    <s v="Y"/>
    <s v="Software"/>
    <s v="BLANK"/>
    <x v="5"/>
  </r>
  <r>
    <s v="EXP100962"/>
    <s v="E274"/>
    <s v="AX102037789"/>
    <d v="2026-02-20T00:00:00"/>
    <d v="2026-02-24T00:00:00"/>
    <s v="OLIVE GARDEN 00456"/>
    <s v="5812"/>
    <s v="Meals"/>
    <n v="91.52"/>
    <s v="Corporate Amex"/>
    <m/>
    <s v="Y"/>
    <s v="Meals"/>
    <s v="MATCH"/>
    <x v="3"/>
  </r>
  <r>
    <s v="EXP100963"/>
    <s v="E009"/>
    <s v="AX248591142"/>
    <d v="2026-02-24T00:00:00"/>
    <d v="2026-02-24T00:00:00"/>
    <s v="CHIPOTLE 2214"/>
    <s v="5812"/>
    <s v="Meals"/>
    <n v="17.850000000000001"/>
    <s v="Corporate Amex"/>
    <m/>
    <s v="Y"/>
    <s v="Meals"/>
    <s v="MATCH"/>
    <x v="0"/>
  </r>
  <r>
    <s v="EXP100964"/>
    <s v="E255"/>
    <s v="AX450681983"/>
    <d v="2026-02-14T00:00:00"/>
    <d v="2026-02-24T00:00:00"/>
    <s v="BRANDWATCH LTD"/>
    <s v="5734"/>
    <s v="Software"/>
    <n v="548.52"/>
    <s v="Corporate Amex"/>
    <m/>
    <s v="Y"/>
    <s v="Software"/>
    <s v="MATCH"/>
    <x v="8"/>
  </r>
  <r>
    <s v="EXP100965"/>
    <s v="E075"/>
    <s v="AX-586119897"/>
    <d v="2026-02-17T00:00:00"/>
    <d v="2026-02-24T00:00:00"/>
    <s v="SQ *JOES COFFEE"/>
    <s v="5812"/>
    <s v="Meals"/>
    <n v="11.54"/>
    <s v="Corporate Amex"/>
    <m/>
    <s v="N"/>
    <s v="Meals"/>
    <s v="MATCH"/>
    <x v="2"/>
  </r>
  <r>
    <s v="EXP100966"/>
    <s v="E142"/>
    <s v="ax677646778"/>
    <d v="2026-02-21T00:00:00"/>
    <d v="2026-02-24T00:00:00"/>
    <s v="CHIPOTLE 2214"/>
    <s v="5812"/>
    <s v="Meals"/>
    <n v="19.98"/>
    <s v="Corporate Amex"/>
    <m/>
    <s v="Y"/>
    <s v="Meals"/>
    <s v="MATCH"/>
    <x v="7"/>
  </r>
  <r>
    <s v="EXP100967"/>
    <s v="E233"/>
    <s v="ax156904864"/>
    <d v="2026-02-18T00:00:00"/>
    <d v="2026-02-24T00:00:00"/>
    <s v="STARBUCKS #4471"/>
    <s v="5812"/>
    <s v="Meals"/>
    <n v="5.98"/>
    <s v="Corporate Amex"/>
    <m/>
    <s v="Y"/>
    <s v="Meals"/>
    <s v="MATCH"/>
    <x v="1"/>
  </r>
  <r>
    <s v="EXP100968"/>
    <s v="E018"/>
    <m/>
    <d v="2026-02-19T00:00:00"/>
    <d v="2026-02-24T00:00:00"/>
    <s v="ADOBE *CREATIVE CLOUD"/>
    <s v="5734"/>
    <s v="Software"/>
    <n v="36.99"/>
    <s v="Corporate Amex"/>
    <m/>
    <s v="Y"/>
    <s v="Software"/>
    <s v="MATCH"/>
    <x v="0"/>
  </r>
  <r>
    <s v="EXP100969"/>
    <s v="E207"/>
    <m/>
    <d v="2026-02-15T00:00:00"/>
    <d v="2026-02-24T00:00:00"/>
    <s v="LYFT RIDE THU"/>
    <s v="4121"/>
    <s v="Transportation"/>
    <n v="34.89"/>
    <s v="Corporate Amex"/>
    <m/>
    <s v="Y"/>
    <s v="Transportation"/>
    <s v="MATCH"/>
    <x v="5"/>
  </r>
  <r>
    <s v="EXP100970"/>
    <s v="E199"/>
    <s v="ax815797129"/>
    <d v="2026-02-15T00:00:00"/>
    <d v="2026-02-24T00:00:00"/>
    <s v="SQ *THE CORNER BISTRO"/>
    <s v="5812"/>
    <s v="Lodging"/>
    <n v="33.590000000000003"/>
    <s v="Corporate Amex"/>
    <m/>
    <s v="Y"/>
    <s v="Meals"/>
    <s v="MISMATCH"/>
    <x v="5"/>
  </r>
  <r>
    <s v="EXP100971"/>
    <s v="E089"/>
    <s v="AX 866594512"/>
    <d v="2026-02-15T00:00:00"/>
    <d v="2026-02-24T00:00:00"/>
    <s v="OLIVE GARDEN 00456"/>
    <s v="5812"/>
    <s v="Meals"/>
    <n v="110.17"/>
    <s v="Corporate Amex"/>
    <m/>
    <s v="Y"/>
    <s v="Meals"/>
    <s v="MATCH"/>
    <x v="2"/>
  </r>
  <r>
    <s v="EXP100972"/>
    <s v="E062"/>
    <s v="AX 252347997"/>
    <d v="2026-02-22T00:00:00"/>
    <d v="2026-02-24T00:00:00"/>
    <s v="PANERA BREAD #0231"/>
    <s v="5812"/>
    <s v="Meals"/>
    <n v="28.86"/>
    <s v="Corporate Amex"/>
    <m/>
    <s v="Y"/>
    <s v="Meals"/>
    <s v="MATCH"/>
    <x v="0"/>
  </r>
  <r>
    <s v="EXP100973"/>
    <s v="E166"/>
    <s v="AX623109422"/>
    <d v="2026-02-21T00:00:00"/>
    <d v="2026-02-24T00:00:00"/>
    <s v="REGION CATERING CO"/>
    <s v="5811"/>
    <s v="Events"/>
    <n v="296.62"/>
    <s v="Corporate Amex"/>
    <m/>
    <s v="Y"/>
    <s v="Events"/>
    <s v="MATCH"/>
    <x v="6"/>
  </r>
  <r>
    <s v="EXP100974"/>
    <s v="E007"/>
    <s v="AX262017711"/>
    <d v="2026-02-22T00:00:00"/>
    <d v="2026-02-24T00:00:00"/>
    <s v="SQ *THE CORNER BISTRO"/>
    <s v="5812"/>
    <s v="Meals"/>
    <n v="27.57"/>
    <s v="Corporate Amex"/>
    <m/>
    <s v="Y"/>
    <s v="Meals"/>
    <s v="MATCH"/>
    <x v="0"/>
  </r>
  <r>
    <s v="EXP100975"/>
    <s v="E236"/>
    <s v="AX533149898"/>
    <d v="2026-02-19T00:00:00"/>
    <d v="2026-02-25T00:00:00"/>
    <s v="STAPLES #0231"/>
    <s v="5943"/>
    <s v="Meals"/>
    <n v="76.25"/>
    <s v="Corporate Amex"/>
    <m/>
    <s v="Y"/>
    <s v="Office Supplies"/>
    <s v="MISMATCH"/>
    <x v="1"/>
  </r>
  <r>
    <s v="EXP100976"/>
    <s v="E004"/>
    <s v="AX 189562005"/>
    <d v="2026-02-17T00:00:00"/>
    <d v="2026-02-25T00:00:00"/>
    <s v="ZOOM.US"/>
    <s v="5734"/>
    <s v="Software"/>
    <n v="21.6"/>
    <s v="Corporate Amex"/>
    <m/>
    <s v="Y"/>
    <s v="Software"/>
    <s v="MATCH"/>
    <x v="0"/>
  </r>
  <r>
    <s v="EXP100977"/>
    <s v="E147"/>
    <s v="AX520304275"/>
    <d v="2026-02-17T00:00:00"/>
    <d v="2026-02-25T00:00:00"/>
    <s v="TOPGOLF #442"/>
    <s v="7997"/>
    <s v="Entertainment"/>
    <n v="147.15"/>
    <s v="Corporate Amex"/>
    <m/>
    <s v="Y"/>
    <s v="Entertainment"/>
    <s v="MATCH"/>
    <x v="7"/>
  </r>
  <r>
    <s v="EXP100978"/>
    <s v="E214"/>
    <s v="AX914966886"/>
    <d v="2026-02-23T00:00:00"/>
    <d v="2026-02-25T00:00:00"/>
    <s v="HOOTSUITE INC"/>
    <s v="5734"/>
    <s v="Software"/>
    <n v="132.68"/>
    <s v="Corporate Amex"/>
    <m/>
    <s v="Y"/>
    <s v="Software"/>
    <s v="MATCH"/>
    <x v="4"/>
  </r>
  <r>
    <s v="EXP100979"/>
    <s v="E034"/>
    <s v="ax205289344"/>
    <d v="2026-02-19T00:00:00"/>
    <d v="2026-02-25T00:00:00"/>
    <s v="AMC THEATRES 0021"/>
    <s v="7832"/>
    <s v="Entertainment"/>
    <n v="40.33"/>
    <s v="Corporate Amex"/>
    <m/>
    <s v="Y"/>
    <s v="Entertainment"/>
    <s v="MATCH"/>
    <x v="0"/>
  </r>
  <r>
    <s v="EXP100980"/>
    <s v="E019"/>
    <s v="AX856755558"/>
    <d v="2026-02-20T00:00:00"/>
    <d v="2026-02-25T00:00:00"/>
    <s v="DELTA AIR 00623891045"/>
    <s v="4511"/>
    <s v="Events"/>
    <n v="596.48"/>
    <s v="Corporate Amex"/>
    <m/>
    <s v="Y"/>
    <s v="Travel"/>
    <s v="MISMATCH"/>
    <x v="0"/>
  </r>
  <r>
    <s v="EXP100981"/>
    <s v="E254"/>
    <m/>
    <d v="2026-02-22T00:00:00"/>
    <d v="2026-02-25T00:00:00"/>
    <s v="EVENTBRITE"/>
    <s v="7999"/>
    <s v="Events"/>
    <n v="217.74"/>
    <s v="Personal (Reimbursement)"/>
    <s v="Forgot corporate card"/>
    <s v="Y"/>
    <s v="Events"/>
    <s v="MATCH"/>
    <x v="8"/>
  </r>
  <r>
    <s v="EXP100982"/>
    <s v="E051"/>
    <m/>
    <d v="2026-02-25T00:00:00"/>
    <d v="2026-02-25T00:00:00"/>
    <s v="SQ *THE CORNER BISTRO"/>
    <s v="5812"/>
    <s v="Meals"/>
    <n v="57.31"/>
    <s v="Personal (Reimbursement)"/>
    <s v="International merchant - Amex not accepted"/>
    <s v="Y"/>
    <s v="Meals"/>
    <s v="MATCH"/>
    <x v="0"/>
  </r>
  <r>
    <s v="EXP100983"/>
    <s v="E069"/>
    <m/>
    <d v="2026-02-24T00:00:00"/>
    <d v="2026-02-25T00:00:00"/>
    <s v="MICROSOFT*365"/>
    <s v="5734"/>
    <s v="Other"/>
    <n v="69.69"/>
    <s v="Personal (Reimbursement)"/>
    <s v="International merchant - Amex not accepted"/>
    <s v="Y"/>
    <s v="Software"/>
    <s v="MISMATCH"/>
    <x v="0"/>
  </r>
  <r>
    <s v="EXP100984"/>
    <s v="E259"/>
    <m/>
    <d v="2026-02-23T00:00:00"/>
    <d v="2026-02-25T00:00:00"/>
    <s v="AMC THEATRES 0021"/>
    <s v="7832"/>
    <s v="Entertainment"/>
    <n v="37.950000000000003"/>
    <s v="Corporate Amex"/>
    <m/>
    <s v="Y"/>
    <s v="Entertainment"/>
    <s v="MATCH"/>
    <x v="8"/>
  </r>
  <r>
    <s v="EXP100986"/>
    <s v="E224"/>
    <s v="AX686804509"/>
    <d v="2026-02-16T00:00:00"/>
    <d v="2026-02-25T00:00:00"/>
    <s v="SOUTHWEST AIR 5261823"/>
    <s v="4511"/>
    <s v="Travel"/>
    <n v="301.17"/>
    <s v="Corporate Amex"/>
    <m/>
    <s v="Y"/>
    <s v="Travel"/>
    <s v="MATCH"/>
    <x v="4"/>
  </r>
  <r>
    <s v="EXP100987"/>
    <s v="E125"/>
    <s v="AX-885106165"/>
    <d v="2026-02-19T00:00:00"/>
    <d v="2026-02-25T00:00:00"/>
    <s v="HYATT REGENCY BOS"/>
    <s v="7011"/>
    <s v="Lodging"/>
    <n v="235.48"/>
    <s v="Corporate Amex"/>
    <m/>
    <s v="Y"/>
    <s v="Lodging"/>
    <s v="MATCH"/>
    <x v="7"/>
  </r>
  <r>
    <s v="EXP100988"/>
    <s v="E263"/>
    <s v="AX 686627514"/>
    <d v="2026-02-24T00:00:00"/>
    <d v="2026-02-25T00:00:00"/>
    <s v="BRANDWATCH LTD"/>
    <s v="5734"/>
    <s v="Software"/>
    <n v="341.25"/>
    <s v="Corporate Amex"/>
    <m/>
    <s v="Y"/>
    <s v="Software"/>
    <s v="MATCH"/>
    <x v="3"/>
  </r>
  <r>
    <s v="EXP100989"/>
    <s v="E042"/>
    <s v="AX505276073"/>
    <d v="2026-02-15T00:00:00"/>
    <d v="2026-02-25T00:00:00"/>
    <s v="SQ *THE CORNER BISTRO"/>
    <s v="5812"/>
    <s v="Entertainment"/>
    <n v="65.489999999999995"/>
    <s v="Corporate Amex"/>
    <m/>
    <s v="Y"/>
    <s v="Meals"/>
    <s v="MISMATCH"/>
    <x v="0"/>
  </r>
  <r>
    <s v="EXP100990"/>
    <s v="E139"/>
    <m/>
    <d v="2026-02-25T00:00:00"/>
    <d v="2026-02-25T00:00:00"/>
    <s v="BRANDWATCH LTD"/>
    <s v="5734"/>
    <s v="Events"/>
    <n v="589.95000000000005"/>
    <s v="Corporate Amex"/>
    <m/>
    <s v="Y"/>
    <s v="Software"/>
    <s v="MISMATCH"/>
    <x v="7"/>
  </r>
  <r>
    <s v="EXP100991"/>
    <s v="E045"/>
    <s v="AX-980650365"/>
    <d v="2026-02-25T00:00:00"/>
    <d v="2026-02-26T00:00:00"/>
    <s v="ADOBE *CREATIVE CLOUD"/>
    <s v="5734"/>
    <s v="Software"/>
    <n v="48.7"/>
    <s v="Corporate Amex"/>
    <m/>
    <s v="Y"/>
    <s v="Software"/>
    <s v="MATCH"/>
    <x v="0"/>
  </r>
  <r>
    <s v="EXP100992"/>
    <s v="E069"/>
    <s v="AX-279167293"/>
    <d v="2026-02-23T00:00:00"/>
    <d v="2026-02-26T00:00:00"/>
    <s v="PANERA BREAD #0231"/>
    <s v="5812"/>
    <s v="Other"/>
    <n v="17.940000000000001"/>
    <s v="Corporate Amex"/>
    <m/>
    <s v="Y"/>
    <s v="Meals"/>
    <s v="MISMATCH"/>
    <x v="0"/>
  </r>
  <r>
    <s v="EXP100993"/>
    <s v="E053"/>
    <m/>
    <d v="2026-02-16T00:00:00"/>
    <d v="2026-02-26T00:00:00"/>
    <s v="HOOTSUITE INC"/>
    <s v="5734"/>
    <s v="Software"/>
    <n v="168.6"/>
    <s v="Corporate Amex"/>
    <m/>
    <s v="Y"/>
    <s v="Software"/>
    <s v="MATCH"/>
    <x v="0"/>
  </r>
  <r>
    <s v="EXP100994"/>
    <s v="E189"/>
    <s v="AX-332571020"/>
    <d v="2026-02-22T00:00:00"/>
    <d v="2026-02-26T00:00:00"/>
    <s v="SQ *THE CORNER BISTRO"/>
    <s v="5812"/>
    <s v="Meals"/>
    <n v="47.31"/>
    <s v="Corporate Amex"/>
    <m/>
    <s v="Y"/>
    <s v="Meals"/>
    <s v="MATCH"/>
    <x v="5"/>
  </r>
  <r>
    <s v="EXP100995"/>
    <s v="E014"/>
    <s v="AX187859354"/>
    <d v="2026-02-19T00:00:00"/>
    <d v="2026-02-26T00:00:00"/>
    <s v="SQ *JOES COFFEE"/>
    <s v="5812"/>
    <s v="Meals"/>
    <n v="6.83"/>
    <s v="Corporate Amex"/>
    <m/>
    <s v="Y"/>
    <s v="Meals"/>
    <s v="MATCH"/>
    <x v="0"/>
  </r>
  <r>
    <s v="EXP100996"/>
    <s v="E259"/>
    <s v="ax343799657"/>
    <d v="2026-02-22T00:00:00"/>
    <d v="2026-02-26T00:00:00"/>
    <s v="TOTAL PARTY RENTAL"/>
    <s v="7999"/>
    <s v="Events"/>
    <n v="179.11"/>
    <s v="Corporate Amex"/>
    <m/>
    <s v="Y"/>
    <s v="Events"/>
    <s v="MATCH"/>
    <x v="8"/>
  </r>
  <r>
    <s v="EXP100997"/>
    <s v="E097"/>
    <s v="AX-484276806"/>
    <d v="2026-02-17T00:00:00"/>
    <d v="2026-02-26T00:00:00"/>
    <s v="AMAZON MKTPLACE PMTS"/>
    <s v="5942"/>
    <s v="Office Supplies"/>
    <n v="432.29"/>
    <s v="Corporate Amex"/>
    <m/>
    <s v="Y"/>
    <s v="Office Supplies"/>
    <s v="MATCH"/>
    <x v="2"/>
  </r>
  <r>
    <s v="EXP100998"/>
    <s v="E046"/>
    <s v="ax587592794"/>
    <d v="2026-02-19T00:00:00"/>
    <d v="2026-02-26T00:00:00"/>
    <s v="ADOBE *CREATIVE CLOUD"/>
    <s v="5734"/>
    <s v="Software"/>
    <n v="58.4"/>
    <s v="Corporate Amex"/>
    <m/>
    <s v="Y"/>
    <s v="Software"/>
    <s v="MATCH"/>
    <x v="0"/>
  </r>
  <r>
    <s v="EXP100999"/>
    <s v="E046"/>
    <s v="ax163962451"/>
    <d v="2026-02-18T00:00:00"/>
    <d v="2026-02-26T00:00:00"/>
    <s v="YELLOW CAB CO"/>
    <s v="4121"/>
    <s v="Events"/>
    <n v="55.95"/>
    <s v="Corporate Amex"/>
    <m/>
    <s v="N"/>
    <s v="Transportation"/>
    <s v="MISMATCH"/>
    <x v="0"/>
  </r>
  <r>
    <s v="EXP101000"/>
    <s v="E269"/>
    <s v="AX599885441"/>
    <d v="2026-02-22T00:00:00"/>
    <d v="2026-02-26T00:00:00"/>
    <s v="OLIVE GARDEN 00456"/>
    <s v="5812"/>
    <s v="Meals"/>
    <n v="34.69"/>
    <s v="Corporate Amex"/>
    <m/>
    <s v="Y"/>
    <s v="Meals"/>
    <s v="MATCH"/>
    <x v="3"/>
  </r>
  <r>
    <s v="EXP101001"/>
    <s v="E142"/>
    <s v="AX140720021"/>
    <d v="2026-02-22T00:00:00"/>
    <d v="2026-02-26T00:00:00"/>
    <s v="SQ *THE CORNER BISTRO"/>
    <s v="5812"/>
    <s v="Meals"/>
    <n v="51.52"/>
    <s v="Corporate Amex"/>
    <m/>
    <s v="Y"/>
    <s v="Meals"/>
    <s v="MATCH"/>
    <x v="7"/>
  </r>
  <r>
    <s v="EXP101002"/>
    <s v="E267"/>
    <s v="AX 601611285"/>
    <d v="2026-02-25T00:00:00"/>
    <d v="2026-02-26T00:00:00"/>
    <s v="TOPGOLF #442"/>
    <s v="7997"/>
    <s v="Entertainment"/>
    <n v="205.28"/>
    <s v="Corporate Amex"/>
    <m/>
    <s v="Y"/>
    <s v="Entertainment"/>
    <s v="MATCH"/>
    <x v="3"/>
  </r>
  <r>
    <s v="EXP101003"/>
    <s v="E020"/>
    <s v="AX 944491769"/>
    <d v="2026-02-16T00:00:00"/>
    <d v="2026-02-26T00:00:00"/>
    <s v="EVENTBRITE"/>
    <s v="7999"/>
    <s v="Events"/>
    <n v="121.16"/>
    <s v="Corporate Amex"/>
    <m/>
    <s v="Y"/>
    <s v="Events"/>
    <s v="MATCH"/>
    <x v="0"/>
  </r>
  <r>
    <s v="EXP101004"/>
    <s v="E235"/>
    <m/>
    <d v="2026-02-23T00:00:00"/>
    <d v="2026-02-26T00:00:00"/>
    <s v="CHIPOTLE 2214"/>
    <s v="5812"/>
    <s v="Meals"/>
    <n v="14.46"/>
    <s v="Corporate Amex"/>
    <m/>
    <s v="Y"/>
    <s v="Meals"/>
    <s v="MATCH"/>
    <x v="1"/>
  </r>
  <r>
    <s v="EXP101005"/>
    <s v="E065"/>
    <s v="AX 526941830"/>
    <d v="2026-02-20T00:00:00"/>
    <d v="2026-02-26T00:00:00"/>
    <s v="YELLOW CAB CO"/>
    <s v="4121"/>
    <s v="Transportation"/>
    <n v="31.7"/>
    <s v="Corporate Amex"/>
    <m/>
    <s v="Y"/>
    <s v="Transportation"/>
    <s v="MATCH"/>
    <x v="0"/>
  </r>
  <r>
    <s v="EXP101006"/>
    <s v="E019"/>
    <s v="AX446167825"/>
    <d v="2026-02-19T00:00:00"/>
    <d v="2026-02-26T00:00:00"/>
    <s v="BRANDWATCH LTD"/>
    <s v="5734"/>
    <s v="  Software "/>
    <n v="187.52"/>
    <s v="Corporate Amex"/>
    <m/>
    <s v="Y"/>
    <s v="Software"/>
    <s v="MATCH"/>
    <x v="0"/>
  </r>
  <r>
    <s v="EXP101007"/>
    <s v="E115"/>
    <s v="AX 641231170"/>
    <d v="2026-02-19T00:00:00"/>
    <d v="2026-02-26T00:00:00"/>
    <s v="BRANDWATCH LTD"/>
    <s v="5734"/>
    <s v="Software"/>
    <n v="449.51"/>
    <s v="Corporate Amex"/>
    <m/>
    <s v="Y"/>
    <s v="Software"/>
    <s v="MATCH"/>
    <x v="2"/>
  </r>
  <r>
    <s v="EXP101008"/>
    <s v="E059"/>
    <s v="AX551642982"/>
    <d v="2026-02-23T00:00:00"/>
    <d v="2026-02-26T00:00:00"/>
    <s v="ZOOM.US"/>
    <s v="5734"/>
    <s v="Software"/>
    <n v="50.65"/>
    <s v="Corporate Amex"/>
    <m/>
    <s v="Y"/>
    <s v="Software"/>
    <s v="MATCH"/>
    <x v="0"/>
  </r>
  <r>
    <s v="EXP101009"/>
    <s v="E116"/>
    <s v="AX657045530"/>
    <d v="2026-02-16T00:00:00"/>
    <d v="2026-02-26T00:00:00"/>
    <s v="YELLOW CAB CO"/>
    <s v="4121"/>
    <s v="Transportation"/>
    <n v="55.21"/>
    <s v="Corporate Amex"/>
    <m/>
    <s v="Y"/>
    <s v="Transportation"/>
    <s v="MATCH"/>
    <x v="7"/>
  </r>
  <r>
    <s v="EXP101010"/>
    <s v="E173"/>
    <s v="AX 426293928"/>
    <d v="2026-02-19T00:00:00"/>
    <d v="2026-02-26T00:00:00"/>
    <s v="SQ *THE CORNER BISTRO"/>
    <s v="5812"/>
    <s v="Meals"/>
    <n v="37.78"/>
    <s v="Corporate Amex"/>
    <m/>
    <s v="Y"/>
    <s v="Meals"/>
    <s v="MATCH"/>
    <x v="6"/>
  </r>
  <r>
    <s v="EXP101011"/>
    <s v="E034"/>
    <s v="AX 603357384"/>
    <d v="2026-02-16T00:00:00"/>
    <d v="2026-02-26T00:00:00"/>
    <s v="SQ *THE CORNER BISTRO"/>
    <s v="5812"/>
    <s v="Meals"/>
    <n v="74.56"/>
    <s v="Corporate Amex"/>
    <m/>
    <s v="Y"/>
    <s v="Meals"/>
    <s v="MATCH"/>
    <x v="0"/>
  </r>
  <r>
    <s v="EXP101012"/>
    <s v="E038"/>
    <m/>
    <d v="2026-02-17T00:00:00"/>
    <d v="2026-02-26T00:00:00"/>
    <s v="AMAZON MKTPLACE PMTS"/>
    <s v="5942"/>
    <m/>
    <n v="10.210000000000001"/>
    <s v="Corporate Amex"/>
    <m/>
    <s v="Y"/>
    <s v="Office Supplies"/>
    <s v="BLANK"/>
    <x v="0"/>
  </r>
  <r>
    <s v="EXP101013"/>
    <s v="E099"/>
    <s v="ax743245185"/>
    <d v="2026-02-22T00:00:00"/>
    <d v="2026-02-26T00:00:00"/>
    <s v="UBER TRIP HELP.UBER"/>
    <s v="4121"/>
    <s v="Transportation"/>
    <n v="15.61"/>
    <s v="Corporate Amex"/>
    <m/>
    <s v="Y"/>
    <s v="Transportation"/>
    <s v="MATCH"/>
    <x v="2"/>
  </r>
  <r>
    <s v="EXP101014"/>
    <s v="E176"/>
    <s v="AX553855439"/>
    <d v="2026-02-20T00:00:00"/>
    <d v="2026-02-26T00:00:00"/>
    <s v="UBER TRIP HELP.UBER"/>
    <s v="4121"/>
    <s v="Transportation"/>
    <n v="47.19"/>
    <s v="Corporate Amex"/>
    <m/>
    <s v="Y"/>
    <s v="Transportation"/>
    <s v="MATCH"/>
    <x v="6"/>
  </r>
  <r>
    <s v="EXP101015"/>
    <s v="E041"/>
    <s v="ax409695921"/>
    <d v="2026-02-20T00:00:00"/>
    <d v="2026-02-26T00:00:00"/>
    <s v="HILTON GARDEN INN 2231"/>
    <s v="7011"/>
    <s v="Lodging"/>
    <n v="270.14"/>
    <s v="Corporate Amex"/>
    <m/>
    <s v="Y"/>
    <s v="Lodging"/>
    <s v="MATCH"/>
    <x v="0"/>
  </r>
  <r>
    <s v="EXP101016"/>
    <s v="E040"/>
    <s v="AX 994463126"/>
    <d v="2026-02-20T00:00:00"/>
    <d v="2026-02-27T00:00:00"/>
    <s v="MARRIOTT #4471"/>
    <s v="7011"/>
    <s v="Lodging"/>
    <n v="293.43"/>
    <s v="Corporate Amex"/>
    <m/>
    <s v="Y"/>
    <s v="Lodging"/>
    <s v="MATCH"/>
    <x v="0"/>
  </r>
  <r>
    <s v="EXP101017"/>
    <s v="E024"/>
    <s v="AX-569303672"/>
    <d v="2026-02-21T00:00:00"/>
    <d v="2026-02-27T00:00:00"/>
    <s v="TOPGOLF #442"/>
    <s v="7997"/>
    <s v="Entertainment"/>
    <n v="155.36000000000001"/>
    <s v="Corporate Amex"/>
    <m/>
    <s v="Y"/>
    <s v="Entertainment"/>
    <s v="MATCH"/>
    <x v="0"/>
  </r>
  <r>
    <s v="EXP101018"/>
    <s v="E049"/>
    <s v="AX540789571"/>
    <d v="2026-02-27T00:00:00"/>
    <d v="2026-02-27T00:00:00"/>
    <s v="BRANDWATCH LTD"/>
    <s v="5734"/>
    <s v="Software"/>
    <n v="368.19"/>
    <s v="Corporate Amex"/>
    <m/>
    <s v="N"/>
    <s v="Software"/>
    <s v="MATCH"/>
    <x v="0"/>
  </r>
  <r>
    <s v="EXP101019"/>
    <s v="E164"/>
    <m/>
    <d v="2026-02-21T00:00:00"/>
    <d v="2026-02-27T00:00:00"/>
    <s v="AMAZON MKTPLACE PMTS"/>
    <s v="5942"/>
    <s v="Office Supplies"/>
    <n v="390.79"/>
    <s v="Personal (Reimbursement)"/>
    <s v="International merchant - Amex not accepted"/>
    <s v="N"/>
    <s v="Office Supplies"/>
    <s v="MATCH"/>
    <x v="6"/>
  </r>
  <r>
    <s v="EXP101020"/>
    <s v="E030"/>
    <s v="AX760294343"/>
    <d v="2026-02-18T00:00:00"/>
    <d v="2026-02-27T00:00:00"/>
    <s v="AMAZON MKTPLACE PMTS"/>
    <s v="5942"/>
    <s v="Office Supplies"/>
    <n v="423.09"/>
    <s v="Corporate Amex"/>
    <m/>
    <s v="Y"/>
    <s v="Office Supplies"/>
    <s v="MATCH"/>
    <x v="0"/>
  </r>
  <r>
    <s v="EXP101021"/>
    <s v="E026"/>
    <s v="AX137761501"/>
    <d v="2026-02-22T00:00:00"/>
    <d v="2026-02-27T00:00:00"/>
    <s v="OLIVE GARDEN 00456"/>
    <s v="5812"/>
    <s v="Meals"/>
    <n v="64.95"/>
    <s v="Corporate Amex"/>
    <m/>
    <s v="Y"/>
    <s v="Meals"/>
    <s v="MATCH"/>
    <x v="0"/>
  </r>
  <r>
    <s v="EXP101022"/>
    <s v="E017"/>
    <s v="AX 952078454"/>
    <d v="2026-02-25T00:00:00"/>
    <d v="2026-02-27T00:00:00"/>
    <s v="DELTA AIR 00623891045"/>
    <s v="4511"/>
    <s v="Travel"/>
    <n v="274.52999999999997"/>
    <s v="Corporate Amex"/>
    <m/>
    <s v="Y"/>
    <s v="Travel"/>
    <s v="MATCH"/>
    <x v="0"/>
  </r>
  <r>
    <s v="EXP101023"/>
    <s v="E204"/>
    <s v="AX805690960"/>
    <d v="2026-02-27T00:00:00"/>
    <d v="2026-02-27T00:00:00"/>
    <s v="ZOOM.US"/>
    <s v="5734"/>
    <s v="Software"/>
    <n v="21.53"/>
    <s v="Corporate Amex"/>
    <m/>
    <s v="Y"/>
    <s v="Software"/>
    <s v="MATCH"/>
    <x v="5"/>
  </r>
  <r>
    <s v="EXP101024"/>
    <s v="E069"/>
    <s v="ax837219831"/>
    <d v="2026-02-20T00:00:00"/>
    <d v="2026-02-27T00:00:00"/>
    <s v="REGION CATERING CO"/>
    <s v="5811"/>
    <s v="Events"/>
    <n v="458.08"/>
    <s v="Corporate Amex"/>
    <m/>
    <s v="Y"/>
    <s v="Events"/>
    <s v="MATCH"/>
    <x v="0"/>
  </r>
  <r>
    <s v="EXP101025"/>
    <s v="E166"/>
    <m/>
    <d v="2026-02-27T00:00:00"/>
    <d v="2026-02-27T00:00:00"/>
    <s v="HOOTSUITE INC"/>
    <s v="5734"/>
    <s v="  Software "/>
    <n v="232.55"/>
    <s v="Corporate Amex"/>
    <m/>
    <s v="Y"/>
    <s v="Software"/>
    <s v="MATCH"/>
    <x v="6"/>
  </r>
  <r>
    <s v="EXP101026"/>
    <s v="E029"/>
    <s v="AX-568679043"/>
    <d v="2026-02-18T00:00:00"/>
    <d v="2026-02-27T00:00:00"/>
    <s v="STARBUCKS #4471"/>
    <s v="5812"/>
    <s v="Meals"/>
    <n v="8.33"/>
    <s v="Corporate Amex"/>
    <m/>
    <s v="Y"/>
    <s v="Meals"/>
    <s v="MATCH"/>
    <x v="0"/>
  </r>
  <r>
    <s v="EXP101027"/>
    <s v="E031"/>
    <s v="AX-621627067"/>
    <d v="2026-02-20T00:00:00"/>
    <d v="2026-02-27T00:00:00"/>
    <s v="AMC THEATRES 0021"/>
    <s v="7832"/>
    <s v="Travel"/>
    <n v="43.91"/>
    <s v="Corporate Amex"/>
    <m/>
    <s v="Y"/>
    <s v="Entertainment"/>
    <s v="MISMATCH"/>
    <x v="0"/>
  </r>
  <r>
    <s v="EXP101028"/>
    <s v="E190"/>
    <m/>
    <d v="2026-02-26T00:00:00"/>
    <d v="2026-02-27T00:00:00"/>
    <s v="AMC THEATRES 0021"/>
    <s v="7832"/>
    <s v="Entertainment"/>
    <n v="35.99"/>
    <s v="Corporate Amex"/>
    <m/>
    <s v="Y"/>
    <s v="Entertainment"/>
    <s v="MATCH"/>
    <x v="5"/>
  </r>
  <r>
    <s v="EXP101029"/>
    <s v="E001"/>
    <s v="AX155102070"/>
    <d v="2026-02-22T00:00:00"/>
    <d v="2026-02-27T00:00:00"/>
    <s v="ADOBE *CREATIVE CLOUD"/>
    <s v="5734"/>
    <s v="Software"/>
    <n v="34.85"/>
    <s v="Corporate Amex"/>
    <m/>
    <s v="N"/>
    <s v="Software"/>
    <s v="MATCH"/>
    <x v="0"/>
  </r>
  <r>
    <s v="EXP101030"/>
    <s v="E001"/>
    <m/>
    <d v="2026-02-23T00:00:00"/>
    <d v="2026-02-27T00:00:00"/>
    <s v="REGION CATERING CO"/>
    <s v="5811"/>
    <s v="Events"/>
    <n v="611.95000000000005"/>
    <s v="Corporate Amex"/>
    <m/>
    <s v="Y"/>
    <s v="Events"/>
    <s v="MATCH"/>
    <x v="0"/>
  </r>
  <r>
    <s v="EXP101031"/>
    <s v="E060"/>
    <s v="AX 452082390"/>
    <d v="2026-02-22T00:00:00"/>
    <d v="2026-02-27T00:00:00"/>
    <s v="YELLOW CAB CO"/>
    <s v="4121"/>
    <s v="Transportation"/>
    <n v="35.049999999999997"/>
    <s v="Corporate Amex"/>
    <m/>
    <s v="Y"/>
    <s v="Transportation"/>
    <s v="MATCH"/>
    <x v="0"/>
  </r>
  <r>
    <s v="EXP101032"/>
    <s v="E266"/>
    <s v="AX222523495"/>
    <d v="2026-02-17T00:00:00"/>
    <d v="2026-02-27T00:00:00"/>
    <s v="EVENTBRITE"/>
    <s v="7999"/>
    <s v="Events"/>
    <n v="122.78"/>
    <s v="Corporate Amex"/>
    <m/>
    <s v="Y"/>
    <s v="Events"/>
    <s v="MATCH"/>
    <x v="3"/>
  </r>
  <r>
    <s v="EXP101033"/>
    <s v="E006"/>
    <s v="AX-741242022"/>
    <d v="2026-02-21T00:00:00"/>
    <d v="2026-02-27T00:00:00"/>
    <s v="YELLOW CAB CO"/>
    <s v="4121"/>
    <s v="Transportation"/>
    <n v="43.31"/>
    <s v="Corporate Amex"/>
    <m/>
    <s v="Y"/>
    <s v="Transportation"/>
    <s v="MATCH"/>
    <x v="0"/>
  </r>
  <r>
    <s v="EXP101034"/>
    <s v="E038"/>
    <s v="ax823276204"/>
    <d v="2026-02-24T00:00:00"/>
    <d v="2026-02-27T00:00:00"/>
    <s v="LYFT RIDE THU"/>
    <s v="4121"/>
    <s v="Transportation"/>
    <n v="46.41"/>
    <s v="Corporate Amex"/>
    <m/>
    <s v="Y"/>
    <s v="Transportation"/>
    <s v="MATCH"/>
    <x v="0"/>
  </r>
  <r>
    <s v="EXP101035"/>
    <s v="E211"/>
    <s v="AX310403016"/>
    <d v="2026-02-24T00:00:00"/>
    <d v="2026-02-27T00:00:00"/>
    <s v="YELLOW CAB CO"/>
    <s v="4121"/>
    <s v="Transportation"/>
    <n v="37.04"/>
    <s v="Corporate Amex"/>
    <m/>
    <s v="Y"/>
    <s v="Transportation"/>
    <s v="MATCH"/>
    <x v="4"/>
  </r>
  <r>
    <s v="EXP101036"/>
    <s v="E120"/>
    <s v="AX475723191"/>
    <d v="2026-02-19T00:00:00"/>
    <d v="2026-02-27T00:00:00"/>
    <s v="SPROUT SOCIAL"/>
    <s v="5734"/>
    <s v="Software"/>
    <n v="179.43"/>
    <s v="Corporate Amex"/>
    <m/>
    <s v="Y"/>
    <s v="Software"/>
    <s v="MATCH"/>
    <x v="7"/>
  </r>
  <r>
    <s v="EXP101037"/>
    <s v="E042"/>
    <m/>
    <d v="2026-02-20T00:00:00"/>
    <d v="2026-02-27T00:00:00"/>
    <s v="UBER TRIP HELP.UBER"/>
    <s v="4121"/>
    <m/>
    <n v="56.9"/>
    <s v="Corporate Amex"/>
    <m/>
    <s v="Y"/>
    <s v="Transportation"/>
    <s v="BLANK"/>
    <x v="0"/>
  </r>
  <r>
    <s v="EXP101038"/>
    <s v="E005"/>
    <m/>
    <d v="2026-02-23T00:00:00"/>
    <d v="2026-02-27T00:00:00"/>
    <s v="SQ *JOES COFFEE"/>
    <s v="5812"/>
    <s v="Meals"/>
    <n v="9.5299999999999994"/>
    <s v="Corporate Amex"/>
    <m/>
    <s v="Y"/>
    <s v="Meals"/>
    <s v="MATCH"/>
    <x v="0"/>
  </r>
  <r>
    <s v="EXP101039"/>
    <s v="E119"/>
    <s v="AX825673668"/>
    <d v="2026-02-26T00:00:00"/>
    <d v="2026-02-28T00:00:00"/>
    <s v="SQ *JOES COFFEE"/>
    <s v="5812"/>
    <s v="Meals"/>
    <n v="9.2200000000000006"/>
    <s v="Corporate Amex"/>
    <m/>
    <s v="Y"/>
    <s v="Meals"/>
    <s v="MATCH"/>
    <x v="7"/>
  </r>
  <r>
    <s v="EXP101040"/>
    <s v="E096"/>
    <s v="ax505876851"/>
    <d v="2026-02-19T00:00:00"/>
    <d v="2026-02-28T00:00:00"/>
    <s v="SQ *THE CORNER BISTRO"/>
    <s v="5812"/>
    <s v="Meals"/>
    <n v="89.75"/>
    <s v="Corporate Amex"/>
    <m/>
    <s v="Y"/>
    <s v="Meals"/>
    <s v="MATCH"/>
    <x v="2"/>
  </r>
  <r>
    <s v="EXP101041"/>
    <s v="E022"/>
    <m/>
    <d v="2026-02-27T00:00:00"/>
    <d v="2026-02-28T00:00:00"/>
    <s v="STARBUCKS #4471"/>
    <s v="5812"/>
    <s v="Meals"/>
    <n v="17.43"/>
    <s v="Personal (Reimbursement)"/>
    <s v="Card not yet issued"/>
    <s v="N"/>
    <s v="Meals"/>
    <s v="MATCH"/>
    <x v="0"/>
  </r>
  <r>
    <s v="EXP101042"/>
    <s v="E226"/>
    <s v="AX427367632"/>
    <d v="2026-02-18T00:00:00"/>
    <d v="2026-02-28T00:00:00"/>
    <s v="DELTA AIR 00623891045"/>
    <s v="4511"/>
    <s v="Travel"/>
    <n v="444.47"/>
    <s v="Corporate Amex"/>
    <m/>
    <s v="N"/>
    <s v="Travel"/>
    <s v="MATCH"/>
    <x v="4"/>
  </r>
  <r>
    <s v="EXP101043"/>
    <s v="E040"/>
    <s v="AX442085718"/>
    <d v="2026-02-25T00:00:00"/>
    <d v="2026-02-28T00:00:00"/>
    <s v="BRANDWATCH LTD"/>
    <s v="5734"/>
    <s v="  Software "/>
    <n v="385.59"/>
    <s v="Corporate Amex"/>
    <m/>
    <s v="Y"/>
    <s v="Software"/>
    <s v="MATCH"/>
    <x v="0"/>
  </r>
  <r>
    <s v="EXP101044"/>
    <s v="E010"/>
    <s v="AX403547922"/>
    <d v="2026-02-22T00:00:00"/>
    <d v="2026-02-28T00:00:00"/>
    <s v="HYATT REGENCY BOS"/>
    <s v="7011"/>
    <s v="Lodging"/>
    <n v="342.78"/>
    <s v="Corporate Amex"/>
    <m/>
    <s v="Y"/>
    <s v="Lodging"/>
    <s v="MATCH"/>
    <x v="0"/>
  </r>
  <r>
    <s v="EXP101045"/>
    <s v="E015"/>
    <s v="AX738908619"/>
    <d v="2026-02-23T00:00:00"/>
    <d v="2026-02-28T00:00:00"/>
    <s v="STAPLES #0231"/>
    <s v="5943"/>
    <s v="  Office Supplies "/>
    <n v="154.38"/>
    <s v="Corporate Amex"/>
    <m/>
    <s v="Y"/>
    <s v="Office Supplies"/>
    <s v="MATCH"/>
    <x v="0"/>
  </r>
  <r>
    <s v="EXP101046"/>
    <s v="E140"/>
    <s v="AX772838419"/>
    <d v="2026-02-22T00:00:00"/>
    <d v="2026-02-28T00:00:00"/>
    <s v="TOPGOLF #442"/>
    <s v="7997"/>
    <s v="Entertainment"/>
    <n v="66.39"/>
    <s v="Corporate Amex"/>
    <m/>
    <s v="Y"/>
    <s v="Entertainment"/>
    <s v="MATCH"/>
    <x v="7"/>
  </r>
  <r>
    <s v="EXP101047"/>
    <s v="E001"/>
    <s v="AX878192149"/>
    <d v="2026-02-20T00:00:00"/>
    <d v="2026-02-28T00:00:00"/>
    <s v="HYATT REGENCY BOS"/>
    <s v="7011"/>
    <m/>
    <n v="375.78"/>
    <s v="Corporate Amex"/>
    <m/>
    <s v="Y"/>
    <s v="Lodging"/>
    <s v="BLANK"/>
    <x v="0"/>
  </r>
  <r>
    <s v="EXP101048"/>
    <s v="E065"/>
    <s v="AX533613692"/>
    <d v="2026-02-26T00:00:00"/>
    <d v="2026-02-28T00:00:00"/>
    <s v="HOOTSUITE INC"/>
    <s v="5734"/>
    <s v="Software"/>
    <n v="227.38"/>
    <s v="Corporate Amex"/>
    <m/>
    <s v="Y"/>
    <s v="Software"/>
    <s v="MATCH"/>
    <x v="0"/>
  </r>
  <r>
    <s v="EXP101049"/>
    <s v="E125"/>
    <s v="AX146400072"/>
    <d v="2026-02-21T00:00:00"/>
    <d v="2026-02-28T00:00:00"/>
    <s v="MARRIOTT #4471"/>
    <s v="7011"/>
    <s v="Lodging"/>
    <n v="303.72000000000003"/>
    <s v="Corporate Amex"/>
    <m/>
    <s v="Y"/>
    <s v="Lodging"/>
    <s v="MATCH"/>
    <x v="7"/>
  </r>
  <r>
    <s v="EXP101050"/>
    <s v="E127"/>
    <s v="AX713838213"/>
    <d v="2026-02-24T00:00:00"/>
    <d v="2026-02-28T00:00:00"/>
    <s v="PANERA BREAD #0231"/>
    <s v="5812"/>
    <m/>
    <n v="18.13"/>
    <s v="Corporate Amex"/>
    <m/>
    <s v="Y"/>
    <s v="Meals"/>
    <s v="BLANK"/>
    <x v="7"/>
  </r>
  <r>
    <s v="EXP101051"/>
    <s v="E265"/>
    <s v="AX 235418431"/>
    <d v="2026-02-22T00:00:00"/>
    <d v="2026-02-28T00:00:00"/>
    <s v="SQ *THE CORNER BISTRO"/>
    <s v="5812"/>
    <s v="Meals"/>
    <n v="66.510000000000005"/>
    <s v="Corporate Amex"/>
    <m/>
    <s v="N"/>
    <s v="Meals"/>
    <s v="MATCH"/>
    <x v="3"/>
  </r>
  <r>
    <s v="EXP101052"/>
    <s v="E028"/>
    <s v="AX702624826"/>
    <d v="2026-02-28T00:00:00"/>
    <d v="2026-03-01T00:00:00"/>
    <s v="LYFT RIDE THU"/>
    <s v="4121"/>
    <s v="Transportation"/>
    <n v="35.770000000000003"/>
    <s v="Corporate Amex"/>
    <m/>
    <s v="Y"/>
    <s v="Transportation"/>
    <s v="MATCH"/>
    <x v="0"/>
  </r>
  <r>
    <s v="EXP101053"/>
    <s v="E122"/>
    <m/>
    <d v="2026-03-01T00:00:00"/>
    <d v="2026-03-01T00:00:00"/>
    <s v="EVENTBRITE"/>
    <s v="7999"/>
    <s v="Events"/>
    <n v="142.91"/>
    <s v="Personal (Reimbursement)"/>
    <s v="International merchant - Amex not accepted"/>
    <s v="N"/>
    <s v="Events"/>
    <s v="MATCH"/>
    <x v="7"/>
  </r>
  <r>
    <s v="EXP101054"/>
    <s v="E069"/>
    <s v="AX347099995"/>
    <d v="2026-02-27T00:00:00"/>
    <d v="2026-03-01T00:00:00"/>
    <s v="UBER TRIP HELP.UBER"/>
    <s v="4121"/>
    <s v="Transportation"/>
    <n v="17.61"/>
    <s v="Corporate Amex"/>
    <m/>
    <s v="Y"/>
    <s v="Transportation"/>
    <s v="MATCH"/>
    <x v="0"/>
  </r>
  <r>
    <s v="EXP101055"/>
    <s v="E069"/>
    <m/>
    <d v="2026-02-27T00:00:00"/>
    <d v="2026-03-01T00:00:00"/>
    <s v="ADOBE *CREATIVE CLOUD"/>
    <s v="5734"/>
    <s v="Software"/>
    <n v="40.68"/>
    <s v="Corporate Amex"/>
    <m/>
    <s v="Y"/>
    <s v="Software"/>
    <s v="MATCH"/>
    <x v="0"/>
  </r>
  <r>
    <s v="EXP101056"/>
    <s v="E058"/>
    <m/>
    <d v="2026-02-28T00:00:00"/>
    <d v="2026-03-01T00:00:00"/>
    <s v="AMAZON MKTPLACE PMTS"/>
    <s v="5942"/>
    <s v="Office Supplies"/>
    <n v="113.09"/>
    <s v="Corporate Amex"/>
    <m/>
    <s v="Y"/>
    <s v="Office Supplies"/>
    <s v="MATCH"/>
    <x v="0"/>
  </r>
  <r>
    <s v="EXP101057"/>
    <s v="E043"/>
    <m/>
    <d v="2026-02-19T00:00:00"/>
    <d v="2026-03-01T00:00:00"/>
    <s v="MARRIOTT #4471"/>
    <s v="7011"/>
    <s v="Lodging"/>
    <n v="263.61"/>
    <s v="Personal (Reimbursement)"/>
    <s v="International merchant - Amex not accepted"/>
    <s v="Y"/>
    <s v="Lodging"/>
    <s v="MATCH"/>
    <x v="0"/>
  </r>
  <r>
    <s v="EXP101058"/>
    <s v="E207"/>
    <m/>
    <d v="2026-02-27T00:00:00"/>
    <d v="2026-03-01T00:00:00"/>
    <s v="SPROUT SOCIAL"/>
    <s v="5734"/>
    <s v="Software"/>
    <n v="190.29"/>
    <s v="Corporate Amex"/>
    <m/>
    <s v="N"/>
    <s v="Software"/>
    <s v="MATCH"/>
    <x v="5"/>
  </r>
  <r>
    <s v="EXP101059"/>
    <s v="E038"/>
    <s v="ax324946939"/>
    <d v="2026-03-01T00:00:00"/>
    <d v="2026-03-01T00:00:00"/>
    <s v="OLIVE GARDEN 00456"/>
    <s v="5812"/>
    <s v="Meals"/>
    <n v="66.52"/>
    <s v="Corporate Amex"/>
    <m/>
    <s v="Y"/>
    <s v="Meals"/>
    <s v="MATCH"/>
    <x v="0"/>
  </r>
  <r>
    <s v="EXP101060"/>
    <s v="E259"/>
    <s v="AX-128735549"/>
    <d v="2026-02-22T00:00:00"/>
    <d v="2026-03-01T00:00:00"/>
    <s v="ZOOM.US"/>
    <s v="5734"/>
    <s v="Software"/>
    <n v="38.21"/>
    <s v="Corporate Amex"/>
    <m/>
    <s v="Y"/>
    <s v="Software"/>
    <s v="MATCH"/>
    <x v="8"/>
  </r>
  <r>
    <s v="EXP101061"/>
    <s v="E045"/>
    <s v="ax575186038"/>
    <d v="2026-02-28T00:00:00"/>
    <d v="2026-03-01T00:00:00"/>
    <s v="YELLOW CAB CO"/>
    <s v="4121"/>
    <s v="Transportation"/>
    <n v="32.549999999999997"/>
    <s v="Corporate Amex"/>
    <m/>
    <s v="N"/>
    <s v="Transportation"/>
    <s v="MATCH"/>
    <x v="0"/>
  </r>
  <r>
    <s v="EXP101062"/>
    <s v="E019"/>
    <s v="AX169887375"/>
    <d v="2026-02-23T00:00:00"/>
    <d v="2026-03-01T00:00:00"/>
    <s v="HYATT REGENCY BOS"/>
    <s v="7011"/>
    <s v="Lodging"/>
    <n v="308.48"/>
    <s v="Corporate Amex"/>
    <m/>
    <s v="Y"/>
    <s v="Lodging"/>
    <s v="MATCH"/>
    <x v="0"/>
  </r>
  <r>
    <s v="EXP101063"/>
    <s v="E268"/>
    <s v="AX426083266"/>
    <d v="2026-02-25T00:00:00"/>
    <d v="2026-03-01T00:00:00"/>
    <s v="TOTAL PARTY RENTAL"/>
    <s v="7999"/>
    <m/>
    <n v="448.79"/>
    <s v="Corporate Amex"/>
    <m/>
    <s v="Y"/>
    <s v="Events"/>
    <s v="BLANK"/>
    <x v="3"/>
  </r>
  <r>
    <s v="EXP101064"/>
    <s v="E268"/>
    <s v="AX521235170"/>
    <d v="2026-03-01T00:00:00"/>
    <d v="2026-03-01T00:00:00"/>
    <s v="SQ *THE CORNER BISTRO"/>
    <s v="5812"/>
    <s v="Meals"/>
    <n v="81.05"/>
    <s v="Corporate Amex"/>
    <m/>
    <s v="Y"/>
    <s v="Meals"/>
    <s v="MATCH"/>
    <x v="3"/>
  </r>
  <r>
    <s v="EXP101065"/>
    <s v="E215"/>
    <s v="ax429191928"/>
    <d v="2026-02-22T00:00:00"/>
    <d v="2026-03-01T00:00:00"/>
    <s v="SOUTHWEST AIR 5261823"/>
    <s v="4511"/>
    <s v="Travel"/>
    <n v="369.53"/>
    <s v="Corporate Amex"/>
    <m/>
    <s v="N"/>
    <s v="Travel"/>
    <s v="MATCH"/>
    <x v="4"/>
  </r>
  <r>
    <s v="EXP101066"/>
    <s v="E046"/>
    <m/>
    <d v="2026-02-27T00:00:00"/>
    <d v="2026-03-01T00:00:00"/>
    <s v="UNITED AIRLINES 0162233"/>
    <s v="4511"/>
    <s v="Travel"/>
    <n v="234.26"/>
    <s v="Corporate Amex"/>
    <m/>
    <s v="Y"/>
    <s v="Travel"/>
    <s v="MATCH"/>
    <x v="0"/>
  </r>
  <r>
    <s v="EXP101067"/>
    <s v="E186"/>
    <s v="AX 616172322"/>
    <d v="2026-02-25T00:00:00"/>
    <d v="2026-03-01T00:00:00"/>
    <s v="PANERA BREAD #0231"/>
    <s v="5812"/>
    <s v="Meals"/>
    <n v="14.02"/>
    <s v="Corporate Amex"/>
    <m/>
    <s v="Y"/>
    <s v="Meals"/>
    <s v="MATCH"/>
    <x v="5"/>
  </r>
  <r>
    <s v="EXP101068"/>
    <s v="E032"/>
    <s v="AX584230144"/>
    <d v="2026-02-21T00:00:00"/>
    <d v="2026-03-01T00:00:00"/>
    <s v="SQ *JOES COFFEE"/>
    <s v="5812"/>
    <s v="Meals"/>
    <n v="9.91"/>
    <s v="Corporate Amex"/>
    <m/>
    <s v="Y"/>
    <s v="Meals"/>
    <s v="MATCH"/>
    <x v="0"/>
  </r>
  <r>
    <s v="EXP101069"/>
    <s v="E011"/>
    <m/>
    <d v="2026-02-27T00:00:00"/>
    <d v="2026-03-01T00:00:00"/>
    <s v="OLIVE GARDEN 00456"/>
    <s v="5812"/>
    <s v="Office Supplies"/>
    <n v="35.590000000000003"/>
    <s v="Corporate Amex"/>
    <m/>
    <s v="Y"/>
    <s v="Meals"/>
    <s v="MISMATCH"/>
    <x v="0"/>
  </r>
  <r>
    <s v="EXP101070"/>
    <s v="E070"/>
    <s v="AX 498457947"/>
    <d v="2026-02-22T00:00:00"/>
    <d v="2026-03-01T00:00:00"/>
    <s v="SQ *JOES COFFEE"/>
    <s v="5812"/>
    <m/>
    <n v="9.81"/>
    <s v="Corporate Amex"/>
    <m/>
    <s v="Y"/>
    <s v="Meals"/>
    <s v="BLANK"/>
    <x v="0"/>
  </r>
  <r>
    <s v="EXP101071"/>
    <s v="E112"/>
    <s v="AX866890848"/>
    <d v="2026-02-23T00:00:00"/>
    <d v="2026-03-01T00:00:00"/>
    <s v="LYFT RIDE THU"/>
    <s v="4121"/>
    <s v="Transportation"/>
    <n v="47"/>
    <s v="Corporate Amex"/>
    <m/>
    <s v="Y"/>
    <s v="Transportation"/>
    <s v="MATCH"/>
    <x v="2"/>
  </r>
  <r>
    <s v="EXP101072"/>
    <s v="E053"/>
    <s v="ax500321619"/>
    <d v="2026-02-19T00:00:00"/>
    <d v="2026-03-01T00:00:00"/>
    <s v="MARRIOTT #4471"/>
    <s v="7011"/>
    <s v="Lodging"/>
    <n v="179.77"/>
    <s v="Corporate Amex"/>
    <m/>
    <s v="Y"/>
    <s v="Lodging"/>
    <s v="MATCH"/>
    <x v="0"/>
  </r>
  <r>
    <s v="EXP101073"/>
    <s v="E179"/>
    <m/>
    <d v="2026-02-28T00:00:00"/>
    <d v="2026-03-02T00:00:00"/>
    <s v="OLIVE GARDEN 00456"/>
    <s v="5812"/>
    <s v="Meals"/>
    <n v="60.63"/>
    <s v="Corporate Amex"/>
    <m/>
    <s v="Y"/>
    <s v="Meals"/>
    <s v="MATCH"/>
    <x v="6"/>
  </r>
  <r>
    <s v="EXP101074"/>
    <s v="E259"/>
    <s v="ax330292724"/>
    <d v="2026-02-21T00:00:00"/>
    <d v="2026-03-02T00:00:00"/>
    <s v="ADOBE *CREATIVE CLOUD"/>
    <s v="5734"/>
    <s v="Software"/>
    <n v="33.58"/>
    <s v="Corporate Amex"/>
    <m/>
    <s v="Y"/>
    <s v="Software"/>
    <s v="MATCH"/>
    <x v="8"/>
  </r>
  <r>
    <s v="EXP101075"/>
    <s v="E096"/>
    <s v="AX967070140"/>
    <d v="2026-03-01T00:00:00"/>
    <d v="2026-03-02T00:00:00"/>
    <s v="OLIVE GARDEN 00456"/>
    <s v="5812"/>
    <s v="Meals"/>
    <n v="134.85"/>
    <s v="Corporate Amex"/>
    <m/>
    <s v="N"/>
    <s v="Meals"/>
    <s v="MATCH"/>
    <x v="2"/>
  </r>
  <r>
    <s v="EXP101076"/>
    <s v="E077"/>
    <s v="AX-183682090"/>
    <d v="2026-03-02T00:00:00"/>
    <d v="2026-03-02T00:00:00"/>
    <s v="STARBUCKS #4471"/>
    <s v="5812"/>
    <m/>
    <n v="10.16"/>
    <s v="Corporate Amex"/>
    <m/>
    <s v="Y"/>
    <s v="Meals"/>
    <s v="BLANK"/>
    <x v="2"/>
  </r>
  <r>
    <s v="EXP101077"/>
    <s v="E113"/>
    <s v="AX251245025"/>
    <d v="2026-02-26T00:00:00"/>
    <d v="2026-03-02T00:00:00"/>
    <s v="UBER TRIP HELP.UBER"/>
    <s v="4121"/>
    <s v="Transportation"/>
    <n v="8.07"/>
    <s v="Corporate Amex"/>
    <m/>
    <s v="Y"/>
    <s v="Transportation"/>
    <s v="MATCH"/>
    <x v="2"/>
  </r>
  <r>
    <s v="EXP101078"/>
    <s v="E055"/>
    <s v="AX167126449"/>
    <d v="2026-03-02T00:00:00"/>
    <d v="2026-03-02T00:00:00"/>
    <s v="BRANDWATCH LTD"/>
    <s v="5734"/>
    <s v="Software"/>
    <n v="460.82"/>
    <s v="Corporate Amex"/>
    <m/>
    <s v="Y"/>
    <s v="Software"/>
    <s v="MATCH"/>
    <x v="0"/>
  </r>
  <r>
    <s v="EXP101079"/>
    <s v="E206"/>
    <s v="AX582101026"/>
    <d v="2026-02-21T00:00:00"/>
    <d v="2026-03-02T00:00:00"/>
    <s v="TOPGOLF #442"/>
    <s v="7997"/>
    <m/>
    <n v="139.51"/>
    <s v="Corporate Amex"/>
    <m/>
    <s v="Y"/>
    <s v="Entertainment"/>
    <s v="BLANK"/>
    <x v="5"/>
  </r>
  <r>
    <s v="EXP101080"/>
    <s v="E144"/>
    <s v="AX843942812"/>
    <d v="2026-02-26T00:00:00"/>
    <d v="2026-03-02T00:00:00"/>
    <s v="YELLOW CAB CO"/>
    <s v="4121"/>
    <s v="Transportation"/>
    <n v="34.78"/>
    <s v="Corporate Amex"/>
    <m/>
    <s v="Y"/>
    <s v="Transportation"/>
    <s v="MATCH"/>
    <x v="7"/>
  </r>
  <r>
    <s v="EXP101081"/>
    <s v="E029"/>
    <s v="AX467100200"/>
    <d v="2026-03-02T00:00:00"/>
    <d v="2026-03-02T00:00:00"/>
    <s v="STAPLES #0231"/>
    <s v="5943"/>
    <s v="Office Supplies"/>
    <n v="139.86000000000001"/>
    <s v="Corporate Amex"/>
    <m/>
    <s v="N"/>
    <s v="Office Supplies"/>
    <s v="MATCH"/>
    <x v="0"/>
  </r>
  <r>
    <s v="EXP101082"/>
    <s v="E040"/>
    <s v="AX709307001"/>
    <d v="2026-02-26T00:00:00"/>
    <d v="2026-03-02T00:00:00"/>
    <s v="AMAZON MKTPLACE PMTS"/>
    <s v="5942"/>
    <s v="Office Supplies"/>
    <n v="29.33"/>
    <s v="Corporate Amex"/>
    <m/>
    <s v="Y"/>
    <s v="Office Supplies"/>
    <s v="MATCH"/>
    <x v="0"/>
  </r>
  <r>
    <s v="EXP101083"/>
    <s v="E134"/>
    <s v="AX633266730"/>
    <d v="2026-03-02T00:00:00"/>
    <d v="2026-03-02T00:00:00"/>
    <s v="CHIPOTLE 2214"/>
    <s v="5812"/>
    <s v="Meals"/>
    <n v="15.24"/>
    <s v="Corporate Amex"/>
    <m/>
    <s v="Y"/>
    <s v="Meals"/>
    <s v="MATCH"/>
    <x v="7"/>
  </r>
  <r>
    <s v="EXP101084"/>
    <s v="E003"/>
    <s v="AX605550315"/>
    <d v="2026-02-24T00:00:00"/>
    <d v="2026-03-02T00:00:00"/>
    <s v="MARRIOTT #4471"/>
    <s v="7011"/>
    <s v="Lodging"/>
    <n v="356.06"/>
    <s v="Corporate Amex"/>
    <m/>
    <s v="Y"/>
    <s v="Lodging"/>
    <s v="MATCH"/>
    <x v="0"/>
  </r>
  <r>
    <s v="EXP101085"/>
    <s v="E039"/>
    <s v="ax164349179"/>
    <d v="2026-02-21T00:00:00"/>
    <d v="2026-03-02T00:00:00"/>
    <s v="SQ *JOES COFFEE"/>
    <s v="5812"/>
    <s v="Meals"/>
    <n v="24.2"/>
    <s v="Corporate Amex"/>
    <m/>
    <s v="Y"/>
    <s v="Meals"/>
    <s v="MATCH"/>
    <x v="0"/>
  </r>
  <r>
    <s v="EXP101086"/>
    <s v="E045"/>
    <s v="AX568035765"/>
    <d v="2026-03-02T00:00:00"/>
    <d v="2026-03-02T00:00:00"/>
    <s v="HYATT REGENCY BOS"/>
    <s v="7011"/>
    <s v="Lodging"/>
    <n v="454.51"/>
    <s v="Corporate Amex"/>
    <m/>
    <s v="Y"/>
    <s v="Lodging"/>
    <s v="MATCH"/>
    <x v="0"/>
  </r>
  <r>
    <s v="EXP101087"/>
    <s v="E248"/>
    <m/>
    <d v="2026-02-25T00:00:00"/>
    <d v="2026-03-02T00:00:00"/>
    <s v="MICROSOFT*365"/>
    <s v="5734"/>
    <s v="Software"/>
    <n v="42.02"/>
    <s v="Personal (Reimbursement)"/>
    <s v="Forgot corporate card"/>
    <s v="Y"/>
    <s v="Software"/>
    <s v="MATCH"/>
    <x v="1"/>
  </r>
  <r>
    <s v="EXP101088"/>
    <s v="E023"/>
    <s v="AX-384357129"/>
    <d v="2026-02-24T00:00:00"/>
    <d v="2026-03-02T00:00:00"/>
    <s v="BRANDWATCH LTD"/>
    <s v="5734"/>
    <s v="Software"/>
    <n v="276"/>
    <s v="Corporate Amex"/>
    <m/>
    <s v="Y"/>
    <s v="Software"/>
    <s v="MATCH"/>
    <x v="0"/>
  </r>
  <r>
    <s v="EXP101089"/>
    <s v="E011"/>
    <s v="AX 466139863"/>
    <d v="2026-03-01T00:00:00"/>
    <d v="2026-03-02T00:00:00"/>
    <s v="CHIPOTLE 2214"/>
    <s v="5812"/>
    <s v="Meals"/>
    <n v="13.55"/>
    <s v="Corporate Amex"/>
    <m/>
    <s v="Y"/>
    <s v="Meals"/>
    <s v="MATCH"/>
    <x v="0"/>
  </r>
  <r>
    <s v="EXP101090"/>
    <s v="E010"/>
    <s v="AX554257193"/>
    <d v="2026-03-01T00:00:00"/>
    <d v="2026-03-02T00:00:00"/>
    <s v="TOPGOLF #442"/>
    <s v="7997"/>
    <s v="Entertainment"/>
    <n v="235.5"/>
    <s v="Corporate Amex"/>
    <m/>
    <s v="Y"/>
    <s v="Entertainment"/>
    <s v="MATCH"/>
    <x v="0"/>
  </r>
  <r>
    <s v="EXP101091"/>
    <s v="E006"/>
    <s v="AX783552300"/>
    <d v="2026-02-23T00:00:00"/>
    <d v="2026-03-02T00:00:00"/>
    <s v="CHIPOTLE 2214"/>
    <s v="5812"/>
    <s v="Meals"/>
    <n v="11.04"/>
    <s v="Corporate Amex"/>
    <m/>
    <s v="Y"/>
    <s v="Meals"/>
    <s v="MATCH"/>
    <x v="0"/>
  </r>
  <r>
    <s v="EXP101092"/>
    <s v="E025"/>
    <s v="AX312041275"/>
    <d v="2026-02-28T00:00:00"/>
    <d v="2026-03-03T00:00:00"/>
    <s v="AMAZON MKTPLACE PMTS"/>
    <s v="5942"/>
    <s v="Office Supplies"/>
    <n v="38.450000000000003"/>
    <s v="Corporate Amex"/>
    <m/>
    <s v="N"/>
    <s v="Office Supplies"/>
    <s v="MATCH"/>
    <x v="0"/>
  </r>
  <r>
    <s v="EXP101093"/>
    <s v="E029"/>
    <s v="ax964313127"/>
    <d v="2026-02-21T00:00:00"/>
    <d v="2026-03-03T00:00:00"/>
    <s v="TOPGOLF #442"/>
    <s v="7997"/>
    <s v="Entertainment"/>
    <n v="106.19"/>
    <s v="Corporate Amex"/>
    <m/>
    <s v="Y"/>
    <s v="Entertainment"/>
    <s v="MATCH"/>
    <x v="0"/>
  </r>
  <r>
    <s v="EXP101094"/>
    <s v="E034"/>
    <s v="AX-575211407"/>
    <d v="2026-02-21T00:00:00"/>
    <d v="2026-03-03T00:00:00"/>
    <s v="LYFT RIDE THU"/>
    <s v="4121"/>
    <s v="Transportation"/>
    <n v="46.51"/>
    <s v="Corporate Amex"/>
    <m/>
    <s v="Y"/>
    <s v="Transportation"/>
    <s v="MATCH"/>
    <x v="0"/>
  </r>
  <r>
    <s v="EXP101095"/>
    <s v="E005"/>
    <s v="AX 854859001"/>
    <d v="2026-02-26T00:00:00"/>
    <d v="2026-03-03T00:00:00"/>
    <s v="ADOBE *CREATIVE CLOUD"/>
    <s v="5734"/>
    <s v="Software"/>
    <n v="83.34"/>
    <s v="Corporate Amex"/>
    <m/>
    <s v="Y"/>
    <s v="Software"/>
    <s v="MATCH"/>
    <x v="0"/>
  </r>
  <r>
    <s v="EXP101096"/>
    <s v="E005"/>
    <m/>
    <d v="2026-02-27T00:00:00"/>
    <d v="2026-03-03T00:00:00"/>
    <s v=" AMC THEATRES 0021"/>
    <s v="7832"/>
    <s v="Entertainment"/>
    <n v="34.4"/>
    <s v="Corporate Amex"/>
    <m/>
    <s v="Y"/>
    <s v="Entertainment"/>
    <s v="MATCH"/>
    <x v="0"/>
  </r>
  <r>
    <s v="EXP101097"/>
    <s v="E065"/>
    <s v="AX307494895"/>
    <d v="2026-03-01T00:00:00"/>
    <d v="2026-03-03T00:00:00"/>
    <s v="HYATT REGENCY BOS"/>
    <s v="7011"/>
    <s v="Lodging"/>
    <n v="266.14999999999998"/>
    <s v="Corporate Amex"/>
    <m/>
    <s v="N"/>
    <s v="Lodging"/>
    <s v="MATCH"/>
    <x v="0"/>
  </r>
  <r>
    <s v="EXP101098"/>
    <s v="E065"/>
    <s v="AX775461507"/>
    <d v="2026-03-03T00:00:00"/>
    <d v="2026-03-03T00:00:00"/>
    <s v=" BRANDWATCH LTD"/>
    <s v="5734"/>
    <s v="Software"/>
    <n v="324.02"/>
    <s v="Corporate Amex"/>
    <m/>
    <s v="Y"/>
    <s v="Software"/>
    <s v="MATCH"/>
    <x v="0"/>
  </r>
  <r>
    <s v="EXP101099"/>
    <s v="E113"/>
    <s v="AX 549417469"/>
    <d v="2026-02-26T00:00:00"/>
    <d v="2026-03-03T00:00:00"/>
    <s v="CHIPOTLE 2214"/>
    <s v="5812"/>
    <s v="Meals"/>
    <n v="19.489999999999998"/>
    <s v="Corporate Amex"/>
    <m/>
    <s v="Y"/>
    <s v="Meals"/>
    <s v="MATCH"/>
    <x v="2"/>
  </r>
  <r>
    <s v="EXP101100"/>
    <s v="E018"/>
    <s v="AX-547734043"/>
    <d v="2026-02-23T00:00:00"/>
    <d v="2026-03-03T00:00:00"/>
    <s v=" REGION CATERING CO"/>
    <s v="5811"/>
    <s v="Events"/>
    <n v="473.64"/>
    <s v="Corporate Amex"/>
    <m/>
    <s v="Y"/>
    <s v="Events"/>
    <s v="MATCH"/>
    <x v="0"/>
  </r>
  <r>
    <s v="EXP101101"/>
    <s v="E054"/>
    <s v="AX289502635"/>
    <d v="2026-02-25T00:00:00"/>
    <d v="2026-03-03T00:00:00"/>
    <s v="UBER TRIP HELP.UBER"/>
    <s v="4121"/>
    <s v="Transportation"/>
    <n v="49.68"/>
    <s v="Corporate Amex"/>
    <m/>
    <s v="N"/>
    <s v="Transportation"/>
    <s v="MATCH"/>
    <x v="0"/>
  </r>
  <r>
    <s v="EXP101102"/>
    <s v="E139"/>
    <m/>
    <d v="2026-02-25T00:00:00"/>
    <d v="2026-03-03T00:00:00"/>
    <s v="TOPGOLF #442"/>
    <s v="7997"/>
    <s v="Entertainment"/>
    <n v="151.49"/>
    <s v="Corporate Amex"/>
    <m/>
    <s v="N"/>
    <s v="Entertainment"/>
    <s v="MATCH"/>
    <x v="7"/>
  </r>
  <r>
    <s v="EXP101103"/>
    <s v="E264"/>
    <s v="AX653250142"/>
    <d v="2026-02-24T00:00:00"/>
    <d v="2026-03-03T00:00:00"/>
    <s v="CHIPOTLE 2214"/>
    <s v="5812"/>
    <s v="Events"/>
    <n v="16.89"/>
    <s v="Corporate Amex"/>
    <m/>
    <s v="Y"/>
    <s v="Meals"/>
    <s v="MISMATCH"/>
    <x v="3"/>
  </r>
  <r>
    <s v="EXP101104"/>
    <s v="E062"/>
    <s v="AX974570554"/>
    <d v="2026-02-27T00:00:00"/>
    <d v="2026-03-03T00:00:00"/>
    <s v="PANERA BREAD #0231"/>
    <s v="5812"/>
    <s v="Meals"/>
    <n v="18.670000000000002"/>
    <s v="Corporate Amex"/>
    <m/>
    <s v="Y"/>
    <s v="Meals"/>
    <s v="MATCH"/>
    <x v="0"/>
  </r>
  <r>
    <s v="EXP101105"/>
    <s v="E274"/>
    <s v="AX224593385"/>
    <d v="2026-02-21T00:00:00"/>
    <d v="2026-03-03T00:00:00"/>
    <s v="OLIVE GARDEN 00456"/>
    <s v="5812"/>
    <s v="Meals"/>
    <n v="69.17"/>
    <s v="Corporate Amex"/>
    <m/>
    <s v="Y"/>
    <s v="Meals"/>
    <s v="MATCH"/>
    <x v="3"/>
  </r>
  <r>
    <s v="EXP101106"/>
    <s v="E274"/>
    <s v="AX693284624"/>
    <d v="2026-02-24T00:00:00"/>
    <d v="2026-03-03T00:00:00"/>
    <s v="AMAZON MKTPLACE PMTS"/>
    <s v="5942"/>
    <s v="Office Supplies"/>
    <n v="419.81"/>
    <s v="Corporate Amex"/>
    <m/>
    <s v="Y"/>
    <s v="Office Supplies"/>
    <s v="MATCH"/>
    <x v="3"/>
  </r>
  <r>
    <s v="EXP101107"/>
    <s v="E017"/>
    <s v="ax500191208"/>
    <d v="2026-02-26T00:00:00"/>
    <d v="2026-03-04T00:00:00"/>
    <s v="SPROUT SOCIAL"/>
    <s v="5734"/>
    <s v="Meals"/>
    <n v="190.97"/>
    <s v="Corporate Amex"/>
    <m/>
    <s v="Y"/>
    <s v="Software"/>
    <s v="MISMATCH"/>
    <x v="0"/>
  </r>
  <r>
    <s v="EXP101108"/>
    <s v="E136"/>
    <s v="ax124784833"/>
    <d v="2026-02-24T00:00:00"/>
    <d v="2026-03-04T00:00:00"/>
    <s v="MICROSOFT*365"/>
    <s v="5734"/>
    <s v="Software"/>
    <n v="54.84"/>
    <s v="Corporate Amex"/>
    <m/>
    <s v="Y"/>
    <s v="Software"/>
    <s v="MATCH"/>
    <x v="7"/>
  </r>
  <r>
    <s v="EXP101109"/>
    <s v="E215"/>
    <s v="AX648302525"/>
    <d v="2026-02-27T00:00:00"/>
    <d v="2026-03-04T00:00:00"/>
    <s v="TOPGOLF #442"/>
    <s v="7997"/>
    <s v="Meals"/>
    <n v="103.88"/>
    <s v="Corporate Amex"/>
    <m/>
    <s v="Y"/>
    <s v="Entertainment"/>
    <s v="MISMATCH"/>
    <x v="4"/>
  </r>
  <r>
    <s v="EXP101110"/>
    <s v="E075"/>
    <s v="AX 800820968"/>
    <d v="2026-03-01T00:00:00"/>
    <d v="2026-03-04T00:00:00"/>
    <s v="UNITED AIRLINES 0162233"/>
    <s v="4511"/>
    <s v="Travel"/>
    <n v="461.39"/>
    <s v="Corporate Amex"/>
    <m/>
    <s v="Y"/>
    <s v="Travel"/>
    <s v="MATCH"/>
    <x v="2"/>
  </r>
  <r>
    <s v="EXP101111"/>
    <s v="E143"/>
    <m/>
    <d v="2026-03-01T00:00:00"/>
    <d v="2026-03-04T00:00:00"/>
    <s v="HILTON GARDEN INN 2231"/>
    <s v="7011"/>
    <s v="  Lodging "/>
    <n v="371.06"/>
    <s v="Personal (Reimbursement)"/>
    <s v="International merchant - Amex not accepted"/>
    <s v="Y"/>
    <s v="Lodging"/>
    <s v="MATCH"/>
    <x v="7"/>
  </r>
  <r>
    <s v="EXP101112"/>
    <s v="E129"/>
    <s v="AX905959420"/>
    <d v="2026-02-24T00:00:00"/>
    <d v="2026-03-04T00:00:00"/>
    <s v="LYFT RIDE THU"/>
    <s v="4121"/>
    <s v="Transportation"/>
    <n v="46.21"/>
    <s v="Corporate Amex"/>
    <m/>
    <s v="Y"/>
    <s v="Transportation"/>
    <s v="MATCH"/>
    <x v="7"/>
  </r>
  <r>
    <s v="EXP101113"/>
    <s v="E129"/>
    <s v="AX 531783353"/>
    <d v="2026-03-02T00:00:00"/>
    <d v="2026-03-04T00:00:00"/>
    <s v="UNITED AIRLINES 0162233"/>
    <s v="4511"/>
    <s v="Travel"/>
    <n v="233.26"/>
    <s v="Corporate Amex"/>
    <m/>
    <s v="Y"/>
    <s v="Travel"/>
    <s v="MATCH"/>
    <x v="7"/>
  </r>
  <r>
    <s v="EXP101114"/>
    <s v="E032"/>
    <s v="AX946923752"/>
    <d v="2026-02-24T00:00:00"/>
    <d v="2026-03-04T00:00:00"/>
    <s v="TOPGOLF #442"/>
    <s v="7997"/>
    <m/>
    <n v="205.66"/>
    <s v="Corporate Amex"/>
    <m/>
    <s v="Y"/>
    <s v="Entertainment"/>
    <s v="BLANK"/>
    <x v="0"/>
  </r>
  <r>
    <s v="EXP101115"/>
    <s v="E033"/>
    <s v="AX-284680292"/>
    <d v="2026-02-25T00:00:00"/>
    <d v="2026-03-04T00:00:00"/>
    <s v="BRANDWATCH LTD"/>
    <s v="5734"/>
    <s v="Software"/>
    <n v="443.83"/>
    <s v="Corporate Amex"/>
    <m/>
    <s v="N"/>
    <s v="Software"/>
    <s v="MATCH"/>
    <x v="0"/>
  </r>
  <r>
    <s v="EXP101116"/>
    <s v="E193"/>
    <m/>
    <d v="2026-02-22T00:00:00"/>
    <d v="2026-03-04T00:00:00"/>
    <s v="STAPLES #0231"/>
    <s v="5943"/>
    <s v="Office Supplies"/>
    <n v="52.97"/>
    <s v="Personal (Reimbursement)"/>
    <s v="International merchant - Amex not accepted"/>
    <s v="Y"/>
    <s v="Office Supplies"/>
    <s v="MATCH"/>
    <x v="5"/>
  </r>
  <r>
    <s v="EXP101117"/>
    <s v="E161"/>
    <s v="AX 168507405"/>
    <d v="2026-03-03T00:00:00"/>
    <d v="2026-03-04T00:00:00"/>
    <s v="MICROSOFT*365"/>
    <s v="5734"/>
    <s v="Software"/>
    <n v="36.42"/>
    <s v="Corporate Amex"/>
    <m/>
    <s v="N"/>
    <s v="Software"/>
    <s v="MATCH"/>
    <x v="6"/>
  </r>
  <r>
    <s v="EXP101118"/>
    <s v="E273"/>
    <s v="AX897334584"/>
    <d v="2026-02-26T00:00:00"/>
    <d v="2026-03-04T00:00:00"/>
    <s v="STAPLES #0231"/>
    <s v="5943"/>
    <s v="Office Supplies"/>
    <n v="165.15"/>
    <s v="Corporate Amex"/>
    <m/>
    <s v="Y"/>
    <s v="Office Supplies"/>
    <s v="MATCH"/>
    <x v="3"/>
  </r>
  <r>
    <s v="EXP101119"/>
    <s v="E040"/>
    <s v="ax877157502"/>
    <d v="2026-03-03T00:00:00"/>
    <d v="2026-03-04T00:00:00"/>
    <s v="OLIVE GARDEN 00456"/>
    <s v="5812"/>
    <s v="Meals"/>
    <n v="54.07"/>
    <s v="Corporate Amex"/>
    <m/>
    <s v="Y"/>
    <s v="Meals"/>
    <s v="MATCH"/>
    <x v="0"/>
  </r>
  <r>
    <s v="EXP101120"/>
    <s v="E116"/>
    <s v="AX427650715"/>
    <d v="2026-02-25T00:00:00"/>
    <d v="2026-03-04T00:00:00"/>
    <s v="SOUTHWEST AIR 5261823"/>
    <s v="4511"/>
    <s v="Travel"/>
    <n v="162.72"/>
    <s v="Corporate Amex"/>
    <m/>
    <s v="Y"/>
    <s v="Travel"/>
    <s v="MATCH"/>
    <x v="7"/>
  </r>
  <r>
    <s v="EXP101121"/>
    <s v="E061"/>
    <m/>
    <d v="2026-03-02T00:00:00"/>
    <d v="2026-03-04T00:00:00"/>
    <s v="PANERA BREAD #0231"/>
    <s v="5812"/>
    <s v="Meals"/>
    <n v="15.65"/>
    <s v="Corporate Amex"/>
    <m/>
    <s v="N"/>
    <s v="Meals"/>
    <s v="MATCH"/>
    <x v="0"/>
  </r>
  <r>
    <s v="EXP101123"/>
    <s v="E025"/>
    <s v="AX312306236"/>
    <d v="2026-02-27T00:00:00"/>
    <d v="2026-03-04T00:00:00"/>
    <s v="SQ *JOES COFFEE"/>
    <s v="5812"/>
    <s v="Meals"/>
    <n v="9.2100000000000009"/>
    <s v="Corporate Amex"/>
    <m/>
    <s v="Y"/>
    <s v="Meals"/>
    <s v="MATCH"/>
    <x v="0"/>
  </r>
  <r>
    <s v="EXP101124"/>
    <s v="E035"/>
    <s v="ax298258163"/>
    <d v="2026-02-22T00:00:00"/>
    <d v="2026-03-04T00:00:00"/>
    <s v="MARRIOTT #4471"/>
    <s v="7011"/>
    <s v="Lodging"/>
    <n v="155.76"/>
    <s v="Corporate Amex"/>
    <m/>
    <s v="N"/>
    <s v="Lodging"/>
    <s v="MATCH"/>
    <x v="0"/>
  </r>
  <r>
    <s v="EXP101125"/>
    <s v="E060"/>
    <s v="AX728353869"/>
    <d v="2026-03-01T00:00:00"/>
    <d v="2026-03-04T00:00:00"/>
    <s v="AMC THEATRES 0021"/>
    <s v="7832"/>
    <s v="Entertainment"/>
    <n v="29.86"/>
    <s v="Corporate Amex"/>
    <m/>
    <s v="N"/>
    <s v="Entertainment"/>
    <s v="MATCH"/>
    <x v="0"/>
  </r>
  <r>
    <s v="EXP101126"/>
    <s v="E003"/>
    <s v="AX462549146"/>
    <d v="2026-02-24T00:00:00"/>
    <d v="2026-03-04T00:00:00"/>
    <s v=" OLIVE GARDEN 00456"/>
    <s v="5812"/>
    <s v="Meals"/>
    <n v="78.05"/>
    <s v="Corporate Amex"/>
    <m/>
    <s v="N"/>
    <s v="Meals"/>
    <s v="MATCH"/>
    <x v="0"/>
  </r>
  <r>
    <s v="EXP101127"/>
    <s v="E003"/>
    <s v="AX466317485"/>
    <d v="2026-03-04T00:00:00"/>
    <d v="2026-03-04T00:00:00"/>
    <s v="ADOBE *CREATIVE CLOUD"/>
    <s v="5734"/>
    <s v="Software"/>
    <n v="45.07"/>
    <s v="Corporate Amex"/>
    <m/>
    <s v="Y"/>
    <s v="Software"/>
    <s v="MATCH"/>
    <x v="0"/>
  </r>
  <r>
    <s v="EXP101128"/>
    <s v="E051"/>
    <s v="AX790412823"/>
    <d v="2026-02-27T00:00:00"/>
    <d v="2026-03-04T00:00:00"/>
    <s v="AMAZON MKTPLACE PMTS"/>
    <s v="5942"/>
    <s v="Office Supplies"/>
    <n v="424.15"/>
    <s v="Corporate Amex"/>
    <m/>
    <s v="N"/>
    <s v="Office Supplies"/>
    <s v="MATCH"/>
    <x v="0"/>
  </r>
  <r>
    <s v="EXP101129"/>
    <s v="E051"/>
    <s v="AX-811606723"/>
    <d v="2026-03-04T00:00:00"/>
    <d v="2026-03-04T00:00:00"/>
    <s v="SPROUT SOCIAL"/>
    <s v="5734"/>
    <s v="Software"/>
    <n v="224.05"/>
    <s v="Corporate Amex"/>
    <m/>
    <s v="Y"/>
    <s v="Software"/>
    <s v="MATCH"/>
    <x v="0"/>
  </r>
  <r>
    <s v="EXP101130"/>
    <s v="E011"/>
    <s v="ax809203502"/>
    <d v="2026-02-27T00:00:00"/>
    <d v="2026-03-05T00:00:00"/>
    <s v="HYATT REGENCY BOS"/>
    <s v="7011"/>
    <s v="Lodging"/>
    <n v="248.05"/>
    <s v="Corporate Amex"/>
    <m/>
    <s v="N"/>
    <s v="Lodging"/>
    <s v="MATCH"/>
    <x v="0"/>
  </r>
  <r>
    <s v="EXP101131"/>
    <s v="E038"/>
    <s v="AX489863519"/>
    <d v="2026-03-03T00:00:00"/>
    <d v="2026-03-05T00:00:00"/>
    <s v="EVENTBRITE"/>
    <s v="7999"/>
    <s v="Events"/>
    <n v="218.24"/>
    <s v="Corporate Amex"/>
    <m/>
    <s v="Y"/>
    <s v="Events"/>
    <s v="MATCH"/>
    <x v="0"/>
  </r>
  <r>
    <s v="EXP101132"/>
    <s v="E034"/>
    <s v="AX303462826"/>
    <d v="2026-02-28T00:00:00"/>
    <d v="2026-03-05T00:00:00"/>
    <s v="OLIVE GARDEN 00456"/>
    <s v="5812"/>
    <s v="Meals"/>
    <n v="116.99"/>
    <s v="Corporate Amex"/>
    <m/>
    <s v="Y"/>
    <s v="Meals"/>
    <s v="MATCH"/>
    <x v="0"/>
  </r>
  <r>
    <s v="EXP101133"/>
    <s v="E056"/>
    <s v="AX558353583"/>
    <d v="2026-02-28T00:00:00"/>
    <d v="2026-03-05T00:00:00"/>
    <s v="AMC THEATRES 0021"/>
    <s v="7832"/>
    <s v="Transportation"/>
    <n v="18.18"/>
    <s v="Corporate Amex"/>
    <m/>
    <s v="N"/>
    <s v="Entertainment"/>
    <s v="MISMATCH"/>
    <x v="0"/>
  </r>
  <r>
    <s v="EXP101134"/>
    <s v="E026"/>
    <s v="ax405735958"/>
    <d v="2026-02-24T00:00:00"/>
    <d v="2026-03-05T00:00:00"/>
    <s v="TOTAL PARTY RENTAL"/>
    <s v="7999"/>
    <s v="Events"/>
    <n v="446.47"/>
    <s v="Corporate Amex"/>
    <m/>
    <s v="Y"/>
    <s v="Events"/>
    <s v="MATCH"/>
    <x v="0"/>
  </r>
  <r>
    <s v="EXP101135"/>
    <s v="E127"/>
    <s v="ax363787233"/>
    <d v="2026-03-05T00:00:00"/>
    <d v="2026-03-05T00:00:00"/>
    <s v="ADOBE *CREATIVE CLOUD"/>
    <s v="5734"/>
    <s v="Software"/>
    <n v="75.36"/>
    <s v="Corporate Amex"/>
    <m/>
    <s v="Y"/>
    <s v="Software"/>
    <s v="MATCH"/>
    <x v="7"/>
  </r>
  <r>
    <s v="EXP101136"/>
    <s v="E224"/>
    <s v="AX945640081"/>
    <d v="2026-03-05T00:00:00"/>
    <d v="2026-03-05T00:00:00"/>
    <s v="YELLOW CAB CO"/>
    <s v="4121"/>
    <s v="Transportation"/>
    <n v="37.64"/>
    <s v="Corporate Amex"/>
    <m/>
    <s v="Y"/>
    <s v="Transportation"/>
    <s v="MATCH"/>
    <x v="4"/>
  </r>
  <r>
    <s v="EXP101137"/>
    <s v="E055"/>
    <s v="AX318169783"/>
    <d v="2026-02-24T00:00:00"/>
    <d v="2026-03-05T00:00:00"/>
    <s v="HYATT REGENCY BOS"/>
    <s v="7011"/>
    <s v="Lodging"/>
    <n v="375.25"/>
    <s v="Corporate Amex"/>
    <m/>
    <s v="N"/>
    <s v="Lodging"/>
    <s v="MATCH"/>
    <x v="0"/>
  </r>
  <r>
    <s v="EXP101138"/>
    <s v="E008"/>
    <s v="AX246741841"/>
    <d v="2026-02-24T00:00:00"/>
    <d v="2026-03-05T00:00:00"/>
    <s v="CHIPOTLE 2214"/>
    <s v="5812"/>
    <s v="Meals"/>
    <n v="9.76"/>
    <s v="Corporate Amex"/>
    <m/>
    <s v="N"/>
    <s v="Meals"/>
    <s v="MATCH"/>
    <x v="0"/>
  </r>
  <r>
    <s v="EXP101139"/>
    <s v="E008"/>
    <m/>
    <d v="2026-03-01T00:00:00"/>
    <d v="2026-03-05T00:00:00"/>
    <s v="AMAZON MKTPLACE PMTS"/>
    <s v="5942"/>
    <s v="Office Supplies"/>
    <n v="409.92"/>
    <s v="Corporate Amex"/>
    <m/>
    <s v="Y"/>
    <s v="Office Supplies"/>
    <s v="MATCH"/>
    <x v="0"/>
  </r>
  <r>
    <s v="EXP101140"/>
    <s v="E095"/>
    <s v="ax475348779"/>
    <d v="2026-03-01T00:00:00"/>
    <d v="2026-03-05T00:00:00"/>
    <s v="REGION CATERING CO"/>
    <s v="5811"/>
    <s v="Events"/>
    <n v="549.26"/>
    <s v="Corporate Amex"/>
    <m/>
    <s v="N"/>
    <s v="Events"/>
    <s v="MATCH"/>
    <x v="2"/>
  </r>
  <r>
    <s v="EXP101141"/>
    <s v="E029"/>
    <s v="ax925001400"/>
    <d v="2026-02-28T00:00:00"/>
    <d v="2026-03-06T00:00:00"/>
    <s v="LYFT RIDE THU"/>
    <s v="4121"/>
    <s v="Transportation"/>
    <n v="53.73"/>
    <s v="Corporate Amex"/>
    <m/>
    <s v="Y"/>
    <s v="Transportation"/>
    <s v="MATCH"/>
    <x v="0"/>
  </r>
  <r>
    <s v="EXP101142"/>
    <s v="E177"/>
    <s v="AX407087078"/>
    <d v="2026-03-02T00:00:00"/>
    <d v="2026-03-06T00:00:00"/>
    <s v="HYATT REGENCY BOS"/>
    <s v="7011"/>
    <s v="Lodging"/>
    <n v="240.24"/>
    <s v="Corporate Amex"/>
    <m/>
    <s v="N"/>
    <s v="Lodging"/>
    <s v="MATCH"/>
    <x v="6"/>
  </r>
  <r>
    <s v="EXP101143"/>
    <s v="E025"/>
    <m/>
    <d v="2026-03-03T00:00:00"/>
    <d v="2026-03-06T00:00:00"/>
    <s v="SOUTHWEST AIR 5261823"/>
    <s v="4511"/>
    <s v="Travel"/>
    <n v="185.72"/>
    <s v="Corporate Amex"/>
    <m/>
    <s v="Y"/>
    <s v="Travel"/>
    <s v="MATCH"/>
    <x v="0"/>
  </r>
  <r>
    <s v="EXP101144"/>
    <s v="E068"/>
    <s v="ax669411459"/>
    <d v="2026-03-02T00:00:00"/>
    <d v="2026-03-06T00:00:00"/>
    <s v="SQ *JOES COFFEE"/>
    <s v="5812"/>
    <s v="Meals"/>
    <n v="7.43"/>
    <s v="Corporate Amex"/>
    <m/>
    <s v="Y"/>
    <s v="Meals"/>
    <s v="MATCH"/>
    <x v="0"/>
  </r>
  <r>
    <s v="EXP101145"/>
    <s v="E204"/>
    <s v="ax286783234"/>
    <d v="2026-02-27T00:00:00"/>
    <d v="2026-03-06T00:00:00"/>
    <s v="MARRIOTT #4471"/>
    <s v="7011"/>
    <s v="Lodging"/>
    <n v="214.31"/>
    <s v="Corporate Amex"/>
    <m/>
    <s v="Y"/>
    <s v="Lodging"/>
    <s v="MATCH"/>
    <x v="5"/>
  </r>
  <r>
    <s v="EXP101146"/>
    <s v="E015"/>
    <s v="AX978461492"/>
    <d v="2026-03-03T00:00:00"/>
    <d v="2026-03-06T00:00:00"/>
    <s v="SPROUT SOCIAL"/>
    <s v="5734"/>
    <s v="Software"/>
    <n v="237.65"/>
    <s v="Corporate Amex"/>
    <m/>
    <s v="Y"/>
    <s v="Software"/>
    <s v="MATCH"/>
    <x v="0"/>
  </r>
  <r>
    <s v="EXP101147"/>
    <s v="E022"/>
    <m/>
    <d v="2026-02-25T00:00:00"/>
    <d v="2026-03-06T00:00:00"/>
    <s v="MARRIOTT #4471"/>
    <s v="7011"/>
    <s v="Lodging"/>
    <n v="237.42"/>
    <s v="Personal (Reimbursement)"/>
    <s v="Card not yet issued"/>
    <s v="Y"/>
    <s v="Lodging"/>
    <s v="MATCH"/>
    <x v="0"/>
  </r>
  <r>
    <s v="EXP101148"/>
    <s v="E136"/>
    <s v="ax362544883"/>
    <d v="2026-03-05T00:00:00"/>
    <d v="2026-03-06T00:00:00"/>
    <s v=" PANERA BREAD #0231"/>
    <s v="5812"/>
    <s v="Meals"/>
    <n v="29.01"/>
    <s v="Corporate Amex"/>
    <m/>
    <s v="Y"/>
    <s v="Meals"/>
    <s v="MATCH"/>
    <x v="7"/>
  </r>
  <r>
    <s v="EXP101149"/>
    <s v="E136"/>
    <s v="AX-487167503"/>
    <d v="2026-03-04T00:00:00"/>
    <d v="2026-03-06T00:00:00"/>
    <s v=" ADOBE *CREATIVE CLOUD"/>
    <s v="5734"/>
    <s v="Software"/>
    <n v="59.39"/>
    <s v="Corporate Amex"/>
    <m/>
    <s v="Y"/>
    <s v="Software"/>
    <s v="MATCH"/>
    <x v="7"/>
  </r>
  <r>
    <s v="EXP101150"/>
    <s v="E170"/>
    <s v="AX706660616"/>
    <d v="2026-03-02T00:00:00"/>
    <d v="2026-03-06T00:00:00"/>
    <s v="HYATT REGENCY BOS"/>
    <s v="7011"/>
    <s v="  Lodging "/>
    <n v="365.14"/>
    <s v="Corporate Amex"/>
    <m/>
    <s v="Y"/>
    <s v="Lodging"/>
    <s v="MATCH"/>
    <x v="6"/>
  </r>
  <r>
    <s v="EXP101151"/>
    <s v="E189"/>
    <s v="AX 562153087"/>
    <d v="2026-03-04T00:00:00"/>
    <d v="2026-03-06T00:00:00"/>
    <s v="UBER TRIP HELP.UBER"/>
    <s v="4121"/>
    <s v="Transportation"/>
    <n v="37.700000000000003"/>
    <s v="Corporate Amex"/>
    <m/>
    <s v="Y"/>
    <s v="Transportation"/>
    <s v="MATCH"/>
    <x v="5"/>
  </r>
  <r>
    <s v="EXP101152"/>
    <s v="E009"/>
    <s v="AX 945865457"/>
    <d v="2026-03-04T00:00:00"/>
    <d v="2026-03-06T00:00:00"/>
    <s v="UNITED AIRLINES 0162233"/>
    <s v="4511"/>
    <s v="Travel"/>
    <n v="295.33999999999997"/>
    <s v="Corporate Amex"/>
    <m/>
    <s v="Y"/>
    <s v="Travel"/>
    <s v="MATCH"/>
    <x v="0"/>
  </r>
  <r>
    <s v="EXP101153"/>
    <s v="E076"/>
    <s v="AX814064468"/>
    <d v="2026-02-25T00:00:00"/>
    <d v="2026-03-06T00:00:00"/>
    <s v="BRANDWATCH LTD"/>
    <s v="5734"/>
    <m/>
    <n v="332.2"/>
    <s v="Corporate Amex"/>
    <m/>
    <s v="Y"/>
    <s v="Software"/>
    <s v="BLANK"/>
    <x v="2"/>
  </r>
  <r>
    <s v="EXP101154"/>
    <s v="E128"/>
    <m/>
    <d v="2026-03-06T00:00:00"/>
    <d v="2026-03-06T00:00:00"/>
    <s v="TOTAL PARTY RENTAL"/>
    <s v="7999"/>
    <s v="  Events "/>
    <n v="433.14"/>
    <s v="Personal (Reimbursement)"/>
    <s v="International merchant - Amex not accepted"/>
    <s v="Y"/>
    <s v="Events"/>
    <s v="MATCH"/>
    <x v="7"/>
  </r>
  <r>
    <s v="EXP101155"/>
    <s v="E066"/>
    <s v="AX-552485879"/>
    <d v="2026-02-26T00:00:00"/>
    <d v="2026-03-06T00:00:00"/>
    <s v="HOOTSUITE INC"/>
    <s v="5734"/>
    <s v="Software"/>
    <n v="74.78"/>
    <s v="Corporate Amex"/>
    <m/>
    <s v="Y"/>
    <s v="Software"/>
    <s v="MATCH"/>
    <x v="0"/>
  </r>
  <r>
    <s v="EXP101156"/>
    <s v="E069"/>
    <s v="AX-978459905"/>
    <d v="2026-02-26T00:00:00"/>
    <d v="2026-03-06T00:00:00"/>
    <s v="DELTA AIR 00623891045"/>
    <s v="4511"/>
    <s v="Travel"/>
    <n v="588.57000000000005"/>
    <s v="Corporate Amex"/>
    <m/>
    <s v="Y"/>
    <s v="Travel"/>
    <s v="MATCH"/>
    <x v="0"/>
  </r>
  <r>
    <s v="EXP101157"/>
    <s v="E048"/>
    <m/>
    <d v="2026-02-24T00:00:00"/>
    <d v="2026-03-06T00:00:00"/>
    <s v="SQ *THE CORNER BISTRO"/>
    <s v="5812"/>
    <s v="Meals"/>
    <n v="55.46"/>
    <s v="Corporate Amex"/>
    <m/>
    <s v="Y"/>
    <s v="Meals"/>
    <s v="MATCH"/>
    <x v="0"/>
  </r>
  <r>
    <s v="EXP101158"/>
    <s v="E038"/>
    <s v="ax880447802"/>
    <d v="2026-02-24T00:00:00"/>
    <d v="2026-03-06T00:00:00"/>
    <s v="HYATT REGENCY BOS"/>
    <s v="7011"/>
    <s v="Lodging"/>
    <n v="465.51"/>
    <s v="Corporate Amex"/>
    <m/>
    <s v="Y"/>
    <s v="Lodging"/>
    <s v="MATCH"/>
    <x v="0"/>
  </r>
  <r>
    <s v="EXP101159"/>
    <s v="E005"/>
    <s v="AX562800427"/>
    <d v="2026-02-28T00:00:00"/>
    <d v="2026-03-06T00:00:00"/>
    <s v="DELTA AIR 00623891045"/>
    <s v="4511"/>
    <s v="Travel"/>
    <n v="202.67"/>
    <s v="Corporate Amex"/>
    <m/>
    <s v="Y"/>
    <s v="Travel"/>
    <s v="MATCH"/>
    <x v="0"/>
  </r>
  <r>
    <s v="EXP101160"/>
    <s v="E032"/>
    <s v="AX-503005643"/>
    <d v="2026-02-24T00:00:00"/>
    <d v="2026-03-06T00:00:00"/>
    <s v="YELLOW CAB CO"/>
    <s v="4121"/>
    <s v="Transportation"/>
    <n v="50.61"/>
    <s v="Corporate Amex"/>
    <m/>
    <s v="Y"/>
    <s v="Transportation"/>
    <s v="MATCH"/>
    <x v="0"/>
  </r>
  <r>
    <s v="EXP101161"/>
    <s v="E083"/>
    <s v="AX857542009"/>
    <d v="2026-03-05T00:00:00"/>
    <d v="2026-03-06T00:00:00"/>
    <s v="REGION CATERING CO"/>
    <s v="5811"/>
    <s v="Events"/>
    <n v="498.8"/>
    <s v="Corporate Amex"/>
    <m/>
    <s v="Y"/>
    <s v="Events"/>
    <s v="MATCH"/>
    <x v="2"/>
  </r>
  <r>
    <s v="EXP101162"/>
    <s v="E135"/>
    <m/>
    <d v="2026-03-04T00:00:00"/>
    <d v="2026-03-06T00:00:00"/>
    <s v="UNITED AIRLINES 0162233"/>
    <s v="4511"/>
    <s v="Travel"/>
    <n v="293.43"/>
    <s v="Corporate Amex"/>
    <m/>
    <s v="Y"/>
    <s v="Travel"/>
    <s v="MATCH"/>
    <x v="7"/>
  </r>
  <r>
    <s v="EXP101163"/>
    <s v="E031"/>
    <s v="AX 884806275"/>
    <d v="2026-03-05T00:00:00"/>
    <d v="2026-03-06T00:00:00"/>
    <s v="SOUTHWEST AIR 5261823"/>
    <s v="4511"/>
    <m/>
    <n v="153.41999999999999"/>
    <s v="Corporate Amex"/>
    <m/>
    <s v="Y"/>
    <s v="Travel"/>
    <s v="BLANK"/>
    <x v="0"/>
  </r>
  <r>
    <s v="EXP101164"/>
    <s v="E241"/>
    <s v="ax320439224"/>
    <d v="2026-02-25T00:00:00"/>
    <d v="2026-03-06T00:00:00"/>
    <s v="SPROUT SOCIAL"/>
    <s v="5734"/>
    <s v="Software"/>
    <n v="135.47"/>
    <s v="Corporate Amex"/>
    <m/>
    <s v="N"/>
    <s v="Software"/>
    <s v="MATCH"/>
    <x v="1"/>
  </r>
  <r>
    <s v="EXP101165"/>
    <s v="E138"/>
    <s v="AX916218103"/>
    <d v="2026-03-04T00:00:00"/>
    <d v="2026-03-06T00:00:00"/>
    <s v="STAPLES #0231"/>
    <s v="5943"/>
    <s v="Office Supplies"/>
    <n v="119.01"/>
    <s v="Corporate Amex"/>
    <m/>
    <s v="Y"/>
    <s v="Office Supplies"/>
    <s v="MATCH"/>
    <x v="7"/>
  </r>
  <r>
    <s v="EXP101166"/>
    <s v="E058"/>
    <m/>
    <d v="2026-02-27T00:00:00"/>
    <d v="2026-03-06T00:00:00"/>
    <s v="CHIPOTLE 2214"/>
    <s v="5812"/>
    <s v="Meals"/>
    <n v="9.14"/>
    <s v="Corporate Amex"/>
    <m/>
    <s v="Y"/>
    <s v="Meals"/>
    <s v="MATCH"/>
    <x v="0"/>
  </r>
  <r>
    <s v="EXP101167"/>
    <s v="E056"/>
    <m/>
    <d v="2026-02-25T00:00:00"/>
    <d v="2026-03-07T00:00:00"/>
    <s v="REGION CATERING CO"/>
    <s v="5811"/>
    <s v="Events"/>
    <n v="249.52"/>
    <s v="Corporate Amex"/>
    <m/>
    <s v="Y"/>
    <s v="Events"/>
    <s v="MATCH"/>
    <x v="0"/>
  </r>
  <r>
    <s v="EXP101168"/>
    <s v="E008"/>
    <s v="AX-756028170"/>
    <d v="2026-02-26T00:00:00"/>
    <d v="2026-03-07T00:00:00"/>
    <s v="UBER TRIP HELP.UBER"/>
    <s v="4121"/>
    <s v="Transportation"/>
    <n v="23.13"/>
    <s v="Corporate Amex"/>
    <m/>
    <s v="Y"/>
    <s v="Transportation"/>
    <s v="MATCH"/>
    <x v="0"/>
  </r>
  <r>
    <s v="EXP101169"/>
    <s v="E034"/>
    <s v="AX 396593443"/>
    <d v="2026-02-27T00:00:00"/>
    <d v="2026-03-07T00:00:00"/>
    <s v="MICROSOFT*365"/>
    <s v="5734"/>
    <s v="Software"/>
    <n v="52.41"/>
    <s v="Corporate Amex"/>
    <m/>
    <s v="Y"/>
    <s v="Software"/>
    <s v="MATCH"/>
    <x v="0"/>
  </r>
  <r>
    <s v="EXP101170"/>
    <s v="E254"/>
    <s v="ax953070605"/>
    <d v="2026-03-06T00:00:00"/>
    <d v="2026-03-07T00:00:00"/>
    <s v="HILTON GARDEN INN 2231"/>
    <s v="7011"/>
    <s v="Lodging"/>
    <n v="226.06"/>
    <s v="Corporate Amex"/>
    <m/>
    <s v="Y"/>
    <s v="Lodging"/>
    <s v="MATCH"/>
    <x v="8"/>
  </r>
  <r>
    <s v="EXP101171"/>
    <s v="E002"/>
    <m/>
    <d v="2026-03-05T00:00:00"/>
    <d v="2026-03-07T00:00:00"/>
    <s v="SOUTHWEST AIR 5261823"/>
    <s v="4511"/>
    <s v="Travel"/>
    <n v="180.42"/>
    <s v="Corporate Amex"/>
    <m/>
    <s v="Y"/>
    <s v="Travel"/>
    <s v="MATCH"/>
    <x v="0"/>
  </r>
  <r>
    <s v="EXP101172"/>
    <s v="E126"/>
    <s v="AX-941691121"/>
    <d v="2026-02-27T00:00:00"/>
    <d v="2026-03-07T00:00:00"/>
    <s v="CHIPOTLE 2214"/>
    <s v="5812"/>
    <s v="Meals"/>
    <n v="13.17"/>
    <s v="Corporate Amex"/>
    <m/>
    <s v="Y"/>
    <s v="Meals"/>
    <s v="MATCH"/>
    <x v="7"/>
  </r>
  <r>
    <s v="EXP101173"/>
    <s v="E137"/>
    <s v="AX 257629012"/>
    <d v="2026-02-26T00:00:00"/>
    <d v="2026-03-07T00:00:00"/>
    <s v="OLIVE GARDEN 00456"/>
    <s v="5812"/>
    <s v="Meals"/>
    <n v="109.97"/>
    <s v="Corporate Amex"/>
    <m/>
    <s v="N"/>
    <s v="Meals"/>
    <s v="MATCH"/>
    <x v="7"/>
  </r>
  <r>
    <s v="EXP101174"/>
    <s v="E014"/>
    <s v="AX217786483"/>
    <d v="2026-02-28T00:00:00"/>
    <d v="2026-03-07T00:00:00"/>
    <s v="YELLOW CAB CO"/>
    <s v="4121"/>
    <s v="Transportation"/>
    <n v="21.82"/>
    <s v="Corporate Amex"/>
    <m/>
    <s v="Y"/>
    <s v="Transportation"/>
    <s v="MATCH"/>
    <x v="0"/>
  </r>
  <r>
    <s v="EXP101175"/>
    <s v="E185"/>
    <s v="AX470600627"/>
    <d v="2026-02-28T00:00:00"/>
    <d v="2026-03-07T00:00:00"/>
    <s v="YELLOW CAB CO"/>
    <s v="4121"/>
    <s v="Transportation"/>
    <n v="55.27"/>
    <s v="Corporate Amex"/>
    <m/>
    <s v="Y"/>
    <s v="Transportation"/>
    <s v="MATCH"/>
    <x v="5"/>
  </r>
  <r>
    <s v="EXP101176"/>
    <s v="E029"/>
    <s v="AX991491135"/>
    <d v="2026-02-28T00:00:00"/>
    <d v="2026-03-07T00:00:00"/>
    <s v="UBER TRIP HELP.UBER"/>
    <s v="4121"/>
    <s v="Transportation"/>
    <n v="30.09"/>
    <s v="Corporate Amex"/>
    <m/>
    <s v="Y"/>
    <s v="Transportation"/>
    <s v="MATCH"/>
    <x v="0"/>
  </r>
  <r>
    <s v="EXP101177"/>
    <s v="E142"/>
    <s v="ax648729229"/>
    <d v="2026-03-07T00:00:00"/>
    <d v="2026-03-07T00:00:00"/>
    <s v="SQ *THE CORNER BISTRO"/>
    <s v="5812"/>
    <s v="Meals"/>
    <n v="44.66"/>
    <s v="Corporate Amex"/>
    <m/>
    <s v="Y"/>
    <s v="Meals"/>
    <s v="MATCH"/>
    <x v="7"/>
  </r>
  <r>
    <s v="EXP101178"/>
    <s v="E066"/>
    <s v="AX 455854725"/>
    <d v="2026-03-06T00:00:00"/>
    <d v="2026-03-07T00:00:00"/>
    <s v="UBER TRIP HELP.UBER"/>
    <s v="4121"/>
    <s v="Transportation"/>
    <n v="47.67"/>
    <s v="Corporate Amex"/>
    <m/>
    <s v="Y"/>
    <s v="Transportation"/>
    <s v="MATCH"/>
    <x v="0"/>
  </r>
  <r>
    <s v="EXP101179"/>
    <s v="E234"/>
    <s v="ax344732965"/>
    <d v="2026-03-04T00:00:00"/>
    <d v="2026-03-07T00:00:00"/>
    <s v="ZOOM.US"/>
    <s v="5734"/>
    <s v="Software"/>
    <n v="24.22"/>
    <s v="Corporate Amex"/>
    <m/>
    <s v="N"/>
    <s v="Software"/>
    <s v="MATCH"/>
    <x v="1"/>
  </r>
  <r>
    <s v="EXP101180"/>
    <s v="E255"/>
    <s v="AX951342149"/>
    <d v="2026-03-08T00:00:00"/>
    <d v="2026-03-08T00:00:00"/>
    <s v="AMC THEATRES 0021"/>
    <s v="7832"/>
    <s v="Entertainment"/>
    <n v="35.869999999999997"/>
    <s v="Corporate Amex"/>
    <m/>
    <s v="Y"/>
    <s v="Entertainment"/>
    <s v="MATCH"/>
    <x v="8"/>
  </r>
  <r>
    <s v="EXP101181"/>
    <s v="E013"/>
    <s v="AX981647333"/>
    <d v="2026-02-26T00:00:00"/>
    <d v="2026-03-08T00:00:00"/>
    <s v="SQ *THE CORNER BISTRO"/>
    <s v="5812"/>
    <s v="Meals"/>
    <n v="59.5"/>
    <s v="Corporate Amex"/>
    <m/>
    <s v="Y"/>
    <s v="Meals"/>
    <s v="MATCH"/>
    <x v="0"/>
  </r>
  <r>
    <s v="EXP101182"/>
    <s v="E047"/>
    <s v="AX812591241"/>
    <d v="2026-03-04T00:00:00"/>
    <d v="2026-03-08T00:00:00"/>
    <s v="SPROUT SOCIAL"/>
    <s v="5734"/>
    <s v="  Software "/>
    <n v="146.63999999999999"/>
    <s v="Corporate Amex"/>
    <m/>
    <s v="Y"/>
    <s v="Software"/>
    <s v="MATCH"/>
    <x v="0"/>
  </r>
  <r>
    <s v="EXP101183"/>
    <s v="E109"/>
    <s v="AX 561634381"/>
    <d v="2026-02-27T00:00:00"/>
    <d v="2026-03-08T00:00:00"/>
    <s v="AMAZON MKTPLACE PMTS"/>
    <s v="5942"/>
    <s v="Office Supplies"/>
    <n v="239.79"/>
    <s v="Corporate Amex"/>
    <m/>
    <s v="Y"/>
    <s v="Office Supplies"/>
    <s v="MATCH"/>
    <x v="2"/>
  </r>
  <r>
    <s v="EXP101184"/>
    <s v="E114"/>
    <s v="ax127676119"/>
    <d v="2026-03-08T00:00:00"/>
    <d v="2026-03-08T00:00:00"/>
    <s v="BRANDWATCH LTD"/>
    <s v="5734"/>
    <s v="Software"/>
    <n v="577.57000000000005"/>
    <s v="Corporate Amex"/>
    <m/>
    <s v="N"/>
    <s v="Software"/>
    <s v="MATCH"/>
    <x v="2"/>
  </r>
  <r>
    <s v="EXP101185"/>
    <s v="E131"/>
    <s v="AX269205100"/>
    <d v="2026-03-08T00:00:00"/>
    <d v="2026-03-08T00:00:00"/>
    <s v="MARRIOTT #4471"/>
    <s v="7011"/>
    <s v="Lodging"/>
    <n v="363.09"/>
    <s v="Corporate Amex"/>
    <m/>
    <s v="Y"/>
    <s v="Lodging"/>
    <s v="MATCH"/>
    <x v="7"/>
  </r>
  <r>
    <s v="EXP101186"/>
    <s v="E108"/>
    <m/>
    <d v="2026-03-04T00:00:00"/>
    <d v="2026-03-08T00:00:00"/>
    <s v=" HOOTSUITE INC"/>
    <s v="5734"/>
    <s v="Software"/>
    <n v="160.06"/>
    <s v="Corporate Amex"/>
    <m/>
    <s v="Y"/>
    <s v="Software"/>
    <s v="MATCH"/>
    <x v="2"/>
  </r>
  <r>
    <s v="EXP101187"/>
    <s v="E058"/>
    <s v="AX270575376"/>
    <d v="2026-03-08T00:00:00"/>
    <d v="2026-03-08T00:00:00"/>
    <s v="REGION CATERING CO"/>
    <s v="5811"/>
    <s v="Events"/>
    <n v="575.95000000000005"/>
    <s v="Corporate Amex"/>
    <m/>
    <s v="Y"/>
    <s v="Events"/>
    <s v="MATCH"/>
    <x v="0"/>
  </r>
  <r>
    <s v="EXP101188"/>
    <s v="E030"/>
    <s v="AX402925307"/>
    <d v="2026-02-28T00:00:00"/>
    <d v="2026-03-08T00:00:00"/>
    <s v="STARBUCKS #4471"/>
    <s v="5812"/>
    <s v="Meals"/>
    <n v="6.84"/>
    <s v="Corporate Amex"/>
    <m/>
    <s v="Y"/>
    <s v="Meals"/>
    <s v="MATCH"/>
    <x v="0"/>
  </r>
  <r>
    <s v="EXP101189"/>
    <s v="E011"/>
    <s v="AX462271645"/>
    <d v="2026-03-05T00:00:00"/>
    <d v="2026-03-08T00:00:00"/>
    <s v="TOTAL PARTY RENTAL"/>
    <s v="7999"/>
    <s v="Events"/>
    <n v="134.93"/>
    <s v="Corporate Amex"/>
    <m/>
    <s v="Y"/>
    <s v="Events"/>
    <s v="MATCH"/>
    <x v="0"/>
  </r>
  <r>
    <s v="EXP101190"/>
    <s v="E067"/>
    <s v="AX623485642"/>
    <d v="2026-03-05T00:00:00"/>
    <d v="2026-03-08T00:00:00"/>
    <s v=" OLIVE GARDEN 00456"/>
    <s v="5812"/>
    <s v="Meals"/>
    <n v="122.22"/>
    <s v="Corporate Amex"/>
    <m/>
    <s v="Y"/>
    <s v="Meals"/>
    <s v="MATCH"/>
    <x v="0"/>
  </r>
  <r>
    <s v="EXP101191"/>
    <s v="E067"/>
    <m/>
    <d v="2026-03-05T00:00:00"/>
    <d v="2026-03-08T00:00:00"/>
    <s v="STAPLES #0231"/>
    <s v="5943"/>
    <s v="Office Supplies"/>
    <n v="142.16"/>
    <s v="Corporate Amex"/>
    <m/>
    <s v="Y"/>
    <s v="Office Supplies"/>
    <s v="MATCH"/>
    <x v="0"/>
  </r>
  <r>
    <s v="EXP101192"/>
    <s v="E020"/>
    <s v="AX494298594"/>
    <d v="2026-03-07T00:00:00"/>
    <d v="2026-03-08T00:00:00"/>
    <s v="REGION CATERING CO"/>
    <s v="5811"/>
    <s v="Events"/>
    <n v="250.01"/>
    <s v="Corporate Amex"/>
    <m/>
    <s v="Y"/>
    <s v="Events"/>
    <s v="MATCH"/>
    <x v="0"/>
  </r>
  <r>
    <s v="EXP101193"/>
    <s v="E005"/>
    <s v="AX 842902532"/>
    <d v="2026-03-08T00:00:00"/>
    <d v="2026-03-08T00:00:00"/>
    <s v="STARBUCKS #4471"/>
    <s v="5812"/>
    <s v="Meals"/>
    <n v="10.130000000000001"/>
    <s v="Corporate Amex"/>
    <m/>
    <s v="Y"/>
    <s v="Meals"/>
    <s v="MATCH"/>
    <x v="0"/>
  </r>
  <r>
    <s v="EXP101194"/>
    <s v="E074"/>
    <s v="ax994347743"/>
    <d v="2026-02-28T00:00:00"/>
    <d v="2026-03-08T00:00:00"/>
    <s v="HYATT REGENCY BOS"/>
    <s v="7011"/>
    <s v="Lodging"/>
    <n v="343.49"/>
    <s v="Corporate Amex"/>
    <m/>
    <s v="Y"/>
    <s v="Lodging"/>
    <s v="MATCH"/>
    <x v="2"/>
  </r>
  <r>
    <s v="EXP101195"/>
    <s v="E259"/>
    <s v="AX521103373"/>
    <d v="2026-02-28T00:00:00"/>
    <d v="2026-03-08T00:00:00"/>
    <s v="MARRIOTT #4471"/>
    <s v="7011"/>
    <s v="Lodging"/>
    <n v="169.38"/>
    <s v="Corporate Amex"/>
    <m/>
    <s v="N"/>
    <s v="Lodging"/>
    <s v="MATCH"/>
    <x v="8"/>
  </r>
  <r>
    <s v="EXP101196"/>
    <s v="E119"/>
    <s v="ax498148954"/>
    <d v="2026-03-03T00:00:00"/>
    <d v="2026-03-08T00:00:00"/>
    <s v="HYATT REGENCY BOS"/>
    <s v="7011"/>
    <s v="Lodging"/>
    <n v="474.76"/>
    <s v="Corporate Amex"/>
    <m/>
    <s v="Y"/>
    <s v="Lodging"/>
    <s v="MATCH"/>
    <x v="7"/>
  </r>
  <r>
    <s v="EXP101197"/>
    <s v="E028"/>
    <s v="AX351853181"/>
    <d v="2026-03-05T00:00:00"/>
    <d v="2026-03-08T00:00:00"/>
    <s v="YELLOW CAB CO"/>
    <s v="4121"/>
    <s v="Transportation"/>
    <n v="39.32"/>
    <s v="Corporate Amex"/>
    <m/>
    <s v="Y"/>
    <s v="Transportation"/>
    <s v="MATCH"/>
    <x v="0"/>
  </r>
  <r>
    <s v="EXP101198"/>
    <s v="E028"/>
    <m/>
    <d v="2026-03-06T00:00:00"/>
    <d v="2026-03-08T00:00:00"/>
    <s v="OLIVE GARDEN 00456"/>
    <s v="5812"/>
    <s v="Meals"/>
    <n v="40.17"/>
    <s v="Corporate Amex"/>
    <m/>
    <s v="Y"/>
    <s v="Meals"/>
    <s v="MATCH"/>
    <x v="0"/>
  </r>
  <r>
    <s v="EXP101199"/>
    <s v="E029"/>
    <s v="AX604072209"/>
    <d v="2026-03-07T00:00:00"/>
    <d v="2026-03-08T00:00:00"/>
    <s v="AMAZON MKTPLACE PMTS"/>
    <s v="5942"/>
    <s v="Office Supplies"/>
    <n v="384.79"/>
    <s v="Corporate Amex"/>
    <m/>
    <s v="Y"/>
    <s v="Office Supplies"/>
    <s v="MATCH"/>
    <x v="0"/>
  </r>
  <r>
    <s v="EXP101200"/>
    <s v="E029"/>
    <s v="ax947119367"/>
    <d v="2026-03-03T00:00:00"/>
    <d v="2026-03-08T00:00:00"/>
    <s v="ZOOM.US"/>
    <s v="5734"/>
    <s v="Software"/>
    <n v="29"/>
    <s v="Corporate Amex"/>
    <m/>
    <s v="Y"/>
    <s v="Software"/>
    <s v="MATCH"/>
    <x v="0"/>
  </r>
  <r>
    <s v="EXP101201"/>
    <s v="E019"/>
    <s v="ax612148708"/>
    <d v="2026-02-27T00:00:00"/>
    <d v="2026-03-09T00:00:00"/>
    <s v="SPROUT SOCIAL"/>
    <s v="5734"/>
    <s v="Software"/>
    <n v="113.13"/>
    <s v="Corporate Amex"/>
    <m/>
    <s v="Y"/>
    <s v="Software"/>
    <s v="MATCH"/>
    <x v="0"/>
  </r>
  <r>
    <s v="EXP101202"/>
    <s v="E057"/>
    <s v="AX162741168"/>
    <d v="2026-03-05T00:00:00"/>
    <d v="2026-03-09T00:00:00"/>
    <s v="CHIPOTLE 2214"/>
    <s v="5812"/>
    <s v="Meals"/>
    <n v="13.43"/>
    <s v="Corporate Amex"/>
    <m/>
    <s v="Y"/>
    <s v="Meals"/>
    <s v="MATCH"/>
    <x v="0"/>
  </r>
  <r>
    <s v="EXP101203"/>
    <s v="E141"/>
    <s v="AX836856088"/>
    <d v="2026-03-02T00:00:00"/>
    <d v="2026-03-09T00:00:00"/>
    <s v="MICROSOFT*365"/>
    <s v="5734"/>
    <s v="Software"/>
    <n v="34.64"/>
    <s v="Corporate Amex"/>
    <m/>
    <s v="Y"/>
    <s v="Software"/>
    <s v="MATCH"/>
    <x v="7"/>
  </r>
  <r>
    <s v="EXP101204"/>
    <s v="E045"/>
    <s v="AX-792227695"/>
    <d v="2026-02-27T00:00:00"/>
    <d v="2026-03-09T00:00:00"/>
    <s v="MARRIOTT #4471"/>
    <s v="7011"/>
    <s v="Lodging"/>
    <n v="187.61"/>
    <s v="Corporate Amex"/>
    <m/>
    <s v="Y"/>
    <s v="Lodging"/>
    <s v="MATCH"/>
    <x v="0"/>
  </r>
  <r>
    <s v="EXP101205"/>
    <s v="E062"/>
    <s v="ax986788348"/>
    <d v="2026-02-28T00:00:00"/>
    <d v="2026-03-09T00:00:00"/>
    <s v="YELLOW CAB CO"/>
    <s v="4121"/>
    <s v="Transportation"/>
    <n v="16.03"/>
    <s v="Corporate Amex"/>
    <m/>
    <s v="Y"/>
    <s v="Transportation"/>
    <s v="MATCH"/>
    <x v="0"/>
  </r>
  <r>
    <s v="EXP101206"/>
    <s v="E005"/>
    <s v="AX-345711342"/>
    <d v="2026-03-03T00:00:00"/>
    <d v="2026-03-09T00:00:00"/>
    <s v="TOTAL PARTY RENTAL"/>
    <s v="7999"/>
    <s v="Events"/>
    <n v="102.89"/>
    <s v="Corporate Amex"/>
    <m/>
    <s v="Y"/>
    <s v="Events"/>
    <s v="MATCH"/>
    <x v="0"/>
  </r>
  <r>
    <s v="EXP101207"/>
    <s v="E072"/>
    <s v="AX603478787"/>
    <d v="2026-03-09T00:00:00"/>
    <d v="2026-03-09T00:00:00"/>
    <s v="SPROUT SOCIAL"/>
    <s v="5734"/>
    <s v="Software"/>
    <n v="95.68"/>
    <s v="Corporate Amex"/>
    <m/>
    <s v="N"/>
    <s v="Software"/>
    <s v="MATCH"/>
    <x v="2"/>
  </r>
  <r>
    <s v="EXP101208"/>
    <s v="E011"/>
    <s v="ax877031803"/>
    <d v="2026-02-27T00:00:00"/>
    <d v="2026-03-09T00:00:00"/>
    <s v="MICROSOFT*365"/>
    <s v="5734"/>
    <s v="Software"/>
    <n v="17.78"/>
    <s v="Corporate Amex"/>
    <m/>
    <s v="Y"/>
    <s v="Software"/>
    <s v="MATCH"/>
    <x v="0"/>
  </r>
  <r>
    <s v="EXP101209"/>
    <s v="E042"/>
    <s v="AX102228510"/>
    <d v="2026-03-09T00:00:00"/>
    <d v="2026-03-09T00:00:00"/>
    <s v="HOOTSUITE INC"/>
    <s v="5734"/>
    <s v="Software"/>
    <n v="151.87"/>
    <s v="Corporate Amex"/>
    <m/>
    <s v="Y"/>
    <s v="Software"/>
    <s v="MATCH"/>
    <x v="0"/>
  </r>
  <r>
    <s v="EXP101210"/>
    <s v="E064"/>
    <s v="AX783834395"/>
    <d v="2026-03-02T00:00:00"/>
    <d v="2026-03-09T00:00:00"/>
    <s v="SQ *THE CORNER BISTRO"/>
    <s v="5812"/>
    <s v="Meals"/>
    <n v="34.61"/>
    <s v="Corporate Amex"/>
    <m/>
    <s v="Y"/>
    <s v="Meals"/>
    <s v="MATCH"/>
    <x v="0"/>
  </r>
  <r>
    <s v="EXP101211"/>
    <s v="E121"/>
    <s v="AX401433286"/>
    <d v="2026-03-08T00:00:00"/>
    <d v="2026-03-09T00:00:00"/>
    <s v="AMC THEATRES 0021"/>
    <s v="7832"/>
    <s v="Entertainment"/>
    <n v="57"/>
    <s v="Corporate Amex"/>
    <m/>
    <s v="Y"/>
    <s v="Entertainment"/>
    <s v="MATCH"/>
    <x v="7"/>
  </r>
  <r>
    <s v="EXP101212"/>
    <s v="E078"/>
    <s v="ax814357657"/>
    <d v="2026-03-04T00:00:00"/>
    <d v="2026-03-09T00:00:00"/>
    <s v="PANERA BREAD #0231"/>
    <s v="5812"/>
    <s v="Meals"/>
    <n v="16.170000000000002"/>
    <s v="Corporate Amex"/>
    <m/>
    <s v="Y"/>
    <s v="Meals"/>
    <s v="MATCH"/>
    <x v="2"/>
  </r>
  <r>
    <s v="EXP101213"/>
    <s v="E016"/>
    <m/>
    <d v="2026-03-05T00:00:00"/>
    <d v="2026-03-09T00:00:00"/>
    <s v="TOTAL PARTY RENTAL"/>
    <s v="7999"/>
    <s v="Events"/>
    <n v="144.94"/>
    <s v="Personal (Reimbursement)"/>
    <s v="Card not yet issued"/>
    <s v="Y"/>
    <s v="Events"/>
    <s v="MATCH"/>
    <x v="0"/>
  </r>
  <r>
    <s v="EXP101214"/>
    <s v="E255"/>
    <m/>
    <d v="2026-02-28T00:00:00"/>
    <d v="2026-03-09T00:00:00"/>
    <s v="SOUTHWEST AIR 5261823"/>
    <s v="4511"/>
    <s v="Travel"/>
    <n v="213.44"/>
    <s v="Corporate Amex"/>
    <m/>
    <s v="Y"/>
    <s v="Travel"/>
    <s v="MATCH"/>
    <x v="8"/>
  </r>
  <r>
    <s v="EXP101215"/>
    <s v="E255"/>
    <s v="AX987686835"/>
    <d v="2026-02-27T00:00:00"/>
    <d v="2026-03-09T00:00:00"/>
    <s v="HOOTSUITE INC"/>
    <s v="5734"/>
    <s v="Software"/>
    <n v="197.98"/>
    <s v="Corporate Amex"/>
    <m/>
    <s v="Y"/>
    <s v="Software"/>
    <s v="MATCH"/>
    <x v="8"/>
  </r>
  <r>
    <s v="EXP101216"/>
    <s v="E007"/>
    <s v="ax505401122"/>
    <d v="2026-03-06T00:00:00"/>
    <d v="2026-03-09T00:00:00"/>
    <s v="REGION CATERING CO"/>
    <s v="5811"/>
    <s v="Events"/>
    <n v="147.15"/>
    <s v="Corporate Amex"/>
    <m/>
    <s v="Y"/>
    <s v="Events"/>
    <s v="MATCH"/>
    <x v="0"/>
  </r>
  <r>
    <s v="EXP101217"/>
    <s v="E117"/>
    <s v="AX696788620"/>
    <d v="2026-03-01T00:00:00"/>
    <d v="2026-03-09T00:00:00"/>
    <s v="HOOTSUITE INC"/>
    <s v="5734"/>
    <s v="Software"/>
    <n v="165.91"/>
    <s v="Corporate Amex"/>
    <m/>
    <s v="Y"/>
    <s v="Software"/>
    <s v="MATCH"/>
    <x v="7"/>
  </r>
  <r>
    <s v="EXP101218"/>
    <s v="E117"/>
    <s v="AX723998316"/>
    <d v="2026-03-08T00:00:00"/>
    <d v="2026-03-09T00:00:00"/>
    <s v="UNITED AIRLINES 0162233"/>
    <s v="4511"/>
    <s v="Travel"/>
    <n v="407.42"/>
    <s v="Corporate Amex"/>
    <m/>
    <s v="Y"/>
    <s v="Travel"/>
    <s v="MATCH"/>
    <x v="7"/>
  </r>
  <r>
    <s v="EXP101219"/>
    <s v="E226"/>
    <s v="AX-801541400"/>
    <d v="2026-03-04T00:00:00"/>
    <d v="2026-03-09T00:00:00"/>
    <s v="ZOOM.US"/>
    <s v="5734"/>
    <s v="Software"/>
    <n v="23.43"/>
    <s v="Corporate Amex"/>
    <m/>
    <s v="Y"/>
    <s v="Software"/>
    <s v="MATCH"/>
    <x v="4"/>
  </r>
  <r>
    <s v="EXP101220"/>
    <s v="E151"/>
    <m/>
    <d v="2026-03-07T00:00:00"/>
    <d v="2026-03-10T00:00:00"/>
    <s v="ADOBE *CREATIVE CLOUD"/>
    <s v="5734"/>
    <s v="Software"/>
    <n v="59.53"/>
    <s v="Corporate Amex"/>
    <m/>
    <s v="Y"/>
    <s v="Software"/>
    <s v="MATCH"/>
    <x v="6"/>
  </r>
  <r>
    <s v="EXP101221"/>
    <s v="E041"/>
    <s v="AX482453623"/>
    <d v="2026-03-09T00:00:00"/>
    <d v="2026-03-10T00:00:00"/>
    <s v="MICROSOFT*365"/>
    <s v="5734"/>
    <s v="Software"/>
    <n v="26.33"/>
    <s v="Corporate Amex"/>
    <m/>
    <s v="Y"/>
    <s v="Software"/>
    <s v="MATCH"/>
    <x v="0"/>
  </r>
  <r>
    <s v="EXP101222"/>
    <s v="E001"/>
    <s v="ax711622610"/>
    <d v="2026-03-03T00:00:00"/>
    <d v="2026-03-10T00:00:00"/>
    <s v="SQ *THE CORNER BISTRO"/>
    <s v="5812"/>
    <s v="Meals"/>
    <n v="43.08"/>
    <s v="Corporate Amex"/>
    <m/>
    <s v="N"/>
    <s v="Meals"/>
    <s v="MATCH"/>
    <x v="0"/>
  </r>
  <r>
    <s v="EXP101223"/>
    <s v="E080"/>
    <s v="AX181557087"/>
    <d v="2026-03-05T00:00:00"/>
    <d v="2026-03-10T00:00:00"/>
    <s v="STAPLES #0231"/>
    <s v="5943"/>
    <s v="Office Supplies"/>
    <n v="137.02000000000001"/>
    <s v="Corporate Amex"/>
    <m/>
    <s v="N"/>
    <s v="Office Supplies"/>
    <s v="MATCH"/>
    <x v="2"/>
  </r>
  <r>
    <s v="EXP101225"/>
    <s v="E098"/>
    <s v="AX-438277867"/>
    <d v="2026-03-08T00:00:00"/>
    <d v="2026-03-10T00:00:00"/>
    <s v="REGION CATERING CO"/>
    <s v="5811"/>
    <s v="  Events "/>
    <n v="622.27"/>
    <s v="Corporate Amex"/>
    <m/>
    <s v="Y"/>
    <s v="Events"/>
    <s v="MATCH"/>
    <x v="2"/>
  </r>
  <r>
    <s v="EXP101226"/>
    <s v="E267"/>
    <s v="AX107994746"/>
    <d v="2026-03-02T00:00:00"/>
    <d v="2026-03-10T00:00:00"/>
    <s v="TOTAL PARTY RENTAL"/>
    <s v="7999"/>
    <s v="Events"/>
    <n v="151.16999999999999"/>
    <s v="Corporate Amex"/>
    <m/>
    <s v="Y"/>
    <s v="Events"/>
    <s v="MATCH"/>
    <x v="3"/>
  </r>
  <r>
    <s v="EXP101227"/>
    <s v="E142"/>
    <s v="AX736264113"/>
    <d v="2026-02-28T00:00:00"/>
    <d v="2026-03-10T00:00:00"/>
    <s v="UBER TRIP HELP.UBER"/>
    <s v="4121"/>
    <s v="Transportation"/>
    <n v="8.69"/>
    <s v="Corporate Amex"/>
    <m/>
    <s v="Y"/>
    <s v="Transportation"/>
    <s v="MATCH"/>
    <x v="7"/>
  </r>
  <r>
    <s v="EXP101228"/>
    <s v="E071"/>
    <s v="AX826623993"/>
    <d v="2026-03-01T00:00:00"/>
    <d v="2026-03-10T00:00:00"/>
    <s v="EVENTBRITE"/>
    <s v="7999"/>
    <s v="Events"/>
    <n v="275"/>
    <s v="Corporate Amex"/>
    <m/>
    <s v="Y"/>
    <s v="Events"/>
    <s v="MATCH"/>
    <x v="2"/>
  </r>
  <r>
    <s v="EXP101229"/>
    <s v="E254"/>
    <s v="AX847732108"/>
    <d v="2026-03-06T00:00:00"/>
    <d v="2026-03-10T00:00:00"/>
    <s v="HOOTSUITE INC"/>
    <s v="5734"/>
    <s v="Software"/>
    <n v="159.4"/>
    <s v="Corporate Amex"/>
    <m/>
    <s v="Y"/>
    <s v="Software"/>
    <s v="MATCH"/>
    <x v="8"/>
  </r>
  <r>
    <s v="EXP101230"/>
    <s v="E005"/>
    <s v="AX-590584420"/>
    <d v="2026-03-05T00:00:00"/>
    <d v="2026-03-10T00:00:00"/>
    <s v="MICROSOFT*365"/>
    <s v="5734"/>
    <s v="Software"/>
    <n v="35.65"/>
    <s v="Corporate Amex"/>
    <m/>
    <s v="Y"/>
    <s v="Software"/>
    <s v="MATCH"/>
    <x v="0"/>
  </r>
  <r>
    <s v="EXP101231"/>
    <s v="E270"/>
    <s v="AX858071381"/>
    <d v="2026-03-08T00:00:00"/>
    <d v="2026-03-10T00:00:00"/>
    <s v="EVENTBRITE"/>
    <s v="7999"/>
    <s v="Events"/>
    <n v="267.63"/>
    <s v="Corporate Amex"/>
    <m/>
    <s v="Y"/>
    <s v="Events"/>
    <s v="MATCH"/>
    <x v="3"/>
  </r>
  <r>
    <s v="EXP101232"/>
    <s v="E128"/>
    <s v="ax341479566"/>
    <d v="2026-03-02T00:00:00"/>
    <d v="2026-03-10T00:00:00"/>
    <s v="SQ *THE CORNER BISTRO"/>
    <s v="5812"/>
    <s v="Meals"/>
    <n v="25.49"/>
    <s v="Corporate Amex"/>
    <m/>
    <s v="Y"/>
    <s v="Meals"/>
    <s v="MATCH"/>
    <x v="7"/>
  </r>
  <r>
    <s v="EXP101233"/>
    <s v="E048"/>
    <s v="ax666081242"/>
    <d v="2026-03-01T00:00:00"/>
    <d v="2026-03-10T00:00:00"/>
    <s v="TOTAL PARTY RENTAL"/>
    <s v="7999"/>
    <s v="Events"/>
    <n v="191.85"/>
    <s v="Corporate Amex"/>
    <m/>
    <s v="Y"/>
    <s v="Events"/>
    <s v="MATCH"/>
    <x v="0"/>
  </r>
  <r>
    <s v="EXP101234"/>
    <s v="E063"/>
    <s v="AX489416643"/>
    <d v="2026-03-01T00:00:00"/>
    <d v="2026-03-10T00:00:00"/>
    <s v="SQ *JOES COFFEE"/>
    <s v="5812"/>
    <s v="Meals"/>
    <n v="8.3699999999999992"/>
    <s v="Corporate Amex"/>
    <m/>
    <s v="Y"/>
    <s v="Meals"/>
    <s v="MATCH"/>
    <x v="0"/>
  </r>
  <r>
    <s v="EXP101235"/>
    <s v="E122"/>
    <s v="AX-282842934"/>
    <d v="2026-03-07T00:00:00"/>
    <d v="2026-03-10T00:00:00"/>
    <s v="AMAZON MKTPLACE PMTS"/>
    <s v="5942"/>
    <s v="Office Supplies"/>
    <n v="439.91"/>
    <s v="Corporate Amex"/>
    <m/>
    <s v="Y"/>
    <s v="Office Supplies"/>
    <s v="MATCH"/>
    <x v="7"/>
  </r>
  <r>
    <s v="EXP101236"/>
    <s v="E211"/>
    <s v="AX 375869133"/>
    <d v="2026-03-02T00:00:00"/>
    <d v="2026-03-11T00:00:00"/>
    <s v=" AMAZON MKTPLACE PMTS"/>
    <s v="5942"/>
    <s v="Office Supplies"/>
    <n v="54.3"/>
    <s v="Corporate Amex"/>
    <m/>
    <s v="N"/>
    <s v="Office Supplies"/>
    <s v="MATCH"/>
    <x v="4"/>
  </r>
  <r>
    <s v="EXP101237"/>
    <s v="E230"/>
    <s v="AX-384869865"/>
    <d v="2026-03-10T00:00:00"/>
    <d v="2026-03-11T00:00:00"/>
    <s v="SOUTHWEST AIR 5261823"/>
    <s v="4511"/>
    <s v="Travel"/>
    <n v="248.03"/>
    <s v="Corporate Amex"/>
    <m/>
    <s v="Y"/>
    <s v="Travel"/>
    <s v="MATCH"/>
    <x v="4"/>
  </r>
  <r>
    <s v="EXP101238"/>
    <s v="E112"/>
    <s v="ax389607178"/>
    <d v="2026-03-02T00:00:00"/>
    <d v="2026-03-11T00:00:00"/>
    <s v="CHIPOTLE 2214"/>
    <s v="5812"/>
    <s v="Meals"/>
    <n v="13.52"/>
    <s v="Corporate Amex"/>
    <m/>
    <s v="Y"/>
    <s v="Meals"/>
    <s v="MATCH"/>
    <x v="2"/>
  </r>
  <r>
    <s v="EXP101239"/>
    <s v="E026"/>
    <s v="AX 356619295"/>
    <d v="2026-03-01T00:00:00"/>
    <d v="2026-03-11T00:00:00"/>
    <s v="STARBUCKS #4471"/>
    <s v="5812"/>
    <s v="Meals"/>
    <n v="5.24"/>
    <s v="Corporate Amex"/>
    <m/>
    <s v="Y"/>
    <s v="Meals"/>
    <s v="MATCH"/>
    <x v="0"/>
  </r>
  <r>
    <s v="EXP101240"/>
    <s v="E231"/>
    <s v="AX 187756330"/>
    <d v="2026-03-09T00:00:00"/>
    <d v="2026-03-11T00:00:00"/>
    <s v="HILTON GARDEN INN 2231"/>
    <s v="7011"/>
    <m/>
    <n v="266.33999999999997"/>
    <s v="Corporate Amex"/>
    <m/>
    <s v="Y"/>
    <s v="Lodging"/>
    <s v="BLANK"/>
    <x v="4"/>
  </r>
  <r>
    <s v="EXP101241"/>
    <s v="E196"/>
    <s v="AX 405390827"/>
    <d v="2026-03-10T00:00:00"/>
    <d v="2026-03-11T00:00:00"/>
    <s v="OLIVE GARDEN 00456"/>
    <s v="5812"/>
    <s v="Meals"/>
    <n v="47.92"/>
    <s v="Corporate Amex"/>
    <m/>
    <s v="Y"/>
    <s v="Meals"/>
    <s v="MATCH"/>
    <x v="5"/>
  </r>
  <r>
    <s v="EXP101242"/>
    <s v="E232"/>
    <s v="AX 834261624"/>
    <d v="2026-03-02T00:00:00"/>
    <d v="2026-03-11T00:00:00"/>
    <s v="SPROUT SOCIAL"/>
    <s v="5734"/>
    <s v="Software"/>
    <n v="169.79"/>
    <s v="Corporate Amex"/>
    <m/>
    <s v="Y"/>
    <s v="Software"/>
    <s v="MATCH"/>
    <x v="4"/>
  </r>
  <r>
    <s v="EXP101243"/>
    <s v="E035"/>
    <s v="AX-632156942"/>
    <d v="2026-03-05T00:00:00"/>
    <d v="2026-03-11T00:00:00"/>
    <s v="SOUTHWEST AIR 5261823"/>
    <s v="4511"/>
    <s v="Travel"/>
    <n v="419.1"/>
    <s v="Corporate Amex"/>
    <m/>
    <s v="Y"/>
    <s v="Travel"/>
    <s v="MATCH"/>
    <x v="0"/>
  </r>
  <r>
    <s v="EXP101244"/>
    <s v="E104"/>
    <s v="AX-278530996"/>
    <d v="2026-03-09T00:00:00"/>
    <d v="2026-03-11T00:00:00"/>
    <s v="BRANDWATCH LTD"/>
    <s v="5734"/>
    <s v="Software"/>
    <n v="351.55"/>
    <s v="Corporate Amex"/>
    <m/>
    <s v="Y"/>
    <s v="Software"/>
    <s v="MATCH"/>
    <x v="2"/>
  </r>
  <r>
    <s v="EXP101245"/>
    <s v="E262"/>
    <s v="AX173163628"/>
    <d v="2026-03-07T00:00:00"/>
    <d v="2026-03-11T00:00:00"/>
    <s v="STAPLES #0231"/>
    <s v="5943"/>
    <s v="Office Supplies"/>
    <n v="31.13"/>
    <s v="Corporate Amex"/>
    <m/>
    <s v="Y"/>
    <s v="Office Supplies"/>
    <s v="MATCH"/>
    <x v="3"/>
  </r>
  <r>
    <s v="EXP101246"/>
    <s v="E129"/>
    <s v="ax191098138"/>
    <d v="2026-03-08T00:00:00"/>
    <d v="2026-03-11T00:00:00"/>
    <s v="STAPLES #0231"/>
    <s v="5943"/>
    <s v="Office Supplies"/>
    <n v="59.57"/>
    <s v="Corporate Amex"/>
    <m/>
    <s v="Y"/>
    <s v="Office Supplies"/>
    <s v="MATCH"/>
    <x v="7"/>
  </r>
  <r>
    <s v="EXP101247"/>
    <s v="E119"/>
    <s v="AX899287239"/>
    <d v="2026-03-07T00:00:00"/>
    <d v="2026-03-11T00:00:00"/>
    <s v="HYATT REGENCY BOS"/>
    <s v="7011"/>
    <s v="  Lodging "/>
    <n v="397.08"/>
    <s v="Corporate Amex"/>
    <m/>
    <s v="Y"/>
    <s v="Lodging"/>
    <s v="MATCH"/>
    <x v="7"/>
  </r>
  <r>
    <s v="EXP101248"/>
    <s v="E013"/>
    <s v="AX-943050326"/>
    <d v="2026-03-05T00:00:00"/>
    <d v="2026-03-11T00:00:00"/>
    <s v="MICROSOFT*365"/>
    <s v="5734"/>
    <s v="Software"/>
    <n v="20.68"/>
    <s v="Corporate Amex"/>
    <m/>
    <s v="Y"/>
    <s v="Software"/>
    <s v="MATCH"/>
    <x v="0"/>
  </r>
  <r>
    <s v="EXP101249"/>
    <s v="E257"/>
    <m/>
    <d v="2026-03-09T00:00:00"/>
    <d v="2026-03-11T00:00:00"/>
    <s v="UBER TRIP HELP.UBER"/>
    <s v="4121"/>
    <s v="Transportation"/>
    <n v="43.43"/>
    <s v="Corporate Amex"/>
    <m/>
    <s v="Y"/>
    <s v="Transportation"/>
    <s v="MATCH"/>
    <x v="8"/>
  </r>
  <r>
    <s v="EXP101250"/>
    <s v="E066"/>
    <s v="AX232748671"/>
    <d v="2026-03-01T00:00:00"/>
    <d v="2026-03-11T00:00:00"/>
    <s v="TOTAL PARTY RENTAL"/>
    <s v="7999"/>
    <s v="Events"/>
    <n v="530.04"/>
    <s v="Corporate Amex"/>
    <m/>
    <s v="Y"/>
    <s v="Events"/>
    <s v="MATCH"/>
    <x v="0"/>
  </r>
  <r>
    <s v="EXP101251"/>
    <s v="E256"/>
    <s v="ax813189919"/>
    <d v="2026-03-04T00:00:00"/>
    <d v="2026-03-11T00:00:00"/>
    <s v="OLIVE GARDEN 00456"/>
    <s v="5812"/>
    <s v="Meals"/>
    <n v="68.489999999999995"/>
    <s v="Corporate Amex"/>
    <m/>
    <s v="Y"/>
    <s v="Meals"/>
    <s v="MATCH"/>
    <x v="8"/>
  </r>
  <r>
    <s v="EXP101252"/>
    <s v="E006"/>
    <s v="AX688222363"/>
    <d v="2026-03-05T00:00:00"/>
    <d v="2026-03-11T00:00:00"/>
    <s v="DELTA AIR 00623891045"/>
    <s v="4511"/>
    <s v="Travel"/>
    <n v="180.43"/>
    <s v="Corporate Amex"/>
    <m/>
    <s v="Y"/>
    <s v="Travel"/>
    <s v="MATCH"/>
    <x v="0"/>
  </r>
  <r>
    <s v="EXP101253"/>
    <s v="E144"/>
    <m/>
    <d v="2026-03-10T00:00:00"/>
    <d v="2026-03-11T00:00:00"/>
    <s v="HYATT REGENCY BOS"/>
    <s v="7011"/>
    <s v="Lodging"/>
    <n v="473.86"/>
    <s v="Corporate Amex"/>
    <m/>
    <s v="Y"/>
    <s v="Lodging"/>
    <s v="MATCH"/>
    <x v="7"/>
  </r>
  <r>
    <s v="EXP101254"/>
    <s v="E269"/>
    <s v="AX348632338"/>
    <d v="2026-03-03T00:00:00"/>
    <d v="2026-03-11T00:00:00"/>
    <s v="YELLOW CAB CO"/>
    <s v="4121"/>
    <s v="Transportation"/>
    <n v="22.33"/>
    <s v="Corporate Amex"/>
    <m/>
    <s v="Y"/>
    <s v="Transportation"/>
    <s v="MATCH"/>
    <x v="3"/>
  </r>
  <r>
    <s v="EXP101255"/>
    <s v="E024"/>
    <s v="AX 184256944"/>
    <d v="2026-03-06T00:00:00"/>
    <d v="2026-03-11T00:00:00"/>
    <s v="TOPGOLF #442"/>
    <s v="7997"/>
    <s v="Entertainment"/>
    <n v="109.67"/>
    <s v="Corporate Amex"/>
    <m/>
    <s v="Y"/>
    <s v="Entertainment"/>
    <s v="MATCH"/>
    <x v="0"/>
  </r>
  <r>
    <s v="EXP101256"/>
    <s v="E150"/>
    <s v="AX345997393"/>
    <d v="2026-03-02T00:00:00"/>
    <d v="2026-03-11T00:00:00"/>
    <s v="AMAZON MKTPLACE PMTS"/>
    <s v="5942"/>
    <s v="Office Supplies"/>
    <n v="161.9"/>
    <s v="Corporate Amex"/>
    <m/>
    <s v="Y"/>
    <s v="Office Supplies"/>
    <s v="MATCH"/>
    <x v="7"/>
  </r>
  <r>
    <s v="EXP101257"/>
    <s v="E001"/>
    <m/>
    <d v="2026-03-05T00:00:00"/>
    <d v="2026-03-11T00:00:00"/>
    <s v="TOPGOLF #442"/>
    <s v="7997"/>
    <s v="Entertainment"/>
    <n v="232.64"/>
    <s v="Corporate Amex"/>
    <m/>
    <s v="Y"/>
    <s v="Entertainment"/>
    <s v="MATCH"/>
    <x v="0"/>
  </r>
  <r>
    <s v="EXP101258"/>
    <s v="E012"/>
    <m/>
    <d v="2026-03-08T00:00:00"/>
    <d v="2026-03-11T00:00:00"/>
    <s v="SQ *JOES COFFEE"/>
    <s v="5812"/>
    <s v="Meals"/>
    <n v="24.6"/>
    <s v="Corporate Amex"/>
    <m/>
    <s v="Y"/>
    <s v="Meals"/>
    <s v="MATCH"/>
    <x v="0"/>
  </r>
  <r>
    <s v="EXP101259"/>
    <s v="E071"/>
    <s v="AX-658885052"/>
    <d v="2026-03-09T00:00:00"/>
    <d v="2026-03-11T00:00:00"/>
    <s v="TOPGOLF #442"/>
    <s v="7997"/>
    <s v="Entertainment"/>
    <n v="188.7"/>
    <s v="Corporate Amex"/>
    <m/>
    <s v="Y"/>
    <s v="Entertainment"/>
    <s v="MATCH"/>
    <x v="2"/>
  </r>
  <r>
    <s v="EXP101260"/>
    <s v="E103"/>
    <s v="AX487179264"/>
    <d v="2026-03-03T00:00:00"/>
    <d v="2026-03-11T00:00:00"/>
    <s v="TOTAL PARTY RENTAL"/>
    <s v="7999"/>
    <s v="  Events "/>
    <n v="213.76"/>
    <s v="Corporate Amex"/>
    <m/>
    <s v="Y"/>
    <s v="Events"/>
    <s v="MATCH"/>
    <x v="2"/>
  </r>
  <r>
    <s v="EXP101261"/>
    <s v="E138"/>
    <s v="AX449457219"/>
    <d v="2026-03-07T00:00:00"/>
    <d v="2026-03-12T00:00:00"/>
    <s v="HYATT REGENCY BOS"/>
    <s v="7011"/>
    <s v="Lodging"/>
    <n v="263.73"/>
    <s v="Corporate Amex"/>
    <m/>
    <s v="Y"/>
    <s v="Lodging"/>
    <s v="MATCH"/>
    <x v="7"/>
  </r>
  <r>
    <s v="EXP101262"/>
    <s v="E112"/>
    <s v="AX857894681"/>
    <d v="2026-03-12T00:00:00"/>
    <d v="2026-03-12T00:00:00"/>
    <s v="SOUTHWEST AIR 5261823"/>
    <s v="4511"/>
    <s v="Travel"/>
    <n v="353.4"/>
    <s v="Corporate Amex"/>
    <m/>
    <s v="Y"/>
    <s v="Travel"/>
    <s v="MATCH"/>
    <x v="2"/>
  </r>
  <r>
    <s v="EXP101263"/>
    <s v="E040"/>
    <s v="ax598865744"/>
    <d v="2026-03-03T00:00:00"/>
    <d v="2026-03-12T00:00:00"/>
    <s v="SOUTHWEST AIR 5261823"/>
    <s v="4511"/>
    <s v="Travel"/>
    <n v="375.92"/>
    <s v="Corporate Amex"/>
    <m/>
    <s v="Y"/>
    <s v="Travel"/>
    <s v="MATCH"/>
    <x v="0"/>
  </r>
  <r>
    <s v="EXP101264"/>
    <s v="E019"/>
    <s v="ax626729891"/>
    <d v="2026-03-09T00:00:00"/>
    <d v="2026-03-12T00:00:00"/>
    <s v="AMC THEATRES 0021"/>
    <s v="7832"/>
    <s v="Entertainment"/>
    <n v="43.68"/>
    <s v="Corporate Amex"/>
    <m/>
    <s v="Y"/>
    <s v="Entertainment"/>
    <s v="MATCH"/>
    <x v="0"/>
  </r>
  <r>
    <s v="EXP101265"/>
    <s v="E057"/>
    <m/>
    <d v="2026-03-12T00:00:00"/>
    <d v="2026-03-12T00:00:00"/>
    <s v="REGION CATERING CO"/>
    <s v="5811"/>
    <s v="Events"/>
    <n v="549.87"/>
    <s v="Corporate Amex"/>
    <m/>
    <s v="N"/>
    <s v="Events"/>
    <s v="MATCH"/>
    <x v="0"/>
  </r>
  <r>
    <s v="EXP101266"/>
    <s v="E005"/>
    <s v="AX247764716"/>
    <d v="2026-03-07T00:00:00"/>
    <d v="2026-03-12T00:00:00"/>
    <s v="LYFT RIDE THU"/>
    <s v="4121"/>
    <s v="Transportation"/>
    <n v="52.94"/>
    <s v="Corporate Amex"/>
    <m/>
    <s v="Y"/>
    <s v="Transportation"/>
    <s v="MATCH"/>
    <x v="0"/>
  </r>
  <r>
    <s v="EXP101267"/>
    <s v="E239"/>
    <m/>
    <d v="2026-03-08T00:00:00"/>
    <d v="2026-03-12T00:00:00"/>
    <s v="CHIPOTLE 2214"/>
    <s v="5812"/>
    <s v="Meals"/>
    <n v="12.27"/>
    <s v="Corporate Amex"/>
    <m/>
    <s v="Y"/>
    <s v="Meals"/>
    <s v="MATCH"/>
    <x v="1"/>
  </r>
  <r>
    <s v="EXP101268"/>
    <s v="E271"/>
    <s v="ax973795075"/>
    <d v="2026-03-04T00:00:00"/>
    <d v="2026-03-12T00:00:00"/>
    <s v="HYATT REGENCY BOS"/>
    <s v="7011"/>
    <s v="Lodging"/>
    <n v="277.64"/>
    <s v="Corporate Amex"/>
    <m/>
    <s v="Y"/>
    <s v="Lodging"/>
    <s v="MATCH"/>
    <x v="3"/>
  </r>
  <r>
    <s v="EXP101269"/>
    <s v="E027"/>
    <s v="AX-279832281"/>
    <d v="2026-03-04T00:00:00"/>
    <d v="2026-03-12T00:00:00"/>
    <s v="SQ *THE CORNER BISTRO"/>
    <s v="5812"/>
    <s v="Meals"/>
    <n v="22.3"/>
    <s v="Corporate Amex"/>
    <m/>
    <s v="Y"/>
    <s v="Meals"/>
    <s v="MATCH"/>
    <x v="0"/>
  </r>
  <r>
    <s v="EXP101270"/>
    <s v="E210"/>
    <s v="AX-984667068"/>
    <d v="2026-03-08T00:00:00"/>
    <d v="2026-03-12T00:00:00"/>
    <s v="HILTON GARDEN INN 2231"/>
    <s v="7011"/>
    <s v="Lodging"/>
    <n v="176.33"/>
    <s v="Corporate Amex"/>
    <m/>
    <s v="Y"/>
    <s v="Lodging"/>
    <s v="MATCH"/>
    <x v="4"/>
  </r>
  <r>
    <s v="EXP101271"/>
    <s v="E254"/>
    <s v="AX 514200357"/>
    <d v="2026-03-07T00:00:00"/>
    <d v="2026-03-12T00:00:00"/>
    <s v="STARBUCKS #4471"/>
    <s v="5812"/>
    <s v="Meals"/>
    <n v="16.25"/>
    <s v="Corporate Amex"/>
    <m/>
    <s v="Y"/>
    <s v="Meals"/>
    <s v="MATCH"/>
    <x v="8"/>
  </r>
  <r>
    <s v="EXP101272"/>
    <s v="E254"/>
    <m/>
    <d v="2026-03-11T00:00:00"/>
    <d v="2026-03-12T00:00:00"/>
    <s v=" PANERA BREAD #0231"/>
    <s v="5812"/>
    <s v="Meals"/>
    <n v="21.09"/>
    <s v="Corporate Amex"/>
    <m/>
    <s v="Y"/>
    <s v="Meals"/>
    <s v="MATCH"/>
    <x v="8"/>
  </r>
  <r>
    <s v="EXP101273"/>
    <s v="E008"/>
    <s v="AX456995013"/>
    <d v="2026-03-12T00:00:00"/>
    <d v="2026-03-12T00:00:00"/>
    <s v="LYFT RIDE THU"/>
    <s v="4121"/>
    <s v="Transportation"/>
    <n v="46.84"/>
    <s v="Corporate Amex"/>
    <m/>
    <s v="Y"/>
    <s v="Transportation"/>
    <s v="MATCH"/>
    <x v="0"/>
  </r>
  <r>
    <s v="EXP101274"/>
    <s v="E039"/>
    <m/>
    <d v="2026-03-11T00:00:00"/>
    <d v="2026-03-12T00:00:00"/>
    <s v="AMC THEATRES 0021"/>
    <s v="7832"/>
    <s v="Entertainment"/>
    <n v="43.32"/>
    <s v="Corporate Amex"/>
    <m/>
    <s v="Y"/>
    <s v="Entertainment"/>
    <s v="MATCH"/>
    <x v="0"/>
  </r>
  <r>
    <s v="EXP101275"/>
    <s v="E129"/>
    <s v="AX795165068"/>
    <d v="2026-03-12T00:00:00"/>
    <d v="2026-03-12T00:00:00"/>
    <s v="REGION CATERING CO"/>
    <s v="5811"/>
    <s v="Events"/>
    <n v="616.45000000000005"/>
    <s v="Corporate Amex"/>
    <m/>
    <s v="Y"/>
    <s v="Events"/>
    <s v="MATCH"/>
    <x v="7"/>
  </r>
  <r>
    <s v="EXP101276"/>
    <s v="E252"/>
    <s v="AX343492431"/>
    <d v="2026-03-08T00:00:00"/>
    <d v="2026-03-12T00:00:00"/>
    <s v="ADOBE *CREATIVE CLOUD"/>
    <s v="5734"/>
    <s v="Software"/>
    <n v="61.88"/>
    <s v="Corporate Amex"/>
    <m/>
    <s v="Y"/>
    <s v="Software"/>
    <s v="MATCH"/>
    <x v="1"/>
  </r>
  <r>
    <s v="EXP101277"/>
    <s v="E020"/>
    <s v="AX600026627"/>
    <d v="2026-03-07T00:00:00"/>
    <d v="2026-03-12T00:00:00"/>
    <s v="REGION CATERING CO"/>
    <s v="5811"/>
    <s v="  Events "/>
    <n v="244.93"/>
    <s v="Corporate Amex"/>
    <m/>
    <s v="Y"/>
    <s v="Events"/>
    <s v="MATCH"/>
    <x v="0"/>
  </r>
  <r>
    <s v="EXP101278"/>
    <s v="E055"/>
    <m/>
    <d v="2026-03-10T00:00:00"/>
    <d v="2026-03-12T00:00:00"/>
    <s v="SQ *THE CORNER BISTRO"/>
    <s v="5812"/>
    <s v="Meals"/>
    <n v="66.819999999999993"/>
    <s v="Corporate Amex"/>
    <m/>
    <s v="Y"/>
    <s v="Meals"/>
    <s v="MATCH"/>
    <x v="0"/>
  </r>
  <r>
    <s v="EXP101280"/>
    <s v="E175"/>
    <s v="ax751548521"/>
    <d v="2026-03-10T00:00:00"/>
    <d v="2026-03-12T00:00:00"/>
    <s v="ZOOM.US"/>
    <s v="5734"/>
    <s v="Software"/>
    <n v="24.97"/>
    <s v="Corporate Amex"/>
    <m/>
    <s v="Y"/>
    <s v="Software"/>
    <s v="MATCH"/>
    <x v="6"/>
  </r>
  <r>
    <s v="EXP101281"/>
    <s v="E047"/>
    <s v="AX935913176"/>
    <d v="2026-03-04T00:00:00"/>
    <d v="2026-03-12T00:00:00"/>
    <s v="TOTAL PARTY RENTAL"/>
    <s v="7999"/>
    <s v="Events"/>
    <n v="153.47999999999999"/>
    <s v="Corporate Amex"/>
    <m/>
    <s v="Y"/>
    <s v="Events"/>
    <s v="MATCH"/>
    <x v="0"/>
  </r>
  <r>
    <s v="EXP101282"/>
    <s v="E150"/>
    <m/>
    <d v="2026-03-10T00:00:00"/>
    <d v="2026-03-12T00:00:00"/>
    <s v="HYATT REGENCY BOS"/>
    <s v="7011"/>
    <s v="Lodging"/>
    <n v="314.73"/>
    <s v="Personal (Reimbursement)"/>
    <s v="Amex declined - vendor doesn't accept Amex"/>
    <s v="Y"/>
    <s v="Lodging"/>
    <s v="MATCH"/>
    <x v="7"/>
  </r>
  <r>
    <s v="EXP101283"/>
    <s v="E082"/>
    <s v="ax398958681"/>
    <d v="2026-03-08T00:00:00"/>
    <d v="2026-03-13T00:00:00"/>
    <s v="HILTON GARDEN INN 2231"/>
    <s v="7011"/>
    <s v="Lodging"/>
    <n v="221.99"/>
    <s v="Corporate Amex"/>
    <m/>
    <s v="N"/>
    <s v="Lodging"/>
    <s v="MATCH"/>
    <x v="2"/>
  </r>
  <r>
    <s v="EXP101284"/>
    <s v="E070"/>
    <s v="AX336138812"/>
    <d v="2026-03-13T00:00:00"/>
    <d v="2026-03-13T00:00:00"/>
    <s v="SPROUT SOCIAL"/>
    <s v="5734"/>
    <s v="Software"/>
    <n v="123.41"/>
    <s v="Corporate Amex"/>
    <m/>
    <s v="Y"/>
    <s v="Software"/>
    <s v="MATCH"/>
    <x v="0"/>
  </r>
  <r>
    <s v="EXP101285"/>
    <s v="E224"/>
    <s v="AX713518389"/>
    <d v="2026-03-10T00:00:00"/>
    <d v="2026-03-13T00:00:00"/>
    <s v="STARBUCKS #4471"/>
    <s v="5812"/>
    <s v="Meals"/>
    <n v="16.420000000000002"/>
    <s v="Corporate Amex"/>
    <m/>
    <s v="Y"/>
    <s v="Meals"/>
    <s v="MATCH"/>
    <x v="4"/>
  </r>
  <r>
    <s v="EXP101286"/>
    <s v="E264"/>
    <m/>
    <d v="2026-03-11T00:00:00"/>
    <d v="2026-03-13T00:00:00"/>
    <s v="SQ *THE CORNER BISTRO"/>
    <s v="5812"/>
    <s v="Meals"/>
    <n v="79.33"/>
    <s v="Corporate Amex"/>
    <m/>
    <s v="Y"/>
    <s v="Meals"/>
    <s v="MATCH"/>
    <x v="3"/>
  </r>
  <r>
    <s v="EXP101287"/>
    <s v="E142"/>
    <s v="AX718729859"/>
    <d v="2026-03-09T00:00:00"/>
    <d v="2026-03-13T00:00:00"/>
    <s v="SQ *THE CORNER BISTRO"/>
    <s v="5812"/>
    <s v="Meals"/>
    <n v="39.770000000000003"/>
    <s v="Corporate Amex"/>
    <m/>
    <s v="Y"/>
    <s v="Meals"/>
    <s v="MATCH"/>
    <x v="7"/>
  </r>
  <r>
    <s v="EXP101288"/>
    <s v="E143"/>
    <s v="AX994602049"/>
    <d v="2026-03-11T00:00:00"/>
    <d v="2026-03-13T00:00:00"/>
    <s v="ZOOM.US"/>
    <s v="5734"/>
    <s v="Software"/>
    <n v="17.97"/>
    <s v="Corporate Amex"/>
    <m/>
    <s v="Y"/>
    <s v="Software"/>
    <s v="MATCH"/>
    <x v="7"/>
  </r>
  <r>
    <s v="EXP101289"/>
    <s v="E174"/>
    <s v="AX590679824"/>
    <d v="2026-03-11T00:00:00"/>
    <d v="2026-03-13T00:00:00"/>
    <s v="TOTAL PARTY RENTAL"/>
    <s v="7999"/>
    <s v="Events"/>
    <n v="260.3"/>
    <s v="Corporate Amex"/>
    <m/>
    <s v="Y"/>
    <s v="Events"/>
    <s v="MATCH"/>
    <x v="6"/>
  </r>
  <r>
    <s v="EXP101290"/>
    <s v="E095"/>
    <s v="AX-640441497"/>
    <d v="2026-03-06T00:00:00"/>
    <d v="2026-03-13T00:00:00"/>
    <s v="TOTAL PARTY RENTAL"/>
    <s v="7999"/>
    <s v="Events"/>
    <n v="541.76"/>
    <s v="Corporate Amex"/>
    <m/>
    <s v="Y"/>
    <s v="Events"/>
    <s v="MATCH"/>
    <x v="2"/>
  </r>
  <r>
    <s v="EXP101291"/>
    <s v="E027"/>
    <s v="AX-944399162"/>
    <d v="2026-03-11T00:00:00"/>
    <d v="2026-03-13T00:00:00"/>
    <s v="YELLOW CAB CO"/>
    <s v="4121"/>
    <s v="Transportation"/>
    <n v="47.76"/>
    <s v="Corporate Amex"/>
    <m/>
    <s v="N"/>
    <s v="Transportation"/>
    <s v="MATCH"/>
    <x v="0"/>
  </r>
  <r>
    <s v="EXP101292"/>
    <s v="E154"/>
    <s v="AX-509662764"/>
    <d v="2026-03-03T00:00:00"/>
    <d v="2026-03-13T00:00:00"/>
    <s v="HYATT REGENCY BOS"/>
    <s v="7011"/>
    <s v="Lodging"/>
    <n v="415.09"/>
    <s v="Corporate Amex"/>
    <m/>
    <s v="Y"/>
    <s v="Lodging"/>
    <s v="MATCH"/>
    <x v="6"/>
  </r>
  <r>
    <s v="EXP101293"/>
    <s v="E053"/>
    <s v="ax913191923"/>
    <d v="2026-03-12T00:00:00"/>
    <d v="2026-03-13T00:00:00"/>
    <s v="MARRIOTT #4471"/>
    <s v="7011"/>
    <s v="Lodging"/>
    <n v="224.58"/>
    <s v="Corporate Amex"/>
    <m/>
    <s v="Y"/>
    <s v="Lodging"/>
    <s v="MATCH"/>
    <x v="0"/>
  </r>
  <r>
    <s v="EXP101294"/>
    <s v="E057"/>
    <s v="AX614103131"/>
    <d v="2026-03-07T00:00:00"/>
    <d v="2026-03-13T00:00:00"/>
    <s v="BRANDWATCH LTD"/>
    <s v="5734"/>
    <s v="Software"/>
    <n v="359.2"/>
    <s v="Corporate Amex"/>
    <m/>
    <s v="Y"/>
    <s v="Software"/>
    <s v="MATCH"/>
    <x v="0"/>
  </r>
  <r>
    <s v="EXP101295"/>
    <s v="E128"/>
    <s v="AX677051057"/>
    <d v="2026-03-13T00:00:00"/>
    <d v="2026-03-13T00:00:00"/>
    <s v="DELTA AIR 00623891045"/>
    <s v="4511"/>
    <s v="Travel"/>
    <n v="250.81"/>
    <s v="Corporate Amex"/>
    <m/>
    <s v="Y"/>
    <s v="Travel"/>
    <s v="MATCH"/>
    <x v="7"/>
  </r>
  <r>
    <s v="EXP101296"/>
    <s v="E059"/>
    <s v="AX177081397"/>
    <d v="2026-03-03T00:00:00"/>
    <d v="2026-03-13T00:00:00"/>
    <s v="STAPLES #0231"/>
    <s v="5943"/>
    <s v="Office Supplies"/>
    <n v="97.65"/>
    <s v="Corporate Amex"/>
    <m/>
    <s v="Y"/>
    <s v="Office Supplies"/>
    <s v="MATCH"/>
    <x v="0"/>
  </r>
  <r>
    <s v="EXP101297"/>
    <s v="E050"/>
    <s v="AX-621379105"/>
    <d v="2026-03-03T00:00:00"/>
    <d v="2026-03-13T00:00:00"/>
    <s v="ZOOM.US"/>
    <s v="5734"/>
    <s v="Software"/>
    <n v="18.690000000000001"/>
    <s v="Corporate Amex"/>
    <m/>
    <s v="Y"/>
    <s v="Software"/>
    <s v="MATCH"/>
    <x v="0"/>
  </r>
  <r>
    <s v="EXP101298"/>
    <s v="E275"/>
    <m/>
    <d v="2026-03-13T00:00:00"/>
    <d v="2026-03-13T00:00:00"/>
    <s v="MICROSOFT*365"/>
    <s v="5734"/>
    <s v="Software"/>
    <n v="29.64"/>
    <s v="Corporate Amex"/>
    <m/>
    <s v="Y"/>
    <s v="Software"/>
    <s v="MATCH"/>
    <x v="3"/>
  </r>
  <r>
    <s v="EXP101299"/>
    <s v="E033"/>
    <s v="AX-588370685"/>
    <d v="2026-03-08T00:00:00"/>
    <d v="2026-03-13T00:00:00"/>
    <s v="TOTAL PARTY RENTAL"/>
    <s v="7999"/>
    <s v="Events"/>
    <n v="314.39"/>
    <s v="Corporate Amex"/>
    <m/>
    <s v="Y"/>
    <s v="Events"/>
    <s v="MATCH"/>
    <x v="0"/>
  </r>
  <r>
    <s v="EXP101300"/>
    <s v="E008"/>
    <m/>
    <d v="2026-03-08T00:00:00"/>
    <d v="2026-03-13T00:00:00"/>
    <s v="AMAZON MKTPLACE PMTS"/>
    <s v="5942"/>
    <s v="Office Supplies"/>
    <n v="312.55"/>
    <s v="Corporate Amex"/>
    <m/>
    <s v="Y"/>
    <s v="Office Supplies"/>
    <s v="MATCH"/>
    <x v="0"/>
  </r>
  <r>
    <s v="EXP101301"/>
    <s v="E004"/>
    <s v="ax732476581"/>
    <d v="2026-03-05T00:00:00"/>
    <d v="2026-03-13T00:00:00"/>
    <s v="DELTA AIR 00623891045"/>
    <s v="4511"/>
    <s v="Travel"/>
    <n v="585.84"/>
    <s v="Corporate Amex"/>
    <m/>
    <s v="Y"/>
    <s v="Travel"/>
    <s v="MATCH"/>
    <x v="0"/>
  </r>
  <r>
    <s v="EXP101302"/>
    <s v="E001"/>
    <s v="ax828373014"/>
    <d v="2026-03-07T00:00:00"/>
    <d v="2026-03-13T00:00:00"/>
    <s v="LYFT RIDE THU"/>
    <s v="4121"/>
    <s v="Transportation"/>
    <n v="53.5"/>
    <s v="Corporate Amex"/>
    <m/>
    <s v="Y"/>
    <s v="Transportation"/>
    <s v="MATCH"/>
    <x v="0"/>
  </r>
  <r>
    <s v="EXP101303"/>
    <s v="E254"/>
    <m/>
    <d v="2026-03-03T00:00:00"/>
    <d v="2026-03-13T00:00:00"/>
    <s v="BRANDWATCH LTD"/>
    <s v="5734"/>
    <s v="Software"/>
    <n v="535.41"/>
    <s v="Corporate Amex"/>
    <m/>
    <s v="Y"/>
    <s v="Software"/>
    <s v="MATCH"/>
    <x v="8"/>
  </r>
  <r>
    <s v="EXP101304"/>
    <s v="E069"/>
    <s v="AX416731679"/>
    <d v="2026-03-05T00:00:00"/>
    <d v="2026-03-13T00:00:00"/>
    <s v="MARRIOTT #4471"/>
    <s v="7011"/>
    <s v="Lodging"/>
    <n v="321.33999999999997"/>
    <s v="Corporate Amex"/>
    <m/>
    <s v="Y"/>
    <s v="Lodging"/>
    <s v="MATCH"/>
    <x v="0"/>
  </r>
  <r>
    <s v="EXP101305"/>
    <s v="E069"/>
    <s v="AX175921068"/>
    <d v="2026-03-13T00:00:00"/>
    <d v="2026-03-13T00:00:00"/>
    <s v="ADOBE *CREATIVE CLOUD"/>
    <s v="5734"/>
    <s v="Software"/>
    <n v="30.49"/>
    <s v="Corporate Amex"/>
    <m/>
    <s v="Y"/>
    <s v="Software"/>
    <s v="MATCH"/>
    <x v="0"/>
  </r>
  <r>
    <s v="EXP101306"/>
    <s v="E206"/>
    <s v="AX239065346"/>
    <d v="2026-03-03T00:00:00"/>
    <d v="2026-03-13T00:00:00"/>
    <s v="DELTA AIR 00623891045"/>
    <s v="4511"/>
    <s v="Entertainment"/>
    <n v="331.51"/>
    <s v="Corporate Amex"/>
    <m/>
    <s v="Y"/>
    <s v="Travel"/>
    <s v="MISMATCH"/>
    <x v="5"/>
  </r>
  <r>
    <s v="EXP101307"/>
    <s v="E062"/>
    <s v="AX548213890"/>
    <d v="2026-03-09T00:00:00"/>
    <d v="2026-03-14T00:00:00"/>
    <s v="TOTAL PARTY RENTAL"/>
    <s v="7999"/>
    <m/>
    <n v="542.16999999999996"/>
    <s v="Corporate Amex"/>
    <m/>
    <s v="Y"/>
    <s v="Events"/>
    <s v="BLANK"/>
    <x v="0"/>
  </r>
  <r>
    <s v="EXP101308"/>
    <s v="E127"/>
    <s v="AX892231403"/>
    <d v="2026-03-05T00:00:00"/>
    <d v="2026-03-14T00:00:00"/>
    <s v="STARBUCKS #4471"/>
    <s v="5812"/>
    <s v="Meals"/>
    <n v="14.37"/>
    <s v="Corporate Amex"/>
    <m/>
    <s v="Y"/>
    <s v="Meals"/>
    <s v="MATCH"/>
    <x v="7"/>
  </r>
  <r>
    <s v="EXP101309"/>
    <s v="E058"/>
    <s v="AX 951608767"/>
    <d v="2026-03-10T00:00:00"/>
    <d v="2026-03-14T00:00:00"/>
    <s v="STAPLES #0231"/>
    <s v="5943"/>
    <s v="Office Supplies"/>
    <n v="40.840000000000003"/>
    <s v="Corporate Amex"/>
    <m/>
    <s v="N"/>
    <s v="Office Supplies"/>
    <s v="MATCH"/>
    <x v="0"/>
  </r>
  <r>
    <s v="EXP101310"/>
    <s v="E113"/>
    <m/>
    <d v="2026-03-11T00:00:00"/>
    <d v="2026-03-14T00:00:00"/>
    <s v="AMC THEATRES 0021"/>
    <s v="7832"/>
    <s v="Entertainment"/>
    <n v="39.590000000000003"/>
    <s v="Personal (Reimbursement)"/>
    <s v="Forgot corporate card"/>
    <s v="Y"/>
    <s v="Entertainment"/>
    <s v="MATCH"/>
    <x v="2"/>
  </r>
  <r>
    <s v="EXP101311"/>
    <s v="E035"/>
    <s v="AX309795343"/>
    <d v="2026-03-13T00:00:00"/>
    <d v="2026-03-14T00:00:00"/>
    <s v="YELLOW CAB CO"/>
    <s v="4121"/>
    <s v="Transportation"/>
    <n v="30.1"/>
    <s v="Corporate Amex"/>
    <m/>
    <s v="Y"/>
    <s v="Transportation"/>
    <s v="MATCH"/>
    <x v="0"/>
  </r>
  <r>
    <s v="EXP101312"/>
    <s v="E035"/>
    <s v="AX398391163"/>
    <d v="2026-03-07T00:00:00"/>
    <d v="2026-03-14T00:00:00"/>
    <s v="AMAZON MKTPLACE PMTS"/>
    <s v="5942"/>
    <s v="Office Supplies"/>
    <n v="79.56"/>
    <s v="Corporate Amex"/>
    <m/>
    <s v="Y"/>
    <s v="Office Supplies"/>
    <s v="MATCH"/>
    <x v="0"/>
  </r>
  <r>
    <s v="EXP101313"/>
    <s v="E093"/>
    <s v="AX 199803432"/>
    <d v="2026-03-11T00:00:00"/>
    <d v="2026-03-14T00:00:00"/>
    <s v="TOTAL PARTY RENTAL"/>
    <s v="7999"/>
    <s v="Events"/>
    <n v="438.89"/>
    <s v="Corporate Amex"/>
    <m/>
    <s v="Y"/>
    <s v="Events"/>
    <s v="MATCH"/>
    <x v="2"/>
  </r>
  <r>
    <s v="EXP101314"/>
    <s v="E063"/>
    <s v="AX356011183"/>
    <d v="2026-03-06T00:00:00"/>
    <d v="2026-03-14T00:00:00"/>
    <s v="TOTAL PARTY RENTAL"/>
    <s v="7999"/>
    <s v="Events"/>
    <n v="282.04000000000002"/>
    <s v="Corporate Amex"/>
    <m/>
    <s v="Y"/>
    <s v="Events"/>
    <s v="MATCH"/>
    <x v="0"/>
  </r>
  <r>
    <s v="EXP101315"/>
    <s v="E029"/>
    <m/>
    <d v="2026-03-05T00:00:00"/>
    <d v="2026-03-14T00:00:00"/>
    <s v="AMC THEATRES 0021"/>
    <s v="7832"/>
    <s v="Entertainment"/>
    <n v="21.88"/>
    <s v="Personal (Reimbursement)"/>
    <s v="Forgot corporate card"/>
    <s v="Y"/>
    <s v="Entertainment"/>
    <s v="MATCH"/>
    <x v="0"/>
  </r>
  <r>
    <s v="EXP101316"/>
    <s v="E032"/>
    <s v="AX852596664"/>
    <d v="2026-03-07T00:00:00"/>
    <d v="2026-03-14T00:00:00"/>
    <s v="SOUTHWEST AIR 5261823"/>
    <s v="4511"/>
    <s v="Travel"/>
    <n v="244.76"/>
    <s v="Corporate Amex"/>
    <m/>
    <s v="Y"/>
    <s v="Travel"/>
    <s v="MATCH"/>
    <x v="0"/>
  </r>
  <r>
    <s v="EXP101317"/>
    <s v="E150"/>
    <s v="ax607927358"/>
    <d v="2026-03-04T00:00:00"/>
    <d v="2026-03-14T00:00:00"/>
    <s v="AMC THEATRES 0021"/>
    <s v="7832"/>
    <s v="Entertainment"/>
    <n v="39.76"/>
    <s v="Corporate Amex"/>
    <m/>
    <s v="Y"/>
    <s v="Entertainment"/>
    <s v="MATCH"/>
    <x v="7"/>
  </r>
  <r>
    <s v="EXP101318"/>
    <s v="E216"/>
    <s v="AX532700112"/>
    <d v="2026-03-13T00:00:00"/>
    <d v="2026-03-14T00:00:00"/>
    <s v="UNITED AIRLINES 0162233"/>
    <s v="4511"/>
    <s v="Travel"/>
    <n v="357.37"/>
    <s v="Corporate Amex"/>
    <m/>
    <s v="N"/>
    <s v="Travel"/>
    <s v="MATCH"/>
    <x v="4"/>
  </r>
  <r>
    <s v="EXP101319"/>
    <s v="E184"/>
    <s v="ax503991755"/>
    <d v="2026-03-10T00:00:00"/>
    <d v="2026-03-14T00:00:00"/>
    <s v="DELTA AIR 00623891045"/>
    <s v="4511"/>
    <s v="Travel"/>
    <n v="385.57"/>
    <s v="Corporate Amex"/>
    <m/>
    <s v="Y"/>
    <s v="Travel"/>
    <s v="MATCH"/>
    <x v="5"/>
  </r>
  <r>
    <s v="EXP101320"/>
    <s v="E141"/>
    <s v="ax298021341"/>
    <d v="2026-03-12T00:00:00"/>
    <d v="2026-03-14T00:00:00"/>
    <s v="AMAZON MKTPLACE PMTS"/>
    <s v="5942"/>
    <s v="Office Supplies"/>
    <n v="103.59"/>
    <s v="Corporate Amex"/>
    <m/>
    <s v="Y"/>
    <s v="Office Supplies"/>
    <s v="MATCH"/>
    <x v="7"/>
  </r>
  <r>
    <s v="EXP101321"/>
    <s v="E189"/>
    <s v="AX-907546761"/>
    <d v="2026-03-10T00:00:00"/>
    <d v="2026-03-14T00:00:00"/>
    <s v="EVENTBRITE"/>
    <s v="7999"/>
    <s v="Events"/>
    <n v="132.59"/>
    <s v="Corporate Amex"/>
    <m/>
    <s v="Y"/>
    <s v="Events"/>
    <s v="MATCH"/>
    <x v="5"/>
  </r>
  <r>
    <s v="EXP101322"/>
    <s v="E125"/>
    <s v="AX995952173"/>
    <d v="2026-03-12T00:00:00"/>
    <d v="2026-03-14T00:00:00"/>
    <s v="TOPGOLF #442"/>
    <s v="7997"/>
    <s v="  Entertainment "/>
    <n v="144.85"/>
    <s v="Corporate Amex"/>
    <m/>
    <s v="N"/>
    <s v="Entertainment"/>
    <s v="MATCH"/>
    <x v="7"/>
  </r>
  <r>
    <s v="EXP101323"/>
    <s v="E057"/>
    <s v="AX511269439"/>
    <d v="2026-03-10T00:00:00"/>
    <d v="2026-03-14T00:00:00"/>
    <s v="EVENTBRITE"/>
    <s v="7999"/>
    <s v="Events"/>
    <n v="166"/>
    <s v="Corporate Amex"/>
    <m/>
    <s v="N"/>
    <s v="Events"/>
    <s v="MATCH"/>
    <x v="0"/>
  </r>
  <r>
    <s v="EXP101324"/>
    <s v="E038"/>
    <s v="AX499062313"/>
    <d v="2026-03-14T00:00:00"/>
    <d v="2026-03-14T00:00:00"/>
    <s v="HILTON GARDEN INN 2231"/>
    <s v="7011"/>
    <s v="Lodging"/>
    <n v="233.05"/>
    <s v="Corporate Amex"/>
    <m/>
    <s v="Y"/>
    <s v="Lodging"/>
    <s v="MATCH"/>
    <x v="0"/>
  </r>
  <r>
    <s v="EXP101325"/>
    <s v="E084"/>
    <m/>
    <d v="2026-03-13T00:00:00"/>
    <d v="2026-03-14T00:00:00"/>
    <s v="ZOOM.US"/>
    <s v="5734"/>
    <s v="Software"/>
    <n v="18.91"/>
    <s v="Personal (Reimbursement)"/>
    <s v="Forgot corporate card"/>
    <s v="Y"/>
    <s v="Software"/>
    <s v="MATCH"/>
    <x v="2"/>
  </r>
  <r>
    <s v="EXP101326"/>
    <s v="E007"/>
    <s v="AX-170659454"/>
    <d v="2026-03-14T00:00:00"/>
    <d v="2026-03-14T00:00:00"/>
    <s v="YELLOW CAB CO"/>
    <s v="4121"/>
    <m/>
    <n v="35.82"/>
    <s v="Corporate Amex"/>
    <m/>
    <s v="Y"/>
    <s v="Transportation"/>
    <s v="BLANK"/>
    <x v="0"/>
  </r>
  <r>
    <s v="EXP101327"/>
    <s v="E269"/>
    <s v="ax275953086"/>
    <d v="2026-03-12T00:00:00"/>
    <d v="2026-03-14T00:00:00"/>
    <s v="ADOBE *CREATIVE CLOUD"/>
    <s v="5734"/>
    <s v="Software"/>
    <n v="44.98"/>
    <s v="Corporate Amex"/>
    <m/>
    <s v="Y"/>
    <s v="Software"/>
    <s v="MATCH"/>
    <x v="3"/>
  </r>
  <r>
    <s v="EXP101328"/>
    <s v="E064"/>
    <s v="AX688926551"/>
    <d v="2026-03-12T00:00:00"/>
    <d v="2026-03-14T00:00:00"/>
    <s v="STAPLES #0231"/>
    <s v="5943"/>
    <s v="Office Supplies"/>
    <n v="21.42"/>
    <s v="Corporate Amex"/>
    <m/>
    <s v="Y"/>
    <s v="Office Supplies"/>
    <s v="MATCH"/>
    <x v="0"/>
  </r>
  <r>
    <s v="EXP101329"/>
    <s v="E027"/>
    <s v="AX833823323"/>
    <d v="2026-03-08T00:00:00"/>
    <d v="2026-03-15T00:00:00"/>
    <s v="REGION CATERING CO"/>
    <s v="5811"/>
    <s v="Events"/>
    <n v="118.86"/>
    <s v="Corporate Amex"/>
    <m/>
    <s v="Y"/>
    <s v="Events"/>
    <s v="MATCH"/>
    <x v="0"/>
  </r>
  <r>
    <s v="EXP101330"/>
    <s v="E027"/>
    <s v="AX546834903"/>
    <d v="2026-03-08T00:00:00"/>
    <d v="2026-03-15T00:00:00"/>
    <s v="SPROUT SOCIAL"/>
    <s v="5734"/>
    <s v="Software"/>
    <n v="181.73"/>
    <s v="Corporate Amex"/>
    <m/>
    <s v="Y"/>
    <s v="Software"/>
    <s v="MATCH"/>
    <x v="0"/>
  </r>
  <r>
    <s v="EXP101331"/>
    <s v="E026"/>
    <s v="AX 184666314"/>
    <d v="2026-03-09T00:00:00"/>
    <d v="2026-03-15T00:00:00"/>
    <s v="AMAZON MKTPLACE PMTS"/>
    <s v="5942"/>
    <s v="Office Supplies"/>
    <n v="203.62"/>
    <s v="Corporate Amex"/>
    <m/>
    <s v="N"/>
    <s v="Office Supplies"/>
    <s v="MATCH"/>
    <x v="0"/>
  </r>
  <r>
    <s v="EXP101332"/>
    <s v="E011"/>
    <s v="AX142829498"/>
    <d v="2026-03-11T00:00:00"/>
    <d v="2026-03-15T00:00:00"/>
    <s v="SQ *JOES COFFEE"/>
    <s v="5812"/>
    <s v="  Meals "/>
    <n v="9.15"/>
    <s v="Corporate Amex"/>
    <m/>
    <s v="Y"/>
    <s v="Meals"/>
    <s v="MATCH"/>
    <x v="0"/>
  </r>
  <r>
    <s v="EXP101333"/>
    <s v="E143"/>
    <s v="AX506052622"/>
    <d v="2026-03-15T00:00:00"/>
    <d v="2026-03-15T00:00:00"/>
    <s v="STAPLES #0231"/>
    <s v="5943"/>
    <s v="Office Supplies"/>
    <n v="17.72"/>
    <s v="Corporate Amex"/>
    <m/>
    <s v="Y"/>
    <s v="Office Supplies"/>
    <s v="MATCH"/>
    <x v="7"/>
  </r>
  <r>
    <s v="EXP101334"/>
    <s v="E010"/>
    <s v="AX308776067"/>
    <d v="2026-03-15T00:00:00"/>
    <d v="2026-03-15T00:00:00"/>
    <s v="MICROSOFT*365"/>
    <s v="5734"/>
    <s v="Software"/>
    <n v="58.74"/>
    <s v="Corporate Amex"/>
    <m/>
    <s v="N"/>
    <s v="Software"/>
    <s v="MATCH"/>
    <x v="0"/>
  </r>
  <r>
    <s v="EXP101335"/>
    <s v="E275"/>
    <m/>
    <d v="2026-03-07T00:00:00"/>
    <d v="2026-03-15T00:00:00"/>
    <s v="TOPGOLF #442"/>
    <s v="7997"/>
    <s v="Entertainment"/>
    <n v="196.81"/>
    <s v="Corporate Amex"/>
    <m/>
    <s v="Y"/>
    <s v="Entertainment"/>
    <s v="MATCH"/>
    <x v="3"/>
  </r>
  <r>
    <s v="EXP101336"/>
    <s v="E275"/>
    <s v="AX163937364"/>
    <d v="2026-03-13T00:00:00"/>
    <d v="2026-03-15T00:00:00"/>
    <s v="MARRIOTT #4471"/>
    <s v="7011"/>
    <s v="Lodging"/>
    <n v="360.46"/>
    <s v="Corporate Amex"/>
    <m/>
    <s v="Y"/>
    <s v="Lodging"/>
    <s v="MATCH"/>
    <x v="3"/>
  </r>
  <r>
    <s v="EXP101337"/>
    <s v="E051"/>
    <s v="AX-309285224"/>
    <d v="2026-03-05T00:00:00"/>
    <d v="2026-03-15T00:00:00"/>
    <s v="HILTON GARDEN INN 2231"/>
    <s v="7011"/>
    <s v="Lodging"/>
    <n v="206.26"/>
    <s v="Corporate Amex"/>
    <m/>
    <s v="Y"/>
    <s v="Lodging"/>
    <s v="MATCH"/>
    <x v="0"/>
  </r>
  <r>
    <s v="EXP101338"/>
    <s v="E258"/>
    <s v="AX931080754"/>
    <d v="2026-03-10T00:00:00"/>
    <d v="2026-03-15T00:00:00"/>
    <s v="LYFT RIDE THU"/>
    <s v="4121"/>
    <s v="Transportation"/>
    <n v="41.67"/>
    <s v="Corporate Amex"/>
    <m/>
    <s v="Y"/>
    <s v="Transportation"/>
    <s v="MATCH"/>
    <x v="8"/>
  </r>
  <r>
    <s v="EXP101339"/>
    <s v="E257"/>
    <s v="AX961101401"/>
    <d v="2026-03-14T00:00:00"/>
    <d v="2026-03-15T00:00:00"/>
    <s v="SQ *THE CORNER BISTRO"/>
    <s v="5812"/>
    <s v="  Meals "/>
    <n v="52.37"/>
    <s v="Corporate Amex"/>
    <m/>
    <s v="Y"/>
    <s v="Meals"/>
    <s v="MATCH"/>
    <x v="8"/>
  </r>
  <r>
    <s v="EXP101340"/>
    <s v="E054"/>
    <s v="AX423232778"/>
    <d v="2026-03-08T00:00:00"/>
    <d v="2026-03-15T00:00:00"/>
    <s v="YELLOW CAB CO"/>
    <s v="4121"/>
    <s v="Transportation"/>
    <n v="39.700000000000003"/>
    <s v="Corporate Amex"/>
    <m/>
    <s v="Y"/>
    <s v="Transportation"/>
    <s v="MATCH"/>
    <x v="0"/>
  </r>
  <r>
    <s v="EXP101341"/>
    <s v="E057"/>
    <s v="AX623728058"/>
    <d v="2026-03-12T00:00:00"/>
    <d v="2026-03-15T00:00:00"/>
    <s v="TOPGOLF #442"/>
    <s v="7997"/>
    <s v="Entertainment"/>
    <n v="228.5"/>
    <s v="Corporate Amex"/>
    <m/>
    <s v="Y"/>
    <s v="Entertainment"/>
    <s v="MATCH"/>
    <x v="0"/>
  </r>
  <r>
    <s v="EXP101342"/>
    <s v="E029"/>
    <s v="ax238516458"/>
    <d v="2026-03-13T00:00:00"/>
    <d v="2026-03-15T00:00:00"/>
    <s v="SQ *THE CORNER BISTRO"/>
    <s v="5812"/>
    <s v="Meals"/>
    <n v="54.55"/>
    <s v="Corporate Amex"/>
    <m/>
    <s v="Y"/>
    <s v="Meals"/>
    <s v="MATCH"/>
    <x v="0"/>
  </r>
  <r>
    <s v="EXP101343"/>
    <s v="E003"/>
    <s v="ax194270035"/>
    <d v="2026-03-09T00:00:00"/>
    <d v="2026-03-15T00:00:00"/>
    <s v="TOTAL PARTY RENTAL"/>
    <s v="7999"/>
    <s v="Events"/>
    <n v="176.47"/>
    <s v="Corporate Amex"/>
    <m/>
    <s v="N"/>
    <s v="Events"/>
    <s v="MATCH"/>
    <x v="0"/>
  </r>
  <r>
    <s v="EXP101344"/>
    <s v="E121"/>
    <s v="AX737775276"/>
    <d v="2026-03-06T00:00:00"/>
    <d v="2026-03-15T00:00:00"/>
    <s v="YELLOW CAB CO"/>
    <s v="4121"/>
    <m/>
    <n v="44.53"/>
    <s v="Corporate Amex"/>
    <m/>
    <s v="Y"/>
    <s v="Transportation"/>
    <s v="BLANK"/>
    <x v="7"/>
  </r>
  <r>
    <s v="EXP101345"/>
    <s v="E207"/>
    <s v="AX-985682850"/>
    <d v="2026-03-11T00:00:00"/>
    <d v="2026-03-16T00:00:00"/>
    <s v="MARRIOTT #4471"/>
    <s v="7011"/>
    <s v="Lodging"/>
    <n v="206.39"/>
    <s v="Corporate Amex"/>
    <m/>
    <s v="Y"/>
    <s v="Lodging"/>
    <s v="MATCH"/>
    <x v="5"/>
  </r>
  <r>
    <s v="EXP101346"/>
    <s v="E048"/>
    <s v="AX-594675691"/>
    <d v="2026-03-11T00:00:00"/>
    <d v="2026-03-16T00:00:00"/>
    <s v="MARRIOTT #4471"/>
    <s v="7011"/>
    <s v="Lodging"/>
    <n v="340.01"/>
    <s v="Corporate Amex"/>
    <m/>
    <s v="Y"/>
    <s v="Lodging"/>
    <s v="MATCH"/>
    <x v="0"/>
  </r>
  <r>
    <s v="EXP101347"/>
    <s v="E035"/>
    <s v="AX-168288715"/>
    <d v="2026-03-08T00:00:00"/>
    <d v="2026-03-16T00:00:00"/>
    <s v="SQ *JOES COFFEE"/>
    <s v="5812"/>
    <s v="Meals"/>
    <n v="15.49"/>
    <s v="Corporate Amex"/>
    <m/>
    <s v="Y"/>
    <s v="Meals"/>
    <s v="MATCH"/>
    <x v="0"/>
  </r>
  <r>
    <s v="EXP101348"/>
    <s v="E068"/>
    <s v="AX330190314"/>
    <d v="2026-03-11T00:00:00"/>
    <d v="2026-03-16T00:00:00"/>
    <s v="UBER TRIP HELP.UBER"/>
    <s v="4121"/>
    <s v="Transportation"/>
    <n v="13.53"/>
    <s v="Corporate Amex"/>
    <m/>
    <s v="Y"/>
    <s v="Transportation"/>
    <s v="MATCH"/>
    <x v="0"/>
  </r>
  <r>
    <s v="EXP101349"/>
    <s v="E020"/>
    <s v="AX715108909"/>
    <d v="2026-03-07T00:00:00"/>
    <d v="2026-03-16T00:00:00"/>
    <s v="TOPGOLF #442"/>
    <s v="7997"/>
    <s v="Entertainment"/>
    <n v="130.4"/>
    <s v="Corporate Amex"/>
    <m/>
    <s v="Y"/>
    <s v="Entertainment"/>
    <s v="MATCH"/>
    <x v="0"/>
  </r>
  <r>
    <s v="EXP101350"/>
    <s v="E026"/>
    <m/>
    <d v="2026-03-11T00:00:00"/>
    <d v="2026-03-16T00:00:00"/>
    <s v="DELTA AIR 00623891045"/>
    <s v="4511"/>
    <s v="Travel"/>
    <n v="558.63"/>
    <s v="Personal (Reimbursement)"/>
    <s v="Forgot corporate card"/>
    <s v="Y"/>
    <s v="Travel"/>
    <s v="MATCH"/>
    <x v="0"/>
  </r>
  <r>
    <s v="EXP101351"/>
    <s v="E267"/>
    <s v="AX880257787"/>
    <d v="2026-03-16T00:00:00"/>
    <d v="2026-03-16T00:00:00"/>
    <s v="UNITED AIRLINES 0162233"/>
    <s v="4511"/>
    <s v="Travel"/>
    <n v="528.64"/>
    <s v="Corporate Amex"/>
    <m/>
    <s v="Y"/>
    <s v="Travel"/>
    <s v="MATCH"/>
    <x v="3"/>
  </r>
  <r>
    <s v="EXP101352"/>
    <s v="E030"/>
    <s v="AX261721882"/>
    <d v="2026-03-10T00:00:00"/>
    <d v="2026-03-16T00:00:00"/>
    <s v="STAPLES #0231"/>
    <s v="5943"/>
    <s v="Office Supplies"/>
    <n v="43.11"/>
    <s v="Corporate Amex"/>
    <m/>
    <s v="Y"/>
    <s v="Office Supplies"/>
    <s v="MATCH"/>
    <x v="0"/>
  </r>
  <r>
    <s v="EXP101353"/>
    <s v="E023"/>
    <s v="AX754630235"/>
    <d v="2026-03-14T00:00:00"/>
    <d v="2026-03-16T00:00:00"/>
    <s v="STARBUCKS #4471"/>
    <s v="5812"/>
    <s v="Meals"/>
    <n v="15.89"/>
    <s v="Corporate Amex"/>
    <m/>
    <s v="Y"/>
    <s v="Meals"/>
    <s v="MATCH"/>
    <x v="0"/>
  </r>
  <r>
    <s v="EXP101354"/>
    <s v="E075"/>
    <s v="ax915433770"/>
    <d v="2026-03-06T00:00:00"/>
    <d v="2026-03-16T00:00:00"/>
    <s v="TOPGOLF #442"/>
    <s v="7997"/>
    <s v="Entertainment"/>
    <n v="166.5"/>
    <s v="Corporate Amex"/>
    <m/>
    <s v="N"/>
    <s v="Entertainment"/>
    <s v="MATCH"/>
    <x v="2"/>
  </r>
  <r>
    <s v="EXP101355"/>
    <s v="E139"/>
    <s v="AX290930873"/>
    <d v="2026-03-16T00:00:00"/>
    <d v="2026-03-16T00:00:00"/>
    <s v="MICROSOFT*365"/>
    <s v="5734"/>
    <s v="Software"/>
    <n v="45.76"/>
    <s v="Corporate Amex"/>
    <m/>
    <s v="Y"/>
    <s v="Software"/>
    <s v="MATCH"/>
    <x v="7"/>
  </r>
  <r>
    <s v="EXP101356"/>
    <s v="E127"/>
    <s v="AX 362310327"/>
    <d v="2026-03-15T00:00:00"/>
    <d v="2026-03-16T00:00:00"/>
    <s v="OLIVE GARDEN 00456"/>
    <s v="5812"/>
    <s v="Meals"/>
    <n v="131.08000000000001"/>
    <s v="Corporate Amex"/>
    <m/>
    <s v="N"/>
    <s v="Meals"/>
    <s v="MATCH"/>
    <x v="7"/>
  </r>
  <r>
    <s v="EXP101357"/>
    <s v="E123"/>
    <s v="AX-208596226"/>
    <d v="2026-03-07T00:00:00"/>
    <d v="2026-03-16T00:00:00"/>
    <s v="EVENTBRITE"/>
    <s v="7999"/>
    <m/>
    <n v="235.58"/>
    <s v="Corporate Amex"/>
    <m/>
    <s v="Y"/>
    <s v="Events"/>
    <s v="BLANK"/>
    <x v="7"/>
  </r>
  <r>
    <s v="EXP101358"/>
    <s v="E094"/>
    <s v="AX849435769"/>
    <d v="2026-03-07T00:00:00"/>
    <d v="2026-03-16T00:00:00"/>
    <s v="UNITED AIRLINES 0162233"/>
    <s v="4511"/>
    <s v="Travel"/>
    <n v="674.43"/>
    <s v="Corporate Amex"/>
    <m/>
    <s v="Y"/>
    <s v="Travel"/>
    <s v="MATCH"/>
    <x v="2"/>
  </r>
  <r>
    <s v="EXP101359"/>
    <s v="E250"/>
    <s v="AX 406595403"/>
    <d v="2026-03-13T00:00:00"/>
    <d v="2026-03-16T00:00:00"/>
    <s v="TOTAL PARTY RENTAL"/>
    <s v="7999"/>
    <s v="Events"/>
    <n v="286.32"/>
    <s v="Corporate Amex"/>
    <m/>
    <s v="N"/>
    <s v="Events"/>
    <s v="MATCH"/>
    <x v="1"/>
  </r>
  <r>
    <s v="EXP101360"/>
    <s v="E067"/>
    <s v="AX 464024795"/>
    <d v="2026-03-10T00:00:00"/>
    <d v="2026-03-16T00:00:00"/>
    <s v="YELLOW CAB CO"/>
    <s v="4121"/>
    <s v="Transportation"/>
    <n v="37.43"/>
    <s v="Corporate Amex"/>
    <m/>
    <s v="N"/>
    <s v="Transportation"/>
    <s v="MATCH"/>
    <x v="0"/>
  </r>
  <r>
    <s v="EXP101361"/>
    <s v="E152"/>
    <s v="AX732039020"/>
    <d v="2026-03-09T00:00:00"/>
    <d v="2026-03-16T00:00:00"/>
    <s v="UNITED AIRLINES 0162233"/>
    <s v="4511"/>
    <s v="Travel"/>
    <n v="532.25"/>
    <s v="Corporate Amex"/>
    <m/>
    <s v="Y"/>
    <s v="Travel"/>
    <s v="MATCH"/>
    <x v="6"/>
  </r>
  <r>
    <s v="EXP101362"/>
    <s v="E008"/>
    <s v="AX129580096"/>
    <d v="2026-03-08T00:00:00"/>
    <d v="2026-03-16T00:00:00"/>
    <s v="ZOOM.US"/>
    <s v="5734"/>
    <s v="Software"/>
    <n v="33.229999999999997"/>
    <s v="Corporate Amex"/>
    <m/>
    <s v="Y"/>
    <s v="Software"/>
    <s v="MATCH"/>
    <x v="0"/>
  </r>
  <r>
    <s v="EXP101363"/>
    <s v="E032"/>
    <s v="AX-939786721"/>
    <d v="2026-03-10T00:00:00"/>
    <d v="2026-03-16T00:00:00"/>
    <s v="SQ *JOES COFFEE"/>
    <s v="5812"/>
    <s v="Meals"/>
    <n v="14.48"/>
    <s v="Corporate Amex"/>
    <m/>
    <s v="Y"/>
    <s v="Meals"/>
    <s v="MATCH"/>
    <x v="0"/>
  </r>
  <r>
    <s v="EXP101364"/>
    <s v="E022"/>
    <m/>
    <d v="2026-03-13T00:00:00"/>
    <d v="2026-03-16T00:00:00"/>
    <s v="HOOTSUITE INC"/>
    <s v="5734"/>
    <s v="Software"/>
    <n v="78.42"/>
    <s v="Personal (Reimbursement)"/>
    <s v="Card not yet issued"/>
    <s v="Y"/>
    <s v="Software"/>
    <s v="MATCH"/>
    <x v="0"/>
  </r>
  <r>
    <s v="EXP101365"/>
    <s v="E003"/>
    <s v="AX791564592"/>
    <d v="2026-03-09T00:00:00"/>
    <d v="2026-03-16T00:00:00"/>
    <s v="SQ *JOES COFFEE"/>
    <s v="5812"/>
    <s v="Meals"/>
    <n v="24.17"/>
    <s v="Corporate Amex"/>
    <m/>
    <s v="Y"/>
    <s v="Meals"/>
    <s v="MATCH"/>
    <x v="0"/>
  </r>
  <r>
    <s v="EXP101366"/>
    <s v="E063"/>
    <s v="AX197379723"/>
    <d v="2026-03-15T00:00:00"/>
    <d v="2026-03-17T00:00:00"/>
    <s v="MICROSOFT*365"/>
    <s v="5734"/>
    <s v="Software"/>
    <n v="40.130000000000003"/>
    <s v="Corporate Amex"/>
    <m/>
    <s v="Y"/>
    <s v="Software"/>
    <s v="MATCH"/>
    <x v="0"/>
  </r>
  <r>
    <s v="EXP101367"/>
    <s v="E195"/>
    <s v="ax714592745"/>
    <d v="2026-03-12T00:00:00"/>
    <d v="2026-03-17T00:00:00"/>
    <s v="AMAZON MKTPLACE PMTS"/>
    <s v="5942"/>
    <s v="Office Supplies"/>
    <n v="413.83"/>
    <s v="Corporate Amex"/>
    <m/>
    <s v="Y"/>
    <s v="Office Supplies"/>
    <s v="MATCH"/>
    <x v="5"/>
  </r>
  <r>
    <s v="EXP101368"/>
    <s v="E133"/>
    <s v="AX363639283"/>
    <d v="2026-03-17T00:00:00"/>
    <d v="2026-03-17T00:00:00"/>
    <s v="YELLOW CAB CO"/>
    <s v="4121"/>
    <s v="Transportation"/>
    <n v="24.54"/>
    <s v="Corporate Amex"/>
    <m/>
    <s v="N"/>
    <s v="Transportation"/>
    <s v="MATCH"/>
    <x v="7"/>
  </r>
  <r>
    <s v="EXP101369"/>
    <s v="E226"/>
    <s v="AX894459184"/>
    <d v="2026-03-13T00:00:00"/>
    <d v="2026-03-17T00:00:00"/>
    <s v="HOOTSUITE INC"/>
    <s v="5734"/>
    <s v="Software"/>
    <n v="70.260000000000005"/>
    <s v="Corporate Amex"/>
    <m/>
    <s v="Y"/>
    <s v="Software"/>
    <s v="MATCH"/>
    <x v="4"/>
  </r>
  <r>
    <s v="EXP101370"/>
    <s v="E060"/>
    <s v="AX 659550013"/>
    <d v="2026-03-10T00:00:00"/>
    <d v="2026-03-17T00:00:00"/>
    <s v="SOUTHWEST AIR 5261823"/>
    <s v="4511"/>
    <s v="Travel"/>
    <n v="396.02"/>
    <s v="Corporate Amex"/>
    <m/>
    <s v="Y"/>
    <s v="Travel"/>
    <s v="MATCH"/>
    <x v="0"/>
  </r>
  <r>
    <s v="EXP101371"/>
    <s v="E196"/>
    <s v="AX-961054947"/>
    <d v="2026-03-15T00:00:00"/>
    <d v="2026-03-17T00:00:00"/>
    <s v="TOTAL PARTY RENTAL"/>
    <s v="7999"/>
    <s v="Events"/>
    <n v="79.42"/>
    <s v="Corporate Amex"/>
    <m/>
    <s v="Y"/>
    <s v="Events"/>
    <s v="MATCH"/>
    <x v="5"/>
  </r>
  <r>
    <s v="EXP101372"/>
    <s v="E050"/>
    <s v="ax461958791"/>
    <d v="2026-03-12T00:00:00"/>
    <d v="2026-03-17T00:00:00"/>
    <s v="AMC THEATRES 0021"/>
    <s v="7832"/>
    <s v="Entertainment"/>
    <n v="30.9"/>
    <s v="Corporate Amex"/>
    <m/>
    <s v="Y"/>
    <s v="Entertainment"/>
    <s v="MATCH"/>
    <x v="0"/>
  </r>
  <r>
    <s v="EXP101373"/>
    <s v="E050"/>
    <s v="AX867970226"/>
    <d v="2026-03-15T00:00:00"/>
    <d v="2026-03-17T00:00:00"/>
    <s v="LYFT RIDE THU"/>
    <s v="4121"/>
    <s v="Transportation"/>
    <n v="45.2"/>
    <s v="Corporate Amex"/>
    <m/>
    <s v="Y"/>
    <s v="Transportation"/>
    <s v="MATCH"/>
    <x v="0"/>
  </r>
  <r>
    <s v="EXP101374"/>
    <s v="E017"/>
    <s v="ax410817778"/>
    <d v="2026-03-09T00:00:00"/>
    <d v="2026-03-17T00:00:00"/>
    <s v="YELLOW CAB CO"/>
    <s v="4121"/>
    <s v="  Transportation "/>
    <n v="25.64"/>
    <s v="Corporate Amex"/>
    <m/>
    <s v="Y"/>
    <s v="Transportation"/>
    <s v="MATCH"/>
    <x v="0"/>
  </r>
  <r>
    <s v="EXP101375"/>
    <s v="E006"/>
    <m/>
    <d v="2026-03-07T00:00:00"/>
    <d v="2026-03-17T00:00:00"/>
    <s v="YELLOW CAB CO"/>
    <s v="4121"/>
    <s v="Transportation"/>
    <n v="26.99"/>
    <s v="Personal (Reimbursement)"/>
    <s v="International merchant - Amex not accepted"/>
    <s v="Y"/>
    <s v="Transportation"/>
    <s v="MATCH"/>
    <x v="0"/>
  </r>
  <r>
    <s v="EXP101376"/>
    <s v="E254"/>
    <s v="AX205148950"/>
    <d v="2026-03-09T00:00:00"/>
    <d v="2026-03-17T00:00:00"/>
    <s v="UBER TRIP HELP.UBER"/>
    <s v="4121"/>
    <s v="Transportation"/>
    <n v="27.49"/>
    <s v="Corporate Amex"/>
    <m/>
    <s v="Y"/>
    <s v="Transportation"/>
    <s v="MATCH"/>
    <x v="8"/>
  </r>
  <r>
    <s v="EXP101377"/>
    <s v="E114"/>
    <s v="AX369709931"/>
    <d v="2026-03-11T00:00:00"/>
    <d v="2026-03-17T00:00:00"/>
    <s v="SPROUT SOCIAL"/>
    <s v="5734"/>
    <s v="Software"/>
    <n v="123.34"/>
    <s v="Corporate Amex"/>
    <m/>
    <s v="Y"/>
    <s v="Software"/>
    <s v="MATCH"/>
    <x v="2"/>
  </r>
  <r>
    <s v="EXP101378"/>
    <s v="E026"/>
    <s v="AX-878707261"/>
    <d v="2026-03-16T00:00:00"/>
    <d v="2026-03-17T00:00:00"/>
    <s v="TOTAL PARTY RENTAL"/>
    <s v="7999"/>
    <s v="Events"/>
    <n v="439.41"/>
    <s v="Corporate Amex"/>
    <m/>
    <s v="N"/>
    <s v="Events"/>
    <s v="MATCH"/>
    <x v="0"/>
  </r>
  <r>
    <s v="EXP101379"/>
    <s v="E068"/>
    <s v="AX697542851"/>
    <d v="2026-03-16T00:00:00"/>
    <d v="2026-03-17T00:00:00"/>
    <s v="AMAZON MKTPLACE PMTS"/>
    <s v="5942"/>
    <s v="Office Supplies"/>
    <n v="213.13"/>
    <s v="Corporate Amex"/>
    <m/>
    <s v="Y"/>
    <s v="Office Supplies"/>
    <s v="MATCH"/>
    <x v="0"/>
  </r>
  <r>
    <s v="EXP101380"/>
    <s v="E055"/>
    <s v="AX653170934"/>
    <d v="2026-03-07T00:00:00"/>
    <d v="2026-03-17T00:00:00"/>
    <s v="PANERA BREAD #0231"/>
    <s v="5812"/>
    <s v="Meals"/>
    <n v="14.55"/>
    <s v="Corporate Amex"/>
    <m/>
    <s v="Y"/>
    <s v="Meals"/>
    <s v="MATCH"/>
    <x v="0"/>
  </r>
  <r>
    <s v="EXP101381"/>
    <s v="E053"/>
    <s v="AX361778786"/>
    <d v="2026-03-14T00:00:00"/>
    <d v="2026-03-18T00:00:00"/>
    <s v="ZOOM.US"/>
    <s v="5734"/>
    <s v="Software"/>
    <n v="56.09"/>
    <s v="Corporate Amex"/>
    <m/>
    <s v="Y"/>
    <s v="Software"/>
    <s v="MATCH"/>
    <x v="0"/>
  </r>
  <r>
    <s v="EXP101382"/>
    <s v="E268"/>
    <s v="AX332801161"/>
    <d v="2026-03-14T00:00:00"/>
    <d v="2026-03-18T00:00:00"/>
    <s v="SOUTHWEST AIR 5261823"/>
    <s v="4511"/>
    <s v="Travel"/>
    <n v="374.21"/>
    <s v="Corporate Amex"/>
    <m/>
    <s v="Y"/>
    <s v="Travel"/>
    <s v="MATCH"/>
    <x v="3"/>
  </r>
  <r>
    <s v="EXP101383"/>
    <s v="E065"/>
    <m/>
    <d v="2026-03-18T00:00:00"/>
    <d v="2026-03-18T00:00:00"/>
    <s v="REGION CATERING CO"/>
    <s v="5811"/>
    <s v="Entertainment"/>
    <n v="530.91999999999996"/>
    <s v="Personal (Reimbursement)"/>
    <s v="Amex declined - vendor doesn't accept Amex"/>
    <s v="Y"/>
    <s v="Events"/>
    <s v="MISMATCH"/>
    <x v="0"/>
  </r>
  <r>
    <s v="EXP101384"/>
    <s v="E140"/>
    <m/>
    <d v="2026-03-16T00:00:00"/>
    <d v="2026-03-18T00:00:00"/>
    <s v="EVENTBRITE"/>
    <s v="7999"/>
    <s v="Events"/>
    <n v="148.82"/>
    <s v="Corporate Amex"/>
    <m/>
    <s v="N"/>
    <s v="Events"/>
    <s v="MATCH"/>
    <x v="7"/>
  </r>
  <r>
    <s v="EXP101385"/>
    <s v="E058"/>
    <s v="AX727566885"/>
    <d v="2026-03-12T00:00:00"/>
    <d v="2026-03-18T00:00:00"/>
    <s v="EVENTBRITE"/>
    <s v="7999"/>
    <m/>
    <n v="166.57"/>
    <s v="Corporate Amex"/>
    <m/>
    <s v="Y"/>
    <s v="Events"/>
    <s v="BLANK"/>
    <x v="0"/>
  </r>
  <r>
    <s v="EXP101386"/>
    <s v="E022"/>
    <m/>
    <d v="2026-03-17T00:00:00"/>
    <d v="2026-03-18T00:00:00"/>
    <s v="PANERA BREAD #0231"/>
    <s v="5812"/>
    <s v="Meals"/>
    <n v="18.09"/>
    <s v="Personal (Reimbursement)"/>
    <s v="Card not yet issued"/>
    <s v="Y"/>
    <s v="Meals"/>
    <s v="MATCH"/>
    <x v="0"/>
  </r>
  <r>
    <s v="EXP101387"/>
    <s v="E055"/>
    <s v="AX-968962996"/>
    <d v="2026-03-18T00:00:00"/>
    <d v="2026-03-18T00:00:00"/>
    <s v="SOUTHWEST AIR 5261823"/>
    <s v="4511"/>
    <s v="Travel"/>
    <n v="141.61000000000001"/>
    <s v="Corporate Amex"/>
    <m/>
    <s v="Y"/>
    <s v="Travel"/>
    <s v="MATCH"/>
    <x v="0"/>
  </r>
  <r>
    <s v="EXP101388"/>
    <s v="E260"/>
    <s v="AX697049769"/>
    <d v="2026-03-10T00:00:00"/>
    <d v="2026-03-18T00:00:00"/>
    <s v="PANERA BREAD #0231"/>
    <s v="5812"/>
    <s v="Meals"/>
    <n v="12.55"/>
    <s v="Corporate Amex"/>
    <m/>
    <s v="Y"/>
    <s v="Meals"/>
    <s v="MATCH"/>
    <x v="8"/>
  </r>
  <r>
    <s v="EXP101389"/>
    <s v="E073"/>
    <m/>
    <d v="2026-03-17T00:00:00"/>
    <d v="2026-03-18T00:00:00"/>
    <s v="YELLOW CAB CO"/>
    <s v="4121"/>
    <s v="Transportation"/>
    <n v="57.6"/>
    <s v="Personal (Reimbursement)"/>
    <s v="Amex declined - vendor doesn't accept Amex"/>
    <s v="Y"/>
    <s v="Transportation"/>
    <s v="MATCH"/>
    <x v="2"/>
  </r>
  <r>
    <s v="EXP101390"/>
    <s v="E057"/>
    <s v="AX-498937685"/>
    <d v="2026-03-09T00:00:00"/>
    <d v="2026-03-18T00:00:00"/>
    <s v="SQ *THE CORNER BISTRO"/>
    <s v="5812"/>
    <m/>
    <n v="75.75"/>
    <s v="Corporate Amex"/>
    <m/>
    <s v="N"/>
    <s v="Meals"/>
    <s v="BLANK"/>
    <x v="0"/>
  </r>
  <r>
    <s v="EXP101391"/>
    <s v="E035"/>
    <s v="ax975974847"/>
    <d v="2026-03-18T00:00:00"/>
    <d v="2026-03-18T00:00:00"/>
    <s v="SOUTHWEST AIR 5261823"/>
    <s v="4511"/>
    <s v="Travel"/>
    <n v="298.47000000000003"/>
    <s v="Corporate Amex"/>
    <m/>
    <s v="Y"/>
    <s v="Travel"/>
    <s v="MATCH"/>
    <x v="0"/>
  </r>
  <r>
    <s v="EXP101392"/>
    <s v="E031"/>
    <s v="AX-948568931"/>
    <d v="2026-03-15T00:00:00"/>
    <d v="2026-03-18T00:00:00"/>
    <s v="AMAZON MKTPLACE PMTS"/>
    <s v="5942"/>
    <s v="Lodging"/>
    <n v="36.840000000000003"/>
    <s v="Corporate Amex"/>
    <m/>
    <s v="Y"/>
    <s v="Office Supplies"/>
    <s v="MISMATCH"/>
    <x v="0"/>
  </r>
  <r>
    <s v="EXP101393"/>
    <s v="E034"/>
    <s v="ax499859594"/>
    <d v="2026-03-17T00:00:00"/>
    <d v="2026-03-18T00:00:00"/>
    <s v="SPROUT SOCIAL"/>
    <s v="5734"/>
    <m/>
    <n v="148.41999999999999"/>
    <s v="Corporate Amex"/>
    <m/>
    <s v="N"/>
    <s v="Software"/>
    <s v="BLANK"/>
    <x v="0"/>
  </r>
  <r>
    <s v="EXP101394"/>
    <s v="E015"/>
    <m/>
    <d v="2026-03-10T00:00:00"/>
    <d v="2026-03-18T00:00:00"/>
    <s v="HOOTSUITE INC"/>
    <s v="5734"/>
    <s v="Software"/>
    <n v="188.42"/>
    <s v="Personal (Reimbursement)"/>
    <s v="Amex declined - vendor doesn't accept Amex"/>
    <s v="Y"/>
    <s v="Software"/>
    <s v="MATCH"/>
    <x v="0"/>
  </r>
  <r>
    <s v="EXP101395"/>
    <s v="E015"/>
    <s v="AX895412985"/>
    <d v="2026-03-10T00:00:00"/>
    <d v="2026-03-18T00:00:00"/>
    <s v="EVENTBRITE"/>
    <s v="7999"/>
    <m/>
    <n v="108.17"/>
    <s v="Corporate Amex"/>
    <m/>
    <s v="Y"/>
    <s v="Events"/>
    <s v="BLANK"/>
    <x v="0"/>
  </r>
  <r>
    <s v="EXP101396"/>
    <s v="E219"/>
    <s v="AX129564895"/>
    <d v="2026-03-11T00:00:00"/>
    <d v="2026-03-19T00:00:00"/>
    <s v="SQ *JOES COFFEE"/>
    <s v="5812"/>
    <s v="Meals"/>
    <n v="15.18"/>
    <s v="Corporate Amex"/>
    <m/>
    <s v="Y"/>
    <s v="Meals"/>
    <s v="MATCH"/>
    <x v="4"/>
  </r>
  <r>
    <s v="EXP101397"/>
    <s v="E003"/>
    <s v="AX867596221"/>
    <d v="2026-03-13T00:00:00"/>
    <d v="2026-03-19T00:00:00"/>
    <s v="DELTA AIR 00623891045"/>
    <s v="4511"/>
    <s v="Travel"/>
    <n v="389.77"/>
    <s v="Corporate Amex"/>
    <m/>
    <s v="Y"/>
    <s v="Travel"/>
    <s v="MATCH"/>
    <x v="0"/>
  </r>
  <r>
    <s v="EXP101398"/>
    <s v="E263"/>
    <s v="AX 673018520"/>
    <d v="2026-03-17T00:00:00"/>
    <d v="2026-03-19T00:00:00"/>
    <s v="LYFT RIDE THU"/>
    <s v="4121"/>
    <s v="  Transportation "/>
    <n v="15.69"/>
    <s v="Corporate Amex"/>
    <m/>
    <s v="N"/>
    <s v="Transportation"/>
    <s v="MATCH"/>
    <x v="3"/>
  </r>
  <r>
    <s v="EXP101399"/>
    <s v="E009"/>
    <s v="ax631744537"/>
    <d v="2026-03-17T00:00:00"/>
    <d v="2026-03-19T00:00:00"/>
    <s v="LYFT RIDE THU"/>
    <s v="4121"/>
    <s v="Transportation"/>
    <n v="18.54"/>
    <s v="Corporate Amex"/>
    <m/>
    <s v="Y"/>
    <s v="Transportation"/>
    <s v="MATCH"/>
    <x v="0"/>
  </r>
  <r>
    <s v="EXP101400"/>
    <s v="E010"/>
    <s v="ax544931137"/>
    <d v="2026-03-15T00:00:00"/>
    <d v="2026-03-19T00:00:00"/>
    <s v=" SOUTHWEST AIR 5261823"/>
    <s v="4511"/>
    <s v="Travel"/>
    <n v="341.71"/>
    <s v="Corporate Amex"/>
    <m/>
    <s v="N"/>
    <s v="Travel"/>
    <s v="MATCH"/>
    <x v="0"/>
  </r>
  <r>
    <s v="EXP101401"/>
    <s v="E123"/>
    <m/>
    <d v="2026-03-13T00:00:00"/>
    <d v="2026-03-19T00:00:00"/>
    <s v="HOOTSUITE INC"/>
    <s v="5734"/>
    <s v="Software"/>
    <n v="220.89"/>
    <s v="Corporate Amex"/>
    <m/>
    <s v="Y"/>
    <s v="Software"/>
    <s v="MATCH"/>
    <x v="7"/>
  </r>
  <r>
    <s v="EXP101402"/>
    <s v="E095"/>
    <s v="AX-352918713"/>
    <d v="2026-03-12T00:00:00"/>
    <d v="2026-03-19T00:00:00"/>
    <s v="HILTON GARDEN INN 2231"/>
    <s v="7011"/>
    <s v="Lodging"/>
    <n v="208.93"/>
    <s v="Corporate Amex"/>
    <m/>
    <s v="Y"/>
    <s v="Lodging"/>
    <s v="MATCH"/>
    <x v="2"/>
  </r>
  <r>
    <s v="EXP101403"/>
    <s v="E041"/>
    <m/>
    <d v="2026-03-19T00:00:00"/>
    <d v="2026-03-19T00:00:00"/>
    <s v="UNITED AIRLINES 0162233"/>
    <s v="4511"/>
    <s v="Travel"/>
    <n v="580.41999999999996"/>
    <s v="Corporate Amex"/>
    <m/>
    <s v="Y"/>
    <s v="Travel"/>
    <s v="MATCH"/>
    <x v="0"/>
  </r>
  <r>
    <s v="EXP101404"/>
    <s v="E257"/>
    <m/>
    <d v="2026-03-18T00:00:00"/>
    <d v="2026-03-19T00:00:00"/>
    <s v="SPROUT SOCIAL"/>
    <s v="5734"/>
    <s v="Software"/>
    <n v="106.6"/>
    <s v="Personal (Reimbursement)"/>
    <s v="International merchant - Amex not accepted"/>
    <s v="Y"/>
    <s v="Software"/>
    <s v="MATCH"/>
    <x v="8"/>
  </r>
  <r>
    <s v="EXP101405"/>
    <s v="E139"/>
    <s v="AX908159650"/>
    <d v="2026-03-12T00:00:00"/>
    <d v="2026-03-19T00:00:00"/>
    <s v="STAPLES #0231"/>
    <s v="5943"/>
    <s v="Office Supplies"/>
    <n v="87.83"/>
    <s v="Corporate Amex"/>
    <m/>
    <s v="Y"/>
    <s v="Office Supplies"/>
    <s v="MATCH"/>
    <x v="7"/>
  </r>
  <r>
    <s v="EXP101406"/>
    <s v="E035"/>
    <s v="AX 529115264"/>
    <d v="2026-03-15T00:00:00"/>
    <d v="2026-03-19T00:00:00"/>
    <s v="AMAZON MKTPLACE PMTS"/>
    <s v="5942"/>
    <s v="Office Supplies"/>
    <n v="291.54000000000002"/>
    <s v="Corporate Amex"/>
    <m/>
    <s v="N"/>
    <s v="Office Supplies"/>
    <s v="MATCH"/>
    <x v="0"/>
  </r>
  <r>
    <s v="EXP101407"/>
    <s v="E044"/>
    <s v="AX917534391"/>
    <d v="2026-03-12T00:00:00"/>
    <d v="2026-03-19T00:00:00"/>
    <s v="HOOTSUITE INC"/>
    <s v="5734"/>
    <s v="Software"/>
    <n v="130.25"/>
    <s v="Corporate Amex"/>
    <m/>
    <s v="Y"/>
    <s v="Software"/>
    <s v="MATCH"/>
    <x v="0"/>
  </r>
  <r>
    <s v="EXP101408"/>
    <s v="E055"/>
    <m/>
    <d v="2026-03-14T00:00:00"/>
    <d v="2026-03-19T00:00:00"/>
    <s v="BRANDWATCH LTD"/>
    <s v="5734"/>
    <s v="Software"/>
    <n v="361.51"/>
    <s v="Corporate Amex"/>
    <m/>
    <s v="Y"/>
    <s v="Software"/>
    <s v="MATCH"/>
    <x v="0"/>
  </r>
  <r>
    <s v="EXP101409"/>
    <s v="E077"/>
    <s v="AX-444399885"/>
    <d v="2026-03-16T00:00:00"/>
    <d v="2026-03-19T00:00:00"/>
    <s v="OLIVE GARDEN 00456"/>
    <s v="5812"/>
    <s v="Meals"/>
    <n v="40.549999999999997"/>
    <s v="Corporate Amex"/>
    <m/>
    <s v="N"/>
    <s v="Meals"/>
    <s v="MATCH"/>
    <x v="2"/>
  </r>
  <r>
    <s v="EXP101410"/>
    <s v="E100"/>
    <s v="AX945818123"/>
    <d v="2026-03-09T00:00:00"/>
    <d v="2026-03-19T00:00:00"/>
    <s v="HYATT REGENCY BOS"/>
    <s v="7011"/>
    <s v="Transportation"/>
    <n v="251.46"/>
    <s v="Corporate Amex"/>
    <m/>
    <s v="Y"/>
    <s v="Lodging"/>
    <s v="MISMATCH"/>
    <x v="2"/>
  </r>
  <r>
    <s v="EXP101411"/>
    <s v="E068"/>
    <s v="AX-258279884"/>
    <d v="2026-03-10T00:00:00"/>
    <d v="2026-03-19T00:00:00"/>
    <s v="HOOTSUITE INC"/>
    <s v="5734"/>
    <s v="Software"/>
    <n v="200.99"/>
    <s v="Corporate Amex"/>
    <m/>
    <s v="Y"/>
    <s v="Software"/>
    <s v="MATCH"/>
    <x v="0"/>
  </r>
  <r>
    <s v="EXP101412"/>
    <s v="E096"/>
    <s v="AX 937251911"/>
    <d v="2026-03-16T00:00:00"/>
    <d v="2026-03-19T00:00:00"/>
    <s v="STAPLES #0231"/>
    <s v="5943"/>
    <s v="Office Supplies"/>
    <n v="68.81"/>
    <s v="Corporate Amex"/>
    <m/>
    <s v="Y"/>
    <s v="Office Supplies"/>
    <s v="MATCH"/>
    <x v="2"/>
  </r>
  <r>
    <s v="EXP101413"/>
    <s v="E031"/>
    <s v="AX259094454"/>
    <d v="2026-03-15T00:00:00"/>
    <d v="2026-03-19T00:00:00"/>
    <s v="TOPGOLF #442"/>
    <s v="7997"/>
    <s v="Entertainment"/>
    <n v="216.71"/>
    <s v="Corporate Amex"/>
    <m/>
    <s v="N"/>
    <s v="Entertainment"/>
    <s v="MATCH"/>
    <x v="0"/>
  </r>
  <r>
    <s v="EXP101414"/>
    <s v="E149"/>
    <s v="ax650909072"/>
    <d v="2026-03-17T00:00:00"/>
    <d v="2026-03-19T00:00:00"/>
    <s v="TOPGOLF #442"/>
    <s v="7997"/>
    <s v="Entertainment"/>
    <n v="163.89"/>
    <s v="Corporate Amex"/>
    <m/>
    <s v="Y"/>
    <s v="Entertainment"/>
    <s v="MATCH"/>
    <x v="7"/>
  </r>
  <r>
    <s v="EXP101415"/>
    <s v="E013"/>
    <s v="ax790607633"/>
    <d v="2026-03-11T00:00:00"/>
    <d v="2026-03-19T00:00:00"/>
    <s v="CHIPOTLE 2214"/>
    <s v="5812"/>
    <s v="Meals"/>
    <n v="11.76"/>
    <s v="Corporate Amex"/>
    <m/>
    <s v="Y"/>
    <s v="Meals"/>
    <s v="MATCH"/>
    <x v="0"/>
  </r>
  <r>
    <s v="EXP101416"/>
    <s v="E029"/>
    <s v="AX-426311671"/>
    <d v="2026-03-15T00:00:00"/>
    <d v="2026-03-19T00:00:00"/>
    <s v=" TOPGOLF #442"/>
    <s v="7997"/>
    <s v="Entertainment"/>
    <n v="186.5"/>
    <s v="Corporate Amex"/>
    <m/>
    <s v="Y"/>
    <s v="Entertainment"/>
    <s v="MATCH"/>
    <x v="0"/>
  </r>
  <r>
    <s v="EXP101417"/>
    <s v="E067"/>
    <s v="AX-874074124"/>
    <d v="2026-03-13T00:00:00"/>
    <d v="2026-03-19T00:00:00"/>
    <s v="SQ *THE CORNER BISTRO"/>
    <s v="5812"/>
    <s v="Meals"/>
    <n v="33.799999999999997"/>
    <s v="Corporate Amex"/>
    <m/>
    <s v="Y"/>
    <s v="Meals"/>
    <s v="MATCH"/>
    <x v="0"/>
  </r>
  <r>
    <s v="EXP101418"/>
    <s v="E186"/>
    <s v="AX132878937"/>
    <d v="2026-03-18T00:00:00"/>
    <d v="2026-03-19T00:00:00"/>
    <s v="LYFT RIDE THU"/>
    <s v="4121"/>
    <s v="Transportation"/>
    <n v="50.6"/>
    <s v="Corporate Amex"/>
    <m/>
    <s v="Y"/>
    <s v="Transportation"/>
    <s v="MATCH"/>
    <x v="5"/>
  </r>
  <r>
    <s v="EXP101419"/>
    <s v="E258"/>
    <s v="AX899513926"/>
    <d v="2026-03-11T00:00:00"/>
    <d v="2026-03-19T00:00:00"/>
    <s v="MARRIOTT #4471"/>
    <s v="7011"/>
    <s v="Lodging"/>
    <n v="388.85"/>
    <s v="Corporate Amex"/>
    <m/>
    <s v="Y"/>
    <s v="Lodging"/>
    <s v="MATCH"/>
    <x v="8"/>
  </r>
  <r>
    <s v="EXP101420"/>
    <s v="E045"/>
    <s v="ax252506387"/>
    <d v="2026-03-19T00:00:00"/>
    <d v="2026-03-19T00:00:00"/>
    <s v="UBER TRIP HELP.UBER"/>
    <s v="4121"/>
    <s v="Transportation"/>
    <n v="54.19"/>
    <s v="Corporate Amex"/>
    <m/>
    <s v="Y"/>
    <s v="Transportation"/>
    <s v="MATCH"/>
    <x v="0"/>
  </r>
  <r>
    <s v="EXP101421"/>
    <s v="E225"/>
    <s v="AX562330923"/>
    <d v="2026-03-17T00:00:00"/>
    <d v="2026-03-19T00:00:00"/>
    <s v="ZOOM.US"/>
    <s v="5734"/>
    <s v="Software"/>
    <n v="29.84"/>
    <s v="Corporate Amex"/>
    <m/>
    <s v="N"/>
    <s v="Software"/>
    <s v="MATCH"/>
    <x v="4"/>
  </r>
  <r>
    <s v="EXP101422"/>
    <s v="E024"/>
    <s v="AX 638117245"/>
    <d v="2026-03-10T00:00:00"/>
    <d v="2026-03-19T00:00:00"/>
    <s v="MICROSOFT*365"/>
    <s v="5734"/>
    <s v="Software"/>
    <n v="68.81"/>
    <s v="Corporate Amex"/>
    <m/>
    <s v="Y"/>
    <s v="Software"/>
    <s v="MATCH"/>
    <x v="0"/>
  </r>
  <r>
    <s v="EXP101423"/>
    <s v="E073"/>
    <s v="AX676552090"/>
    <d v="2026-03-18T00:00:00"/>
    <d v="2026-03-20T00:00:00"/>
    <s v="STARBUCKS #4471"/>
    <s v="5812"/>
    <s v="Meals"/>
    <n v="14.93"/>
    <s v="Corporate Amex"/>
    <m/>
    <s v="N"/>
    <s v="Meals"/>
    <s v="MATCH"/>
    <x v="2"/>
  </r>
  <r>
    <s v="EXP101424"/>
    <s v="E042"/>
    <s v="AX 488093331"/>
    <d v="2026-03-11T00:00:00"/>
    <d v="2026-03-20T00:00:00"/>
    <s v="HILTON GARDEN INN 2231"/>
    <s v="7011"/>
    <s v="Lodging"/>
    <n v="254.7"/>
    <s v="Corporate Amex"/>
    <m/>
    <s v="Y"/>
    <s v="Lodging"/>
    <s v="MATCH"/>
    <x v="0"/>
  </r>
  <r>
    <s v="EXP101425"/>
    <s v="E009"/>
    <s v="ax802762502"/>
    <d v="2026-03-11T00:00:00"/>
    <d v="2026-03-20T00:00:00"/>
    <s v="MARRIOTT #4471"/>
    <s v="7011"/>
    <s v="Lodging"/>
    <n v="215.17"/>
    <s v="Corporate Amex"/>
    <m/>
    <s v="Y"/>
    <s v="Lodging"/>
    <s v="MATCH"/>
    <x v="0"/>
  </r>
  <r>
    <s v="EXP101426"/>
    <s v="E138"/>
    <s v="AX 685272279"/>
    <d v="2026-03-11T00:00:00"/>
    <d v="2026-03-20T00:00:00"/>
    <s v="CHIPOTLE 2214"/>
    <s v="5812"/>
    <s v="Meals"/>
    <n v="12.52"/>
    <s v="Corporate Amex"/>
    <m/>
    <s v="Y"/>
    <s v="Meals"/>
    <s v="MATCH"/>
    <x v="7"/>
  </r>
  <r>
    <s v="EXP101427"/>
    <s v="E076"/>
    <s v="AX707477836"/>
    <d v="2026-03-16T00:00:00"/>
    <d v="2026-03-20T00:00:00"/>
    <s v="DELTA AIR 00623891045"/>
    <s v="4511"/>
    <s v="Travel"/>
    <n v="540.08000000000004"/>
    <s v="Corporate Amex"/>
    <m/>
    <s v="Y"/>
    <s v="Travel"/>
    <s v="MATCH"/>
    <x v="2"/>
  </r>
  <r>
    <s v="EXP101428"/>
    <s v="E022"/>
    <m/>
    <d v="2026-03-18T00:00:00"/>
    <d v="2026-03-20T00:00:00"/>
    <s v="AMC THEATRES 0021"/>
    <s v="7832"/>
    <s v="Entertainment"/>
    <n v="50.29"/>
    <s v="Personal (Reimbursement)"/>
    <s v="Card not yet issued"/>
    <s v="Y"/>
    <s v="Entertainment"/>
    <s v="MATCH"/>
    <x v="0"/>
  </r>
  <r>
    <s v="EXP101429"/>
    <s v="E049"/>
    <s v="AX271244429"/>
    <d v="2026-03-16T00:00:00"/>
    <d v="2026-03-20T00:00:00"/>
    <s v="STARBUCKS #4471"/>
    <s v="5812"/>
    <s v="Transportation"/>
    <n v="13.61"/>
    <s v="Corporate Amex"/>
    <m/>
    <s v="Y"/>
    <s v="Meals"/>
    <s v="MISMATCH"/>
    <x v="0"/>
  </r>
  <r>
    <s v="EXP101430"/>
    <s v="E083"/>
    <s v="AX151109564"/>
    <d v="2026-03-16T00:00:00"/>
    <d v="2026-03-20T00:00:00"/>
    <s v=" OLIVE GARDEN 00456"/>
    <s v="5812"/>
    <s v="Meals"/>
    <n v="101.2"/>
    <s v="Corporate Amex"/>
    <m/>
    <s v="Y"/>
    <s v="Meals"/>
    <s v="MATCH"/>
    <x v="2"/>
  </r>
  <r>
    <s v="EXP101431"/>
    <s v="E020"/>
    <s v="ax567980637"/>
    <d v="2026-03-13T00:00:00"/>
    <d v="2026-03-20T00:00:00"/>
    <s v="REGION CATERING CO"/>
    <s v="5811"/>
    <s v="Events"/>
    <n v="231.38"/>
    <s v="Corporate Amex"/>
    <m/>
    <s v="Y"/>
    <s v="Events"/>
    <s v="MATCH"/>
    <x v="0"/>
  </r>
  <r>
    <s v="EXP101432"/>
    <s v="E031"/>
    <s v="AX505686818"/>
    <d v="2026-03-12T00:00:00"/>
    <d v="2026-03-20T00:00:00"/>
    <s v="OLIVE GARDEN 00456"/>
    <s v="5812"/>
    <s v="Meals"/>
    <n v="111.55"/>
    <s v="Corporate Amex"/>
    <m/>
    <s v="Y"/>
    <s v="Meals"/>
    <s v="MATCH"/>
    <x v="0"/>
  </r>
  <r>
    <s v="EXP101433"/>
    <s v="E005"/>
    <s v="AX448355660"/>
    <d v="2026-03-13T00:00:00"/>
    <d v="2026-03-20T00:00:00"/>
    <s v="AMAZON MKTPLACE PMTS"/>
    <s v="5942"/>
    <s v="Office Supplies"/>
    <n v="452.88"/>
    <s v="Corporate Amex"/>
    <m/>
    <s v="Y"/>
    <s v="Office Supplies"/>
    <s v="MATCH"/>
    <x v="0"/>
  </r>
  <r>
    <s v="EXP101434"/>
    <s v="E025"/>
    <s v="AX 163588010"/>
    <d v="2026-03-17T00:00:00"/>
    <d v="2026-03-20T00:00:00"/>
    <s v="SOUTHWEST AIR 5261823"/>
    <s v="4511"/>
    <s v="Travel"/>
    <n v="243.01"/>
    <s v="Corporate Amex"/>
    <m/>
    <s v="Y"/>
    <s v="Travel"/>
    <s v="MATCH"/>
    <x v="0"/>
  </r>
  <r>
    <s v="EXP101435"/>
    <s v="E077"/>
    <s v="AX229072115"/>
    <d v="2026-03-16T00:00:00"/>
    <d v="2026-03-20T00:00:00"/>
    <s v="AMAZON MKTPLACE PMTS"/>
    <s v="5942"/>
    <s v="Office Supplies"/>
    <n v="440.76"/>
    <s v="Corporate Amex"/>
    <m/>
    <s v="Y"/>
    <s v="Office Supplies"/>
    <s v="MATCH"/>
    <x v="2"/>
  </r>
  <r>
    <s v="EXP101436"/>
    <s v="E077"/>
    <s v="AX415504031"/>
    <d v="2026-03-18T00:00:00"/>
    <d v="2026-03-20T00:00:00"/>
    <s v="YELLOW CAB CO"/>
    <s v="4121"/>
    <s v="Transportation"/>
    <n v="31.83"/>
    <s v="Corporate Amex"/>
    <m/>
    <s v="Y"/>
    <s v="Transportation"/>
    <s v="MATCH"/>
    <x v="2"/>
  </r>
  <r>
    <s v="EXP101437"/>
    <s v="E248"/>
    <s v="ax556433123"/>
    <d v="2026-03-15T00:00:00"/>
    <d v="2026-03-20T00:00:00"/>
    <s v="MARRIOTT #4471"/>
    <s v="7011"/>
    <s v="Lodging"/>
    <n v="351.16"/>
    <s v="Corporate Amex"/>
    <m/>
    <s v="Y"/>
    <s v="Lodging"/>
    <s v="MATCH"/>
    <x v="1"/>
  </r>
  <r>
    <s v="EXP101438"/>
    <s v="E146"/>
    <s v="ax678121130"/>
    <d v="2026-03-12T00:00:00"/>
    <d v="2026-03-20T00:00:00"/>
    <s v="TOPGOLF #442"/>
    <s v="7997"/>
    <s v="Entertainment"/>
    <n v="162.1"/>
    <s v="Corporate Amex"/>
    <m/>
    <s v="Y"/>
    <s v="Entertainment"/>
    <s v="MATCH"/>
    <x v="7"/>
  </r>
  <r>
    <s v="EXP101439"/>
    <s v="E058"/>
    <s v="AX932888073"/>
    <d v="2026-03-18T00:00:00"/>
    <d v="2026-03-20T00:00:00"/>
    <s v="YELLOW CAB CO"/>
    <s v="4121"/>
    <s v="Transportation"/>
    <n v="37.01"/>
    <s v="Corporate Amex"/>
    <m/>
    <s v="Y"/>
    <s v="Transportation"/>
    <s v="MATCH"/>
    <x v="0"/>
  </r>
  <r>
    <s v="EXP101440"/>
    <s v="E006"/>
    <s v="ax950265554"/>
    <d v="2026-03-18T00:00:00"/>
    <d v="2026-03-20T00:00:00"/>
    <s v="LYFT RIDE THU"/>
    <s v="4121"/>
    <s v="Transportation"/>
    <n v="15.54"/>
    <s v="Corporate Amex"/>
    <m/>
    <s v="Y"/>
    <s v="Transportation"/>
    <s v="MATCH"/>
    <x v="0"/>
  </r>
  <r>
    <s v="EXP101441"/>
    <s v="E069"/>
    <s v="AX617990177"/>
    <d v="2026-03-18T00:00:00"/>
    <d v="2026-03-20T00:00:00"/>
    <s v="ZOOM.US"/>
    <s v="5734"/>
    <s v="Software"/>
    <n v="23.39"/>
    <s v="Corporate Amex"/>
    <m/>
    <s v="Y"/>
    <s v="Software"/>
    <s v="MATCH"/>
    <x v="0"/>
  </r>
  <r>
    <s v="EXP101442"/>
    <s v="E051"/>
    <m/>
    <d v="2026-03-11T00:00:00"/>
    <d v="2026-03-20T00:00:00"/>
    <s v="TOTAL PARTY RENTAL"/>
    <s v="7999"/>
    <s v="Events"/>
    <n v="521.91999999999996"/>
    <s v="Personal (Reimbursement)"/>
    <s v="Forgot corporate card"/>
    <s v="Y"/>
    <s v="Events"/>
    <s v="MATCH"/>
    <x v="0"/>
  </r>
  <r>
    <s v="EXP101443"/>
    <s v="E004"/>
    <s v="ax569249041"/>
    <d v="2026-03-16T00:00:00"/>
    <d v="2026-03-20T00:00:00"/>
    <s v="PANERA BREAD #0231"/>
    <s v="5812"/>
    <s v="Meals"/>
    <n v="14.14"/>
    <s v="Corporate Amex"/>
    <m/>
    <s v="Y"/>
    <s v="Meals"/>
    <s v="MATCH"/>
    <x v="0"/>
  </r>
  <r>
    <s v="EXP101444"/>
    <s v="E067"/>
    <m/>
    <d v="2026-03-19T00:00:00"/>
    <d v="2026-03-20T00:00:00"/>
    <s v="HOOTSUITE INC"/>
    <s v="5734"/>
    <s v="  Software "/>
    <n v="156.86000000000001"/>
    <s v="Personal (Reimbursement)"/>
    <s v="Forgot corporate card"/>
    <s v="Y"/>
    <s v="Software"/>
    <s v="MATCH"/>
    <x v="0"/>
  </r>
  <r>
    <s v="EXP101445"/>
    <s v="E065"/>
    <s v="AX343449459"/>
    <d v="2026-03-17T00:00:00"/>
    <d v="2026-03-20T00:00:00"/>
    <s v="SPROUT SOCIAL"/>
    <s v="5734"/>
    <s v="Software"/>
    <n v="157.35"/>
    <s v="Corporate Amex"/>
    <m/>
    <s v="Y"/>
    <s v="Software"/>
    <s v="MATCH"/>
    <x v="0"/>
  </r>
  <r>
    <s v="EXP101446"/>
    <s v="E084"/>
    <s v="ax670748755"/>
    <d v="2026-03-15T00:00:00"/>
    <d v="2026-03-20T00:00:00"/>
    <s v="ADOBE *CREATIVE CLOUD"/>
    <s v="5734"/>
    <s v="Software"/>
    <n v="61.14"/>
    <s v="Corporate Amex"/>
    <m/>
    <s v="Y"/>
    <s v="Software"/>
    <s v="MATCH"/>
    <x v="2"/>
  </r>
  <r>
    <s v="EXP101447"/>
    <s v="E137"/>
    <s v="ax198041457"/>
    <d v="2026-03-11T00:00:00"/>
    <d v="2026-03-20T00:00:00"/>
    <s v="MICROSOFT*365"/>
    <s v="5734"/>
    <s v="Software"/>
    <n v="17.88"/>
    <s v="Corporate Amex"/>
    <m/>
    <s v="Y"/>
    <s v="Software"/>
    <s v="MATCH"/>
    <x v="7"/>
  </r>
  <r>
    <s v="EXP101448"/>
    <s v="E134"/>
    <s v="AX222328626"/>
    <d v="2026-03-19T00:00:00"/>
    <d v="2026-03-20T00:00:00"/>
    <s v="HILTON GARDEN INN 2231"/>
    <s v="7011"/>
    <s v="Lodging"/>
    <n v="354.8"/>
    <s v="Corporate Amex"/>
    <m/>
    <s v="Y"/>
    <s v="Lodging"/>
    <s v="MATCH"/>
    <x v="7"/>
  </r>
  <r>
    <s v="EXP101449"/>
    <s v="E106"/>
    <s v="AX128108044"/>
    <d v="2026-03-17T00:00:00"/>
    <d v="2026-03-20T00:00:00"/>
    <s v="LYFT RIDE THU"/>
    <s v="4121"/>
    <s v="  Transportation "/>
    <n v="46.09"/>
    <s v="Corporate Amex"/>
    <m/>
    <s v="Y"/>
    <s v="Transportation"/>
    <s v="MATCH"/>
    <x v="2"/>
  </r>
  <r>
    <s v="EXP101450"/>
    <s v="E242"/>
    <s v="ax451263270"/>
    <d v="2026-03-11T00:00:00"/>
    <d v="2026-03-21T00:00:00"/>
    <s v="BRANDWATCH LTD"/>
    <s v="5734"/>
    <s v="Software"/>
    <n v="421.02"/>
    <s v="Corporate Amex"/>
    <m/>
    <s v="Y"/>
    <s v="Software"/>
    <s v="MATCH"/>
    <x v="1"/>
  </r>
  <r>
    <s v="EXP101451"/>
    <s v="E075"/>
    <s v="AX574263291"/>
    <d v="2026-03-21T00:00:00"/>
    <d v="2026-03-21T00:00:00"/>
    <s v="TOPGOLF #442"/>
    <s v="7997"/>
    <s v="Entertainment"/>
    <n v="147.28"/>
    <s v="Corporate Amex"/>
    <m/>
    <s v="Y"/>
    <s v="Entertainment"/>
    <s v="MATCH"/>
    <x v="2"/>
  </r>
  <r>
    <s v="EXP101452"/>
    <s v="E057"/>
    <s v="AX-634926067"/>
    <d v="2026-03-17T00:00:00"/>
    <d v="2026-03-21T00:00:00"/>
    <s v="BRANDWATCH LTD"/>
    <s v="5734"/>
    <s v="Software"/>
    <n v="446.49"/>
    <s v="Corporate Amex"/>
    <m/>
    <s v="Y"/>
    <s v="Software"/>
    <s v="MATCH"/>
    <x v="0"/>
  </r>
  <r>
    <s v="EXP101453"/>
    <s v="E190"/>
    <m/>
    <d v="2026-03-15T00:00:00"/>
    <d v="2026-03-21T00:00:00"/>
    <s v="HOOTSUITE INC"/>
    <s v="5734"/>
    <s v="Software"/>
    <n v="129.99"/>
    <s v="Personal (Reimbursement)"/>
    <s v="Forgot corporate card"/>
    <s v="Y"/>
    <s v="Software"/>
    <s v="MATCH"/>
    <x v="5"/>
  </r>
  <r>
    <s v="EXP101454"/>
    <s v="E069"/>
    <m/>
    <d v="2026-03-16T00:00:00"/>
    <d v="2026-03-21T00:00:00"/>
    <s v="SPROUT SOCIAL"/>
    <s v="5734"/>
    <s v="Software"/>
    <n v="204.07"/>
    <s v="Corporate Amex"/>
    <m/>
    <s v="Y"/>
    <s v="Software"/>
    <s v="MATCH"/>
    <x v="0"/>
  </r>
  <r>
    <s v="EXP101455"/>
    <s v="E254"/>
    <s v="AX408645186"/>
    <d v="2026-03-19T00:00:00"/>
    <d v="2026-03-21T00:00:00"/>
    <s v="LYFT RIDE THU"/>
    <s v="4121"/>
    <s v="  Transportation "/>
    <n v="14.94"/>
    <s v="Corporate Amex"/>
    <m/>
    <s v="Y"/>
    <s v="Transportation"/>
    <s v="MATCH"/>
    <x v="8"/>
  </r>
  <r>
    <s v="EXP101456"/>
    <s v="E067"/>
    <s v="AX342259261"/>
    <d v="2026-03-11T00:00:00"/>
    <d v="2026-03-21T00:00:00"/>
    <s v="AMAZON MKTPLACE PMTS"/>
    <s v="5942"/>
    <m/>
    <n v="308.13"/>
    <s v="Corporate Amex"/>
    <m/>
    <s v="N"/>
    <s v="Office Supplies"/>
    <s v="BLANK"/>
    <x v="0"/>
  </r>
  <r>
    <s v="EXP101457"/>
    <s v="E060"/>
    <m/>
    <d v="2026-03-14T00:00:00"/>
    <d v="2026-03-21T00:00:00"/>
    <s v="CHIPOTLE 2214"/>
    <s v="5812"/>
    <m/>
    <n v="17.190000000000001"/>
    <s v="Corporate Amex"/>
    <m/>
    <s v="Y"/>
    <s v="Meals"/>
    <s v="BLANK"/>
    <x v="0"/>
  </r>
  <r>
    <s v="EXP101458"/>
    <s v="E127"/>
    <s v="AX613457316"/>
    <d v="2026-03-20T00:00:00"/>
    <d v="2026-03-21T00:00:00"/>
    <s v="UNITED AIRLINES 0162233"/>
    <s v="4511"/>
    <s v="Travel"/>
    <n v="539.26"/>
    <s v="Corporate Amex"/>
    <m/>
    <s v="Y"/>
    <s v="Travel"/>
    <s v="MATCH"/>
    <x v="7"/>
  </r>
  <r>
    <s v="EXP101459"/>
    <s v="E203"/>
    <s v="AX863847966"/>
    <d v="2026-03-19T00:00:00"/>
    <d v="2026-03-21T00:00:00"/>
    <s v="TOTAL PARTY RENTAL"/>
    <s v="7999"/>
    <s v="Events"/>
    <n v="541.58000000000004"/>
    <s v="Corporate Amex"/>
    <m/>
    <s v="Y"/>
    <s v="Events"/>
    <s v="MATCH"/>
    <x v="5"/>
  </r>
  <r>
    <s v="EXP101460"/>
    <s v="E100"/>
    <s v="AX 797124989"/>
    <d v="2026-03-19T00:00:00"/>
    <d v="2026-03-21T00:00:00"/>
    <s v="HILTON GARDEN INN 2231"/>
    <s v="7011"/>
    <s v="Lodging"/>
    <n v="388.47"/>
    <s v="Corporate Amex"/>
    <m/>
    <s v="Y"/>
    <s v="Lodging"/>
    <s v="MATCH"/>
    <x v="2"/>
  </r>
  <r>
    <s v="EXP101461"/>
    <s v="E017"/>
    <m/>
    <d v="2026-03-19T00:00:00"/>
    <d v="2026-03-21T00:00:00"/>
    <s v="MARRIOTT #4471"/>
    <s v="7011"/>
    <s v="Lodging"/>
    <n v="297.12"/>
    <s v="Personal (Reimbursement)"/>
    <s v="Amex declined - vendor doesn't accept Amex"/>
    <s v="N"/>
    <s v="Lodging"/>
    <s v="MATCH"/>
    <x v="0"/>
  </r>
  <r>
    <s v="EXP101462"/>
    <s v="E135"/>
    <s v="AX365608429"/>
    <d v="2026-03-18T00:00:00"/>
    <d v="2026-03-21T00:00:00"/>
    <s v="DELTA AIR 00623891045"/>
    <s v="4511"/>
    <s v="Travel"/>
    <n v="342.64"/>
    <s v="Corporate Amex"/>
    <m/>
    <s v="Y"/>
    <s v="Travel"/>
    <s v="MATCH"/>
    <x v="7"/>
  </r>
  <r>
    <s v="EXP101463"/>
    <s v="E143"/>
    <m/>
    <d v="2026-03-20T00:00:00"/>
    <d v="2026-03-21T00:00:00"/>
    <s v="AMC THEATRES 0021"/>
    <s v="7832"/>
    <s v="Entertainment"/>
    <n v="44.46"/>
    <s v="Corporate Amex"/>
    <m/>
    <s v="Y"/>
    <s v="Entertainment"/>
    <s v="MATCH"/>
    <x v="7"/>
  </r>
  <r>
    <s v="EXP101464"/>
    <s v="E002"/>
    <m/>
    <d v="2026-03-15T00:00:00"/>
    <d v="2026-03-21T00:00:00"/>
    <s v="BRANDWATCH LTD"/>
    <s v="5734"/>
    <s v="Software"/>
    <n v="555.55999999999995"/>
    <s v="Corporate Amex"/>
    <m/>
    <s v="Y"/>
    <s v="Software"/>
    <s v="MATCH"/>
    <x v="0"/>
  </r>
  <r>
    <s v="EXP101465"/>
    <s v="E029"/>
    <s v="ax159632416"/>
    <d v="2026-03-18T00:00:00"/>
    <d v="2026-03-21T00:00:00"/>
    <s v="STAPLES #0231"/>
    <s v="5943"/>
    <s v="Office Supplies"/>
    <n v="92.48"/>
    <s v="Corporate Amex"/>
    <m/>
    <s v="Y"/>
    <s v="Office Supplies"/>
    <s v="MATCH"/>
    <x v="0"/>
  </r>
  <r>
    <s v="EXP101466"/>
    <s v="E262"/>
    <m/>
    <d v="2026-03-16T00:00:00"/>
    <d v="2026-03-21T00:00:00"/>
    <s v=" UNITED AIRLINES 0162233"/>
    <s v="4511"/>
    <s v="  Travel "/>
    <n v="466.1"/>
    <s v="Personal (Reimbursement)"/>
    <s v="Forgot corporate card"/>
    <s v="Y"/>
    <s v="Travel"/>
    <s v="MATCH"/>
    <x v="3"/>
  </r>
  <r>
    <s v="EXP101467"/>
    <s v="E119"/>
    <s v="AX110284155"/>
    <d v="2026-03-21T00:00:00"/>
    <d v="2026-03-21T00:00:00"/>
    <s v="UNITED AIRLINES 0162233"/>
    <s v="4511"/>
    <s v="Travel"/>
    <n v="250.9"/>
    <s v="Corporate Amex"/>
    <m/>
    <s v="Y"/>
    <s v="Travel"/>
    <s v="MATCH"/>
    <x v="7"/>
  </r>
  <r>
    <s v="EXP101468"/>
    <s v="E074"/>
    <s v="ax646693321"/>
    <d v="2026-03-17T00:00:00"/>
    <d v="2026-03-22T00:00:00"/>
    <s v="TOTAL PARTY RENTAL"/>
    <s v="7999"/>
    <s v="Events"/>
    <n v="474.25"/>
    <s v="Corporate Amex"/>
    <m/>
    <s v="Y"/>
    <s v="Events"/>
    <s v="MATCH"/>
    <x v="2"/>
  </r>
  <r>
    <s v="EXP101469"/>
    <s v="E258"/>
    <s v="ax645003514"/>
    <d v="2026-03-18T00:00:00"/>
    <d v="2026-03-22T00:00:00"/>
    <s v="AMAZON MKTPLACE PMTS"/>
    <s v="5942"/>
    <s v="Software"/>
    <n v="413.68"/>
    <s v="Corporate Amex"/>
    <m/>
    <s v="N"/>
    <s v="Office Supplies"/>
    <s v="MISMATCH"/>
    <x v="8"/>
  </r>
  <r>
    <s v="EXP101470"/>
    <s v="E032"/>
    <s v="ax147792391"/>
    <d v="2026-03-17T00:00:00"/>
    <d v="2026-03-22T00:00:00"/>
    <s v="TOPGOLF #442"/>
    <s v="7997"/>
    <s v="Entertainment"/>
    <n v="227.52"/>
    <s v="Corporate Amex"/>
    <m/>
    <s v="Y"/>
    <s v="Entertainment"/>
    <s v="MATCH"/>
    <x v="0"/>
  </r>
  <r>
    <s v="EXP101471"/>
    <s v="E264"/>
    <s v="AX 430318554"/>
    <d v="2026-03-21T00:00:00"/>
    <d v="2026-03-22T00:00:00"/>
    <s v="BRANDWATCH LTD"/>
    <s v="5734"/>
    <s v="Software"/>
    <n v="325.81"/>
    <s v="Corporate Amex"/>
    <m/>
    <s v="Y"/>
    <s v="Software"/>
    <s v="MATCH"/>
    <x v="3"/>
  </r>
  <r>
    <s v="EXP101472"/>
    <s v="E073"/>
    <m/>
    <d v="2026-03-21T00:00:00"/>
    <d v="2026-03-22T00:00:00"/>
    <s v="AMC THEATRES 0021"/>
    <s v="7832"/>
    <s v="Entertainment"/>
    <n v="58.26"/>
    <s v="Personal (Reimbursement)"/>
    <s v="International merchant - Amex not accepted"/>
    <s v="Y"/>
    <s v="Entertainment"/>
    <s v="MATCH"/>
    <x v="2"/>
  </r>
  <r>
    <s v="EXP101473"/>
    <s v="E102"/>
    <s v="AX-999137353"/>
    <d v="2026-03-17T00:00:00"/>
    <d v="2026-03-22T00:00:00"/>
    <s v="SQ *THE CORNER BISTRO"/>
    <s v="5812"/>
    <s v="Meals"/>
    <n v="59.64"/>
    <s v="Corporate Amex"/>
    <m/>
    <s v="Y"/>
    <s v="Meals"/>
    <s v="MATCH"/>
    <x v="2"/>
  </r>
  <r>
    <s v="EXP101474"/>
    <s v="E035"/>
    <s v="AX260127051"/>
    <d v="2026-03-18T00:00:00"/>
    <d v="2026-03-22T00:00:00"/>
    <s v="HYATT REGENCY BOS"/>
    <s v="7011"/>
    <s v="Lodging"/>
    <n v="307.79000000000002"/>
    <s v="Corporate Amex"/>
    <m/>
    <s v="Y"/>
    <s v="Lodging"/>
    <s v="MATCH"/>
    <x v="0"/>
  </r>
  <r>
    <s v="EXP101476"/>
    <s v="E137"/>
    <s v="AX762016869"/>
    <d v="2026-03-14T00:00:00"/>
    <d v="2026-03-22T00:00:00"/>
    <s v="UNITED AIRLINES 0162233"/>
    <s v="4511"/>
    <s v="Travel"/>
    <n v="490.88"/>
    <s v="Corporate Amex"/>
    <m/>
    <s v="N"/>
    <s v="Travel"/>
    <s v="MATCH"/>
    <x v="7"/>
  </r>
  <r>
    <s v="EXP101477"/>
    <s v="E271"/>
    <s v="AX 891364895"/>
    <d v="2026-03-22T00:00:00"/>
    <d v="2026-03-22T00:00:00"/>
    <s v="DELTA AIR 00623891045"/>
    <s v="4511"/>
    <s v="Travel"/>
    <n v="282.93"/>
    <s v="Corporate Amex"/>
    <m/>
    <s v="Y"/>
    <s v="Travel"/>
    <s v="MATCH"/>
    <x v="3"/>
  </r>
  <r>
    <s v="EXP101478"/>
    <s v="E143"/>
    <s v="AX507300609"/>
    <d v="2026-03-21T00:00:00"/>
    <d v="2026-03-22T00:00:00"/>
    <s v="SQ *JOES COFFEE"/>
    <s v="5812"/>
    <s v="Meals"/>
    <n v="15.75"/>
    <s v="Corporate Amex"/>
    <m/>
    <s v="Y"/>
    <s v="Meals"/>
    <s v="MATCH"/>
    <x v="7"/>
  </r>
  <r>
    <s v="EXP101479"/>
    <s v="E060"/>
    <m/>
    <d v="2026-03-15T00:00:00"/>
    <d v="2026-03-22T00:00:00"/>
    <s v=" AMC THEATRES 0021"/>
    <s v="7832"/>
    <s v="Entertainment"/>
    <n v="38.29"/>
    <s v="Personal (Reimbursement)"/>
    <s v="Forgot corporate card"/>
    <s v="Y"/>
    <s v="Entertainment"/>
    <s v="MATCH"/>
    <x v="0"/>
  </r>
  <r>
    <s v="EXP101480"/>
    <s v="E005"/>
    <s v="AX770419648"/>
    <d v="2026-03-21T00:00:00"/>
    <d v="2026-03-22T00:00:00"/>
    <s v="PANERA BREAD #0231"/>
    <s v="5812"/>
    <s v="Meals"/>
    <n v="9.8000000000000007"/>
    <s v="Corporate Amex"/>
    <m/>
    <s v="Y"/>
    <s v="Meals"/>
    <s v="MATCH"/>
    <x v="0"/>
  </r>
  <r>
    <s v="EXP101481"/>
    <s v="E036"/>
    <s v="AX674264760"/>
    <d v="2026-03-20T00:00:00"/>
    <d v="2026-03-22T00:00:00"/>
    <s v="SOUTHWEST AIR 5261823"/>
    <s v="4511"/>
    <s v="Travel"/>
    <n v="306.29000000000002"/>
    <s v="Corporate Amex"/>
    <m/>
    <s v="Y"/>
    <s v="Travel"/>
    <s v="MATCH"/>
    <x v="0"/>
  </r>
  <r>
    <s v="EXP101482"/>
    <s v="E067"/>
    <s v="AX968323959"/>
    <d v="2026-03-16T00:00:00"/>
    <d v="2026-03-22T00:00:00"/>
    <s v="MICROSOFT*365"/>
    <s v="5734"/>
    <s v="Software"/>
    <n v="26.69"/>
    <s v="Corporate Amex"/>
    <m/>
    <s v="Y"/>
    <s v="Software"/>
    <s v="MATCH"/>
    <x v="0"/>
  </r>
  <r>
    <s v="EXP101483"/>
    <s v="E182"/>
    <s v="AX775521344"/>
    <d v="2026-03-18T00:00:00"/>
    <d v="2026-03-22T00:00:00"/>
    <s v="TOTAL PARTY RENTAL"/>
    <s v="7999"/>
    <m/>
    <n v="408.01"/>
    <s v="Corporate Amex"/>
    <m/>
    <s v="Y"/>
    <s v="Events"/>
    <s v="BLANK"/>
    <x v="5"/>
  </r>
  <r>
    <s v="EXP101484"/>
    <s v="E115"/>
    <s v="AX361483510"/>
    <d v="2026-03-20T00:00:00"/>
    <d v="2026-03-22T00:00:00"/>
    <s v="REGION CATERING CO"/>
    <s v="5811"/>
    <s v="Events"/>
    <n v="191.19"/>
    <s v="Corporate Amex"/>
    <m/>
    <s v="Y"/>
    <s v="Events"/>
    <s v="MATCH"/>
    <x v="2"/>
  </r>
  <r>
    <s v="EXP101485"/>
    <s v="E085"/>
    <s v="AX980724764"/>
    <d v="2026-03-22T00:00:00"/>
    <d v="2026-03-22T00:00:00"/>
    <s v="LYFT RIDE THU"/>
    <s v="4121"/>
    <s v="Transportation"/>
    <n v="25.59"/>
    <s v="Corporate Amex"/>
    <m/>
    <s v="Y"/>
    <s v="Transportation"/>
    <s v="MATCH"/>
    <x v="2"/>
  </r>
  <r>
    <s v="EXP101486"/>
    <s v="E015"/>
    <s v="AX841345373"/>
    <d v="2026-03-19T00:00:00"/>
    <d v="2026-03-22T00:00:00"/>
    <s v="UBER TRIP HELP.UBER"/>
    <s v="4121"/>
    <s v="Transportation"/>
    <n v="49.74"/>
    <s v="Corporate Amex"/>
    <m/>
    <s v="Y"/>
    <s v="Transportation"/>
    <s v="MATCH"/>
    <x v="0"/>
  </r>
  <r>
    <s v="EXP101487"/>
    <s v="E200"/>
    <s v="AX-399417914"/>
    <d v="2026-03-16T00:00:00"/>
    <d v="2026-03-22T00:00:00"/>
    <s v="YELLOW CAB CO"/>
    <s v="4121"/>
    <s v="Transportation"/>
    <n v="27.16"/>
    <s v="Corporate Amex"/>
    <m/>
    <s v="Y"/>
    <s v="Transportation"/>
    <s v="MATCH"/>
    <x v="5"/>
  </r>
  <r>
    <s v="EXP101488"/>
    <s v="E174"/>
    <s v="AX111554731"/>
    <d v="2026-03-22T00:00:00"/>
    <d v="2026-03-23T00:00:00"/>
    <s v="STAPLES #0231"/>
    <s v="5943"/>
    <s v="Office Supplies"/>
    <n v="26.04"/>
    <s v="Corporate Amex"/>
    <m/>
    <s v="Y"/>
    <s v="Office Supplies"/>
    <s v="MATCH"/>
    <x v="6"/>
  </r>
  <r>
    <s v="EXP101489"/>
    <s v="E206"/>
    <m/>
    <d v="2026-03-19T00:00:00"/>
    <d v="2026-03-23T00:00:00"/>
    <s v="REGION CATERING CO"/>
    <s v="5811"/>
    <s v="Events"/>
    <n v="296.14999999999998"/>
    <s v="Corporate Amex"/>
    <m/>
    <s v="Y"/>
    <s v="Events"/>
    <s v="MATCH"/>
    <x v="5"/>
  </r>
  <r>
    <s v="EXP101490"/>
    <s v="E225"/>
    <s v="AX982160407"/>
    <d v="2026-03-14T00:00:00"/>
    <d v="2026-03-23T00:00:00"/>
    <s v="ADOBE *CREATIVE CLOUD"/>
    <s v="5734"/>
    <s v="  Software "/>
    <n v="56"/>
    <s v="Corporate Amex"/>
    <m/>
    <s v="N"/>
    <s v="Software"/>
    <s v="MATCH"/>
    <x v="4"/>
  </r>
  <r>
    <s v="EXP101491"/>
    <s v="E014"/>
    <m/>
    <d v="2026-03-22T00:00:00"/>
    <d v="2026-03-23T00:00:00"/>
    <s v="OLIVE GARDEN 00456"/>
    <s v="5812"/>
    <s v="Meals"/>
    <n v="99.46"/>
    <s v="Personal (Reimbursement)"/>
    <s v="Forgot corporate card"/>
    <s v="N"/>
    <s v="Meals"/>
    <s v="MATCH"/>
    <x v="0"/>
  </r>
  <r>
    <s v="EXP101492"/>
    <s v="E005"/>
    <s v="AX519601649"/>
    <d v="2026-03-17T00:00:00"/>
    <d v="2026-03-23T00:00:00"/>
    <s v="DELTA AIR 00623891045"/>
    <s v="4511"/>
    <s v="Other"/>
    <n v="539.94000000000005"/>
    <s v="Corporate Amex"/>
    <m/>
    <s v="Y"/>
    <s v="Travel"/>
    <s v="MISMATCH"/>
    <x v="0"/>
  </r>
  <r>
    <s v="EXP101493"/>
    <s v="E149"/>
    <m/>
    <d v="2026-03-22T00:00:00"/>
    <d v="2026-03-23T00:00:00"/>
    <s v="STAPLES #0231"/>
    <s v="5943"/>
    <s v="Office Supplies"/>
    <n v="119.5"/>
    <s v="Personal (Reimbursement)"/>
    <s v="International merchant - Amex not accepted"/>
    <s v="Y"/>
    <s v="Office Supplies"/>
    <s v="MATCH"/>
    <x v="7"/>
  </r>
  <r>
    <s v="EXP101494"/>
    <s v="E076"/>
    <s v="AX150610956"/>
    <d v="2026-03-19T00:00:00"/>
    <d v="2026-03-23T00:00:00"/>
    <s v="UBER TRIP HELP.UBER"/>
    <s v="4121"/>
    <s v="Transportation"/>
    <n v="51.36"/>
    <s v="Corporate Amex"/>
    <m/>
    <s v="Y"/>
    <s v="Transportation"/>
    <s v="MATCH"/>
    <x v="2"/>
  </r>
  <r>
    <s v="EXP101495"/>
    <s v="E081"/>
    <m/>
    <d v="2026-03-14T00:00:00"/>
    <d v="2026-03-23T00:00:00"/>
    <s v="STARBUCKS #4471"/>
    <s v="5812"/>
    <s v="Meals"/>
    <n v="5.94"/>
    <s v="Corporate Amex"/>
    <m/>
    <s v="Y"/>
    <s v="Meals"/>
    <s v="MATCH"/>
    <x v="2"/>
  </r>
  <r>
    <s v="EXP101496"/>
    <s v="E268"/>
    <s v="AX831414340"/>
    <d v="2026-03-16T00:00:00"/>
    <d v="2026-03-23T00:00:00"/>
    <s v="MARRIOTT #4471"/>
    <s v="7011"/>
    <s v="Lodging"/>
    <n v="224.59"/>
    <s v="Corporate Amex"/>
    <m/>
    <s v="Y"/>
    <s v="Lodging"/>
    <s v="MATCH"/>
    <x v="3"/>
  </r>
  <r>
    <s v="EXP101497"/>
    <s v="E064"/>
    <s v="AX744631154"/>
    <d v="2026-03-20T00:00:00"/>
    <d v="2026-03-23T00:00:00"/>
    <s v="BRANDWATCH LTD"/>
    <s v="5734"/>
    <s v="Software"/>
    <n v="401.09"/>
    <s v="Corporate Amex"/>
    <m/>
    <s v="Y"/>
    <s v="Software"/>
    <s v="MATCH"/>
    <x v="0"/>
  </r>
  <r>
    <s v="EXP101498"/>
    <s v="E119"/>
    <m/>
    <d v="2026-03-17T00:00:00"/>
    <d v="2026-03-23T00:00:00"/>
    <s v="SPROUT SOCIAL"/>
    <s v="5734"/>
    <s v="Software"/>
    <n v="176.66"/>
    <s v="Corporate Amex"/>
    <m/>
    <s v="Y"/>
    <s v="Software"/>
    <s v="MATCH"/>
    <x v="7"/>
  </r>
  <r>
    <s v="EXP101499"/>
    <s v="E089"/>
    <s v="AX 578518671"/>
    <d v="2026-03-20T00:00:00"/>
    <d v="2026-03-23T00:00:00"/>
    <s v="MICROSOFT*365"/>
    <s v="5734"/>
    <s v="Travel"/>
    <n v="15.09"/>
    <s v="Corporate Amex"/>
    <m/>
    <s v="Y"/>
    <s v="Software"/>
    <s v="MISMATCH"/>
    <x v="2"/>
  </r>
  <r>
    <s v="EXP101500"/>
    <s v="E053"/>
    <s v="AX663375111"/>
    <d v="2026-03-14T00:00:00"/>
    <d v="2026-03-23T00:00:00"/>
    <s v="LYFT RIDE THU"/>
    <s v="4121"/>
    <m/>
    <n v="36.35"/>
    <s v="Corporate Amex"/>
    <m/>
    <s v="Y"/>
    <s v="Transportation"/>
    <s v="BLANK"/>
    <x v="0"/>
  </r>
  <r>
    <s v="EXP101501"/>
    <s v="E178"/>
    <s v="AX192745827"/>
    <d v="2026-03-17T00:00:00"/>
    <d v="2026-03-23T00:00:00"/>
    <s v=" HOOTSUITE INC"/>
    <s v="5734"/>
    <s v="Software"/>
    <n v="111.94"/>
    <s v="Corporate Amex"/>
    <m/>
    <s v="Y"/>
    <s v="Software"/>
    <s v="MATCH"/>
    <x v="6"/>
  </r>
  <r>
    <s v="EXP101502"/>
    <s v="E181"/>
    <s v="ax336828012"/>
    <d v="2026-03-17T00:00:00"/>
    <d v="2026-03-23T00:00:00"/>
    <s v="UBER TRIP HELP.UBER"/>
    <s v="4121"/>
    <s v="Transportation"/>
    <n v="41.28"/>
    <s v="Corporate Amex"/>
    <m/>
    <s v="Y"/>
    <s v="Transportation"/>
    <s v="MATCH"/>
    <x v="5"/>
  </r>
  <r>
    <s v="EXP101503"/>
    <s v="E043"/>
    <s v="AX-612089522"/>
    <d v="2026-03-16T00:00:00"/>
    <d v="2026-03-23T00:00:00"/>
    <s v="ZOOM.US"/>
    <s v="5734"/>
    <s v="Software"/>
    <n v="34.630000000000003"/>
    <s v="Corporate Amex"/>
    <m/>
    <s v="Y"/>
    <s v="Software"/>
    <s v="MATCH"/>
    <x v="0"/>
  </r>
  <r>
    <s v="EXP101504"/>
    <s v="E066"/>
    <s v="AX627008968"/>
    <d v="2026-03-21T00:00:00"/>
    <d v="2026-03-24T00:00:00"/>
    <s v="SQ *THE CORNER BISTRO"/>
    <s v="5812"/>
    <s v="Meals"/>
    <n v="77.569999999999993"/>
    <s v="Corporate Amex"/>
    <m/>
    <s v="Y"/>
    <s v="Meals"/>
    <s v="MATCH"/>
    <x v="0"/>
  </r>
  <r>
    <s v="EXP101505"/>
    <s v="E032"/>
    <s v="AX 184894842"/>
    <d v="2026-03-22T00:00:00"/>
    <d v="2026-03-24T00:00:00"/>
    <s v="HOOTSUITE INC"/>
    <s v="5734"/>
    <m/>
    <n v="58.78"/>
    <s v="Corporate Amex"/>
    <m/>
    <s v="Y"/>
    <s v="Software"/>
    <s v="BLANK"/>
    <x v="0"/>
  </r>
  <r>
    <s v="EXP101506"/>
    <s v="E008"/>
    <s v="AX475409641"/>
    <d v="2026-03-15T00:00:00"/>
    <d v="2026-03-24T00:00:00"/>
    <s v="SQ *THE CORNER BISTRO"/>
    <s v="5812"/>
    <s v="Meals"/>
    <n v="30.86"/>
    <s v="Corporate Amex"/>
    <m/>
    <s v="Y"/>
    <s v="Meals"/>
    <s v="MATCH"/>
    <x v="0"/>
  </r>
  <r>
    <s v="EXP101507"/>
    <s v="E104"/>
    <s v="AX889379221"/>
    <d v="2026-03-23T00:00:00"/>
    <d v="2026-03-24T00:00:00"/>
    <s v="SQ *JOES COFFEE"/>
    <s v="5812"/>
    <s v="Meals"/>
    <n v="24.33"/>
    <s v="Corporate Amex"/>
    <m/>
    <s v="Y"/>
    <s v="Meals"/>
    <s v="MATCH"/>
    <x v="2"/>
  </r>
  <r>
    <s v="EXP101508"/>
    <s v="E015"/>
    <s v="AX-880221564"/>
    <d v="2026-03-23T00:00:00"/>
    <d v="2026-03-24T00:00:00"/>
    <s v="ZOOM.US"/>
    <s v="5734"/>
    <s v="Software"/>
    <n v="39.32"/>
    <s v="Corporate Amex"/>
    <m/>
    <s v="Y"/>
    <s v="Software"/>
    <s v="MATCH"/>
    <x v="0"/>
  </r>
  <r>
    <s v="EXP101509"/>
    <s v="E073"/>
    <s v="ax142679173"/>
    <d v="2026-03-23T00:00:00"/>
    <d v="2026-03-24T00:00:00"/>
    <s v="DELTA AIR 00623891045"/>
    <s v="4511"/>
    <s v="Travel"/>
    <n v="382.11"/>
    <s v="Corporate Amex"/>
    <m/>
    <s v="Y"/>
    <s v="Travel"/>
    <s v="MATCH"/>
    <x v="2"/>
  </r>
  <r>
    <s v="EXP101510"/>
    <s v="E111"/>
    <s v="AX 551035126"/>
    <d v="2026-03-17T00:00:00"/>
    <d v="2026-03-24T00:00:00"/>
    <s v="HYATT REGENCY BOS"/>
    <s v="7011"/>
    <s v="Lodging"/>
    <n v="211.84"/>
    <s v="Corporate Amex"/>
    <m/>
    <s v="Y"/>
    <s v="Lodging"/>
    <s v="MATCH"/>
    <x v="2"/>
  </r>
  <r>
    <s v="EXP101511"/>
    <s v="E041"/>
    <s v="AX 273924966"/>
    <d v="2026-03-24T00:00:00"/>
    <d v="2026-03-24T00:00:00"/>
    <s v="MICROSOFT*365"/>
    <s v="5734"/>
    <s v="Software"/>
    <n v="40.71"/>
    <s v="Corporate Amex"/>
    <m/>
    <s v="Y"/>
    <s v="Software"/>
    <s v="MATCH"/>
    <x v="0"/>
  </r>
  <r>
    <s v="EXP101512"/>
    <s v="E145"/>
    <s v="ax680238664"/>
    <d v="2026-03-22T00:00:00"/>
    <d v="2026-03-24T00:00:00"/>
    <s v="AMC THEATRES 0021"/>
    <s v="7832"/>
    <s v="Entertainment"/>
    <n v="40.01"/>
    <s v="Corporate Amex"/>
    <m/>
    <s v="Y"/>
    <s v="Entertainment"/>
    <s v="MATCH"/>
    <x v="7"/>
  </r>
  <r>
    <s v="EXP101513"/>
    <s v="E190"/>
    <m/>
    <d v="2026-03-14T00:00:00"/>
    <d v="2026-03-24T00:00:00"/>
    <s v="ADOBE *CREATIVE CLOUD"/>
    <s v="5734"/>
    <s v="Software"/>
    <n v="71.02"/>
    <s v="Corporate Amex"/>
    <m/>
    <s v="Y"/>
    <s v="Software"/>
    <s v="MATCH"/>
    <x v="5"/>
  </r>
  <r>
    <s v="EXP101514"/>
    <s v="E020"/>
    <s v="AX626879586"/>
    <d v="2026-03-22T00:00:00"/>
    <d v="2026-03-24T00:00:00"/>
    <s v="ZOOM.US"/>
    <s v="5734"/>
    <s v="Software"/>
    <n v="59.18"/>
    <s v="Corporate Amex"/>
    <m/>
    <s v="Y"/>
    <s v="Software"/>
    <s v="MATCH"/>
    <x v="0"/>
  </r>
  <r>
    <s v="EXP101515"/>
    <s v="E067"/>
    <s v="AX874776814"/>
    <d v="2026-03-14T00:00:00"/>
    <d v="2026-03-24T00:00:00"/>
    <s v="UNITED AIRLINES 0162233"/>
    <s v="4511"/>
    <s v="Travel"/>
    <n v="517.36"/>
    <s v="Corporate Amex"/>
    <m/>
    <s v="Y"/>
    <s v="Travel"/>
    <s v="MATCH"/>
    <x v="0"/>
  </r>
  <r>
    <s v="EXP101516"/>
    <s v="E108"/>
    <s v="AX 789331553"/>
    <d v="2026-03-24T00:00:00"/>
    <d v="2026-03-24T00:00:00"/>
    <s v=" HILTON GARDEN INN 2231"/>
    <s v="7011"/>
    <s v="Lodging"/>
    <n v="189.32"/>
    <s v="Corporate Amex"/>
    <m/>
    <s v="Y"/>
    <s v="Lodging"/>
    <s v="MATCH"/>
    <x v="2"/>
  </r>
  <r>
    <s v="EXP101517"/>
    <s v="E043"/>
    <s v="AX544424655"/>
    <d v="2026-03-16T00:00:00"/>
    <d v="2026-03-24T00:00:00"/>
    <s v="CHIPOTLE 2214"/>
    <s v="5812"/>
    <s v="Meals"/>
    <n v="16.48"/>
    <s v="Corporate Amex"/>
    <m/>
    <s v="Y"/>
    <s v="Meals"/>
    <s v="MATCH"/>
    <x v="0"/>
  </r>
  <r>
    <s v="EXP101518"/>
    <s v="E043"/>
    <m/>
    <d v="2026-03-20T00:00:00"/>
    <d v="2026-03-24T00:00:00"/>
    <s v=" CHIPOTLE 2214"/>
    <s v="5812"/>
    <s v="Meals"/>
    <n v="10.41"/>
    <s v="Corporate Amex"/>
    <m/>
    <s v="Y"/>
    <s v="Meals"/>
    <s v="MATCH"/>
    <x v="0"/>
  </r>
  <r>
    <s v="EXP101520"/>
    <s v="E033"/>
    <s v="AX626909834"/>
    <d v="2026-03-20T00:00:00"/>
    <d v="2026-03-24T00:00:00"/>
    <s v="HYATT REGENCY BOS"/>
    <s v="7011"/>
    <s v="Lodging"/>
    <n v="420.94"/>
    <s v="Corporate Amex"/>
    <m/>
    <s v="Y"/>
    <s v="Lodging"/>
    <s v="MATCH"/>
    <x v="0"/>
  </r>
  <r>
    <s v="EXP101521"/>
    <s v="E033"/>
    <s v="AX974286712"/>
    <d v="2026-03-17T00:00:00"/>
    <d v="2026-03-24T00:00:00"/>
    <s v="LYFT RIDE THU"/>
    <s v="4121"/>
    <s v="Transportation"/>
    <n v="48.8"/>
    <s v="Corporate Amex"/>
    <m/>
    <s v="Y"/>
    <s v="Transportation"/>
    <s v="MATCH"/>
    <x v="0"/>
  </r>
  <r>
    <s v="EXP101522"/>
    <s v="E269"/>
    <s v="ax461714564"/>
    <d v="2026-03-23T00:00:00"/>
    <d v="2026-03-24T00:00:00"/>
    <s v="PANERA BREAD #0231"/>
    <s v="5812"/>
    <s v="Meals"/>
    <n v="27.87"/>
    <s v="Corporate Amex"/>
    <m/>
    <s v="N"/>
    <s v="Meals"/>
    <s v="MATCH"/>
    <x v="3"/>
  </r>
  <r>
    <s v="EXP101523"/>
    <s v="E046"/>
    <s v="ax453408949"/>
    <d v="2026-03-14T00:00:00"/>
    <d v="2026-03-24T00:00:00"/>
    <s v="AMC THEATRES 0021"/>
    <s v="7832"/>
    <s v="Entertainment"/>
    <n v="24.93"/>
    <s v="Corporate Amex"/>
    <m/>
    <s v="Y"/>
    <s v="Entertainment"/>
    <s v="MATCH"/>
    <x v="0"/>
  </r>
  <r>
    <s v="EXP101524"/>
    <s v="E130"/>
    <s v="ax376583403"/>
    <d v="2026-03-17T00:00:00"/>
    <d v="2026-03-24T00:00:00"/>
    <s v="BRANDWATCH LTD"/>
    <s v="5734"/>
    <s v="Software"/>
    <n v="422.65"/>
    <s v="Corporate Amex"/>
    <m/>
    <s v="N"/>
    <s v="Software"/>
    <s v="MATCH"/>
    <x v="7"/>
  </r>
  <r>
    <s v="EXP101525"/>
    <s v="E021"/>
    <s v="AX-504817322"/>
    <d v="2026-03-15T00:00:00"/>
    <d v="2026-03-24T00:00:00"/>
    <s v="HILTON GARDEN INN 2231"/>
    <s v="7011"/>
    <m/>
    <n v="146.6"/>
    <s v="Corporate Amex"/>
    <m/>
    <s v="Y"/>
    <s v="Lodging"/>
    <s v="BLANK"/>
    <x v="0"/>
  </r>
  <r>
    <s v="EXP101526"/>
    <s v="E086"/>
    <s v="AX 927501675"/>
    <d v="2026-03-21T00:00:00"/>
    <d v="2026-03-24T00:00:00"/>
    <s v="UNITED AIRLINES 0162233"/>
    <s v="4511"/>
    <s v="  Travel "/>
    <n v="224.92"/>
    <s v="Corporate Amex"/>
    <m/>
    <s v="Y"/>
    <s v="Travel"/>
    <s v="MATCH"/>
    <x v="2"/>
  </r>
  <r>
    <s v="EXP101527"/>
    <s v="E033"/>
    <s v="AX 478844860"/>
    <d v="2026-03-22T00:00:00"/>
    <d v="2026-03-25T00:00:00"/>
    <s v="STAPLES #0231"/>
    <s v="5943"/>
    <s v="Office Supplies"/>
    <n v="115.16"/>
    <s v="Corporate Amex"/>
    <m/>
    <s v="Y"/>
    <s v="Office Supplies"/>
    <s v="MATCH"/>
    <x v="0"/>
  </r>
  <r>
    <s v="EXP101528"/>
    <s v="E271"/>
    <s v="AX-167351294"/>
    <d v="2026-03-24T00:00:00"/>
    <d v="2026-03-25T00:00:00"/>
    <s v="STARBUCKS #4471"/>
    <s v="5812"/>
    <s v="Meals"/>
    <n v="12.11"/>
    <s v="Corporate Amex"/>
    <m/>
    <s v="Y"/>
    <s v="Meals"/>
    <s v="MATCH"/>
    <x v="3"/>
  </r>
  <r>
    <s v="EXP101529"/>
    <s v="E259"/>
    <m/>
    <d v="2026-03-18T00:00:00"/>
    <d v="2026-03-25T00:00:00"/>
    <s v="LYFT RIDE THU"/>
    <s v="4121"/>
    <s v="Transportation"/>
    <n v="38.17"/>
    <s v="Corporate Amex"/>
    <m/>
    <s v="Y"/>
    <s v="Transportation"/>
    <s v="MATCH"/>
    <x v="8"/>
  </r>
  <r>
    <s v="EXP101530"/>
    <s v="E266"/>
    <s v="AX436221157"/>
    <d v="2026-03-22T00:00:00"/>
    <d v="2026-03-25T00:00:00"/>
    <s v="SQ *JOES COFFEE"/>
    <s v="5812"/>
    <s v="Meals"/>
    <n v="9.86"/>
    <s v="Corporate Amex"/>
    <m/>
    <s v="Y"/>
    <s v="Meals"/>
    <s v="MATCH"/>
    <x v="3"/>
  </r>
  <r>
    <s v="EXP101531"/>
    <s v="E133"/>
    <s v="AX 370145478"/>
    <d v="2026-03-21T00:00:00"/>
    <d v="2026-03-25T00:00:00"/>
    <s v="OLIVE GARDEN 00456"/>
    <s v="5812"/>
    <s v="Meals"/>
    <n v="55.91"/>
    <s v="Corporate Amex"/>
    <m/>
    <s v="Y"/>
    <s v="Meals"/>
    <s v="MATCH"/>
    <x v="7"/>
  </r>
  <r>
    <s v="EXP101532"/>
    <s v="E264"/>
    <s v="AX381231759"/>
    <d v="2026-03-22T00:00:00"/>
    <d v="2026-03-25T00:00:00"/>
    <s v="MARRIOTT #4471"/>
    <s v="7011"/>
    <s v="Lodging"/>
    <n v="313.81"/>
    <s v="Corporate Amex"/>
    <m/>
    <s v="N"/>
    <s v="Lodging"/>
    <s v="MATCH"/>
    <x v="3"/>
  </r>
  <r>
    <s v="EXP101533"/>
    <s v="E089"/>
    <s v="ax444601631"/>
    <d v="2026-03-21T00:00:00"/>
    <d v="2026-03-25T00:00:00"/>
    <s v="LYFT RIDE THU"/>
    <s v="4121"/>
    <s v="Transportation"/>
    <n v="35.11"/>
    <s v="Corporate Amex"/>
    <m/>
    <s v="Y"/>
    <s v="Transportation"/>
    <s v="MATCH"/>
    <x v="2"/>
  </r>
  <r>
    <s v="EXP101534"/>
    <s v="E225"/>
    <s v="AX764054576"/>
    <d v="2026-03-21T00:00:00"/>
    <d v="2026-03-25T00:00:00"/>
    <s v="AMAZON MKTPLACE PMTS"/>
    <s v="5942"/>
    <s v="Office Supplies"/>
    <n v="421.19"/>
    <s v="Corporate Amex"/>
    <m/>
    <s v="Y"/>
    <s v="Office Supplies"/>
    <s v="MATCH"/>
    <x v="4"/>
  </r>
  <r>
    <s v="EXP101535"/>
    <s v="E256"/>
    <s v="ax824113490"/>
    <d v="2026-03-16T00:00:00"/>
    <d v="2026-03-25T00:00:00"/>
    <s v="REGION CATERING CO"/>
    <s v="5811"/>
    <s v="Events"/>
    <n v="564.55999999999995"/>
    <s v="Corporate Amex"/>
    <m/>
    <s v="Y"/>
    <s v="Events"/>
    <s v="MATCH"/>
    <x v="8"/>
  </r>
  <r>
    <s v="EXP101536"/>
    <s v="E027"/>
    <m/>
    <d v="2026-03-15T00:00:00"/>
    <d v="2026-03-25T00:00:00"/>
    <s v="HOOTSUITE INC"/>
    <s v="5734"/>
    <s v="Software"/>
    <n v="53.76"/>
    <s v="Corporate Amex"/>
    <m/>
    <s v="Y"/>
    <s v="Software"/>
    <s v="MATCH"/>
    <x v="0"/>
  </r>
  <r>
    <s v="EXP101537"/>
    <s v="E258"/>
    <m/>
    <d v="2026-03-16T00:00:00"/>
    <d v="2026-03-25T00:00:00"/>
    <s v="SPROUT SOCIAL"/>
    <s v="5734"/>
    <m/>
    <n v="185.6"/>
    <s v="Corporate Amex"/>
    <m/>
    <s v="Y"/>
    <s v="Software"/>
    <s v="BLANK"/>
    <x v="8"/>
  </r>
  <r>
    <s v="EXP101538"/>
    <s v="E258"/>
    <s v="ax171879046"/>
    <d v="2026-03-18T00:00:00"/>
    <d v="2026-03-25T00:00:00"/>
    <s v="STAPLES #0231"/>
    <s v="5943"/>
    <s v="Office Supplies"/>
    <n v="98.61"/>
    <s v="Corporate Amex"/>
    <m/>
    <s v="Y"/>
    <s v="Office Supplies"/>
    <s v="MATCH"/>
    <x v="8"/>
  </r>
  <r>
    <s v="EXP101539"/>
    <s v="E233"/>
    <s v="AX440790480"/>
    <d v="2026-03-24T00:00:00"/>
    <d v="2026-03-25T00:00:00"/>
    <s v="CHIPOTLE 2214"/>
    <s v="5812"/>
    <s v="Meals"/>
    <n v="12.45"/>
    <s v="Corporate Amex"/>
    <m/>
    <s v="Y"/>
    <s v="Meals"/>
    <s v="MATCH"/>
    <x v="1"/>
  </r>
  <r>
    <s v="EXP101540"/>
    <s v="E030"/>
    <s v="AX400611038"/>
    <d v="2026-03-20T00:00:00"/>
    <d v="2026-03-25T00:00:00"/>
    <s v="SQ *JOES COFFEE"/>
    <s v="5812"/>
    <s v="Events"/>
    <n v="14.31"/>
    <s v="Corporate Amex"/>
    <m/>
    <s v="Y"/>
    <s v="Meals"/>
    <s v="MISMATCH"/>
    <x v="0"/>
  </r>
  <r>
    <s v="EXP101541"/>
    <s v="E047"/>
    <s v="AX 377918839"/>
    <d v="2026-03-25T00:00:00"/>
    <d v="2026-03-25T00:00:00"/>
    <s v="STARBUCKS #4471"/>
    <s v="5812"/>
    <s v="Meals"/>
    <n v="17.62"/>
    <s v="Corporate Amex"/>
    <m/>
    <s v="Y"/>
    <s v="Meals"/>
    <s v="MATCH"/>
    <x v="0"/>
  </r>
  <r>
    <s v="EXP101542"/>
    <s v="E006"/>
    <s v="ax131175624"/>
    <d v="2026-03-17T00:00:00"/>
    <d v="2026-03-25T00:00:00"/>
    <s v="ZOOM.US"/>
    <s v="5734"/>
    <m/>
    <n v="57.43"/>
    <s v="Corporate Amex"/>
    <m/>
    <s v="Y"/>
    <s v="Software"/>
    <s v="BLANK"/>
    <x v="0"/>
  </r>
  <r>
    <s v="EXP101543"/>
    <s v="E055"/>
    <s v="AX-226346913"/>
    <d v="2026-03-15T00:00:00"/>
    <d v="2026-03-25T00:00:00"/>
    <s v="BRANDWATCH LTD"/>
    <s v="5734"/>
    <s v="Software"/>
    <n v="192.67"/>
    <s v="Corporate Amex"/>
    <m/>
    <s v="Y"/>
    <s v="Software"/>
    <s v="MATCH"/>
    <x v="0"/>
  </r>
  <r>
    <s v="EXP101544"/>
    <s v="E060"/>
    <m/>
    <d v="2026-03-19T00:00:00"/>
    <d v="2026-03-26T00:00:00"/>
    <s v="HILTON GARDEN INN 2231"/>
    <s v="7011"/>
    <s v="Lodging"/>
    <n v="323.99"/>
    <s v="Personal (Reimbursement)"/>
    <s v="Forgot corporate card"/>
    <s v="Y"/>
    <s v="Lodging"/>
    <s v="MATCH"/>
    <x v="0"/>
  </r>
  <r>
    <s v="EXP101545"/>
    <s v="E234"/>
    <s v="AX-844620176"/>
    <d v="2026-03-20T00:00:00"/>
    <d v="2026-03-26T00:00:00"/>
    <s v="OLIVE GARDEN 00456"/>
    <s v="5812"/>
    <s v="Meals"/>
    <n v="134.16999999999999"/>
    <s v="Corporate Amex"/>
    <m/>
    <s v="Y"/>
    <s v="Meals"/>
    <s v="MATCH"/>
    <x v="1"/>
  </r>
  <r>
    <s v="EXP101546"/>
    <s v="E273"/>
    <m/>
    <d v="2026-03-23T00:00:00"/>
    <d v="2026-03-26T00:00:00"/>
    <s v="SOUTHWEST AIR 5261823"/>
    <s v="4511"/>
    <s v="Travel"/>
    <n v="336.51"/>
    <s v="Corporate Amex"/>
    <m/>
    <s v="Y"/>
    <s v="Travel"/>
    <s v="MATCH"/>
    <x v="3"/>
  </r>
  <r>
    <s v="EXP101547"/>
    <s v="E029"/>
    <s v="AX462409519"/>
    <d v="2026-03-20T00:00:00"/>
    <d v="2026-03-26T00:00:00"/>
    <s v="HOOTSUITE INC"/>
    <s v="5734"/>
    <s v="Software"/>
    <n v="140.4"/>
    <s v="Corporate Amex"/>
    <m/>
    <s v="Y"/>
    <s v="Software"/>
    <s v="MATCH"/>
    <x v="0"/>
  </r>
  <r>
    <s v="EXP101548"/>
    <s v="E242"/>
    <s v="AX-247347428"/>
    <d v="2026-03-22T00:00:00"/>
    <d v="2026-03-26T00:00:00"/>
    <s v="SPROUT SOCIAL"/>
    <s v="5734"/>
    <s v="Software"/>
    <n v="121.04"/>
    <s v="Corporate Amex"/>
    <m/>
    <s v="Y"/>
    <s v="Software"/>
    <s v="MATCH"/>
    <x v="1"/>
  </r>
  <r>
    <s v="EXP101549"/>
    <s v="E008"/>
    <m/>
    <d v="2026-03-26T00:00:00"/>
    <d v="2026-03-26T00:00:00"/>
    <s v="HILTON GARDEN INN 2231"/>
    <s v="7011"/>
    <s v="Lodging"/>
    <n v="349.38"/>
    <s v="Corporate Amex"/>
    <m/>
    <s v="Y"/>
    <s v="Lodging"/>
    <s v="MATCH"/>
    <x v="0"/>
  </r>
  <r>
    <s v="EXP101550"/>
    <s v="E009"/>
    <s v="AX818666670"/>
    <d v="2026-03-16T00:00:00"/>
    <d v="2026-03-26T00:00:00"/>
    <s v="HYATT REGENCY BOS"/>
    <s v="7011"/>
    <s v="Lodging"/>
    <n v="343.57"/>
    <s v="Corporate Amex"/>
    <m/>
    <s v="Y"/>
    <s v="Lodging"/>
    <s v="MATCH"/>
    <x v="0"/>
  </r>
  <r>
    <s v="EXP101551"/>
    <s v="E245"/>
    <s v="AX258967503"/>
    <d v="2026-03-21T00:00:00"/>
    <d v="2026-03-26T00:00:00"/>
    <s v="LYFT RIDE THU"/>
    <s v="4121"/>
    <s v="  Transportation "/>
    <n v="16.899999999999999"/>
    <s v="Corporate Amex"/>
    <m/>
    <s v="N"/>
    <s v="Transportation"/>
    <s v="MATCH"/>
    <x v="1"/>
  </r>
  <r>
    <s v="EXP101552"/>
    <s v="E201"/>
    <m/>
    <d v="2026-03-26T00:00:00"/>
    <d v="2026-03-26T00:00:00"/>
    <s v="BRANDWATCH LTD"/>
    <s v="5734"/>
    <s v="Software"/>
    <n v="477.2"/>
    <s v="Corporate Amex"/>
    <m/>
    <s v="Y"/>
    <s v="Software"/>
    <s v="MATCH"/>
    <x v="5"/>
  </r>
  <r>
    <s v="EXP101553"/>
    <s v="E272"/>
    <s v="AX471565791"/>
    <d v="2026-03-21T00:00:00"/>
    <d v="2026-03-26T00:00:00"/>
    <s v="BRANDWATCH LTD"/>
    <s v="5734"/>
    <s v="Software"/>
    <n v="210.57"/>
    <s v="Corporate Amex"/>
    <m/>
    <s v="Y"/>
    <s v="Software"/>
    <s v="MATCH"/>
    <x v="3"/>
  </r>
  <r>
    <s v="EXP101554"/>
    <s v="E072"/>
    <m/>
    <d v="2026-03-25T00:00:00"/>
    <d v="2026-03-26T00:00:00"/>
    <s v="MARRIOTT #4471"/>
    <s v="7011"/>
    <s v="Lodging"/>
    <n v="408.61"/>
    <s v="Personal (Reimbursement)"/>
    <s v="Forgot corporate card"/>
    <s v="Y"/>
    <s v="Lodging"/>
    <s v="MATCH"/>
    <x v="2"/>
  </r>
  <r>
    <s v="EXP101555"/>
    <s v="E065"/>
    <s v="AX-961261915"/>
    <d v="2026-03-26T00:00:00"/>
    <d v="2026-03-26T00:00:00"/>
    <s v=" MARRIOTT #4471"/>
    <s v="7011"/>
    <s v="Lodging"/>
    <n v="188.23"/>
    <s v="Corporate Amex"/>
    <m/>
    <s v="Y"/>
    <s v="Lodging"/>
    <s v="MATCH"/>
    <x v="0"/>
  </r>
  <r>
    <s v="EXP101556"/>
    <s v="E210"/>
    <m/>
    <d v="2026-03-17T00:00:00"/>
    <d v="2026-03-26T00:00:00"/>
    <s v="AMC THEATRES 0021"/>
    <s v="7832"/>
    <s v="Entertainment"/>
    <n v="51.77"/>
    <s v="Personal (Reimbursement)"/>
    <s v="Amex declined - vendor doesn't accept Amex"/>
    <s v="Y"/>
    <s v="Entertainment"/>
    <s v="MATCH"/>
    <x v="4"/>
  </r>
  <r>
    <s v="EXP101557"/>
    <s v="E017"/>
    <s v="AX 302783537"/>
    <d v="2026-03-26T00:00:00"/>
    <d v="2026-03-26T00:00:00"/>
    <s v="BRANDWATCH LTD"/>
    <s v="5734"/>
    <s v="Software"/>
    <n v="361.42"/>
    <s v="Corporate Amex"/>
    <m/>
    <s v="Y"/>
    <s v="Software"/>
    <s v="MATCH"/>
    <x v="0"/>
  </r>
  <r>
    <s v="EXP101558"/>
    <s v="E056"/>
    <s v="AX446274223"/>
    <d v="2026-03-24T00:00:00"/>
    <d v="2026-03-26T00:00:00"/>
    <s v="YELLOW CAB CO"/>
    <s v="4121"/>
    <s v="Transportation"/>
    <n v="12.01"/>
    <s v="Corporate Amex"/>
    <m/>
    <s v="Y"/>
    <s v="Transportation"/>
    <s v="MATCH"/>
    <x v="0"/>
  </r>
  <r>
    <s v="EXP101559"/>
    <s v="E034"/>
    <m/>
    <d v="2026-03-19T00:00:00"/>
    <d v="2026-03-26T00:00:00"/>
    <s v="MARRIOTT #4471"/>
    <s v="7011"/>
    <s v="Lodging"/>
    <n v="193.46"/>
    <s v="Corporate Amex"/>
    <m/>
    <s v="Y"/>
    <s v="Lodging"/>
    <s v="MATCH"/>
    <x v="0"/>
  </r>
  <r>
    <s v="EXP101560"/>
    <s v="E254"/>
    <s v="AX143938980"/>
    <d v="2026-03-21T00:00:00"/>
    <d v="2026-03-27T00:00:00"/>
    <s v="REGION CATERING CO"/>
    <s v="5811"/>
    <s v="Events"/>
    <n v="317.88"/>
    <s v="Corporate Amex"/>
    <m/>
    <s v="Y"/>
    <s v="Events"/>
    <s v="MATCH"/>
    <x v="8"/>
  </r>
  <r>
    <s v="EXP101561"/>
    <s v="E003"/>
    <s v="AX856704457"/>
    <d v="2026-03-26T00:00:00"/>
    <d v="2026-03-27T00:00:00"/>
    <s v="SQ *JOES COFFEE"/>
    <s v="5812"/>
    <s v="Meals"/>
    <n v="24.09"/>
    <s v="Corporate Amex"/>
    <m/>
    <s v="Y"/>
    <s v="Meals"/>
    <s v="MATCH"/>
    <x v="0"/>
  </r>
  <r>
    <s v="EXP101562"/>
    <s v="E057"/>
    <s v="ax797166729"/>
    <d v="2026-03-21T00:00:00"/>
    <d v="2026-03-27T00:00:00"/>
    <s v="TOTAL PARTY RENTAL"/>
    <s v="7999"/>
    <s v="Events"/>
    <n v="299.39"/>
    <s v="Corporate Amex"/>
    <m/>
    <s v="N"/>
    <s v="Events"/>
    <s v="MATCH"/>
    <x v="0"/>
  </r>
  <r>
    <s v="EXP101563"/>
    <s v="E173"/>
    <s v="AX 291662655"/>
    <d v="2026-03-24T00:00:00"/>
    <d v="2026-03-27T00:00:00"/>
    <s v="YELLOW CAB CO"/>
    <s v="4121"/>
    <s v="Transportation"/>
    <n v="28.5"/>
    <s v="Corporate Amex"/>
    <m/>
    <s v="Y"/>
    <s v="Transportation"/>
    <s v="MATCH"/>
    <x v="6"/>
  </r>
  <r>
    <s v="EXP101564"/>
    <s v="E185"/>
    <s v="ax189471998"/>
    <d v="2026-03-18T00:00:00"/>
    <d v="2026-03-27T00:00:00"/>
    <s v="TOPGOLF #442"/>
    <s v="7997"/>
    <s v="Entertainment"/>
    <n v="124.41"/>
    <s v="Corporate Amex"/>
    <m/>
    <s v="Y"/>
    <s v="Entertainment"/>
    <s v="MATCH"/>
    <x v="5"/>
  </r>
  <r>
    <s v="EXP101565"/>
    <s v="E061"/>
    <s v="ax123682647"/>
    <d v="2026-03-21T00:00:00"/>
    <d v="2026-03-27T00:00:00"/>
    <s v="UBER TRIP HELP.UBER"/>
    <s v="4121"/>
    <s v="Transportation"/>
    <n v="64.16"/>
    <s v="Corporate Amex"/>
    <m/>
    <s v="Y"/>
    <s v="Transportation"/>
    <s v="MATCH"/>
    <x v="0"/>
  </r>
  <r>
    <s v="EXP101567"/>
    <s v="E137"/>
    <m/>
    <d v="2026-03-25T00:00:00"/>
    <d v="2026-03-27T00:00:00"/>
    <s v="SQ *JOES COFFEE"/>
    <s v="5812"/>
    <s v="Meals"/>
    <n v="24.64"/>
    <s v="Corporate Amex"/>
    <m/>
    <s v="Y"/>
    <s v="Meals"/>
    <s v="MATCH"/>
    <x v="7"/>
  </r>
  <r>
    <s v="EXP101568"/>
    <s v="E039"/>
    <s v="AX272067087"/>
    <d v="2026-03-18T00:00:00"/>
    <d v="2026-03-27T00:00:00"/>
    <s v="LYFT RIDE THU"/>
    <s v="4121"/>
    <s v="Transportation"/>
    <n v="39.950000000000003"/>
    <s v="Corporate Amex"/>
    <m/>
    <s v="Y"/>
    <s v="Transportation"/>
    <s v="MATCH"/>
    <x v="0"/>
  </r>
  <r>
    <s v="EXP101569"/>
    <s v="E011"/>
    <m/>
    <d v="2026-03-21T00:00:00"/>
    <d v="2026-03-27T00:00:00"/>
    <s v="SQ *THE CORNER BISTRO"/>
    <s v="5812"/>
    <s v="Meals"/>
    <n v="64.83"/>
    <s v="Corporate Amex"/>
    <m/>
    <s v="Y"/>
    <s v="Meals"/>
    <s v="MATCH"/>
    <x v="0"/>
  </r>
  <r>
    <s v="EXP101570"/>
    <s v="E037"/>
    <s v="AX749638513"/>
    <d v="2026-03-24T00:00:00"/>
    <d v="2026-03-27T00:00:00"/>
    <s v="UBER TRIP HELP.UBER"/>
    <s v="4121"/>
    <s v="Transportation"/>
    <n v="16.059999999999999"/>
    <s v="Corporate Amex"/>
    <m/>
    <s v="Y"/>
    <s v="Transportation"/>
    <s v="MATCH"/>
    <x v="0"/>
  </r>
  <r>
    <s v="EXP101571"/>
    <s v="E044"/>
    <s v="AX241219281"/>
    <d v="2026-03-17T00:00:00"/>
    <d v="2026-03-27T00:00:00"/>
    <s v="MICROSOFT*365"/>
    <s v="5734"/>
    <s v="Software"/>
    <n v="24.26"/>
    <s v="Corporate Amex"/>
    <m/>
    <s v="Y"/>
    <s v="Software"/>
    <s v="MATCH"/>
    <x v="0"/>
  </r>
  <r>
    <s v="EXP101572"/>
    <s v="E126"/>
    <s v="AX 480031388"/>
    <d v="2026-03-19T00:00:00"/>
    <d v="2026-03-27T00:00:00"/>
    <s v="LYFT RIDE THU"/>
    <s v="4121"/>
    <s v="Transportation"/>
    <n v="28.44"/>
    <s v="Corporate Amex"/>
    <m/>
    <s v="Y"/>
    <s v="Transportation"/>
    <s v="MATCH"/>
    <x v="7"/>
  </r>
  <r>
    <s v="EXP101573"/>
    <s v="E267"/>
    <m/>
    <d v="2026-03-19T00:00:00"/>
    <d v="2026-03-28T00:00:00"/>
    <s v="AMC THEATRES 0021"/>
    <s v="7832"/>
    <s v="Entertainment"/>
    <n v="27.24"/>
    <s v="Corporate Amex"/>
    <m/>
    <s v="Y"/>
    <s v="Entertainment"/>
    <s v="MATCH"/>
    <x v="3"/>
  </r>
  <r>
    <s v="EXP101574"/>
    <s v="E025"/>
    <m/>
    <d v="2026-03-20T00:00:00"/>
    <d v="2026-03-28T00:00:00"/>
    <s v="SQ *THE CORNER BISTRO"/>
    <s v="5812"/>
    <s v="Meals"/>
    <n v="67.44"/>
    <s v="Personal (Reimbursement)"/>
    <s v="Forgot corporate card"/>
    <s v="Y"/>
    <s v="Meals"/>
    <s v="MATCH"/>
    <x v="0"/>
  </r>
  <r>
    <s v="EXP101575"/>
    <s v="E078"/>
    <s v="AX-585634777"/>
    <d v="2026-03-18T00:00:00"/>
    <d v="2026-03-28T00:00:00"/>
    <s v="EVENTBRITE"/>
    <s v="7999"/>
    <s v="Events"/>
    <n v="54.38"/>
    <s v="Corporate Amex"/>
    <m/>
    <s v="Y"/>
    <s v="Events"/>
    <s v="MATCH"/>
    <x v="2"/>
  </r>
  <r>
    <s v="EXP101576"/>
    <s v="E021"/>
    <m/>
    <d v="2026-03-19T00:00:00"/>
    <d v="2026-03-28T00:00:00"/>
    <s v=" REGION CATERING CO"/>
    <s v="5811"/>
    <s v="Events"/>
    <n v="674.39"/>
    <s v="Corporate Amex"/>
    <m/>
    <s v="Y"/>
    <s v="Events"/>
    <s v="MATCH"/>
    <x v="0"/>
  </r>
  <r>
    <s v="EXP101577"/>
    <s v="E266"/>
    <s v="ax334237106"/>
    <d v="2026-03-19T00:00:00"/>
    <d v="2026-03-28T00:00:00"/>
    <s v="STARBUCKS #4471"/>
    <s v="5812"/>
    <s v="Meals"/>
    <n v="17.579999999999998"/>
    <s v="Corporate Amex"/>
    <m/>
    <s v="N"/>
    <s v="Meals"/>
    <s v="MATCH"/>
    <x v="3"/>
  </r>
  <r>
    <s v="EXP101578"/>
    <s v="E030"/>
    <s v="AX 613702903"/>
    <d v="2026-03-22T00:00:00"/>
    <d v="2026-03-28T00:00:00"/>
    <s v="SOUTHWEST AIR 5261823"/>
    <s v="4511"/>
    <s v="Travel"/>
    <n v="270.01"/>
    <s v="Corporate Amex"/>
    <m/>
    <s v="Y"/>
    <s v="Travel"/>
    <s v="MATCH"/>
    <x v="0"/>
  </r>
  <r>
    <s v="EXP101579"/>
    <s v="E183"/>
    <m/>
    <d v="2026-03-20T00:00:00"/>
    <d v="2026-03-28T00:00:00"/>
    <s v="SPROUT SOCIAL"/>
    <s v="5734"/>
    <s v="Software"/>
    <n v="136.38999999999999"/>
    <s v="Corporate Amex"/>
    <m/>
    <s v="N"/>
    <s v="Software"/>
    <s v="MATCH"/>
    <x v="5"/>
  </r>
  <r>
    <s v="EXP101580"/>
    <s v="E017"/>
    <s v="AX288426827"/>
    <d v="2026-03-21T00:00:00"/>
    <d v="2026-03-28T00:00:00"/>
    <s v="ZOOM.US"/>
    <s v="5734"/>
    <s v="Lodging"/>
    <n v="37.69"/>
    <s v="Corporate Amex"/>
    <m/>
    <s v="Y"/>
    <s v="Software"/>
    <s v="MISMATCH"/>
    <x v="0"/>
  </r>
  <r>
    <s v="EXP101581"/>
    <s v="E027"/>
    <s v="AX941377852"/>
    <d v="2026-03-19T00:00:00"/>
    <d v="2026-03-28T00:00:00"/>
    <s v="YELLOW CAB CO"/>
    <s v="4121"/>
    <s v="Transportation"/>
    <n v="33.340000000000003"/>
    <s v="Corporate Amex"/>
    <m/>
    <s v="Y"/>
    <s v="Transportation"/>
    <s v="MATCH"/>
    <x v="0"/>
  </r>
  <r>
    <s v="EXP101582"/>
    <s v="E119"/>
    <s v="AX-586084984"/>
    <d v="2026-03-19T00:00:00"/>
    <d v="2026-03-28T00:00:00"/>
    <s v="TOTAL PARTY RENTAL"/>
    <s v="7999"/>
    <s v="Events"/>
    <n v="282.2"/>
    <s v="Corporate Amex"/>
    <m/>
    <s v="Y"/>
    <s v="Events"/>
    <s v="MATCH"/>
    <x v="7"/>
  </r>
  <r>
    <s v="EXP101583"/>
    <s v="E187"/>
    <s v="ax777790639"/>
    <d v="2026-03-22T00:00:00"/>
    <d v="2026-03-28T00:00:00"/>
    <s v="DELTA AIR 00623891045"/>
    <s v="4511"/>
    <s v="Travel"/>
    <n v="412.76"/>
    <s v="Corporate Amex"/>
    <m/>
    <s v="Y"/>
    <s v="Travel"/>
    <s v="MATCH"/>
    <x v="5"/>
  </r>
  <r>
    <s v="EXP101584"/>
    <s v="E271"/>
    <s v="AX 469717267"/>
    <d v="2026-03-26T00:00:00"/>
    <d v="2026-03-28T00:00:00"/>
    <s v="MICROSOFT*365"/>
    <s v="5734"/>
    <s v="Software"/>
    <n v="59.31"/>
    <s v="Corporate Amex"/>
    <m/>
    <s v="Y"/>
    <s v="Software"/>
    <s v="MATCH"/>
    <x v="3"/>
  </r>
  <r>
    <s v="EXP101585"/>
    <s v="E067"/>
    <s v="ax298600411"/>
    <d v="2026-03-28T00:00:00"/>
    <d v="2026-03-28T00:00:00"/>
    <s v="UNITED AIRLINES 0162233"/>
    <s v="4511"/>
    <s v="Travel"/>
    <n v="559.84"/>
    <s v="Corporate Amex"/>
    <m/>
    <s v="N"/>
    <s v="Travel"/>
    <s v="MATCH"/>
    <x v="0"/>
  </r>
  <r>
    <s v="EXP101586"/>
    <s v="E060"/>
    <s v="AX370782566"/>
    <d v="2026-03-21T00:00:00"/>
    <d v="2026-03-28T00:00:00"/>
    <s v="OLIVE GARDEN 00456"/>
    <s v="5812"/>
    <m/>
    <n v="79.099999999999994"/>
    <s v="Corporate Amex"/>
    <m/>
    <s v="Y"/>
    <s v="Meals"/>
    <s v="BLANK"/>
    <x v="0"/>
  </r>
  <r>
    <s v="EXP101587"/>
    <s v="E034"/>
    <s v="AX-608788428"/>
    <d v="2026-03-25T00:00:00"/>
    <d v="2026-03-28T00:00:00"/>
    <s v="OLIVE GARDEN 00456"/>
    <s v="5812"/>
    <s v="Meals"/>
    <n v="139.76"/>
    <s v="Corporate Amex"/>
    <m/>
    <s v="Y"/>
    <s v="Meals"/>
    <s v="MATCH"/>
    <x v="0"/>
  </r>
  <r>
    <s v="EXP101588"/>
    <s v="E034"/>
    <s v="AX-313246625"/>
    <d v="2026-03-19T00:00:00"/>
    <d v="2026-03-28T00:00:00"/>
    <s v="AMAZON MKTPLACE PMTS"/>
    <s v="5942"/>
    <s v="Office Supplies"/>
    <n v="62.09"/>
    <s v="Corporate Amex"/>
    <m/>
    <s v="Y"/>
    <s v="Office Supplies"/>
    <s v="MATCH"/>
    <x v="0"/>
  </r>
  <r>
    <s v="EXP101590"/>
    <s v="E041"/>
    <m/>
    <d v="2026-03-25T00:00:00"/>
    <d v="2026-03-28T00:00:00"/>
    <s v="AMC THEATRES 0021"/>
    <s v="7832"/>
    <s v="Entertainment"/>
    <n v="56.52"/>
    <s v="Corporate Amex"/>
    <m/>
    <s v="Y"/>
    <s v="Entertainment"/>
    <s v="MATCH"/>
    <x v="0"/>
  </r>
  <r>
    <s v="EXP101591"/>
    <s v="E055"/>
    <s v="AX324199495"/>
    <d v="2026-03-21T00:00:00"/>
    <d v="2026-03-28T00:00:00"/>
    <s v="HOOTSUITE INC"/>
    <s v="5734"/>
    <s v="Software"/>
    <n v="174.65"/>
    <s v="Corporate Amex"/>
    <m/>
    <s v="Y"/>
    <s v="Software"/>
    <s v="MATCH"/>
    <x v="0"/>
  </r>
  <r>
    <s v="EXP101592"/>
    <s v="E249"/>
    <s v="AX757466857"/>
    <d v="2026-03-24T00:00:00"/>
    <d v="2026-03-28T00:00:00"/>
    <s v="MARRIOTT #4471"/>
    <s v="7011"/>
    <s v="Lodging"/>
    <n v="275.7"/>
    <s v="Corporate Amex"/>
    <m/>
    <s v="N"/>
    <s v="Lodging"/>
    <s v="MATCH"/>
    <x v="1"/>
  </r>
  <r>
    <s v="EXP101593"/>
    <s v="E107"/>
    <m/>
    <d v="2026-03-21T00:00:00"/>
    <d v="2026-03-28T00:00:00"/>
    <s v="HYATT REGENCY BOS"/>
    <s v="7011"/>
    <s v="Lodging"/>
    <n v="233.44"/>
    <s v="Corporate Amex"/>
    <m/>
    <s v="N"/>
    <s v="Lodging"/>
    <s v="MATCH"/>
    <x v="2"/>
  </r>
  <r>
    <s v="EXP101594"/>
    <s v="E107"/>
    <s v="AX 199975410"/>
    <d v="2026-03-28T00:00:00"/>
    <d v="2026-03-28T00:00:00"/>
    <s v="REGION CATERING CO"/>
    <s v="5811"/>
    <s v="Events"/>
    <n v="549.08000000000004"/>
    <s v="Corporate Amex"/>
    <m/>
    <s v="Y"/>
    <s v="Events"/>
    <s v="MATCH"/>
    <x v="2"/>
  </r>
  <r>
    <s v="EXP101595"/>
    <s v="E127"/>
    <s v="AX 466290060"/>
    <d v="2026-03-18T00:00:00"/>
    <d v="2026-03-28T00:00:00"/>
    <s v="SQ *THE CORNER BISTRO"/>
    <s v="5812"/>
    <s v="Meals"/>
    <n v="43.17"/>
    <s v="Corporate Amex"/>
    <m/>
    <s v="Y"/>
    <s v="Meals"/>
    <s v="MATCH"/>
    <x v="7"/>
  </r>
  <r>
    <s v="EXP101596"/>
    <s v="E064"/>
    <s v="AX533492286"/>
    <d v="2026-03-27T00:00:00"/>
    <d v="2026-03-28T00:00:00"/>
    <s v="HYATT REGENCY BOS"/>
    <s v="7011"/>
    <s v="Lodging"/>
    <n v="219.42"/>
    <s v="Corporate Amex"/>
    <m/>
    <s v="Y"/>
    <s v="Lodging"/>
    <s v="MATCH"/>
    <x v="0"/>
  </r>
  <r>
    <s v="EXP101597"/>
    <s v="E054"/>
    <s v="AX 402139635"/>
    <d v="2026-03-24T00:00:00"/>
    <d v="2026-03-29T00:00:00"/>
    <s v="ZOOM.US"/>
    <s v="5734"/>
    <s v="Software"/>
    <n v="24.34"/>
    <s v="Corporate Amex"/>
    <m/>
    <s v="Y"/>
    <s v="Software"/>
    <s v="MATCH"/>
    <x v="0"/>
  </r>
  <r>
    <s v="EXP101598"/>
    <s v="E040"/>
    <s v="ax494650050"/>
    <d v="2026-03-21T00:00:00"/>
    <d v="2026-03-29T00:00:00"/>
    <s v="AMAZON MKTPLACE PMTS"/>
    <s v="5942"/>
    <s v="Office Supplies"/>
    <n v="345.41"/>
    <s v="Corporate Amex"/>
    <m/>
    <s v="Y"/>
    <s v="Office Supplies"/>
    <s v="MATCH"/>
    <x v="0"/>
  </r>
  <r>
    <s v="EXP101599"/>
    <s v="E032"/>
    <s v="AX269657403"/>
    <d v="2026-03-26T00:00:00"/>
    <d v="2026-03-29T00:00:00"/>
    <s v="SQ *JOES COFFEE"/>
    <s v="5812"/>
    <s v="Meals"/>
    <n v="21.25"/>
    <s v="Corporate Amex"/>
    <m/>
    <s v="Y"/>
    <s v="Meals"/>
    <s v="MATCH"/>
    <x v="0"/>
  </r>
  <r>
    <s v="EXP101600"/>
    <s v="E057"/>
    <s v="AX-259461261"/>
    <d v="2026-03-19T00:00:00"/>
    <d v="2026-03-29T00:00:00"/>
    <s v="STARBUCKS #4471"/>
    <s v="5812"/>
    <s v="Travel"/>
    <n v="15.48"/>
    <s v="Corporate Amex"/>
    <m/>
    <s v="Y"/>
    <s v="Meals"/>
    <s v="MISMATCH"/>
    <x v="0"/>
  </r>
  <r>
    <s v="EXP101601"/>
    <s v="E053"/>
    <s v="AX-217648298"/>
    <d v="2026-03-27T00:00:00"/>
    <d v="2026-03-29T00:00:00"/>
    <s v="HOOTSUITE INC"/>
    <s v="5734"/>
    <s v="Software"/>
    <n v="59.38"/>
    <s v="Corporate Amex"/>
    <m/>
    <s v="Y"/>
    <s v="Software"/>
    <s v="MATCH"/>
    <x v="0"/>
  </r>
  <r>
    <s v="EXP101602"/>
    <s v="E027"/>
    <s v="AX569726100"/>
    <d v="2026-03-19T00:00:00"/>
    <d v="2026-03-29T00:00:00"/>
    <s v="HILTON GARDEN INN 2231"/>
    <s v="7011"/>
    <s v="Lodging"/>
    <n v="191.35"/>
    <s v="Corporate Amex"/>
    <m/>
    <s v="Y"/>
    <s v="Lodging"/>
    <s v="MATCH"/>
    <x v="0"/>
  </r>
  <r>
    <s v="EXP101603"/>
    <s v="E127"/>
    <s v="ax114029684"/>
    <d v="2026-03-21T00:00:00"/>
    <d v="2026-03-29T00:00:00"/>
    <s v="ZOOM.US"/>
    <s v="5734"/>
    <s v="Software"/>
    <n v="16.72"/>
    <s v="Corporate Amex"/>
    <m/>
    <s v="Y"/>
    <s v="Software"/>
    <s v="MATCH"/>
    <x v="7"/>
  </r>
  <r>
    <s v="EXP101604"/>
    <s v="E017"/>
    <s v="AX590720902"/>
    <d v="2026-03-20T00:00:00"/>
    <d v="2026-03-29T00:00:00"/>
    <s v="MICROSOFT*365"/>
    <s v="5734"/>
    <m/>
    <n v="36.729999999999997"/>
    <s v="Corporate Amex"/>
    <m/>
    <s v="Y"/>
    <s v="Software"/>
    <s v="BLANK"/>
    <x v="0"/>
  </r>
  <r>
    <s v="EXP101605"/>
    <s v="E038"/>
    <s v="AX869733230"/>
    <d v="2026-03-25T00:00:00"/>
    <d v="2026-03-29T00:00:00"/>
    <s v="CHIPOTLE 2214"/>
    <s v="5812"/>
    <s v="Meals"/>
    <n v="11.9"/>
    <s v="Corporate Amex"/>
    <m/>
    <s v="Y"/>
    <s v="Meals"/>
    <s v="MATCH"/>
    <x v="0"/>
  </r>
  <r>
    <s v="EXP101606"/>
    <s v="E146"/>
    <s v="AX880228923"/>
    <d v="2026-03-27T00:00:00"/>
    <d v="2026-03-29T00:00:00"/>
    <s v="HYATT REGENCY BOS"/>
    <s v="7011"/>
    <s v="Lodging"/>
    <n v="203.19"/>
    <s v="Corporate Amex"/>
    <m/>
    <s v="Y"/>
    <s v="Lodging"/>
    <s v="MATCH"/>
    <x v="7"/>
  </r>
  <r>
    <s v="EXP101607"/>
    <s v="E045"/>
    <s v="AX991883658"/>
    <d v="2026-03-22T00:00:00"/>
    <d v="2026-03-29T00:00:00"/>
    <s v="MARRIOTT #4471"/>
    <s v="7011"/>
    <s v="Lodging"/>
    <n v="145.33000000000001"/>
    <s v="Corporate Amex"/>
    <m/>
    <s v="Y"/>
    <s v="Lodging"/>
    <s v="MATCH"/>
    <x v="0"/>
  </r>
  <r>
    <s v="EXP101608"/>
    <s v="E028"/>
    <s v="AX-387158106"/>
    <d v="2026-03-27T00:00:00"/>
    <d v="2026-03-29T00:00:00"/>
    <s v="BRANDWATCH LTD"/>
    <s v="5734"/>
    <s v="Software"/>
    <n v="432.64"/>
    <s v="Corporate Amex"/>
    <m/>
    <s v="Y"/>
    <s v="Software"/>
    <s v="MATCH"/>
    <x v="0"/>
  </r>
  <r>
    <s v="EXP101609"/>
    <s v="E044"/>
    <s v="ax750639656"/>
    <d v="2026-03-19T00:00:00"/>
    <d v="2026-03-29T00:00:00"/>
    <s v="AMC THEATRES 0021"/>
    <s v="7832"/>
    <s v="Entertainment"/>
    <n v="21.18"/>
    <s v="Corporate Amex"/>
    <m/>
    <s v="Y"/>
    <s v="Entertainment"/>
    <s v="MATCH"/>
    <x v="0"/>
  </r>
  <r>
    <s v="EXP101610"/>
    <s v="E029"/>
    <s v="AX333953720"/>
    <d v="2026-03-29T00:00:00"/>
    <d v="2026-03-29T00:00:00"/>
    <s v="BRANDWATCH LTD"/>
    <s v="5734"/>
    <s v="Software"/>
    <n v="474.42"/>
    <s v="Corporate Amex"/>
    <m/>
    <s v="N"/>
    <s v="Software"/>
    <s v="MATCH"/>
    <x v="0"/>
  </r>
  <r>
    <s v="EXP101611"/>
    <s v="E255"/>
    <s v="AX834394354"/>
    <d v="2026-03-19T00:00:00"/>
    <d v="2026-03-29T00:00:00"/>
    <s v="SPROUT SOCIAL"/>
    <s v="5734"/>
    <s v="Software"/>
    <n v="95.37"/>
    <s v="Corporate Amex"/>
    <m/>
    <s v="Y"/>
    <s v="Software"/>
    <s v="MATCH"/>
    <x v="8"/>
  </r>
  <r>
    <s v="EXP101612"/>
    <s v="E066"/>
    <s v="ax148239446"/>
    <d v="2026-03-26T00:00:00"/>
    <d v="2026-03-29T00:00:00"/>
    <s v="HYATT REGENCY BOS"/>
    <s v="7011"/>
    <s v="Lodging"/>
    <n v="394.53"/>
    <s v="Corporate Amex"/>
    <m/>
    <s v="Y"/>
    <s v="Lodging"/>
    <s v="MATCH"/>
    <x v="0"/>
  </r>
  <r>
    <s v="EXP101613"/>
    <s v="E070"/>
    <s v="AX-250599511"/>
    <d v="2026-03-26T00:00:00"/>
    <d v="2026-03-29T00:00:00"/>
    <s v="SQ *THE CORNER BISTRO"/>
    <s v="5812"/>
    <s v="Meals"/>
    <n v="38.96"/>
    <s v="Corporate Amex"/>
    <m/>
    <s v="Y"/>
    <s v="Meals"/>
    <s v="MATCH"/>
    <x v="0"/>
  </r>
  <r>
    <s v="EXP101614"/>
    <s v="E063"/>
    <s v="AX897362297"/>
    <d v="2026-03-27T00:00:00"/>
    <d v="2026-03-30T00:00:00"/>
    <s v="MARRIOTT #4471"/>
    <s v="7011"/>
    <s v="Lodging"/>
    <n v="301.98"/>
    <s v="Corporate Amex"/>
    <m/>
    <s v="Y"/>
    <s v="Lodging"/>
    <s v="MATCH"/>
    <x v="0"/>
  </r>
  <r>
    <s v="EXP101615"/>
    <s v="E032"/>
    <m/>
    <d v="2026-03-28T00:00:00"/>
    <d v="2026-03-30T00:00:00"/>
    <s v="OLIVE GARDEN 00456"/>
    <s v="5812"/>
    <s v="Meals"/>
    <n v="139.43"/>
    <s v="Corporate Amex"/>
    <m/>
    <s v="Y"/>
    <s v="Meals"/>
    <s v="MATCH"/>
    <x v="0"/>
  </r>
  <r>
    <s v="EXP101616"/>
    <s v="E006"/>
    <s v="AX535728903"/>
    <d v="2026-03-23T00:00:00"/>
    <d v="2026-03-30T00:00:00"/>
    <s v="AMAZON MKTPLACE PMTS"/>
    <s v="5942"/>
    <s v="Office Supplies"/>
    <n v="97.86"/>
    <s v="Corporate Amex"/>
    <m/>
    <s v="Y"/>
    <s v="Office Supplies"/>
    <s v="MATCH"/>
    <x v="0"/>
  </r>
  <r>
    <s v="EXP101617"/>
    <s v="E142"/>
    <s v="ax901895431"/>
    <d v="2026-03-25T00:00:00"/>
    <d v="2026-03-30T00:00:00"/>
    <s v="AMAZON MKTPLACE PMTS"/>
    <s v="5942"/>
    <s v="Travel"/>
    <n v="406.25"/>
    <s v="Corporate Amex"/>
    <m/>
    <s v="Y"/>
    <s v="Office Supplies"/>
    <s v="MISMATCH"/>
    <x v="7"/>
  </r>
  <r>
    <s v="EXP101618"/>
    <s v="E020"/>
    <s v="AX-288802278"/>
    <d v="2026-03-28T00:00:00"/>
    <d v="2026-03-30T00:00:00"/>
    <s v="UNITED AIRLINES 0162233"/>
    <s v="4511"/>
    <s v="Travel"/>
    <n v="288.14999999999998"/>
    <s v="Corporate Amex"/>
    <m/>
    <s v="Y"/>
    <s v="Travel"/>
    <s v="MATCH"/>
    <x v="0"/>
  </r>
  <r>
    <s v="EXP101619"/>
    <s v="E066"/>
    <s v="AX783145941"/>
    <d v="2026-03-25T00:00:00"/>
    <d v="2026-03-30T00:00:00"/>
    <s v="AMC THEATRES 0021"/>
    <s v="7832"/>
    <s v="Entertainment"/>
    <n v="34.950000000000003"/>
    <s v="Corporate Amex"/>
    <m/>
    <s v="Y"/>
    <s v="Entertainment"/>
    <s v="MATCH"/>
    <x v="0"/>
  </r>
  <r>
    <s v="EXP101620"/>
    <s v="E197"/>
    <s v="AX520281533"/>
    <d v="2026-03-30T00:00:00"/>
    <d v="2026-03-30T00:00:00"/>
    <s v="UBER TRIP HELP.UBER"/>
    <s v="4121"/>
    <s v="Transportation"/>
    <n v="25.96"/>
    <s v="Corporate Amex"/>
    <m/>
    <s v="Y"/>
    <s v="Transportation"/>
    <s v="MATCH"/>
    <x v="5"/>
  </r>
  <r>
    <s v="EXP101621"/>
    <s v="E010"/>
    <s v="AX734030208"/>
    <d v="2026-03-25T00:00:00"/>
    <d v="2026-03-30T00:00:00"/>
    <s v="SQ *THE CORNER BISTRO"/>
    <s v="5812"/>
    <s v="Meals"/>
    <n v="57.27"/>
    <s v="Corporate Amex"/>
    <m/>
    <s v="N"/>
    <s v="Meals"/>
    <s v="MATCH"/>
    <x v="0"/>
  </r>
  <r>
    <s v="EXP101622"/>
    <s v="E186"/>
    <s v="AX-934088870"/>
    <d v="2026-03-27T00:00:00"/>
    <d v="2026-03-30T00:00:00"/>
    <s v="HYATT REGENCY BOS"/>
    <s v="7011"/>
    <s v="Lodging"/>
    <n v="279.45"/>
    <s v="Corporate Amex"/>
    <m/>
    <s v="Y"/>
    <s v="Lodging"/>
    <s v="MATCH"/>
    <x v="5"/>
  </r>
  <r>
    <s v="EXP101623"/>
    <s v="E008"/>
    <s v="ax246278252"/>
    <d v="2026-03-30T00:00:00"/>
    <d v="2026-03-30T00:00:00"/>
    <s v="ZOOM.US"/>
    <s v="5734"/>
    <s v="Software"/>
    <n v="21.22"/>
    <s v="Corporate Amex"/>
    <m/>
    <s v="Y"/>
    <s v="Software"/>
    <s v="MATCH"/>
    <x v="0"/>
  </r>
  <r>
    <s v="EXP101624"/>
    <s v="E023"/>
    <s v="AX834692945"/>
    <d v="2026-03-22T00:00:00"/>
    <d v="2026-03-30T00:00:00"/>
    <s v="SQ *JOES COFFEE"/>
    <s v="5812"/>
    <s v="Meals"/>
    <n v="24.71"/>
    <s v="Corporate Amex"/>
    <m/>
    <s v="Y"/>
    <s v="Meals"/>
    <s v="MATCH"/>
    <x v="0"/>
  </r>
  <r>
    <s v="EXP101625"/>
    <s v="E053"/>
    <s v="AX891351513"/>
    <d v="2026-03-23T00:00:00"/>
    <d v="2026-03-30T00:00:00"/>
    <s v="ZOOM.US"/>
    <s v="5734"/>
    <s v="Software"/>
    <n v="57.01"/>
    <s v="Corporate Amex"/>
    <m/>
    <s v="Y"/>
    <s v="Software"/>
    <s v="MATCH"/>
    <x v="0"/>
  </r>
  <r>
    <s v="EXP101626"/>
    <s v="E193"/>
    <s v="AX577330914"/>
    <d v="2026-03-20T00:00:00"/>
    <d v="2026-03-30T00:00:00"/>
    <s v="MARRIOTT #4471"/>
    <s v="7011"/>
    <s v="Lodging"/>
    <n v="298.77"/>
    <s v="Corporate Amex"/>
    <m/>
    <s v="Y"/>
    <s v="Lodging"/>
    <s v="MATCH"/>
    <x v="5"/>
  </r>
  <r>
    <s v="EXP101627"/>
    <s v="E249"/>
    <s v="AX879980837"/>
    <d v="2026-03-23T00:00:00"/>
    <d v="2026-03-30T00:00:00"/>
    <s v="OLIVE GARDEN 00456"/>
    <s v="5812"/>
    <s v="  Meals "/>
    <n v="27.05"/>
    <s v="Corporate Amex"/>
    <m/>
    <s v="Y"/>
    <s v="Meals"/>
    <s v="MATCH"/>
    <x v="1"/>
  </r>
  <r>
    <s v="EXP101628"/>
    <s v="E050"/>
    <s v="AX666023710"/>
    <d v="2026-03-20T00:00:00"/>
    <d v="2026-03-30T00:00:00"/>
    <s v="OLIVE GARDEN 00456"/>
    <s v="5812"/>
    <s v="Meals"/>
    <n v="119.43"/>
    <s v="Corporate Amex"/>
    <m/>
    <s v="Y"/>
    <s v="Meals"/>
    <s v="MATCH"/>
    <x v="0"/>
  </r>
  <r>
    <s v="EXP101629"/>
    <s v="E021"/>
    <s v="AX 899600414"/>
    <d v="2026-03-26T00:00:00"/>
    <d v="2026-03-30T00:00:00"/>
    <s v="ADOBE *CREATIVE CLOUD"/>
    <s v="5734"/>
    <s v="Software"/>
    <n v="67.989999999999995"/>
    <s v="Corporate Amex"/>
    <m/>
    <s v="Y"/>
    <s v="Software"/>
    <s v="MATCH"/>
    <x v="0"/>
  </r>
  <r>
    <s v="EXP101630"/>
    <s v="E259"/>
    <s v="AX-822879067"/>
    <d v="2026-03-25T00:00:00"/>
    <d v="2026-03-30T00:00:00"/>
    <s v="HILTON GARDEN INN 2231"/>
    <s v="7011"/>
    <m/>
    <n v="156.11000000000001"/>
    <s v="Corporate Amex"/>
    <m/>
    <s v="N"/>
    <s v="Lodging"/>
    <s v="BLANK"/>
    <x v="8"/>
  </r>
  <r>
    <s v="EXP101631"/>
    <s v="E145"/>
    <s v="AX 346498062"/>
    <d v="2026-03-31T00:00:00"/>
    <d v="2026-03-31T00:00:00"/>
    <s v="TOTAL PARTY RENTAL"/>
    <s v="7999"/>
    <s v="Events"/>
    <n v="409.68"/>
    <s v="Corporate Amex"/>
    <m/>
    <s v="Y"/>
    <s v="Events"/>
    <s v="MATCH"/>
    <x v="7"/>
  </r>
  <r>
    <s v="EXP101632"/>
    <s v="E045"/>
    <s v="AX941959989"/>
    <d v="2026-03-24T00:00:00"/>
    <d v="2026-03-31T00:00:00"/>
    <s v="HILTON GARDEN INN 2231"/>
    <s v="7011"/>
    <s v="Lodging"/>
    <n v="218.11"/>
    <s v="Corporate Amex"/>
    <m/>
    <s v="Y"/>
    <s v="Lodging"/>
    <s v="MATCH"/>
    <x v="0"/>
  </r>
  <r>
    <s v="EXP101633"/>
    <s v="E141"/>
    <s v="AX-592413091"/>
    <d v="2026-03-26T00:00:00"/>
    <d v="2026-03-31T00:00:00"/>
    <s v="SPROUT SOCIAL"/>
    <s v="5734"/>
    <s v="Software"/>
    <n v="132.97999999999999"/>
    <s v="Corporate Amex"/>
    <m/>
    <s v="Y"/>
    <s v="Software"/>
    <s v="MATCH"/>
    <x v="7"/>
  </r>
  <r>
    <s v="EXP101634"/>
    <s v="E048"/>
    <s v="ax360066809"/>
    <d v="2026-03-31T00:00:00"/>
    <d v="2026-03-31T00:00:00"/>
    <s v="DELTA AIR 00623891045"/>
    <s v="4511"/>
    <m/>
    <n v="471.42"/>
    <s v="Corporate Amex"/>
    <m/>
    <s v="N"/>
    <s v="Travel"/>
    <s v="BLANK"/>
    <x v="0"/>
  </r>
  <r>
    <s v="EXP101635"/>
    <s v="E035"/>
    <s v="AX-698351820"/>
    <d v="2026-03-22T00:00:00"/>
    <d v="2026-03-31T00:00:00"/>
    <s v="SQ *THE CORNER BISTRO"/>
    <s v="5812"/>
    <s v="Meals"/>
    <n v="24.51"/>
    <s v="Corporate Amex"/>
    <m/>
    <s v="Y"/>
    <s v="Meals"/>
    <s v="MATCH"/>
    <x v="0"/>
  </r>
  <r>
    <s v="EXP101636"/>
    <s v="E012"/>
    <s v="AX380561612"/>
    <d v="2026-03-28T00:00:00"/>
    <d v="2026-03-31T00:00:00"/>
    <s v="TOPGOLF #442"/>
    <s v="7997"/>
    <s v="Entertainment"/>
    <n v="63.53"/>
    <s v="Corporate Amex"/>
    <m/>
    <s v="Y"/>
    <s v="Entertainment"/>
    <s v="MATCH"/>
    <x v="0"/>
  </r>
  <r>
    <s v="EXP101637"/>
    <s v="E271"/>
    <s v="AX-473643422"/>
    <d v="2026-03-22T00:00:00"/>
    <d v="2026-03-31T00:00:00"/>
    <s v="TOPGOLF #442"/>
    <s v="7997"/>
    <s v="Entertainment"/>
    <n v="215.03"/>
    <s v="Corporate Amex"/>
    <m/>
    <s v="Y"/>
    <s v="Entertainment"/>
    <s v="MATCH"/>
    <x v="3"/>
  </r>
  <r>
    <s v="EXP101638"/>
    <s v="E011"/>
    <s v="AX-994399770"/>
    <d v="2026-03-29T00:00:00"/>
    <d v="2026-03-31T00:00:00"/>
    <s v="HOOTSUITE INC"/>
    <s v="5734"/>
    <s v="Software"/>
    <n v="202.96"/>
    <s v="Corporate Amex"/>
    <m/>
    <s v="N"/>
    <s v="Software"/>
    <s v="MATCH"/>
    <x v="0"/>
  </r>
  <r>
    <s v="EXP101639"/>
    <s v="E257"/>
    <s v="AX-214743999"/>
    <d v="2026-03-30T00:00:00"/>
    <d v="2026-03-31T00:00:00"/>
    <s v="STAPLES #0231"/>
    <s v="5943"/>
    <s v="Office Supplies"/>
    <n v="159.28"/>
    <s v="Corporate Amex"/>
    <m/>
    <s v="Y"/>
    <s v="Office Supplies"/>
    <s v="MATCH"/>
    <x v="8"/>
  </r>
  <r>
    <s v="EXP101640"/>
    <s v="E019"/>
    <s v="AX-784080004"/>
    <d v="2026-03-31T00:00:00"/>
    <d v="2026-03-31T00:00:00"/>
    <s v="DELTA AIR 00623891045"/>
    <s v="4511"/>
    <s v="Travel"/>
    <n v="592.63"/>
    <s v="Corporate Amex"/>
    <m/>
    <s v="Y"/>
    <s v="Travel"/>
    <s v="MATCH"/>
    <x v="0"/>
  </r>
  <r>
    <s v="EXP101641"/>
    <s v="E018"/>
    <m/>
    <d v="2026-03-23T00:00:00"/>
    <d v="2026-03-31T00:00:00"/>
    <s v="HYATT REGENCY BOS"/>
    <s v="7011"/>
    <s v="Lodging"/>
    <n v="422.73"/>
    <s v="Corporate Amex"/>
    <m/>
    <s v="N"/>
    <s v="Lodging"/>
    <s v="MATCH"/>
    <x v="0"/>
  </r>
  <r>
    <s v="EXP101642"/>
    <s v="E263"/>
    <s v="ax717524808"/>
    <d v="2026-03-28T00:00:00"/>
    <d v="2026-03-31T00:00:00"/>
    <s v="REGION CATERING CO"/>
    <s v="5811"/>
    <s v="Events"/>
    <n v="228.58"/>
    <s v="Corporate Amex"/>
    <m/>
    <s v="N"/>
    <s v="Events"/>
    <s v="MATCH"/>
    <x v="3"/>
  </r>
  <r>
    <s v="EXP101643"/>
    <s v="E020"/>
    <s v="ax615015772"/>
    <d v="2026-03-31T00:00:00"/>
    <d v="2026-03-31T00:00:00"/>
    <s v="EVENTBRITE"/>
    <s v="7999"/>
    <s v="Events"/>
    <n v="235.14"/>
    <s v="Corporate Amex"/>
    <m/>
    <s v="Y"/>
    <s v="Events"/>
    <s v="MATCH"/>
    <x v="0"/>
  </r>
  <r>
    <s v="EXP101644"/>
    <s v="E061"/>
    <s v="AX261092010"/>
    <d v="2026-03-28T00:00:00"/>
    <d v="2026-03-31T00:00:00"/>
    <s v="SQ *THE CORNER BISTRO"/>
    <s v="5812"/>
    <s v="Lodging"/>
    <n v="81.19"/>
    <s v="Corporate Amex"/>
    <m/>
    <s v="Y"/>
    <s v="Meals"/>
    <s v="MISMATCH"/>
    <x v="0"/>
  </r>
  <r>
    <s v="EXP101645"/>
    <s v="E082"/>
    <s v="AX337759797"/>
    <d v="2026-03-24T00:00:00"/>
    <d v="2026-03-31T00:00:00"/>
    <s v="STAPLES #0231"/>
    <s v="5943"/>
    <m/>
    <n v="100.99"/>
    <s v="Corporate Amex"/>
    <m/>
    <s v="Y"/>
    <s v="Office Supplies"/>
    <s v="BLANK"/>
    <x v="2"/>
  </r>
  <r>
    <s v="EXP101646"/>
    <s v="E042"/>
    <s v="AX344752014"/>
    <d v="2026-03-30T00:00:00"/>
    <d v="2026-03-31T00:00:00"/>
    <s v="SOUTHWEST AIR 5261823"/>
    <s v="4511"/>
    <s v="Transportation"/>
    <n v="139.31"/>
    <s v="Corporate Amex"/>
    <m/>
    <s v="Y"/>
    <s v="Travel"/>
    <s v="MISMATCH"/>
    <x v="0"/>
  </r>
  <r>
    <s v="EXP101647"/>
    <s v="E036"/>
    <s v="AX502701121"/>
    <d v="2026-03-22T00:00:00"/>
    <d v="2026-03-31T00:00:00"/>
    <s v="LYFT RIDE THU"/>
    <s v="4121"/>
    <s v="Transportation"/>
    <n v="9.1199999999999992"/>
    <s v="Corporate Amex"/>
    <m/>
    <s v="Y"/>
    <s v="Transportation"/>
    <s v="MATCH"/>
    <x v="0"/>
  </r>
  <r>
    <s v="EXP101648"/>
    <s v="E096"/>
    <s v="ax289780382"/>
    <d v="2026-03-25T00:00:00"/>
    <d v="2026-03-31T00:00:00"/>
    <s v="SOUTHWEST AIR 5261823"/>
    <s v="4511"/>
    <s v="Travel"/>
    <n v="238.45"/>
    <s v="Corporate Amex"/>
    <m/>
    <s v="Y"/>
    <s v="Travel"/>
    <s v="MATCH"/>
    <x v="2"/>
  </r>
  <r>
    <s v="EXP101649"/>
    <s v="E010"/>
    <s v="AX582901264"/>
    <d v="2026-03-29T00:00:00"/>
    <d v="2026-04-01T00:00:00"/>
    <s v="BRANDWATCH LTD"/>
    <s v="5734"/>
    <s v="Office Supplies"/>
    <n v="475.52"/>
    <s v="Corporate Amex"/>
    <m/>
    <s v="Y"/>
    <s v="Software"/>
    <s v="MISMATCH"/>
    <x v="0"/>
  </r>
  <r>
    <s v="EXP101650"/>
    <s v="E016"/>
    <m/>
    <d v="2026-03-31T00:00:00"/>
    <d v="2026-04-01T00:00:00"/>
    <s v="OLIVE GARDEN 00456"/>
    <s v="5812"/>
    <m/>
    <n v="106.69"/>
    <s v="Personal (Reimbursement)"/>
    <s v="Card not yet issued"/>
    <s v="N"/>
    <s v="Meals"/>
    <s v="BLANK"/>
    <x v="0"/>
  </r>
  <r>
    <s v="EXP101651"/>
    <s v="E244"/>
    <s v="AX450969150"/>
    <d v="2026-04-01T00:00:00"/>
    <d v="2026-04-01T00:00:00"/>
    <s v="EVENTBRITE"/>
    <s v="7999"/>
    <s v="Events"/>
    <n v="108.15"/>
    <s v="Corporate Amex"/>
    <m/>
    <s v="Y"/>
    <s v="Events"/>
    <s v="MATCH"/>
    <x v="1"/>
  </r>
  <r>
    <s v="EXP101652"/>
    <s v="E101"/>
    <s v="AX-256130121"/>
    <d v="2026-03-30T00:00:00"/>
    <d v="2026-04-01T00:00:00"/>
    <s v="STARBUCKS #4471"/>
    <s v="5812"/>
    <s v="  Meals "/>
    <n v="12.55"/>
    <s v="Corporate Amex"/>
    <m/>
    <s v="Y"/>
    <s v="Meals"/>
    <s v="MATCH"/>
    <x v="2"/>
  </r>
  <r>
    <s v="EXP101653"/>
    <s v="E007"/>
    <s v="ax319727058"/>
    <d v="2026-03-23T00:00:00"/>
    <d v="2026-04-01T00:00:00"/>
    <s v="ZOOM.US"/>
    <s v="5734"/>
    <s v="Software"/>
    <n v="24.1"/>
    <s v="Corporate Amex"/>
    <m/>
    <s v="Y"/>
    <s v="Software"/>
    <s v="MATCH"/>
    <x v="0"/>
  </r>
  <r>
    <s v="EXP101654"/>
    <s v="E131"/>
    <s v="AX 135969805"/>
    <d v="2026-03-25T00:00:00"/>
    <d v="2026-04-01T00:00:00"/>
    <s v="CHIPOTLE 2214"/>
    <s v="5812"/>
    <s v="Meals"/>
    <n v="11.72"/>
    <s v="Corporate Amex"/>
    <m/>
    <s v="Y"/>
    <s v="Meals"/>
    <s v="MATCH"/>
    <x v="7"/>
  </r>
  <r>
    <s v="EXP101655"/>
    <s v="E115"/>
    <s v="AX948191637"/>
    <d v="2026-03-26T00:00:00"/>
    <d v="2026-04-01T00:00:00"/>
    <s v="SPROUT SOCIAL"/>
    <s v="5734"/>
    <s v="Software"/>
    <n v="128.46"/>
    <s v="Corporate Amex"/>
    <m/>
    <s v="Y"/>
    <s v="Software"/>
    <s v="MATCH"/>
    <x v="2"/>
  </r>
  <r>
    <s v="EXP101656"/>
    <s v="E064"/>
    <s v="AX425263064"/>
    <d v="2026-03-27T00:00:00"/>
    <d v="2026-04-01T00:00:00"/>
    <s v="AMAZON MKTPLACE PMTS"/>
    <s v="5942"/>
    <s v="Office Supplies"/>
    <n v="439.57"/>
    <s v="Corporate Amex"/>
    <m/>
    <s v="Y"/>
    <s v="Office Supplies"/>
    <s v="MATCH"/>
    <x v="0"/>
  </r>
  <r>
    <s v="EXP101657"/>
    <s v="E022"/>
    <m/>
    <d v="2026-03-27T00:00:00"/>
    <d v="2026-04-01T00:00:00"/>
    <s v="EVENTBRITE"/>
    <s v="7999"/>
    <m/>
    <n v="144.09"/>
    <s v="Personal (Reimbursement)"/>
    <s v="Card not yet issued"/>
    <s v="Y"/>
    <s v="Events"/>
    <s v="BLANK"/>
    <x v="0"/>
  </r>
  <r>
    <s v="EXP101658"/>
    <s v="E237"/>
    <s v="AX-328694630"/>
    <d v="2026-03-27T00:00:00"/>
    <d v="2026-04-01T00:00:00"/>
    <s v="SPROUT SOCIAL"/>
    <s v="5734"/>
    <m/>
    <n v="222.48"/>
    <s v="Corporate Amex"/>
    <m/>
    <s v="Y"/>
    <s v="Software"/>
    <s v="BLANK"/>
    <x v="1"/>
  </r>
  <r>
    <s v="EXP101659"/>
    <s v="E089"/>
    <s v="AX-521721398"/>
    <d v="2026-03-24T00:00:00"/>
    <d v="2026-04-01T00:00:00"/>
    <s v="DELTA AIR 00623891045"/>
    <s v="4511"/>
    <s v="Travel"/>
    <n v="625.88"/>
    <s v="Corporate Amex"/>
    <m/>
    <s v="Y"/>
    <s v="Travel"/>
    <s v="MATCH"/>
    <x v="2"/>
  </r>
  <r>
    <s v="EXP101660"/>
    <s v="E181"/>
    <s v="ax536490823"/>
    <d v="2026-03-26T00:00:00"/>
    <d v="2026-04-01T00:00:00"/>
    <s v="AMAZON MKTPLACE PMTS"/>
    <s v="5942"/>
    <s v="Office Supplies"/>
    <n v="160.88999999999999"/>
    <s v="Corporate Amex"/>
    <m/>
    <s v="Y"/>
    <s v="Office Supplies"/>
    <s v="MATCH"/>
    <x v="5"/>
  </r>
  <r>
    <s v="EXP101661"/>
    <s v="E098"/>
    <s v="AX-888583132"/>
    <d v="2026-03-25T00:00:00"/>
    <d v="2026-04-01T00:00:00"/>
    <s v="BRANDWATCH LTD"/>
    <s v="5734"/>
    <s v="Other"/>
    <n v="242.12"/>
    <s v="Corporate Amex"/>
    <m/>
    <s v="Y"/>
    <s v="Software"/>
    <s v="MISMATCH"/>
    <x v="2"/>
  </r>
  <r>
    <s v="EXP101662"/>
    <s v="E236"/>
    <s v="AX466297373"/>
    <d v="2026-03-29T00:00:00"/>
    <d v="2026-04-01T00:00:00"/>
    <s v="STARBUCKS #4471"/>
    <s v="5812"/>
    <s v="Meals"/>
    <n v="10.25"/>
    <s v="Corporate Amex"/>
    <m/>
    <s v="Y"/>
    <s v="Meals"/>
    <s v="MATCH"/>
    <x v="1"/>
  </r>
  <r>
    <s v="EXP101663"/>
    <s v="E023"/>
    <s v="AX 571419434"/>
    <d v="2026-03-30T00:00:00"/>
    <d v="2026-04-01T00:00:00"/>
    <s v="AMC THEATRES 0021"/>
    <s v="7832"/>
    <s v="Entertainment"/>
    <n v="20.98"/>
    <s v="Corporate Amex"/>
    <m/>
    <s v="Y"/>
    <s v="Entertainment"/>
    <s v="MATCH"/>
    <x v="0"/>
  </r>
  <r>
    <s v="EXP101664"/>
    <s v="E047"/>
    <m/>
    <d v="2026-04-01T00:00:00"/>
    <d v="2026-04-01T00:00:00"/>
    <s v="AMC THEATRES 0021"/>
    <s v="7832"/>
    <s v="Transportation"/>
    <n v="28.36"/>
    <s v="Corporate Amex"/>
    <m/>
    <s v="Y"/>
    <s v="Entertainment"/>
    <s v="MISMATCH"/>
    <x v="0"/>
  </r>
  <r>
    <s v="EXP101665"/>
    <s v="E129"/>
    <s v="AX 147418179"/>
    <d v="2026-03-29T00:00:00"/>
    <d v="2026-04-01T00:00:00"/>
    <s v="AMAZON MKTPLACE PMTS"/>
    <s v="5942"/>
    <s v="Office Supplies"/>
    <n v="87.56"/>
    <s v="Corporate Amex"/>
    <m/>
    <s v="Y"/>
    <s v="Office Supplies"/>
    <s v="MATCH"/>
    <x v="7"/>
  </r>
  <r>
    <s v="EXP101666"/>
    <s v="E253"/>
    <s v="AX915319960"/>
    <d v="2026-03-22T00:00:00"/>
    <d v="2026-04-01T00:00:00"/>
    <s v="DELTA AIR 00623891045"/>
    <s v="4511"/>
    <s v="Travel"/>
    <n v="316.11"/>
    <s v="Corporate Amex"/>
    <m/>
    <s v="Y"/>
    <s v="Travel"/>
    <s v="MATCH"/>
    <x v="1"/>
  </r>
  <r>
    <s v="EXP101667"/>
    <s v="E066"/>
    <s v="AX 467567617"/>
    <d v="2026-03-27T00:00:00"/>
    <d v="2026-04-01T00:00:00"/>
    <s v="SOUTHWEST AIR 5261823"/>
    <s v="4511"/>
    <s v="Travel"/>
    <n v="427.69"/>
    <s v="Corporate Amex"/>
    <m/>
    <s v="Y"/>
    <s v="Travel"/>
    <s v="MATCH"/>
    <x v="0"/>
  </r>
  <r>
    <s v="EXP101668"/>
    <s v="E066"/>
    <s v="AX343973552"/>
    <d v="2026-03-30T00:00:00"/>
    <d v="2026-04-01T00:00:00"/>
    <s v="STAPLES #0231"/>
    <s v="5943"/>
    <s v="Office Supplies"/>
    <n v="105.37"/>
    <s v="Corporate Amex"/>
    <m/>
    <s v="Y"/>
    <s v="Office Supplies"/>
    <s v="MATCH"/>
    <x v="0"/>
  </r>
  <r>
    <s v="EXP101669"/>
    <s v="E248"/>
    <m/>
    <d v="2026-03-30T00:00:00"/>
    <d v="2026-04-02T00:00:00"/>
    <s v="TOTAL PARTY RENTAL"/>
    <s v="7999"/>
    <s v="Lodging"/>
    <n v="453.85"/>
    <s v="Corporate Amex"/>
    <m/>
    <s v="Y"/>
    <s v="Events"/>
    <s v="MISMATCH"/>
    <x v="1"/>
  </r>
  <r>
    <s v="EXP101670"/>
    <s v="E267"/>
    <s v="AX-138906490"/>
    <d v="2026-04-02T00:00:00"/>
    <d v="2026-04-02T00:00:00"/>
    <s v="SQ *JOES COFFEE"/>
    <s v="5812"/>
    <s v="Meals"/>
    <n v="17.63"/>
    <s v="Corporate Amex"/>
    <m/>
    <s v="Y"/>
    <s v="Meals"/>
    <s v="MATCH"/>
    <x v="3"/>
  </r>
  <r>
    <s v="EXP101671"/>
    <s v="E264"/>
    <s v="ax154994078"/>
    <d v="2026-03-30T00:00:00"/>
    <d v="2026-04-02T00:00:00"/>
    <s v="SQ *THE CORNER BISTRO"/>
    <s v="5812"/>
    <m/>
    <n v="40.17"/>
    <s v="Corporate Amex"/>
    <m/>
    <s v="Y"/>
    <s v="Meals"/>
    <s v="BLANK"/>
    <x v="3"/>
  </r>
  <r>
    <s v="EXP101672"/>
    <s v="E044"/>
    <s v="ax289396535"/>
    <d v="2026-03-28T00:00:00"/>
    <d v="2026-04-02T00:00:00"/>
    <s v="UBER TRIP HELP.UBER"/>
    <s v="4121"/>
    <s v="Transportation"/>
    <n v="53.27"/>
    <s v="Corporate Amex"/>
    <m/>
    <s v="N"/>
    <s v="Transportation"/>
    <s v="MATCH"/>
    <x v="0"/>
  </r>
  <r>
    <s v="EXP101673"/>
    <s v="E034"/>
    <s v="AX 112832719"/>
    <d v="2026-04-02T00:00:00"/>
    <d v="2026-04-02T00:00:00"/>
    <s v="YELLOW CAB CO"/>
    <s v="4121"/>
    <s v="Transportation"/>
    <n v="52.75"/>
    <s v="Corporate Amex"/>
    <m/>
    <s v="Y"/>
    <s v="Transportation"/>
    <s v="MATCH"/>
    <x v="0"/>
  </r>
  <r>
    <s v="EXP101674"/>
    <s v="E074"/>
    <s v="AX 112117945"/>
    <d v="2026-03-26T00:00:00"/>
    <d v="2026-04-02T00:00:00"/>
    <s v="SQ *THE CORNER BISTRO"/>
    <s v="5812"/>
    <s v="Meals"/>
    <n v="63.11"/>
    <s v="Corporate Amex"/>
    <m/>
    <s v="Y"/>
    <s v="Meals"/>
    <s v="MATCH"/>
    <x v="2"/>
  </r>
  <r>
    <s v="EXP101675"/>
    <s v="E037"/>
    <s v="AX797147771"/>
    <d v="2026-03-28T00:00:00"/>
    <d v="2026-04-02T00:00:00"/>
    <s v="STAPLES #0231"/>
    <s v="5943"/>
    <m/>
    <n v="95.82"/>
    <s v="Corporate Amex"/>
    <m/>
    <s v="Y"/>
    <s v="Office Supplies"/>
    <s v="BLANK"/>
    <x v="0"/>
  </r>
  <r>
    <s v="EXP101676"/>
    <s v="E130"/>
    <s v="AX-246401077"/>
    <d v="2026-03-26T00:00:00"/>
    <d v="2026-04-02T00:00:00"/>
    <s v="MARRIOTT #4471"/>
    <s v="7011"/>
    <s v="Lodging"/>
    <n v="147.6"/>
    <s v="Corporate Amex"/>
    <m/>
    <s v="Y"/>
    <s v="Lodging"/>
    <s v="MATCH"/>
    <x v="7"/>
  </r>
  <r>
    <s v="EXP101677"/>
    <s v="E115"/>
    <s v="AX381926874"/>
    <d v="2026-03-25T00:00:00"/>
    <d v="2026-04-02T00:00:00"/>
    <s v="ADOBE *CREATIVE CLOUD"/>
    <s v="5734"/>
    <s v="Software"/>
    <n v="39"/>
    <s v="Corporate Amex"/>
    <m/>
    <s v="Y"/>
    <s v="Software"/>
    <s v="MATCH"/>
    <x v="2"/>
  </r>
  <r>
    <s v="EXP101678"/>
    <s v="E055"/>
    <m/>
    <d v="2026-03-24T00:00:00"/>
    <d v="2026-04-02T00:00:00"/>
    <s v="SPROUT SOCIAL"/>
    <s v="5734"/>
    <s v="Software"/>
    <n v="192.41"/>
    <s v="Personal (Reimbursement)"/>
    <s v="International merchant - Amex not accepted"/>
    <s v="Y"/>
    <s v="Software"/>
    <s v="MATCH"/>
    <x v="0"/>
  </r>
  <r>
    <s v="EXP101679"/>
    <s v="E010"/>
    <s v="AX392889755"/>
    <d v="2026-03-27T00:00:00"/>
    <d v="2026-04-02T00:00:00"/>
    <s v="UBER TRIP HELP.UBER"/>
    <s v="4121"/>
    <s v="Transportation"/>
    <n v="24.56"/>
    <s v="Corporate Amex"/>
    <m/>
    <s v="Y"/>
    <s v="Transportation"/>
    <s v="MATCH"/>
    <x v="0"/>
  </r>
  <r>
    <s v="EXP101680"/>
    <s v="E040"/>
    <s v="ax433102023"/>
    <d v="2026-03-27T00:00:00"/>
    <d v="2026-04-02T00:00:00"/>
    <s v="DELTA AIR 00623891045"/>
    <s v="4511"/>
    <s v="Travel"/>
    <n v="243.13"/>
    <s v="Corporate Amex"/>
    <m/>
    <s v="Y"/>
    <s v="Travel"/>
    <s v="MATCH"/>
    <x v="0"/>
  </r>
  <r>
    <s v="EXP101681"/>
    <s v="E258"/>
    <s v="AX610687600"/>
    <d v="2026-04-01T00:00:00"/>
    <d v="2026-04-02T00:00:00"/>
    <s v="PANERA BREAD #0231"/>
    <s v="5812"/>
    <s v="Meals"/>
    <n v="9.91"/>
    <s v="Corporate Amex"/>
    <m/>
    <s v="Y"/>
    <s v="Meals"/>
    <s v="MATCH"/>
    <x v="8"/>
  </r>
  <r>
    <s v="EXP101682"/>
    <s v="E205"/>
    <s v="AX153321514"/>
    <d v="2026-04-02T00:00:00"/>
    <d v="2026-04-02T00:00:00"/>
    <s v="REGION CATERING CO"/>
    <s v="5811"/>
    <s v="Events"/>
    <n v="76.13"/>
    <s v="Corporate Amex"/>
    <m/>
    <s v="Y"/>
    <s v="Events"/>
    <s v="MATCH"/>
    <x v="5"/>
  </r>
  <r>
    <s v="EXP101683"/>
    <s v="E022"/>
    <m/>
    <d v="2026-03-24T00:00:00"/>
    <d v="2026-04-02T00:00:00"/>
    <s v="STARBUCKS #4471"/>
    <s v="5812"/>
    <s v="Meals"/>
    <n v="15.96"/>
    <s v="Personal (Reimbursement)"/>
    <s v="Card not yet issued"/>
    <s v="Y"/>
    <s v="Meals"/>
    <s v="MATCH"/>
    <x v="0"/>
  </r>
  <r>
    <s v="EXP101684"/>
    <s v="E022"/>
    <m/>
    <d v="2026-04-02T00:00:00"/>
    <d v="2026-04-02T00:00:00"/>
    <s v="HOOTSUITE INC"/>
    <s v="5734"/>
    <m/>
    <n v="154.28"/>
    <s v="Personal (Reimbursement)"/>
    <s v="Card not yet issued"/>
    <s v="Y"/>
    <s v="Software"/>
    <s v="BLANK"/>
    <x v="0"/>
  </r>
  <r>
    <s v="EXP101685"/>
    <s v="E021"/>
    <s v="AX-977621069"/>
    <d v="2026-04-02T00:00:00"/>
    <d v="2026-04-02T00:00:00"/>
    <s v="REGION CATERING CO"/>
    <s v="5811"/>
    <s v="Events"/>
    <n v="655.32000000000005"/>
    <s v="Corporate Amex"/>
    <m/>
    <s v="Y"/>
    <s v="Events"/>
    <s v="MATCH"/>
    <x v="0"/>
  </r>
  <r>
    <s v="EXP101686"/>
    <s v="E060"/>
    <s v="AX897769326"/>
    <d v="2026-03-27T00:00:00"/>
    <d v="2026-04-02T00:00:00"/>
    <s v="OLIVE GARDEN 00456"/>
    <s v="5812"/>
    <s v="Meals"/>
    <n v="136.09"/>
    <s v="Corporate Amex"/>
    <m/>
    <s v="Y"/>
    <s v="Meals"/>
    <s v="MATCH"/>
    <x v="0"/>
  </r>
  <r>
    <s v="EXP101687"/>
    <s v="E097"/>
    <s v="AX700624701"/>
    <d v="2026-03-25T00:00:00"/>
    <d v="2026-04-03T00:00:00"/>
    <s v="DELTA AIR 00623891045"/>
    <s v="4511"/>
    <s v="Events"/>
    <n v="362.22"/>
    <s v="Corporate Amex"/>
    <m/>
    <s v="Y"/>
    <s v="Travel"/>
    <s v="MISMATCH"/>
    <x v="2"/>
  </r>
  <r>
    <s v="EXP101688"/>
    <s v="E147"/>
    <m/>
    <d v="2026-03-29T00:00:00"/>
    <d v="2026-04-03T00:00:00"/>
    <s v="SOUTHWEST AIR 5261823"/>
    <s v="4511"/>
    <s v="Travel"/>
    <n v="315.82"/>
    <s v="Corporate Amex"/>
    <m/>
    <s v="Y"/>
    <s v="Travel"/>
    <s v="MATCH"/>
    <x v="7"/>
  </r>
  <r>
    <s v="EXP101689"/>
    <s v="E096"/>
    <s v="AX961094931"/>
    <d v="2026-03-24T00:00:00"/>
    <d v="2026-04-03T00:00:00"/>
    <s v="YELLOW CAB CO"/>
    <s v="4121"/>
    <s v="Transportation"/>
    <n v="18.21"/>
    <s v="Corporate Amex"/>
    <m/>
    <s v="Y"/>
    <s v="Transportation"/>
    <s v="MATCH"/>
    <x v="2"/>
  </r>
  <r>
    <s v="EXP101690"/>
    <s v="E023"/>
    <s v="AX 441594559"/>
    <d v="2026-03-25T00:00:00"/>
    <d v="2026-04-03T00:00:00"/>
    <s v="AMAZON MKTPLACE PMTS"/>
    <s v="5942"/>
    <s v="Office Supplies"/>
    <n v="261.17"/>
    <s v="Corporate Amex"/>
    <m/>
    <s v="N"/>
    <s v="Office Supplies"/>
    <s v="MATCH"/>
    <x v="0"/>
  </r>
  <r>
    <s v="EXP101691"/>
    <s v="E062"/>
    <s v="AX476114419"/>
    <d v="2026-03-29T00:00:00"/>
    <d v="2026-04-03T00:00:00"/>
    <s v="SQ *JOES COFFEE"/>
    <s v="5812"/>
    <s v="Meals"/>
    <n v="15.83"/>
    <s v="Corporate Amex"/>
    <m/>
    <s v="N"/>
    <s v="Meals"/>
    <s v="MATCH"/>
    <x v="0"/>
  </r>
  <r>
    <s v="EXP101692"/>
    <s v="E011"/>
    <s v="ax882174752"/>
    <d v="2026-03-29T00:00:00"/>
    <d v="2026-04-03T00:00:00"/>
    <s v="CHIPOTLE 2214"/>
    <s v="5812"/>
    <s v="Meals"/>
    <n v="20.77"/>
    <s v="Corporate Amex"/>
    <m/>
    <s v="Y"/>
    <s v="Meals"/>
    <s v="MATCH"/>
    <x v="0"/>
  </r>
  <r>
    <s v="EXP101693"/>
    <s v="E011"/>
    <s v="ax151049528"/>
    <d v="2026-04-02T00:00:00"/>
    <d v="2026-04-03T00:00:00"/>
    <s v=" OLIVE GARDEN 00456"/>
    <s v="5812"/>
    <s v="Meals"/>
    <n v="62.38"/>
    <s v="Corporate Amex"/>
    <m/>
    <s v="Y"/>
    <s v="Meals"/>
    <s v="MATCH"/>
    <x v="0"/>
  </r>
  <r>
    <s v="EXP101694"/>
    <s v="E120"/>
    <s v="AX520646615"/>
    <d v="2026-03-29T00:00:00"/>
    <d v="2026-04-03T00:00:00"/>
    <s v="OLIVE GARDEN 00456"/>
    <s v="5812"/>
    <s v="Meals"/>
    <n v="50.37"/>
    <s v="Corporate Amex"/>
    <m/>
    <s v="Y"/>
    <s v="Meals"/>
    <s v="MATCH"/>
    <x v="7"/>
  </r>
  <r>
    <s v="EXP101695"/>
    <s v="E047"/>
    <s v="ax760016381"/>
    <d v="2026-03-26T00:00:00"/>
    <d v="2026-04-03T00:00:00"/>
    <s v="REGION CATERING CO"/>
    <s v="5811"/>
    <s v="Events"/>
    <n v="63.17"/>
    <s v="Corporate Amex"/>
    <m/>
    <s v="N"/>
    <s v="Events"/>
    <s v="MATCH"/>
    <x v="0"/>
  </r>
  <r>
    <s v="EXP101696"/>
    <s v="E083"/>
    <m/>
    <d v="2026-03-24T00:00:00"/>
    <d v="2026-04-03T00:00:00"/>
    <s v="STAPLES #0231"/>
    <s v="5943"/>
    <s v="Office Supplies"/>
    <n v="46.36"/>
    <s v="Corporate Amex"/>
    <m/>
    <s v="Y"/>
    <s v="Office Supplies"/>
    <s v="MATCH"/>
    <x v="2"/>
  </r>
  <r>
    <s v="EXP101697"/>
    <s v="E095"/>
    <s v="AX-521400026"/>
    <d v="2026-04-02T00:00:00"/>
    <d v="2026-04-03T00:00:00"/>
    <s v="AMAZON MKTPLACE PMTS"/>
    <s v="5942"/>
    <s v="  Office Supplies "/>
    <n v="454.2"/>
    <s v="Corporate Amex"/>
    <m/>
    <s v="N"/>
    <s v="Office Supplies"/>
    <s v="MATCH"/>
    <x v="2"/>
  </r>
  <r>
    <s v="EXP101699"/>
    <s v="E166"/>
    <s v="AX 485967826"/>
    <d v="2026-04-01T00:00:00"/>
    <d v="2026-04-03T00:00:00"/>
    <s v=" LYFT RIDE THU"/>
    <s v="4121"/>
    <s v="Transportation"/>
    <n v="51.13"/>
    <s v="Corporate Amex"/>
    <m/>
    <s v="N"/>
    <s v="Transportation"/>
    <s v="MATCH"/>
    <x v="6"/>
  </r>
  <r>
    <s v="EXP101700"/>
    <s v="E068"/>
    <s v="ax466931969"/>
    <d v="2026-04-02T00:00:00"/>
    <d v="2026-04-03T00:00:00"/>
    <s v="STARBUCKS #4471"/>
    <s v="5812"/>
    <s v="Meals"/>
    <n v="7.42"/>
    <s v="Corporate Amex"/>
    <m/>
    <s v="Y"/>
    <s v="Meals"/>
    <s v="MATCH"/>
    <x v="0"/>
  </r>
  <r>
    <s v="EXP101701"/>
    <s v="E275"/>
    <s v="AX-360394585"/>
    <d v="2026-03-30T00:00:00"/>
    <d v="2026-04-03T00:00:00"/>
    <s v="YELLOW CAB CO"/>
    <s v="4121"/>
    <s v="Transportation"/>
    <n v="57.61"/>
    <s v="Corporate Amex"/>
    <m/>
    <s v="Y"/>
    <s v="Transportation"/>
    <s v="MATCH"/>
    <x v="3"/>
  </r>
  <r>
    <s v="EXP101702"/>
    <s v="E002"/>
    <m/>
    <d v="2026-04-01T00:00:00"/>
    <d v="2026-04-03T00:00:00"/>
    <s v="HILTON GARDEN INN 2231"/>
    <s v="7011"/>
    <s v="Lodging"/>
    <n v="358.58"/>
    <s v="Corporate Amex"/>
    <m/>
    <s v="Y"/>
    <s v="Lodging"/>
    <s v="MATCH"/>
    <x v="0"/>
  </r>
  <r>
    <s v="EXP101703"/>
    <s v="E002"/>
    <s v="ax118100588"/>
    <d v="2026-03-25T00:00:00"/>
    <d v="2026-04-03T00:00:00"/>
    <s v="MARRIOTT #4471"/>
    <s v="7011"/>
    <s v="Lodging"/>
    <n v="313.98"/>
    <s v="Corporate Amex"/>
    <m/>
    <s v="N"/>
    <s v="Lodging"/>
    <s v="MATCH"/>
    <x v="0"/>
  </r>
  <r>
    <s v="EXP101704"/>
    <s v="E188"/>
    <s v="AX748204157"/>
    <d v="2026-04-03T00:00:00"/>
    <d v="2026-04-03T00:00:00"/>
    <s v="EVENTBRITE"/>
    <s v="7999"/>
    <s v="Events"/>
    <n v="99.53"/>
    <s v="Corporate Amex"/>
    <m/>
    <s v="Y"/>
    <s v="Events"/>
    <s v="MATCH"/>
    <x v="5"/>
  </r>
  <r>
    <s v="EXP101705"/>
    <s v="E018"/>
    <s v="ax434917132"/>
    <d v="2026-03-31T00:00:00"/>
    <d v="2026-04-03T00:00:00"/>
    <s v="HYATT REGENCY BOS"/>
    <s v="7011"/>
    <s v="Lodging"/>
    <n v="372.64"/>
    <s v="Corporate Amex"/>
    <m/>
    <s v="Y"/>
    <s v="Lodging"/>
    <s v="MATCH"/>
    <x v="0"/>
  </r>
  <r>
    <s v="EXP101706"/>
    <s v="E042"/>
    <s v="AX874476218"/>
    <d v="2026-03-26T00:00:00"/>
    <d v="2026-04-03T00:00:00"/>
    <s v="AMAZON MKTPLACE PMTS"/>
    <s v="5942"/>
    <s v="Office Supplies"/>
    <n v="435.07"/>
    <s v="Corporate Amex"/>
    <m/>
    <s v="Y"/>
    <s v="Office Supplies"/>
    <s v="MATCH"/>
    <x v="0"/>
  </r>
  <r>
    <s v="EXP101707"/>
    <s v="E113"/>
    <s v="ax787112614"/>
    <d v="2026-03-25T00:00:00"/>
    <d v="2026-04-03T00:00:00"/>
    <s v="UBER TRIP HELP.UBER"/>
    <s v="4121"/>
    <s v="Transportation"/>
    <n v="24.55"/>
    <s v="Corporate Amex"/>
    <m/>
    <s v="N"/>
    <s v="Transportation"/>
    <s v="MATCH"/>
    <x v="2"/>
  </r>
  <r>
    <s v="EXP101708"/>
    <s v="E031"/>
    <s v="ax683559430"/>
    <d v="2026-03-28T00:00:00"/>
    <d v="2026-04-03T00:00:00"/>
    <s v="MARRIOTT #4471"/>
    <s v="7011"/>
    <s v="Lodging"/>
    <n v="237.32"/>
    <s v="Corporate Amex"/>
    <m/>
    <s v="Y"/>
    <s v="Lodging"/>
    <s v="MATCH"/>
    <x v="0"/>
  </r>
  <r>
    <s v="EXP101709"/>
    <s v="E066"/>
    <s v="AX 490791021"/>
    <d v="2026-04-02T00:00:00"/>
    <d v="2026-04-03T00:00:00"/>
    <s v="HILTON GARDEN INN 2231"/>
    <s v="7011"/>
    <s v="Lodging"/>
    <n v="396.64"/>
    <s v="Corporate Amex"/>
    <m/>
    <s v="Y"/>
    <s v="Lodging"/>
    <s v="MATCH"/>
    <x v="0"/>
  </r>
  <r>
    <s v="EXP101710"/>
    <s v="E117"/>
    <s v="AX 969546005"/>
    <d v="2026-03-25T00:00:00"/>
    <d v="2026-04-04T00:00:00"/>
    <s v="SPROUT SOCIAL"/>
    <s v="5734"/>
    <s v="Software"/>
    <n v="129.69999999999999"/>
    <s v="Corporate Amex"/>
    <m/>
    <s v="Y"/>
    <s v="Software"/>
    <s v="MATCH"/>
    <x v="7"/>
  </r>
  <r>
    <s v="EXP101711"/>
    <s v="E019"/>
    <s v="AX681303193"/>
    <d v="2026-03-31T00:00:00"/>
    <d v="2026-04-04T00:00:00"/>
    <s v="MICROSOFT*365"/>
    <s v="5734"/>
    <s v="Software"/>
    <n v="26.38"/>
    <s v="Corporate Amex"/>
    <m/>
    <s v="Y"/>
    <s v="Software"/>
    <s v="MATCH"/>
    <x v="0"/>
  </r>
  <r>
    <s v="EXP101712"/>
    <s v="E070"/>
    <s v="AX-272522509"/>
    <d v="2026-03-29T00:00:00"/>
    <d v="2026-04-04T00:00:00"/>
    <s v="PANERA BREAD #0231"/>
    <s v="5812"/>
    <s v="Meals"/>
    <n v="12.6"/>
    <s v="Corporate Amex"/>
    <m/>
    <s v="Y"/>
    <s v="Meals"/>
    <s v="MATCH"/>
    <x v="0"/>
  </r>
  <r>
    <s v="EXP101713"/>
    <s v="E137"/>
    <m/>
    <d v="2026-03-31T00:00:00"/>
    <d v="2026-04-04T00:00:00"/>
    <s v="TOPGOLF #442"/>
    <s v="7997"/>
    <s v="Entertainment"/>
    <n v="178.14"/>
    <s v="Corporate Amex"/>
    <m/>
    <s v="N"/>
    <s v="Entertainment"/>
    <s v="MATCH"/>
    <x v="7"/>
  </r>
  <r>
    <s v="EXP101714"/>
    <s v="E067"/>
    <s v="AX600924117"/>
    <d v="2026-03-30T00:00:00"/>
    <d v="2026-04-04T00:00:00"/>
    <s v="LYFT RIDE THU"/>
    <s v="4121"/>
    <s v="Transportation"/>
    <n v="17.309999999999999"/>
    <s v="Corporate Amex"/>
    <m/>
    <s v="N"/>
    <s v="Transportation"/>
    <s v="MATCH"/>
    <x v="0"/>
  </r>
  <r>
    <s v="EXP101715"/>
    <s v="E057"/>
    <s v="AX188790397"/>
    <d v="2026-04-03T00:00:00"/>
    <d v="2026-04-04T00:00:00"/>
    <s v="LYFT RIDE THU"/>
    <s v="4121"/>
    <s v="Transportation"/>
    <n v="43.48"/>
    <s v="Corporate Amex"/>
    <m/>
    <s v="Y"/>
    <s v="Transportation"/>
    <s v="MATCH"/>
    <x v="0"/>
  </r>
  <r>
    <s v="EXP101716"/>
    <s v="E114"/>
    <s v="AX 575583639"/>
    <d v="2026-03-25T00:00:00"/>
    <d v="2026-04-04T00:00:00"/>
    <s v="CHIPOTLE 2214"/>
    <s v="5812"/>
    <s v="Meals"/>
    <n v="17.75"/>
    <s v="Corporate Amex"/>
    <m/>
    <s v="N"/>
    <s v="Meals"/>
    <s v="MATCH"/>
    <x v="2"/>
  </r>
  <r>
    <s v="EXP101717"/>
    <s v="E237"/>
    <s v="AX784271321"/>
    <d v="2026-03-31T00:00:00"/>
    <d v="2026-04-04T00:00:00"/>
    <s v="HOOTSUITE INC"/>
    <s v="5734"/>
    <s v="Software"/>
    <n v="176.46"/>
    <s v="Corporate Amex"/>
    <m/>
    <s v="Y"/>
    <s v="Software"/>
    <s v="MATCH"/>
    <x v="1"/>
  </r>
  <r>
    <s v="EXP101718"/>
    <s v="E246"/>
    <s v="AX 983435460"/>
    <d v="2026-03-28T00:00:00"/>
    <d v="2026-04-04T00:00:00"/>
    <s v="PANERA BREAD #0231"/>
    <s v="5812"/>
    <s v="Meals"/>
    <n v="26.53"/>
    <s v="Corporate Amex"/>
    <m/>
    <s v="Y"/>
    <s v="Meals"/>
    <s v="MATCH"/>
    <x v="1"/>
  </r>
  <r>
    <s v="EXP101719"/>
    <s v="E013"/>
    <s v="AX-896310119"/>
    <d v="2026-03-25T00:00:00"/>
    <d v="2026-04-04T00:00:00"/>
    <s v="BRANDWATCH LTD"/>
    <s v="5734"/>
    <s v="  Software "/>
    <n v="222.23"/>
    <s v="Corporate Amex"/>
    <m/>
    <s v="Y"/>
    <s v="Software"/>
    <s v="MATCH"/>
    <x v="0"/>
  </r>
  <r>
    <s v="EXP101720"/>
    <s v="E013"/>
    <s v="AX-823421978"/>
    <d v="2026-03-29T00:00:00"/>
    <d v="2026-04-04T00:00:00"/>
    <s v="TOPGOLF #442"/>
    <s v="7997"/>
    <s v="Entertainment"/>
    <n v="99.56"/>
    <s v="Corporate Amex"/>
    <m/>
    <s v="Y"/>
    <s v="Entertainment"/>
    <s v="MATCH"/>
    <x v="0"/>
  </r>
  <r>
    <s v="EXP101721"/>
    <s v="E144"/>
    <s v="AX351870398"/>
    <d v="2026-03-25T00:00:00"/>
    <d v="2026-04-04T00:00:00"/>
    <s v="HYATT REGENCY BOS"/>
    <s v="7011"/>
    <s v="Lodging"/>
    <n v="309.58999999999997"/>
    <s v="Corporate Amex"/>
    <m/>
    <s v="Y"/>
    <s v="Lodging"/>
    <s v="MATCH"/>
    <x v="7"/>
  </r>
  <r>
    <s v="EXP101723"/>
    <s v="E220"/>
    <s v="AX188600303"/>
    <d v="2026-03-29T00:00:00"/>
    <d v="2026-04-04T00:00:00"/>
    <s v="CHIPOTLE 2214"/>
    <s v="5812"/>
    <s v="Office Supplies"/>
    <n v="9.6300000000000008"/>
    <s v="Corporate Amex"/>
    <m/>
    <s v="Y"/>
    <s v="Meals"/>
    <s v="MISMATCH"/>
    <x v="4"/>
  </r>
  <r>
    <s v="EXP101724"/>
    <s v="E220"/>
    <s v="AX-108477544"/>
    <d v="2026-03-25T00:00:00"/>
    <d v="2026-04-04T00:00:00"/>
    <s v="HYATT REGENCY BOS"/>
    <s v="7011"/>
    <m/>
    <n v="340.78"/>
    <s v="Corporate Amex"/>
    <m/>
    <s v="Y"/>
    <s v="Lodging"/>
    <s v="BLANK"/>
    <x v="4"/>
  </r>
  <r>
    <s v="EXP101725"/>
    <s v="E147"/>
    <s v="AX526859295"/>
    <d v="2026-03-31T00:00:00"/>
    <d v="2026-04-04T00:00:00"/>
    <s v="UBER TRIP HELP.UBER"/>
    <s v="4121"/>
    <s v="  Transportation "/>
    <n v="61.83"/>
    <s v="Corporate Amex"/>
    <m/>
    <s v="Y"/>
    <s v="Transportation"/>
    <s v="MATCH"/>
    <x v="7"/>
  </r>
  <r>
    <s v="EXP101726"/>
    <s v="E249"/>
    <s v="AX 979978645"/>
    <d v="2026-03-29T00:00:00"/>
    <d v="2026-04-04T00:00:00"/>
    <s v="YELLOW CAB CO"/>
    <s v="4121"/>
    <s v="Transportation"/>
    <n v="52.03"/>
    <s v="Corporate Amex"/>
    <m/>
    <s v="Y"/>
    <s v="Transportation"/>
    <s v="MATCH"/>
    <x v="1"/>
  </r>
  <r>
    <s v="EXP101727"/>
    <s v="E193"/>
    <s v="AX 493982574"/>
    <d v="2026-03-29T00:00:00"/>
    <d v="2026-04-04T00:00:00"/>
    <s v="TOPGOLF #442"/>
    <s v="7997"/>
    <s v="Entertainment"/>
    <n v="197.78"/>
    <s v="Corporate Amex"/>
    <m/>
    <s v="Y"/>
    <s v="Entertainment"/>
    <s v="MATCH"/>
    <x v="5"/>
  </r>
  <r>
    <s v="EXP101728"/>
    <s v="E197"/>
    <s v="AX-287897751"/>
    <d v="2026-04-01T00:00:00"/>
    <d v="2026-04-05T00:00:00"/>
    <s v="MICROSOFT*365"/>
    <s v="5734"/>
    <s v="Software"/>
    <n v="40.880000000000003"/>
    <s v="Corporate Amex"/>
    <m/>
    <s v="Y"/>
    <s v="Software"/>
    <s v="MATCH"/>
    <x v="5"/>
  </r>
  <r>
    <s v="EXP101729"/>
    <s v="E045"/>
    <s v="AX963324762"/>
    <d v="2026-04-02T00:00:00"/>
    <d v="2026-04-05T00:00:00"/>
    <s v="AMC THEATRES 0021"/>
    <s v="7832"/>
    <s v="Entertainment"/>
    <n v="49.31"/>
    <s v="Corporate Amex"/>
    <m/>
    <s v="Y"/>
    <s v="Entertainment"/>
    <s v="MATCH"/>
    <x v="0"/>
  </r>
  <r>
    <s v="EXP101730"/>
    <s v="E147"/>
    <s v="ax416246745"/>
    <d v="2026-04-02T00:00:00"/>
    <d v="2026-04-05T00:00:00"/>
    <s v="AMAZON MKTPLACE PMTS"/>
    <s v="5942"/>
    <m/>
    <n v="313.48"/>
    <s v="Corporate Amex"/>
    <m/>
    <s v="Y"/>
    <s v="Office Supplies"/>
    <s v="BLANK"/>
    <x v="7"/>
  </r>
  <r>
    <s v="EXP101731"/>
    <s v="E175"/>
    <s v="AX199280085"/>
    <d v="2026-04-01T00:00:00"/>
    <d v="2026-04-05T00:00:00"/>
    <s v="STARBUCKS #4471"/>
    <s v="5812"/>
    <s v="Meals"/>
    <n v="13.13"/>
    <s v="Corporate Amex"/>
    <m/>
    <s v="Y"/>
    <s v="Meals"/>
    <s v="MATCH"/>
    <x v="6"/>
  </r>
  <r>
    <s v="EXP101732"/>
    <s v="E135"/>
    <s v="ax521726134"/>
    <d v="2026-03-27T00:00:00"/>
    <d v="2026-04-05T00:00:00"/>
    <s v="MARRIOTT #4471"/>
    <s v="7011"/>
    <s v="Lodging"/>
    <n v="178.22"/>
    <s v="Corporate Amex"/>
    <m/>
    <s v="Y"/>
    <s v="Lodging"/>
    <s v="MATCH"/>
    <x v="7"/>
  </r>
  <r>
    <s v="EXP101733"/>
    <s v="E041"/>
    <s v="ax639064621"/>
    <d v="2026-03-27T00:00:00"/>
    <d v="2026-04-05T00:00:00"/>
    <s v="ZOOM.US"/>
    <s v="5734"/>
    <s v="Software"/>
    <n v="26.98"/>
    <s v="Corporate Amex"/>
    <m/>
    <s v="N"/>
    <s v="Software"/>
    <s v="MATCH"/>
    <x v="0"/>
  </r>
  <r>
    <s v="EXP101734"/>
    <s v="E001"/>
    <m/>
    <d v="2026-04-03T00:00:00"/>
    <d v="2026-04-05T00:00:00"/>
    <s v="AMAZON MKTPLACE PMTS"/>
    <s v="5942"/>
    <s v="Office Supplies"/>
    <n v="145.22999999999999"/>
    <s v="Personal (Reimbursement)"/>
    <s v="Amex declined - vendor doesn't accept Amex"/>
    <s v="Y"/>
    <s v="Office Supplies"/>
    <s v="MATCH"/>
    <x v="0"/>
  </r>
  <r>
    <s v="EXP101735"/>
    <s v="E105"/>
    <s v="AX681514300"/>
    <d v="2026-03-29T00:00:00"/>
    <d v="2026-04-05T00:00:00"/>
    <s v=" ADOBE *CREATIVE CLOUD"/>
    <s v="5734"/>
    <s v="Software"/>
    <n v="55.47"/>
    <s v="Corporate Amex"/>
    <m/>
    <s v="Y"/>
    <s v="Software"/>
    <s v="MATCH"/>
    <x v="2"/>
  </r>
  <r>
    <s v="EXP101736"/>
    <s v="E015"/>
    <s v="AX524868507"/>
    <d v="2026-03-29T00:00:00"/>
    <d v="2026-04-05T00:00:00"/>
    <s v="BRANDWATCH LTD"/>
    <s v="5734"/>
    <s v="Software"/>
    <n v="404.93"/>
    <s v="Corporate Amex"/>
    <m/>
    <s v="Y"/>
    <s v="Software"/>
    <s v="MATCH"/>
    <x v="0"/>
  </r>
  <r>
    <s v="EXP101737"/>
    <s v="E056"/>
    <m/>
    <d v="2026-03-31T00:00:00"/>
    <d v="2026-04-05T00:00:00"/>
    <s v="EVENTBRITE"/>
    <s v="7999"/>
    <s v="Events"/>
    <n v="96.42"/>
    <s v="Personal (Reimbursement)"/>
    <s v="Forgot corporate card"/>
    <s v="Y"/>
    <s v="Events"/>
    <s v="MATCH"/>
    <x v="0"/>
  </r>
  <r>
    <s v="EXP101738"/>
    <s v="E067"/>
    <s v="AX 569741861"/>
    <d v="2026-03-26T00:00:00"/>
    <d v="2026-04-05T00:00:00"/>
    <s v=" AMAZON MKTPLACE PMTS"/>
    <s v="5942"/>
    <s v="Office Supplies"/>
    <n v="58.9"/>
    <s v="Corporate Amex"/>
    <m/>
    <s v="Y"/>
    <s v="Office Supplies"/>
    <s v="MATCH"/>
    <x v="0"/>
  </r>
  <r>
    <s v="EXP101739"/>
    <s v="E039"/>
    <s v="AX463371049"/>
    <d v="2026-03-29T00:00:00"/>
    <d v="2026-04-05T00:00:00"/>
    <s v="SQ *JOES COFFEE"/>
    <s v="5812"/>
    <s v="Meals"/>
    <n v="21.76"/>
    <s v="Corporate Amex"/>
    <m/>
    <s v="Y"/>
    <s v="Meals"/>
    <s v="MATCH"/>
    <x v="0"/>
  </r>
  <r>
    <s v="EXP101740"/>
    <s v="E238"/>
    <s v="AX 451959333"/>
    <d v="2026-04-01T00:00:00"/>
    <d v="2026-04-05T00:00:00"/>
    <s v="DELTA AIR 00623891045"/>
    <s v="4511"/>
    <s v="Travel"/>
    <n v="280.07"/>
    <s v="Corporate Amex"/>
    <m/>
    <s v="Y"/>
    <s v="Travel"/>
    <s v="MATCH"/>
    <x v="1"/>
  </r>
  <r>
    <s v="EXP101741"/>
    <s v="E049"/>
    <s v="AX-558974272"/>
    <d v="2026-03-27T00:00:00"/>
    <d v="2026-04-05T00:00:00"/>
    <s v="MICROSOFT*365"/>
    <s v="5734"/>
    <s v="Software"/>
    <n v="53.87"/>
    <s v="Corporate Amex"/>
    <m/>
    <s v="Y"/>
    <s v="Software"/>
    <s v="MATCH"/>
    <x v="0"/>
  </r>
  <r>
    <s v="EXP101742"/>
    <s v="E149"/>
    <s v="AX 536575648"/>
    <d v="2026-04-02T00:00:00"/>
    <d v="2026-04-05T00:00:00"/>
    <s v="MARRIOTT #4471"/>
    <s v="7011"/>
    <s v="Lodging"/>
    <n v="179.87"/>
    <s v="Corporate Amex"/>
    <m/>
    <s v="N"/>
    <s v="Lodging"/>
    <s v="MATCH"/>
    <x v="7"/>
  </r>
  <r>
    <s v="EXP101743"/>
    <s v="E082"/>
    <s v="AX678124139"/>
    <d v="2026-03-26T00:00:00"/>
    <d v="2026-04-05T00:00:00"/>
    <s v="UNITED AIRLINES 0162233"/>
    <s v="4511"/>
    <s v="Travel"/>
    <n v="414.19"/>
    <s v="Corporate Amex"/>
    <m/>
    <s v="Y"/>
    <s v="Travel"/>
    <s v="MATCH"/>
    <x v="2"/>
  </r>
  <r>
    <s v="EXP101744"/>
    <s v="E141"/>
    <s v="ax837673892"/>
    <d v="2026-03-26T00:00:00"/>
    <d v="2026-04-05T00:00:00"/>
    <s v="SQ *THE CORNER BISTRO"/>
    <s v="5812"/>
    <s v="Meals"/>
    <n v="40.78"/>
    <s v="Corporate Amex"/>
    <m/>
    <s v="N"/>
    <s v="Meals"/>
    <s v="MATCH"/>
    <x v="7"/>
  </r>
  <r>
    <s v="EXP101745"/>
    <s v="E126"/>
    <m/>
    <d v="2026-03-28T00:00:00"/>
    <d v="2026-04-05T00:00:00"/>
    <s v="UNITED AIRLINES 0162233"/>
    <s v="4511"/>
    <s v="Travel"/>
    <n v="192.81"/>
    <s v="Corporate Amex"/>
    <m/>
    <s v="Y"/>
    <s v="Travel"/>
    <s v="MATCH"/>
    <x v="7"/>
  </r>
  <r>
    <s v="EXP101746"/>
    <s v="E161"/>
    <s v="AX779575659"/>
    <d v="2026-03-27T00:00:00"/>
    <d v="2026-04-05T00:00:00"/>
    <s v="TOPGOLF #442"/>
    <s v="7997"/>
    <s v="Entertainment"/>
    <n v="111.24"/>
    <s v="Corporate Amex"/>
    <m/>
    <s v="Y"/>
    <s v="Entertainment"/>
    <s v="MATCH"/>
    <x v="6"/>
  </r>
  <r>
    <s v="EXP101747"/>
    <s v="E121"/>
    <s v="AX577314018"/>
    <d v="2026-04-04T00:00:00"/>
    <d v="2026-04-05T00:00:00"/>
    <s v="SQ *JOES COFFEE"/>
    <s v="5812"/>
    <s v="Meals"/>
    <n v="20.2"/>
    <s v="Corporate Amex"/>
    <m/>
    <s v="Y"/>
    <s v="Meals"/>
    <s v="MATCH"/>
    <x v="7"/>
  </r>
  <r>
    <s v="EXP101748"/>
    <s v="E083"/>
    <s v="AX 930083129"/>
    <d v="2026-03-30T00:00:00"/>
    <d v="2026-04-05T00:00:00"/>
    <s v="YELLOW CAB CO"/>
    <s v="4121"/>
    <s v="Transportation"/>
    <n v="55.5"/>
    <s v="Corporate Amex"/>
    <m/>
    <s v="Y"/>
    <s v="Transportation"/>
    <s v="MATCH"/>
    <x v="2"/>
  </r>
  <r>
    <s v="EXP101749"/>
    <s v="E041"/>
    <s v="AX782107784"/>
    <d v="2026-03-31T00:00:00"/>
    <d v="2026-04-06T00:00:00"/>
    <s v="UBER TRIP HELP.UBER"/>
    <s v="4121"/>
    <s v="Transportation"/>
    <n v="22.44"/>
    <s v="Corporate Amex"/>
    <m/>
    <s v="Y"/>
    <s v="Transportation"/>
    <s v="MATCH"/>
    <x v="0"/>
  </r>
  <r>
    <s v="EXP101750"/>
    <s v="E035"/>
    <s v="AX-821517423"/>
    <d v="2026-04-01T00:00:00"/>
    <d v="2026-04-06T00:00:00"/>
    <s v="BRANDWATCH LTD"/>
    <s v="5734"/>
    <s v="Software"/>
    <n v="461.86"/>
    <s v="Corporate Amex"/>
    <m/>
    <s v="Y"/>
    <s v="Software"/>
    <s v="MATCH"/>
    <x v="0"/>
  </r>
  <r>
    <s v="EXP101751"/>
    <s v="E053"/>
    <s v="AX122543113"/>
    <d v="2026-03-30T00:00:00"/>
    <d v="2026-04-06T00:00:00"/>
    <s v="PANERA BREAD #0231"/>
    <s v="5812"/>
    <s v="Meals"/>
    <n v="27.19"/>
    <s v="Corporate Amex"/>
    <m/>
    <s v="Y"/>
    <s v="Meals"/>
    <s v="MATCH"/>
    <x v="0"/>
  </r>
  <r>
    <s v="EXP101752"/>
    <s v="E052"/>
    <m/>
    <d v="2026-03-31T00:00:00"/>
    <d v="2026-04-06T00:00:00"/>
    <s v="REGION CATERING CO"/>
    <s v="5811"/>
    <s v="Events"/>
    <n v="245.05"/>
    <s v="Corporate Amex"/>
    <m/>
    <s v="Y"/>
    <s v="Events"/>
    <s v="MATCH"/>
    <x v="0"/>
  </r>
  <r>
    <s v="EXP101753"/>
    <s v="E065"/>
    <m/>
    <d v="2026-04-04T00:00:00"/>
    <d v="2026-04-06T00:00:00"/>
    <s v="HOOTSUITE INC"/>
    <s v="5734"/>
    <m/>
    <n v="243.94"/>
    <s v="Corporate Amex"/>
    <m/>
    <s v="Y"/>
    <s v="Software"/>
    <s v="BLANK"/>
    <x v="0"/>
  </r>
  <r>
    <s v="EXP101754"/>
    <s v="E139"/>
    <s v="AX251100030"/>
    <d v="2026-04-03T00:00:00"/>
    <d v="2026-04-06T00:00:00"/>
    <s v="ADOBE *CREATIVE CLOUD"/>
    <s v="5734"/>
    <s v="Software"/>
    <n v="53.06"/>
    <s v="Corporate Amex"/>
    <m/>
    <s v="Y"/>
    <s v="Software"/>
    <s v="MATCH"/>
    <x v="7"/>
  </r>
  <r>
    <s v="EXP101755"/>
    <s v="E105"/>
    <s v="AX141741066"/>
    <d v="2026-04-06T00:00:00"/>
    <d v="2026-04-06T00:00:00"/>
    <s v="STAPLES #0231"/>
    <s v="5943"/>
    <m/>
    <n v="110.09"/>
    <s v="Corporate Amex"/>
    <m/>
    <s v="Y"/>
    <s v="Office Supplies"/>
    <s v="BLANK"/>
    <x v="2"/>
  </r>
  <r>
    <s v="EXP101756"/>
    <s v="E009"/>
    <s v="AX996695355"/>
    <d v="2026-04-03T00:00:00"/>
    <d v="2026-04-06T00:00:00"/>
    <s v="ADOBE *CREATIVE CLOUD"/>
    <s v="5734"/>
    <s v="Software"/>
    <n v="84.19"/>
    <s v="Corporate Amex"/>
    <m/>
    <s v="Y"/>
    <s v="Software"/>
    <s v="MATCH"/>
    <x v="0"/>
  </r>
  <r>
    <s v="EXP101757"/>
    <s v="E009"/>
    <s v="AX-611467907"/>
    <d v="2026-03-27T00:00:00"/>
    <d v="2026-04-06T00:00:00"/>
    <s v="HOOTSUITE INC"/>
    <s v="5734"/>
    <s v="Software"/>
    <n v="208.47"/>
    <s v="Corporate Amex"/>
    <m/>
    <s v="Y"/>
    <s v="Software"/>
    <s v="MATCH"/>
    <x v="0"/>
  </r>
  <r>
    <s v="EXP101758"/>
    <s v="E157"/>
    <s v="ax333720487"/>
    <d v="2026-03-28T00:00:00"/>
    <d v="2026-04-06T00:00:00"/>
    <s v="SQ *THE CORNER BISTRO"/>
    <s v="5812"/>
    <s v="Meals"/>
    <n v="52.14"/>
    <s v="Corporate Amex"/>
    <m/>
    <s v="Y"/>
    <s v="Meals"/>
    <s v="MATCH"/>
    <x v="6"/>
  </r>
  <r>
    <s v="EXP101759"/>
    <s v="E226"/>
    <s v="ax255777907"/>
    <d v="2026-04-05T00:00:00"/>
    <d v="2026-04-06T00:00:00"/>
    <s v="HILTON GARDEN INN 2231"/>
    <s v="7011"/>
    <s v="Lodging"/>
    <n v="354.74"/>
    <s v="Corporate Amex"/>
    <m/>
    <s v="Y"/>
    <s v="Lodging"/>
    <s v="MATCH"/>
    <x v="4"/>
  </r>
  <r>
    <s v="EXP101760"/>
    <s v="E076"/>
    <m/>
    <d v="2026-04-04T00:00:00"/>
    <d v="2026-04-06T00:00:00"/>
    <s v="EVENTBRITE"/>
    <s v="7999"/>
    <m/>
    <n v="160.87"/>
    <s v="Corporate Amex"/>
    <m/>
    <s v="N"/>
    <s v="Events"/>
    <s v="BLANK"/>
    <x v="2"/>
  </r>
  <r>
    <s v="EXP101761"/>
    <s v="E032"/>
    <s v="AX-687665117"/>
    <d v="2026-04-03T00:00:00"/>
    <d v="2026-04-06T00:00:00"/>
    <s v="TOPGOLF #442"/>
    <s v="7997"/>
    <s v="Entertainment"/>
    <n v="179.85"/>
    <s v="Corporate Amex"/>
    <m/>
    <s v="Y"/>
    <s v="Entertainment"/>
    <s v="MATCH"/>
    <x v="0"/>
  </r>
  <r>
    <s v="EXP101762"/>
    <s v="E134"/>
    <s v="AX 618500906"/>
    <d v="2026-04-06T00:00:00"/>
    <d v="2026-04-06T00:00:00"/>
    <s v="AMAZON MKTPLACE PMTS"/>
    <s v="5942"/>
    <s v="Office Supplies"/>
    <n v="459.53"/>
    <s v="Corporate Amex"/>
    <m/>
    <s v="Y"/>
    <s v="Office Supplies"/>
    <s v="MATCH"/>
    <x v="7"/>
  </r>
  <r>
    <s v="EXP101763"/>
    <s v="E259"/>
    <s v="AX522757453"/>
    <d v="2026-03-29T00:00:00"/>
    <d v="2026-04-07T00:00:00"/>
    <s v="ADOBE *CREATIVE CLOUD"/>
    <s v="5734"/>
    <s v="Software"/>
    <n v="30.72"/>
    <s v="Corporate Amex"/>
    <m/>
    <s v="Y"/>
    <s v="Software"/>
    <s v="MATCH"/>
    <x v="8"/>
  </r>
  <r>
    <s v="EXP101764"/>
    <s v="E267"/>
    <s v="AX419885106"/>
    <d v="2026-03-29T00:00:00"/>
    <d v="2026-04-07T00:00:00"/>
    <s v="AMC THEATRES 0021"/>
    <s v="7832"/>
    <s v="Entertainment"/>
    <n v="25"/>
    <s v="Corporate Amex"/>
    <m/>
    <s v="N"/>
    <s v="Entertainment"/>
    <s v="MATCH"/>
    <x v="3"/>
  </r>
  <r>
    <s v="EXP101765"/>
    <s v="E203"/>
    <m/>
    <d v="2026-04-05T00:00:00"/>
    <d v="2026-04-07T00:00:00"/>
    <s v="ADOBE *CREATIVE CLOUD"/>
    <s v="5734"/>
    <s v="Software"/>
    <n v="36.64"/>
    <s v="Corporate Amex"/>
    <m/>
    <s v="Y"/>
    <s v="Software"/>
    <s v="MATCH"/>
    <x v="5"/>
  </r>
  <r>
    <s v="EXP101766"/>
    <s v="E069"/>
    <s v="AX386594686"/>
    <d v="2026-04-04T00:00:00"/>
    <d v="2026-04-07T00:00:00"/>
    <s v=" ZOOM.US"/>
    <s v="5734"/>
    <s v="Software"/>
    <n v="51.22"/>
    <s v="Corporate Amex"/>
    <m/>
    <s v="N"/>
    <s v="Software"/>
    <s v="MATCH"/>
    <x v="0"/>
  </r>
  <r>
    <s v="EXP101767"/>
    <s v="E139"/>
    <s v="ax932970850"/>
    <d v="2026-04-07T00:00:00"/>
    <d v="2026-04-07T00:00:00"/>
    <s v="SOUTHWEST AIR 5261823"/>
    <s v="4511"/>
    <s v="Travel"/>
    <n v="432.96"/>
    <s v="Corporate Amex"/>
    <m/>
    <s v="Y"/>
    <s v="Travel"/>
    <s v="MATCH"/>
    <x v="7"/>
  </r>
  <r>
    <s v="EXP101768"/>
    <s v="E097"/>
    <s v="ax882843265"/>
    <d v="2026-04-04T00:00:00"/>
    <d v="2026-04-07T00:00:00"/>
    <s v="UNITED AIRLINES 0162233"/>
    <s v="4511"/>
    <s v="Travel"/>
    <n v="280.74"/>
    <s v="Corporate Amex"/>
    <m/>
    <s v="Y"/>
    <s v="Travel"/>
    <s v="MATCH"/>
    <x v="2"/>
  </r>
  <r>
    <s v="EXP101769"/>
    <s v="E071"/>
    <s v="AX-171350621"/>
    <d v="2026-03-31T00:00:00"/>
    <d v="2026-04-07T00:00:00"/>
    <s v="TOPGOLF #442"/>
    <s v="7997"/>
    <s v="Entertainment"/>
    <n v="211.24"/>
    <s v="Corporate Amex"/>
    <m/>
    <s v="Y"/>
    <s v="Entertainment"/>
    <s v="MATCH"/>
    <x v="2"/>
  </r>
  <r>
    <s v="EXP101770"/>
    <s v="E201"/>
    <s v="AX222750095"/>
    <d v="2026-04-02T00:00:00"/>
    <d v="2026-04-07T00:00:00"/>
    <s v="MARRIOTT #4471"/>
    <s v="7011"/>
    <s v="Lodging"/>
    <n v="233.6"/>
    <s v="Corporate Amex"/>
    <m/>
    <s v="Y"/>
    <s v="Lodging"/>
    <s v="MATCH"/>
    <x v="5"/>
  </r>
  <r>
    <s v="EXP101771"/>
    <s v="E037"/>
    <m/>
    <d v="2026-04-01T00:00:00"/>
    <d v="2026-04-07T00:00:00"/>
    <s v="AMC THEATRES 0021"/>
    <s v="7832"/>
    <m/>
    <n v="37.61"/>
    <s v="Corporate Amex"/>
    <m/>
    <s v="Y"/>
    <s v="Entertainment"/>
    <s v="BLANK"/>
    <x v="0"/>
  </r>
  <r>
    <s v="EXP101772"/>
    <s v="E117"/>
    <m/>
    <d v="2026-03-28T00:00:00"/>
    <d v="2026-04-07T00:00:00"/>
    <s v="TOPGOLF #442"/>
    <s v="7997"/>
    <s v="Entertainment"/>
    <n v="124.22"/>
    <s v="Personal (Reimbursement)"/>
    <s v="Forgot corporate card"/>
    <s v="Y"/>
    <s v="Entertainment"/>
    <s v="MATCH"/>
    <x v="7"/>
  </r>
  <r>
    <s v="EXP101773"/>
    <s v="E269"/>
    <s v="AX 322452099"/>
    <d v="2026-04-06T00:00:00"/>
    <d v="2026-04-07T00:00:00"/>
    <s v="TOTAL PARTY RENTAL"/>
    <s v="7999"/>
    <s v="Events"/>
    <n v="427.27"/>
    <s v="Corporate Amex"/>
    <m/>
    <s v="Y"/>
    <s v="Events"/>
    <s v="MATCH"/>
    <x v="3"/>
  </r>
  <r>
    <s v="EXP101774"/>
    <s v="E035"/>
    <s v="AX213981820"/>
    <d v="2026-04-02T00:00:00"/>
    <d v="2026-04-07T00:00:00"/>
    <s v="PANERA BREAD #0231"/>
    <s v="5812"/>
    <s v="Meals"/>
    <n v="26.4"/>
    <s v="Corporate Amex"/>
    <m/>
    <s v="Y"/>
    <s v="Meals"/>
    <s v="MATCH"/>
    <x v="0"/>
  </r>
  <r>
    <s v="EXP101775"/>
    <s v="E141"/>
    <s v="AX 605095524"/>
    <d v="2026-04-04T00:00:00"/>
    <d v="2026-04-07T00:00:00"/>
    <s v="STAPLES #0231"/>
    <s v="5943"/>
    <s v="Office Supplies"/>
    <n v="133.36000000000001"/>
    <s v="Corporate Amex"/>
    <m/>
    <s v="Y"/>
    <s v="Office Supplies"/>
    <s v="MATCH"/>
    <x v="7"/>
  </r>
  <r>
    <s v="EXP101776"/>
    <s v="E141"/>
    <s v="AX422912283"/>
    <d v="2026-04-01T00:00:00"/>
    <d v="2026-04-07T00:00:00"/>
    <s v="AMC THEATRES 0021"/>
    <s v="7832"/>
    <s v="Entertainment"/>
    <n v="40.07"/>
    <s v="Corporate Amex"/>
    <m/>
    <s v="Y"/>
    <s v="Entertainment"/>
    <s v="MATCH"/>
    <x v="7"/>
  </r>
  <r>
    <s v="EXP101777"/>
    <s v="E055"/>
    <m/>
    <d v="2026-04-01T00:00:00"/>
    <d v="2026-04-07T00:00:00"/>
    <s v="HYATT REGENCY BOS"/>
    <s v="7011"/>
    <s v="Lodging"/>
    <n v="388.01"/>
    <s v="Corporate Amex"/>
    <m/>
    <s v="Y"/>
    <s v="Lodging"/>
    <s v="MATCH"/>
    <x v="0"/>
  </r>
  <r>
    <s v="EXP101778"/>
    <s v="E055"/>
    <s v="AX672147435"/>
    <d v="2026-04-05T00:00:00"/>
    <d v="2026-04-07T00:00:00"/>
    <s v="LYFT RIDE THU"/>
    <s v="4121"/>
    <s v="Transportation"/>
    <n v="10.52"/>
    <s v="Corporate Amex"/>
    <m/>
    <s v="Y"/>
    <s v="Transportation"/>
    <s v="MATCH"/>
    <x v="0"/>
  </r>
  <r>
    <s v="EXP101779"/>
    <s v="E008"/>
    <s v="ax330922808"/>
    <d v="2026-03-31T00:00:00"/>
    <d v="2026-04-07T00:00:00"/>
    <s v="AMAZON MKTPLACE PMTS"/>
    <s v="5942"/>
    <s v="Office Supplies"/>
    <n v="380.38"/>
    <s v="Corporate Amex"/>
    <m/>
    <s v="Y"/>
    <s v="Office Supplies"/>
    <s v="MATCH"/>
    <x v="0"/>
  </r>
  <r>
    <s v="EXP101780"/>
    <s v="E201"/>
    <s v="ax124509441"/>
    <d v="2026-03-31T00:00:00"/>
    <d v="2026-04-08T00:00:00"/>
    <s v="ADOBE *CREATIVE CLOUD"/>
    <s v="5734"/>
    <s v="Software"/>
    <n v="64.52"/>
    <s v="Corporate Amex"/>
    <m/>
    <s v="Y"/>
    <s v="Software"/>
    <s v="MATCH"/>
    <x v="5"/>
  </r>
  <r>
    <s v="EXP101781"/>
    <s v="E024"/>
    <m/>
    <d v="2026-04-07T00:00:00"/>
    <d v="2026-04-08T00:00:00"/>
    <s v="HYATT REGENCY BOS"/>
    <s v="7011"/>
    <s v="Lodging"/>
    <n v="406.09"/>
    <s v="Corporate Amex"/>
    <m/>
    <s v="Y"/>
    <s v="Lodging"/>
    <s v="MATCH"/>
    <x v="0"/>
  </r>
  <r>
    <s v="EXP101782"/>
    <s v="E061"/>
    <s v="AX200918133"/>
    <d v="2026-04-04T00:00:00"/>
    <d v="2026-04-08T00:00:00"/>
    <s v="AMAZON MKTPLACE PMTS"/>
    <s v="5942"/>
    <s v="Office Supplies"/>
    <n v="127.2"/>
    <s v="Corporate Amex"/>
    <m/>
    <s v="Y"/>
    <s v="Office Supplies"/>
    <s v="MATCH"/>
    <x v="0"/>
  </r>
  <r>
    <s v="EXP101783"/>
    <s v="E002"/>
    <s v="AX131191036"/>
    <d v="2026-04-08T00:00:00"/>
    <d v="2026-04-08T00:00:00"/>
    <s v="HILTON GARDEN INN 2231"/>
    <s v="7011"/>
    <s v="Lodging"/>
    <n v="370.26"/>
    <s v="Corporate Amex"/>
    <m/>
    <s v="Y"/>
    <s v="Lodging"/>
    <s v="MATCH"/>
    <x v="0"/>
  </r>
  <r>
    <s v="EXP101784"/>
    <s v="E045"/>
    <s v="AX597533411"/>
    <d v="2026-04-06T00:00:00"/>
    <d v="2026-04-08T00:00:00"/>
    <s v=" PANERA BREAD #0231"/>
    <s v="5812"/>
    <s v="Meals"/>
    <n v="14.9"/>
    <s v="Corporate Amex"/>
    <m/>
    <s v="Y"/>
    <s v="Meals"/>
    <s v="MATCH"/>
    <x v="0"/>
  </r>
  <r>
    <s v="EXP101785"/>
    <s v="E031"/>
    <s v="AX 530847854"/>
    <d v="2026-04-04T00:00:00"/>
    <d v="2026-04-08T00:00:00"/>
    <s v="STAPLES #0231"/>
    <s v="5943"/>
    <s v="Office Supplies"/>
    <n v="63.66"/>
    <s v="Corporate Amex"/>
    <m/>
    <s v="Y"/>
    <s v="Office Supplies"/>
    <s v="MATCH"/>
    <x v="0"/>
  </r>
  <r>
    <s v="EXP101786"/>
    <s v="E031"/>
    <s v="ax535651845"/>
    <d v="2026-03-29T00:00:00"/>
    <d v="2026-04-08T00:00:00"/>
    <s v="SQ *THE CORNER BISTRO"/>
    <s v="5812"/>
    <s v="Meals"/>
    <n v="27.09"/>
    <s v="Corporate Amex"/>
    <m/>
    <s v="Y"/>
    <s v="Meals"/>
    <s v="MATCH"/>
    <x v="0"/>
  </r>
  <r>
    <s v="EXP101787"/>
    <s v="E031"/>
    <s v="ax312793303"/>
    <d v="2026-04-08T00:00:00"/>
    <d v="2026-04-08T00:00:00"/>
    <s v="STARBUCKS #4471"/>
    <s v="5812"/>
    <s v="Meals"/>
    <n v="12.61"/>
    <s v="Corporate Amex"/>
    <m/>
    <s v="Y"/>
    <s v="Meals"/>
    <s v="MATCH"/>
    <x v="0"/>
  </r>
  <r>
    <s v="EXP101788"/>
    <s v="E022"/>
    <m/>
    <d v="2026-04-03T00:00:00"/>
    <d v="2026-04-08T00:00:00"/>
    <s v="MICROSOFT*365"/>
    <s v="5734"/>
    <s v="Software"/>
    <n v="24.08"/>
    <s v="Personal (Reimbursement)"/>
    <s v="Card not yet issued"/>
    <s v="Y"/>
    <s v="Software"/>
    <s v="MATCH"/>
    <x v="0"/>
  </r>
  <r>
    <s v="EXP101789"/>
    <s v="E026"/>
    <m/>
    <d v="2026-04-04T00:00:00"/>
    <d v="2026-04-08T00:00:00"/>
    <s v="HILTON GARDEN INN 2231"/>
    <s v="7011"/>
    <s v="Lodging"/>
    <n v="271.7"/>
    <s v="Personal (Reimbursement)"/>
    <s v="International merchant - Amex not accepted"/>
    <s v="Y"/>
    <s v="Lodging"/>
    <s v="MATCH"/>
    <x v="0"/>
  </r>
  <r>
    <s v="EXP101790"/>
    <s v="E106"/>
    <s v="AX 134869376"/>
    <d v="2026-04-07T00:00:00"/>
    <d v="2026-04-08T00:00:00"/>
    <s v="HYATT REGENCY BOS"/>
    <s v="7011"/>
    <m/>
    <n v="316.57"/>
    <s v="Corporate Amex"/>
    <m/>
    <s v="N"/>
    <s v="Lodging"/>
    <s v="BLANK"/>
    <x v="2"/>
  </r>
  <r>
    <s v="EXP101791"/>
    <s v="E263"/>
    <s v="AX783182577"/>
    <d v="2026-04-01T00:00:00"/>
    <d v="2026-04-08T00:00:00"/>
    <s v="SPROUT SOCIAL"/>
    <s v="5734"/>
    <s v="Software"/>
    <n v="233.29"/>
    <s v="Corporate Amex"/>
    <m/>
    <s v="Y"/>
    <s v="Software"/>
    <s v="MATCH"/>
    <x v="3"/>
  </r>
  <r>
    <s v="EXP101792"/>
    <s v="E066"/>
    <s v="AX-533598459"/>
    <d v="2026-04-03T00:00:00"/>
    <d v="2026-04-08T00:00:00"/>
    <s v="HILTON GARDEN INN 2231"/>
    <s v="7011"/>
    <s v="Lodging"/>
    <n v="378.01"/>
    <s v="Corporate Amex"/>
    <m/>
    <s v="N"/>
    <s v="Lodging"/>
    <s v="MATCH"/>
    <x v="0"/>
  </r>
  <r>
    <s v="EXP101793"/>
    <s v="E048"/>
    <m/>
    <d v="2026-04-01T00:00:00"/>
    <d v="2026-04-08T00:00:00"/>
    <s v="HILTON GARDEN INN 2231"/>
    <s v="7011"/>
    <s v="Lodging"/>
    <n v="170.43"/>
    <s v="Personal (Reimbursement)"/>
    <s v="Forgot corporate card"/>
    <s v="Y"/>
    <s v="Lodging"/>
    <s v="MATCH"/>
    <x v="0"/>
  </r>
  <r>
    <s v="EXP101794"/>
    <s v="E048"/>
    <m/>
    <d v="2026-04-07T00:00:00"/>
    <d v="2026-04-08T00:00:00"/>
    <s v="SQ *JOES COFFEE"/>
    <s v="5812"/>
    <s v="Meals"/>
    <n v="21.17"/>
    <s v="Personal (Reimbursement)"/>
    <s v="Forgot corporate card"/>
    <s v="Y"/>
    <s v="Meals"/>
    <s v="MATCH"/>
    <x v="0"/>
  </r>
  <r>
    <s v="EXP101795"/>
    <s v="E034"/>
    <s v="ax333417180"/>
    <d v="2026-04-01T00:00:00"/>
    <d v="2026-04-08T00:00:00"/>
    <s v="SQ *THE CORNER BISTRO"/>
    <s v="5812"/>
    <s v="Meals"/>
    <n v="55.38"/>
    <s v="Corporate Amex"/>
    <m/>
    <s v="Y"/>
    <s v="Meals"/>
    <s v="MATCH"/>
    <x v="0"/>
  </r>
  <r>
    <s v="EXP101796"/>
    <s v="E103"/>
    <s v="AX642359185"/>
    <d v="2026-04-05T00:00:00"/>
    <d v="2026-04-08T00:00:00"/>
    <s v="UBER TRIP HELP.UBER"/>
    <s v="4121"/>
    <s v="Transportation"/>
    <n v="14.81"/>
    <s v="Corporate Amex"/>
    <m/>
    <s v="Y"/>
    <s v="Transportation"/>
    <s v="MATCH"/>
    <x v="2"/>
  </r>
  <r>
    <s v="EXP101797"/>
    <s v="E025"/>
    <s v="AX235804714"/>
    <d v="2026-04-03T00:00:00"/>
    <d v="2026-04-08T00:00:00"/>
    <s v="LYFT RIDE THU"/>
    <s v="4121"/>
    <s v="Transportation"/>
    <n v="39.19"/>
    <s v="Corporate Amex"/>
    <m/>
    <s v="Y"/>
    <s v="Transportation"/>
    <s v="MATCH"/>
    <x v="0"/>
  </r>
  <r>
    <s v="EXP101798"/>
    <s v="E056"/>
    <m/>
    <d v="2026-03-31T00:00:00"/>
    <d v="2026-04-08T00:00:00"/>
    <s v="AMAZON MKTPLACE PMTS"/>
    <s v="5942"/>
    <s v="Office Supplies"/>
    <n v="303.43"/>
    <s v="Corporate Amex"/>
    <m/>
    <s v="Y"/>
    <s v="Office Supplies"/>
    <s v="MATCH"/>
    <x v="0"/>
  </r>
  <r>
    <s v="EXP101799"/>
    <s v="E148"/>
    <s v="AX895564636"/>
    <d v="2026-04-05T00:00:00"/>
    <d v="2026-04-08T00:00:00"/>
    <s v="REGION CATERING CO"/>
    <s v="5811"/>
    <s v="Events"/>
    <n v="131.03"/>
    <s v="Corporate Amex"/>
    <m/>
    <s v="Y"/>
    <s v="Events"/>
    <s v="MATCH"/>
    <x v="7"/>
  </r>
  <r>
    <s v="EXP101800"/>
    <s v="E173"/>
    <s v="AX 495299881"/>
    <d v="2026-04-03T00:00:00"/>
    <d v="2026-04-08T00:00:00"/>
    <s v="HILTON GARDEN INN 2231"/>
    <s v="7011"/>
    <s v="Lodging"/>
    <n v="357.4"/>
    <s v="Corporate Amex"/>
    <m/>
    <s v="Y"/>
    <s v="Lodging"/>
    <s v="MATCH"/>
    <x v="6"/>
  </r>
  <r>
    <s v="EXP101801"/>
    <s v="E041"/>
    <m/>
    <d v="2026-03-30T00:00:00"/>
    <d v="2026-04-08T00:00:00"/>
    <s v="ADOBE *CREATIVE CLOUD"/>
    <s v="5734"/>
    <s v="Software"/>
    <n v="48.59"/>
    <s v="Corporate Amex"/>
    <m/>
    <s v="N"/>
    <s v="Software"/>
    <s v="MATCH"/>
    <x v="0"/>
  </r>
  <r>
    <s v="EXP101802"/>
    <s v="E205"/>
    <m/>
    <d v="2026-04-02T00:00:00"/>
    <d v="2026-04-09T00:00:00"/>
    <s v="SQ *THE CORNER BISTRO"/>
    <s v="5812"/>
    <s v="Meals"/>
    <n v="26.48"/>
    <s v="Personal (Reimbursement)"/>
    <s v="International merchant - Amex not accepted"/>
    <s v="Y"/>
    <s v="Meals"/>
    <s v="MATCH"/>
    <x v="5"/>
  </r>
  <r>
    <s v="EXP101803"/>
    <s v="E225"/>
    <s v="AX 990268334"/>
    <d v="2026-04-04T00:00:00"/>
    <d v="2026-04-09T00:00:00"/>
    <s v="SPROUT SOCIAL"/>
    <s v="5734"/>
    <s v="Software"/>
    <n v="240.07"/>
    <s v="Corporate Amex"/>
    <m/>
    <s v="Y"/>
    <s v="Software"/>
    <s v="MATCH"/>
    <x v="4"/>
  </r>
  <r>
    <s v="EXP101804"/>
    <s v="E055"/>
    <m/>
    <d v="2026-04-05T00:00:00"/>
    <d v="2026-04-09T00:00:00"/>
    <s v="YELLOW CAB CO"/>
    <s v="4121"/>
    <s v="Transportation"/>
    <n v="33.42"/>
    <s v="Personal (Reimbursement)"/>
    <s v="International merchant - Amex not accepted"/>
    <s v="Y"/>
    <s v="Transportation"/>
    <s v="MATCH"/>
    <x v="0"/>
  </r>
  <r>
    <s v="EXP101805"/>
    <s v="E031"/>
    <s v="AX 182232424"/>
    <d v="2026-03-31T00:00:00"/>
    <d v="2026-04-09T00:00:00"/>
    <s v="YELLOW CAB CO"/>
    <s v="4121"/>
    <s v="Transportation"/>
    <n v="43.28"/>
    <s v="Corporate Amex"/>
    <m/>
    <s v="Y"/>
    <s v="Transportation"/>
    <s v="MATCH"/>
    <x v="0"/>
  </r>
  <r>
    <s v="EXP101806"/>
    <s v="E069"/>
    <s v="ax322500898"/>
    <d v="2026-04-05T00:00:00"/>
    <d v="2026-04-09T00:00:00"/>
    <s v="TOTAL PARTY RENTAL"/>
    <s v="7999"/>
    <s v="  Events "/>
    <n v="452.1"/>
    <s v="Corporate Amex"/>
    <m/>
    <s v="Y"/>
    <s v="Events"/>
    <s v="MATCH"/>
    <x v="0"/>
  </r>
  <r>
    <s v="EXP101807"/>
    <s v="E039"/>
    <s v="ax414087532"/>
    <d v="2026-04-02T00:00:00"/>
    <d v="2026-04-09T00:00:00"/>
    <s v="TOTAL PARTY RENTAL"/>
    <s v="7999"/>
    <s v="Events"/>
    <n v="176.94"/>
    <s v="Corporate Amex"/>
    <m/>
    <s v="N"/>
    <s v="Events"/>
    <s v="MATCH"/>
    <x v="0"/>
  </r>
  <r>
    <s v="EXP101808"/>
    <s v="E132"/>
    <s v="AX-443853035"/>
    <d v="2026-04-04T00:00:00"/>
    <d v="2026-04-09T00:00:00"/>
    <s v="AMC THEATRES 0021"/>
    <s v="7832"/>
    <s v="Entertainment"/>
    <n v="53.03"/>
    <s v="Corporate Amex"/>
    <m/>
    <s v="Y"/>
    <s v="Entertainment"/>
    <s v="MATCH"/>
    <x v="7"/>
  </r>
  <r>
    <s v="EXP101809"/>
    <s v="E020"/>
    <s v="ax854571506"/>
    <d v="2026-04-04T00:00:00"/>
    <d v="2026-04-09T00:00:00"/>
    <s v="HYATT REGENCY BOS"/>
    <s v="7011"/>
    <s v="Lodging"/>
    <n v="457.4"/>
    <s v="Corporate Amex"/>
    <m/>
    <s v="Y"/>
    <s v="Lodging"/>
    <s v="MATCH"/>
    <x v="0"/>
  </r>
  <r>
    <s v="EXP101810"/>
    <s v="E172"/>
    <s v="AX184659608"/>
    <d v="2026-04-03T00:00:00"/>
    <d v="2026-04-09T00:00:00"/>
    <s v="DELTA AIR 00623891045"/>
    <s v="4511"/>
    <s v="Travel"/>
    <n v="269.81"/>
    <s v="Corporate Amex"/>
    <m/>
    <s v="Y"/>
    <s v="Travel"/>
    <s v="MATCH"/>
    <x v="6"/>
  </r>
  <r>
    <s v="EXP101811"/>
    <s v="E025"/>
    <s v="AX211707297"/>
    <d v="2026-04-09T00:00:00"/>
    <d v="2026-04-09T00:00:00"/>
    <s v="ZOOM.US"/>
    <s v="5734"/>
    <s v="Software"/>
    <n v="15.07"/>
    <s v="Corporate Amex"/>
    <m/>
    <s v="Y"/>
    <s v="Software"/>
    <s v="MATCH"/>
    <x v="0"/>
  </r>
  <r>
    <s v="EXP101812"/>
    <s v="E035"/>
    <s v="ax147268053"/>
    <d v="2026-04-08T00:00:00"/>
    <d v="2026-04-09T00:00:00"/>
    <s v="UBER TRIP HELP.UBER"/>
    <s v="4121"/>
    <s v="Transportation"/>
    <n v="54.21"/>
    <s v="Corporate Amex"/>
    <m/>
    <s v="Y"/>
    <s v="Transportation"/>
    <s v="MATCH"/>
    <x v="0"/>
  </r>
  <r>
    <s v="EXP101813"/>
    <s v="E027"/>
    <s v="ax670239377"/>
    <d v="2026-04-04T00:00:00"/>
    <d v="2026-04-09T00:00:00"/>
    <s v="STARBUCKS #4471"/>
    <s v="5812"/>
    <s v="Meals"/>
    <n v="8.86"/>
    <s v="Corporate Amex"/>
    <m/>
    <s v="Y"/>
    <s v="Meals"/>
    <s v="MATCH"/>
    <x v="0"/>
  </r>
  <r>
    <s v="EXP101814"/>
    <s v="E267"/>
    <s v="AX-677326346"/>
    <d v="2026-03-30T00:00:00"/>
    <d v="2026-04-09T00:00:00"/>
    <s v="TOPGOLF #442"/>
    <s v="7997"/>
    <s v="Entertainment"/>
    <n v="187.16"/>
    <s v="Corporate Amex"/>
    <m/>
    <s v="Y"/>
    <s v="Entertainment"/>
    <s v="MATCH"/>
    <x v="3"/>
  </r>
  <r>
    <s v="EXP101815"/>
    <s v="E054"/>
    <s v="AX947292718"/>
    <d v="2026-04-05T00:00:00"/>
    <d v="2026-04-09T00:00:00"/>
    <s v="SPROUT SOCIAL"/>
    <s v="5734"/>
    <s v="Software"/>
    <n v="157.06"/>
    <s v="Corporate Amex"/>
    <m/>
    <s v="Y"/>
    <s v="Software"/>
    <s v="MATCH"/>
    <x v="0"/>
  </r>
  <r>
    <s v="EXP101816"/>
    <s v="E229"/>
    <s v="AX332637009"/>
    <d v="2026-03-31T00:00:00"/>
    <d v="2026-04-09T00:00:00"/>
    <s v="UNITED AIRLINES 0162233"/>
    <s v="4511"/>
    <s v="Travel"/>
    <n v="249.31"/>
    <s v="Corporate Amex"/>
    <m/>
    <s v="Y"/>
    <s v="Travel"/>
    <s v="MATCH"/>
    <x v="4"/>
  </r>
  <r>
    <s v="EXP101817"/>
    <s v="E187"/>
    <s v="ax588181231"/>
    <d v="2026-04-04T00:00:00"/>
    <d v="2026-04-09T00:00:00"/>
    <s v="HILTON GARDEN INN 2231"/>
    <s v="7011"/>
    <s v="Lodging"/>
    <n v="316.72000000000003"/>
    <s v="Corporate Amex"/>
    <m/>
    <s v="Y"/>
    <s v="Lodging"/>
    <s v="MATCH"/>
    <x v="5"/>
  </r>
  <r>
    <s v="EXP101818"/>
    <s v="E009"/>
    <s v="ax966008501"/>
    <d v="2026-04-01T00:00:00"/>
    <d v="2026-04-09T00:00:00"/>
    <s v="SQ *JOES COFFEE"/>
    <s v="5812"/>
    <s v="Meals"/>
    <n v="9.1199999999999992"/>
    <s v="Corporate Amex"/>
    <m/>
    <s v="Y"/>
    <s v="Meals"/>
    <s v="MATCH"/>
    <x v="0"/>
  </r>
  <r>
    <s v="EXP101819"/>
    <s v="E040"/>
    <s v="AX743137267"/>
    <d v="2026-03-30T00:00:00"/>
    <d v="2026-04-09T00:00:00"/>
    <s v="AMC THEATRES 0021"/>
    <s v="7832"/>
    <s v="Entertainment"/>
    <n v="25.34"/>
    <s v="Corporate Amex"/>
    <m/>
    <s v="Y"/>
    <s v="Entertainment"/>
    <s v="MATCH"/>
    <x v="0"/>
  </r>
  <r>
    <s v="EXP101820"/>
    <s v="E044"/>
    <m/>
    <d v="2026-04-05T00:00:00"/>
    <d v="2026-04-10T00:00:00"/>
    <s v="EVENTBRITE"/>
    <s v="7999"/>
    <s v="Events"/>
    <n v="223.21"/>
    <s v="Corporate Amex"/>
    <m/>
    <s v="Y"/>
    <s v="Events"/>
    <s v="MATCH"/>
    <x v="0"/>
  </r>
  <r>
    <s v="EXP101821"/>
    <s v="E044"/>
    <s v="AX592851906"/>
    <d v="2026-04-08T00:00:00"/>
    <d v="2026-04-10T00:00:00"/>
    <s v="UNITED AIRLINES 0162233"/>
    <s v="4511"/>
    <s v="Travel"/>
    <n v="647.23"/>
    <s v="Corporate Amex"/>
    <m/>
    <s v="Y"/>
    <s v="Travel"/>
    <s v="MATCH"/>
    <x v="0"/>
  </r>
  <r>
    <s v="EXP101822"/>
    <s v="E019"/>
    <s v="AX141255015"/>
    <d v="2026-04-10T00:00:00"/>
    <d v="2026-04-10T00:00:00"/>
    <s v="HILTON GARDEN INN 2231"/>
    <s v="7011"/>
    <s v="Lodging"/>
    <n v="326.52"/>
    <s v="Corporate Amex"/>
    <m/>
    <s v="Y"/>
    <s v="Lodging"/>
    <s v="MATCH"/>
    <x v="0"/>
  </r>
  <r>
    <s v="EXP101823"/>
    <s v="E242"/>
    <s v="ax718947273"/>
    <d v="2026-04-01T00:00:00"/>
    <d v="2026-04-10T00:00:00"/>
    <s v="UBER TRIP HELP.UBER"/>
    <s v="4121"/>
    <s v="Transportation"/>
    <n v="31.41"/>
    <s v="Corporate Amex"/>
    <m/>
    <s v="Y"/>
    <s v="Transportation"/>
    <s v="MATCH"/>
    <x v="1"/>
  </r>
  <r>
    <s v="EXP101824"/>
    <s v="E062"/>
    <s v="AX 636850795"/>
    <d v="2026-04-04T00:00:00"/>
    <d v="2026-04-10T00:00:00"/>
    <s v="SPROUT SOCIAL"/>
    <s v="5734"/>
    <s v="Software"/>
    <n v="115.48"/>
    <s v="Corporate Amex"/>
    <m/>
    <s v="Y"/>
    <s v="Software"/>
    <s v="MATCH"/>
    <x v="0"/>
  </r>
  <r>
    <s v="EXP101825"/>
    <s v="E041"/>
    <s v="AX489639112"/>
    <d v="2026-04-06T00:00:00"/>
    <d v="2026-04-10T00:00:00"/>
    <s v="TOTAL PARTY RENTAL"/>
    <s v="7999"/>
    <m/>
    <n v="432.1"/>
    <s v="Corporate Amex"/>
    <m/>
    <s v="Y"/>
    <s v="Events"/>
    <s v="BLANK"/>
    <x v="0"/>
  </r>
  <r>
    <s v="EXP101827"/>
    <s v="E008"/>
    <s v="AX 958979450"/>
    <d v="2026-04-05T00:00:00"/>
    <d v="2026-04-10T00:00:00"/>
    <s v="CHIPOTLE 2214"/>
    <s v="5812"/>
    <s v="Meals"/>
    <n v="17.399999999999999"/>
    <s v="Corporate Amex"/>
    <m/>
    <s v="Y"/>
    <s v="Meals"/>
    <s v="MATCH"/>
    <x v="0"/>
  </r>
  <r>
    <s v="EXP101828"/>
    <s v="E008"/>
    <s v="AX213819309"/>
    <d v="2026-04-10T00:00:00"/>
    <d v="2026-04-10T00:00:00"/>
    <s v="HILTON GARDEN INN 2231"/>
    <s v="7011"/>
    <s v="Lodging"/>
    <n v="269.89999999999998"/>
    <s v="Corporate Amex"/>
    <m/>
    <s v="Y"/>
    <s v="Lodging"/>
    <s v="MATCH"/>
    <x v="0"/>
  </r>
  <r>
    <s v="EXP101829"/>
    <s v="E001"/>
    <s v="AX-465170885"/>
    <d v="2026-04-08T00:00:00"/>
    <d v="2026-04-10T00:00:00"/>
    <s v="EVENTBRITE"/>
    <s v="7999"/>
    <s v="Events"/>
    <n v="204.41"/>
    <s v="Corporate Amex"/>
    <m/>
    <s v="Y"/>
    <s v="Events"/>
    <s v="MATCH"/>
    <x v="0"/>
  </r>
  <r>
    <s v="EXP101830"/>
    <s v="E023"/>
    <s v="AX 439813040"/>
    <d v="2026-04-10T00:00:00"/>
    <d v="2026-04-10T00:00:00"/>
    <s v="SPROUT SOCIAL"/>
    <s v="5734"/>
    <s v="Software"/>
    <n v="188.58"/>
    <s v="Corporate Amex"/>
    <m/>
    <s v="Y"/>
    <s v="Software"/>
    <s v="MATCH"/>
    <x v="0"/>
  </r>
  <r>
    <s v="EXP101831"/>
    <s v="E023"/>
    <m/>
    <d v="2026-04-10T00:00:00"/>
    <d v="2026-04-10T00:00:00"/>
    <s v="SQ *JOES COFFEE"/>
    <s v="5812"/>
    <s v="Meals"/>
    <n v="6.09"/>
    <s v="Personal (Reimbursement)"/>
    <s v="International merchant - Amex not accepted"/>
    <s v="Y"/>
    <s v="Meals"/>
    <s v="MATCH"/>
    <x v="0"/>
  </r>
  <r>
    <s v="EXP101833"/>
    <s v="E222"/>
    <s v="AX-401793569"/>
    <d v="2026-04-08T00:00:00"/>
    <d v="2026-04-10T00:00:00"/>
    <s v="HILTON GARDEN INN 2231"/>
    <s v="7011"/>
    <s v="  Lodging "/>
    <n v="131.09"/>
    <s v="Corporate Amex"/>
    <m/>
    <s v="Y"/>
    <s v="Lodging"/>
    <s v="MATCH"/>
    <x v="4"/>
  </r>
  <r>
    <s v="EXP101834"/>
    <s v="E247"/>
    <m/>
    <d v="2026-04-02T00:00:00"/>
    <d v="2026-04-10T00:00:00"/>
    <s v="REGION CATERING CO"/>
    <s v="5811"/>
    <s v="Events"/>
    <n v="325.52999999999997"/>
    <s v="Corporate Amex"/>
    <m/>
    <s v="Y"/>
    <s v="Events"/>
    <s v="MATCH"/>
    <x v="1"/>
  </r>
  <r>
    <s v="EXP101835"/>
    <s v="E053"/>
    <s v="AX 964403651"/>
    <d v="2026-04-10T00:00:00"/>
    <d v="2026-04-10T00:00:00"/>
    <s v="AMAZON MKTPLACE PMTS"/>
    <s v="5942"/>
    <m/>
    <n v="279.39"/>
    <s v="Corporate Amex"/>
    <m/>
    <s v="Y"/>
    <s v="Office Supplies"/>
    <s v="BLANK"/>
    <x v="0"/>
  </r>
  <r>
    <s v="EXP101836"/>
    <s v="E125"/>
    <s v="AX830423325"/>
    <d v="2026-04-04T00:00:00"/>
    <d v="2026-04-10T00:00:00"/>
    <s v="HYATT REGENCY BOS"/>
    <s v="7011"/>
    <s v="Lodging"/>
    <n v="189.08"/>
    <s v="Corporate Amex"/>
    <m/>
    <s v="Y"/>
    <s v="Lodging"/>
    <s v="MATCH"/>
    <x v="7"/>
  </r>
  <r>
    <s v="EXP101837"/>
    <s v="E112"/>
    <s v="AX697698692"/>
    <d v="2026-04-07T00:00:00"/>
    <d v="2026-04-10T00:00:00"/>
    <s v="LYFT RIDE THU"/>
    <s v="4121"/>
    <s v="Transportation"/>
    <n v="32.549999999999997"/>
    <s v="Corporate Amex"/>
    <m/>
    <s v="Y"/>
    <s v="Transportation"/>
    <s v="MATCH"/>
    <x v="2"/>
  </r>
  <r>
    <s v="EXP101838"/>
    <s v="E027"/>
    <m/>
    <d v="2026-03-31T00:00:00"/>
    <d v="2026-04-10T00:00:00"/>
    <s v="SPROUT SOCIAL"/>
    <s v="5734"/>
    <s v="Transportation"/>
    <n v="218.59"/>
    <s v="Corporate Amex"/>
    <m/>
    <s v="N"/>
    <s v="Software"/>
    <s v="MISMATCH"/>
    <x v="0"/>
  </r>
  <r>
    <s v="EXP101839"/>
    <s v="E145"/>
    <s v="ax803045696"/>
    <d v="2026-04-08T00:00:00"/>
    <d v="2026-04-10T00:00:00"/>
    <s v="HYATT REGENCY BOS"/>
    <s v="7011"/>
    <s v="Lodging"/>
    <n v="288.24"/>
    <s v="Corporate Amex"/>
    <m/>
    <s v="Y"/>
    <s v="Lodging"/>
    <s v="MATCH"/>
    <x v="7"/>
  </r>
  <r>
    <s v="EXP101840"/>
    <s v="E003"/>
    <s v="AX423755956"/>
    <d v="2026-04-09T00:00:00"/>
    <d v="2026-04-10T00:00:00"/>
    <s v="HYATT REGENCY BOS"/>
    <s v="7011"/>
    <s v="Lodging"/>
    <n v="188.82"/>
    <s v="Corporate Amex"/>
    <m/>
    <s v="Y"/>
    <s v="Lodging"/>
    <s v="MATCH"/>
    <x v="0"/>
  </r>
  <r>
    <s v="EXP101841"/>
    <s v="E054"/>
    <s v="AX905350855"/>
    <d v="2026-04-03T00:00:00"/>
    <d v="2026-04-10T00:00:00"/>
    <s v="TOTAL PARTY RENTAL"/>
    <s v="7999"/>
    <s v="Events"/>
    <n v="138.97999999999999"/>
    <s v="Corporate Amex"/>
    <m/>
    <s v="Y"/>
    <s v="Events"/>
    <s v="MATCH"/>
    <x v="0"/>
  </r>
  <r>
    <s v="EXP101842"/>
    <s v="E266"/>
    <m/>
    <d v="2026-04-04T00:00:00"/>
    <d v="2026-04-10T00:00:00"/>
    <s v="EVENTBRITE"/>
    <s v="7999"/>
    <s v="Events"/>
    <n v="237.54"/>
    <s v="Personal (Reimbursement)"/>
    <s v="International merchant - Amex not accepted"/>
    <s v="Y"/>
    <s v="Events"/>
    <s v="MATCH"/>
    <x v="3"/>
  </r>
  <r>
    <s v="EXP101843"/>
    <s v="E175"/>
    <s v="ax573631255"/>
    <d v="2026-04-05T00:00:00"/>
    <d v="2026-04-10T00:00:00"/>
    <s v="MICROSOFT*365"/>
    <s v="5734"/>
    <s v="Software"/>
    <n v="60.84"/>
    <s v="Corporate Amex"/>
    <m/>
    <s v="Y"/>
    <s v="Software"/>
    <s v="MATCH"/>
    <x v="6"/>
  </r>
  <r>
    <s v="EXP101844"/>
    <s v="E142"/>
    <s v="ax184313296"/>
    <d v="2026-04-09T00:00:00"/>
    <d v="2026-04-10T00:00:00"/>
    <s v="PANERA BREAD #0231"/>
    <s v="5812"/>
    <s v="  Meals "/>
    <n v="18.190000000000001"/>
    <s v="Corporate Amex"/>
    <m/>
    <s v="Y"/>
    <s v="Meals"/>
    <s v="MATCH"/>
    <x v="7"/>
  </r>
  <r>
    <s v="EXP101845"/>
    <s v="E013"/>
    <s v="AX978080002"/>
    <d v="2026-04-06T00:00:00"/>
    <d v="2026-04-11T00:00:00"/>
    <s v="SQ *JOES COFFEE"/>
    <s v="5812"/>
    <s v="Meals"/>
    <n v="18.82"/>
    <s v="Corporate Amex"/>
    <m/>
    <s v="Y"/>
    <s v="Meals"/>
    <s v="MATCH"/>
    <x v="0"/>
  </r>
  <r>
    <s v="EXP101846"/>
    <s v="E139"/>
    <s v="ax976324173"/>
    <d v="2026-04-03T00:00:00"/>
    <d v="2026-04-11T00:00:00"/>
    <s v="HYATT REGENCY BOS"/>
    <s v="7011"/>
    <s v="Lodging"/>
    <n v="478.77"/>
    <s v="Corporate Amex"/>
    <m/>
    <s v="Y"/>
    <s v="Lodging"/>
    <s v="MATCH"/>
    <x v="7"/>
  </r>
  <r>
    <s v="EXP101848"/>
    <s v="E056"/>
    <m/>
    <d v="2026-04-01T00:00:00"/>
    <d v="2026-04-11T00:00:00"/>
    <s v="YELLOW CAB CO"/>
    <s v="4121"/>
    <s v="Transportation"/>
    <n v="35.43"/>
    <s v="Personal (Reimbursement)"/>
    <s v="International merchant - Amex not accepted"/>
    <s v="Y"/>
    <s v="Transportation"/>
    <s v="MATCH"/>
    <x v="0"/>
  </r>
  <r>
    <s v="EXP101849"/>
    <s v="E138"/>
    <s v="AX682608159"/>
    <d v="2026-04-08T00:00:00"/>
    <d v="2026-04-11T00:00:00"/>
    <s v="SQ *THE CORNER BISTRO"/>
    <s v="5812"/>
    <s v="Meals"/>
    <n v="78.41"/>
    <s v="Corporate Amex"/>
    <m/>
    <s v="N"/>
    <s v="Meals"/>
    <s v="MATCH"/>
    <x v="7"/>
  </r>
  <r>
    <s v="EXP101850"/>
    <s v="E030"/>
    <s v="AX926842622"/>
    <d v="2026-04-11T00:00:00"/>
    <d v="2026-04-11T00:00:00"/>
    <s v="SPROUT SOCIAL"/>
    <s v="5734"/>
    <s v="Software"/>
    <n v="236.1"/>
    <s v="Corporate Amex"/>
    <m/>
    <s v="N"/>
    <s v="Software"/>
    <s v="MATCH"/>
    <x v="0"/>
  </r>
  <r>
    <s v="EXP101851"/>
    <s v="E260"/>
    <s v="AX673672329"/>
    <d v="2026-04-10T00:00:00"/>
    <d v="2026-04-11T00:00:00"/>
    <s v="TOTAL PARTY RENTAL"/>
    <s v="7999"/>
    <s v="Events"/>
    <n v="325.8"/>
    <s v="Corporate Amex"/>
    <m/>
    <s v="Y"/>
    <s v="Events"/>
    <s v="MATCH"/>
    <x v="8"/>
  </r>
  <r>
    <s v="EXP101852"/>
    <s v="E104"/>
    <s v="AX647839234"/>
    <d v="2026-04-09T00:00:00"/>
    <d v="2026-04-11T00:00:00"/>
    <s v="DELTA AIR 00623891045"/>
    <s v="4511"/>
    <s v="Travel"/>
    <n v="532.41999999999996"/>
    <s v="Corporate Amex"/>
    <m/>
    <s v="N"/>
    <s v="Travel"/>
    <s v="MATCH"/>
    <x v="2"/>
  </r>
  <r>
    <s v="EXP101853"/>
    <s v="E067"/>
    <s v="ax959109576"/>
    <d v="2026-04-01T00:00:00"/>
    <d v="2026-04-11T00:00:00"/>
    <s v="AMAZON MKTPLACE PMTS"/>
    <s v="5942"/>
    <s v="Office Supplies"/>
    <n v="35.15"/>
    <s v="Corporate Amex"/>
    <m/>
    <s v="Y"/>
    <s v="Office Supplies"/>
    <s v="MATCH"/>
    <x v="0"/>
  </r>
  <r>
    <s v="EXP101854"/>
    <s v="E003"/>
    <s v="AX104817151"/>
    <d v="2026-04-07T00:00:00"/>
    <d v="2026-04-11T00:00:00"/>
    <s v="DELTA AIR 00623891045"/>
    <s v="4511"/>
    <s v="Travel"/>
    <n v="641.44000000000005"/>
    <s v="Corporate Amex"/>
    <m/>
    <s v="N"/>
    <s v="Travel"/>
    <s v="MATCH"/>
    <x v="0"/>
  </r>
  <r>
    <s v="EXP101855"/>
    <s v="E169"/>
    <s v="AX773599514"/>
    <d v="2026-04-07T00:00:00"/>
    <d v="2026-04-11T00:00:00"/>
    <s v="EVENTBRITE"/>
    <s v="7999"/>
    <s v="  Events "/>
    <n v="69.66"/>
    <s v="Corporate Amex"/>
    <m/>
    <s v="Y"/>
    <s v="Events"/>
    <s v="MATCH"/>
    <x v="6"/>
  </r>
  <r>
    <s v="EXP101856"/>
    <s v="E248"/>
    <s v="AX-465482383"/>
    <d v="2026-04-11T00:00:00"/>
    <d v="2026-04-11T00:00:00"/>
    <s v="UNITED AIRLINES 0162233"/>
    <s v="4511"/>
    <s v="Travel"/>
    <n v="500.96"/>
    <s v="Corporate Amex"/>
    <m/>
    <s v="Y"/>
    <s v="Travel"/>
    <s v="MATCH"/>
    <x v="1"/>
  </r>
  <r>
    <s v="EXP101857"/>
    <s v="E255"/>
    <s v="AX876670981"/>
    <d v="2026-04-07T00:00:00"/>
    <d v="2026-04-11T00:00:00"/>
    <s v="HOOTSUITE INC"/>
    <s v="5734"/>
    <s v="Software"/>
    <n v="98.43"/>
    <s v="Corporate Amex"/>
    <m/>
    <s v="Y"/>
    <s v="Software"/>
    <s v="MATCH"/>
    <x v="8"/>
  </r>
  <r>
    <s v="EXP101858"/>
    <s v="E010"/>
    <s v="AX855501374"/>
    <d v="2026-04-01T00:00:00"/>
    <d v="2026-04-11T00:00:00"/>
    <s v="TOTAL PARTY RENTAL"/>
    <s v="7999"/>
    <s v="Events"/>
    <n v="363.07"/>
    <s v="Corporate Amex"/>
    <m/>
    <s v="Y"/>
    <s v="Events"/>
    <s v="MATCH"/>
    <x v="0"/>
  </r>
  <r>
    <s v="EXP101859"/>
    <s v="E261"/>
    <s v="AX642760763"/>
    <d v="2026-04-08T00:00:00"/>
    <d v="2026-04-11T00:00:00"/>
    <s v="SQ *THE CORNER BISTRO"/>
    <s v="5812"/>
    <s v="Meals"/>
    <n v="53.48"/>
    <s v="Corporate Amex"/>
    <m/>
    <s v="Y"/>
    <s v="Meals"/>
    <s v="MATCH"/>
    <x v="3"/>
  </r>
  <r>
    <s v="EXP101860"/>
    <s v="E017"/>
    <s v="AX486735546"/>
    <d v="2026-04-08T00:00:00"/>
    <d v="2026-04-11T00:00:00"/>
    <s v="STARBUCKS #4471"/>
    <s v="5812"/>
    <s v="Meals"/>
    <n v="11.98"/>
    <s v="Corporate Amex"/>
    <m/>
    <s v="Y"/>
    <s v="Meals"/>
    <s v="MATCH"/>
    <x v="0"/>
  </r>
  <r>
    <s v="EXP101861"/>
    <s v="E257"/>
    <s v="ax333374698"/>
    <d v="2026-04-09T00:00:00"/>
    <d v="2026-04-11T00:00:00"/>
    <s v="CHIPOTLE 2214"/>
    <s v="5812"/>
    <s v="Meals"/>
    <n v="19.559999999999999"/>
    <s v="Corporate Amex"/>
    <m/>
    <s v="N"/>
    <s v="Meals"/>
    <s v="MATCH"/>
    <x v="8"/>
  </r>
  <r>
    <s v="EXP101862"/>
    <s v="E021"/>
    <s v="ax532712067"/>
    <d v="2026-04-10T00:00:00"/>
    <d v="2026-04-11T00:00:00"/>
    <s v="HYATT REGENCY BOS"/>
    <s v="7011"/>
    <s v="Lodging"/>
    <n v="205.93"/>
    <s v="Corporate Amex"/>
    <m/>
    <s v="Y"/>
    <s v="Lodging"/>
    <s v="MATCH"/>
    <x v="0"/>
  </r>
  <r>
    <s v="EXP101863"/>
    <s v="E011"/>
    <s v="AX519051996"/>
    <d v="2026-04-09T00:00:00"/>
    <d v="2026-04-11T00:00:00"/>
    <s v="SOUTHWEST AIR 5261823"/>
    <s v="4511"/>
    <s v="Travel"/>
    <n v="411.15"/>
    <s v="Corporate Amex"/>
    <m/>
    <s v="Y"/>
    <s v="Travel"/>
    <s v="MATCH"/>
    <x v="0"/>
  </r>
  <r>
    <s v="EXP101864"/>
    <s v="E043"/>
    <s v="AX476443544"/>
    <d v="2026-04-05T00:00:00"/>
    <d v="2026-04-11T00:00:00"/>
    <s v="AMAZON MKTPLACE PMTS"/>
    <s v="5942"/>
    <s v="Office Supplies"/>
    <n v="107.03"/>
    <s v="Corporate Amex"/>
    <m/>
    <s v="Y"/>
    <s v="Office Supplies"/>
    <s v="MATCH"/>
    <x v="0"/>
  </r>
  <r>
    <s v="EXP101865"/>
    <s v="E152"/>
    <s v="AX514693902"/>
    <d v="2026-04-08T00:00:00"/>
    <d v="2026-04-11T00:00:00"/>
    <s v="SQ *THE CORNER BISTRO"/>
    <s v="5812"/>
    <s v="Meals"/>
    <n v="53.04"/>
    <s v="Corporate Amex"/>
    <m/>
    <s v="Y"/>
    <s v="Meals"/>
    <s v="MATCH"/>
    <x v="6"/>
  </r>
  <r>
    <s v="EXP101866"/>
    <s v="E018"/>
    <s v="AX111891687"/>
    <d v="2026-04-07T00:00:00"/>
    <d v="2026-04-12T00:00:00"/>
    <s v="STARBUCKS #4471"/>
    <s v="5812"/>
    <s v="Meals"/>
    <n v="9.31"/>
    <s v="Corporate Amex"/>
    <m/>
    <s v="Y"/>
    <s v="Meals"/>
    <s v="MATCH"/>
    <x v="0"/>
  </r>
  <r>
    <s v="EXP101867"/>
    <s v="E128"/>
    <s v="AX192437156"/>
    <d v="2026-04-08T00:00:00"/>
    <d v="2026-04-12T00:00:00"/>
    <s v="HILTON GARDEN INN 2231"/>
    <s v="7011"/>
    <s v="Lodging"/>
    <n v="317.29000000000002"/>
    <s v="Corporate Amex"/>
    <m/>
    <s v="Y"/>
    <s v="Lodging"/>
    <s v="MATCH"/>
    <x v="7"/>
  </r>
  <r>
    <s v="EXP101868"/>
    <s v="E033"/>
    <s v="AX 299918576"/>
    <d v="2026-04-09T00:00:00"/>
    <d v="2026-04-12T00:00:00"/>
    <s v="SPROUT SOCIAL"/>
    <s v="5734"/>
    <s v="Software"/>
    <n v="207.28"/>
    <s v="Corporate Amex"/>
    <m/>
    <s v="Y"/>
    <s v="Software"/>
    <s v="MATCH"/>
    <x v="0"/>
  </r>
  <r>
    <s v="EXP101869"/>
    <s v="E058"/>
    <s v="AX-828478944"/>
    <d v="2026-04-08T00:00:00"/>
    <d v="2026-04-12T00:00:00"/>
    <s v="SQ *JOES COFFEE"/>
    <s v="5812"/>
    <s v="Other"/>
    <n v="12.68"/>
    <s v="Corporate Amex"/>
    <m/>
    <s v="Y"/>
    <s v="Meals"/>
    <s v="MISMATCH"/>
    <x v="0"/>
  </r>
  <r>
    <s v="EXP101870"/>
    <s v="E062"/>
    <s v="ax195038655"/>
    <d v="2026-04-08T00:00:00"/>
    <d v="2026-04-12T00:00:00"/>
    <s v="SQ *JOES COFFEE"/>
    <s v="5812"/>
    <s v="Meals"/>
    <n v="12.03"/>
    <s v="Corporate Amex"/>
    <m/>
    <s v="Y"/>
    <s v="Meals"/>
    <s v="MATCH"/>
    <x v="0"/>
  </r>
  <r>
    <s v="EXP101871"/>
    <s v="E004"/>
    <s v="ax574865519"/>
    <d v="2026-04-06T00:00:00"/>
    <d v="2026-04-12T00:00:00"/>
    <s v="ZOOM.US"/>
    <s v="5734"/>
    <s v="Software"/>
    <n v="38.17"/>
    <s v="Corporate Amex"/>
    <m/>
    <s v="Y"/>
    <s v="Software"/>
    <s v="MATCH"/>
    <x v="0"/>
  </r>
  <r>
    <s v="EXP101872"/>
    <s v="E029"/>
    <s v="AX 280846571"/>
    <d v="2026-04-11T00:00:00"/>
    <d v="2026-04-12T00:00:00"/>
    <s v="AMAZON MKTPLACE PMTS"/>
    <s v="5942"/>
    <s v="Office Supplies"/>
    <n v="463.77"/>
    <s v="Corporate Amex"/>
    <m/>
    <s v="Y"/>
    <s v="Office Supplies"/>
    <s v="MATCH"/>
    <x v="0"/>
  </r>
  <r>
    <s v="EXP101873"/>
    <s v="E042"/>
    <s v="AX 182807692"/>
    <d v="2026-04-03T00:00:00"/>
    <d v="2026-04-12T00:00:00"/>
    <s v="AMAZON MKTPLACE PMTS"/>
    <s v="5942"/>
    <s v="Office Supplies"/>
    <n v="124.37"/>
    <s v="Corporate Amex"/>
    <m/>
    <s v="Y"/>
    <s v="Office Supplies"/>
    <s v="MATCH"/>
    <x v="0"/>
  </r>
  <r>
    <s v="EXP101874"/>
    <s v="E135"/>
    <s v="ax706345126"/>
    <d v="2026-04-08T00:00:00"/>
    <d v="2026-04-12T00:00:00"/>
    <s v="CHIPOTLE 2214"/>
    <s v="5812"/>
    <s v="Meals"/>
    <n v="10.75"/>
    <s v="Corporate Amex"/>
    <m/>
    <s v="Y"/>
    <s v="Meals"/>
    <s v="MATCH"/>
    <x v="7"/>
  </r>
  <r>
    <s v="EXP101875"/>
    <s v="E257"/>
    <m/>
    <d v="2026-04-03T00:00:00"/>
    <d v="2026-04-12T00:00:00"/>
    <s v="YELLOW CAB CO"/>
    <s v="4121"/>
    <s v="Transportation"/>
    <n v="53.37"/>
    <s v="Corporate Amex"/>
    <m/>
    <s v="Y"/>
    <s v="Transportation"/>
    <s v="MATCH"/>
    <x v="8"/>
  </r>
  <r>
    <s v="EXP101876"/>
    <s v="E070"/>
    <s v="AX512257284"/>
    <d v="2026-04-06T00:00:00"/>
    <d v="2026-04-12T00:00:00"/>
    <s v="TOPGOLF #442"/>
    <s v="7997"/>
    <s v="Entertainment"/>
    <n v="214.66"/>
    <s v="Corporate Amex"/>
    <m/>
    <s v="Y"/>
    <s v="Entertainment"/>
    <s v="MATCH"/>
    <x v="0"/>
  </r>
  <r>
    <s v="EXP101877"/>
    <s v="E070"/>
    <m/>
    <d v="2026-04-09T00:00:00"/>
    <d v="2026-04-12T00:00:00"/>
    <s v="OLIVE GARDEN 00456"/>
    <s v="5812"/>
    <s v="Meals"/>
    <n v="126.64"/>
    <s v="Corporate Amex"/>
    <m/>
    <s v="Y"/>
    <s v="Meals"/>
    <s v="MATCH"/>
    <x v="0"/>
  </r>
  <r>
    <s v="EXP101878"/>
    <s v="E129"/>
    <s v="AX327822636"/>
    <d v="2026-04-06T00:00:00"/>
    <d v="2026-04-12T00:00:00"/>
    <s v="HOOTSUITE INC"/>
    <s v="5734"/>
    <s v="Software"/>
    <n v="210.96"/>
    <s v="Corporate Amex"/>
    <m/>
    <s v="Y"/>
    <s v="Software"/>
    <s v="MATCH"/>
    <x v="7"/>
  </r>
  <r>
    <s v="EXP101879"/>
    <s v="E024"/>
    <s v="AX822522656"/>
    <d v="2026-04-09T00:00:00"/>
    <d v="2026-04-12T00:00:00"/>
    <s v="CHIPOTLE 2214"/>
    <s v="5812"/>
    <s v="Meals"/>
    <n v="18.23"/>
    <s v="Corporate Amex"/>
    <m/>
    <s v="Y"/>
    <s v="Meals"/>
    <s v="MATCH"/>
    <x v="0"/>
  </r>
  <r>
    <s v="EXP101880"/>
    <s v="E024"/>
    <s v="AX 219296405"/>
    <d v="2026-04-04T00:00:00"/>
    <d v="2026-04-12T00:00:00"/>
    <s v="TOPGOLF #442"/>
    <s v="7997"/>
    <s v="Entertainment"/>
    <n v="202.34"/>
    <s v="Corporate Amex"/>
    <m/>
    <s v="Y"/>
    <s v="Entertainment"/>
    <s v="MATCH"/>
    <x v="0"/>
  </r>
  <r>
    <s v="EXP101881"/>
    <s v="E260"/>
    <s v="AX270588036"/>
    <d v="2026-04-12T00:00:00"/>
    <d v="2026-04-12T00:00:00"/>
    <s v="UNITED AIRLINES 0162233"/>
    <s v="4511"/>
    <s v="Travel"/>
    <n v="296.2"/>
    <s v="Corporate Amex"/>
    <m/>
    <s v="Y"/>
    <s v="Travel"/>
    <s v="MATCH"/>
    <x v="8"/>
  </r>
  <r>
    <s v="EXP101882"/>
    <s v="E265"/>
    <m/>
    <d v="2026-04-04T00:00:00"/>
    <d v="2026-04-12T00:00:00"/>
    <s v="LYFT RIDE THU"/>
    <s v="4121"/>
    <s v="Transportation"/>
    <n v="44.95"/>
    <s v="Personal (Reimbursement)"/>
    <s v="International merchant - Amex not accepted"/>
    <s v="Y"/>
    <s v="Transportation"/>
    <s v="MATCH"/>
    <x v="3"/>
  </r>
  <r>
    <s v="EXP101883"/>
    <s v="E056"/>
    <m/>
    <d v="2026-04-05T00:00:00"/>
    <d v="2026-04-12T00:00:00"/>
    <s v="YELLOW CAB CO"/>
    <s v="4121"/>
    <s v="Transportation"/>
    <n v="49.1"/>
    <s v="Corporate Amex"/>
    <m/>
    <s v="Y"/>
    <s v="Transportation"/>
    <s v="MATCH"/>
    <x v="0"/>
  </r>
  <r>
    <s v="EXP101884"/>
    <s v="E023"/>
    <s v="ax923504965"/>
    <d v="2026-04-10T00:00:00"/>
    <d v="2026-04-12T00:00:00"/>
    <s v="HOOTSUITE INC"/>
    <s v="5734"/>
    <s v="Software"/>
    <n v="50.99"/>
    <s v="Corporate Amex"/>
    <m/>
    <s v="Y"/>
    <s v="Software"/>
    <s v="MATCH"/>
    <x v="0"/>
  </r>
  <r>
    <s v="EXP101885"/>
    <s v="E019"/>
    <m/>
    <d v="2026-04-07T00:00:00"/>
    <d v="2026-04-12T00:00:00"/>
    <s v="TOTAL PARTY RENTAL"/>
    <s v="7999"/>
    <s v="Events"/>
    <n v="287.88"/>
    <s v="Corporate Amex"/>
    <m/>
    <s v="Y"/>
    <s v="Events"/>
    <s v="MATCH"/>
    <x v="0"/>
  </r>
  <r>
    <s v="EXP101886"/>
    <s v="E029"/>
    <s v="ax962586013"/>
    <d v="2026-04-09T00:00:00"/>
    <d v="2026-04-13T00:00:00"/>
    <s v="PANERA BREAD #0231"/>
    <s v="5812"/>
    <s v="Meals"/>
    <n v="12.66"/>
    <s v="Corporate Amex"/>
    <m/>
    <s v="Y"/>
    <s v="Meals"/>
    <s v="MATCH"/>
    <x v="0"/>
  </r>
  <r>
    <s v="EXP101887"/>
    <s v="E060"/>
    <m/>
    <d v="2026-04-08T00:00:00"/>
    <d v="2026-04-13T00:00:00"/>
    <s v="MICROSOFT*365"/>
    <s v="5734"/>
    <s v="Software"/>
    <n v="25.03"/>
    <s v="Corporate Amex"/>
    <m/>
    <s v="Y"/>
    <s v="Software"/>
    <s v="MATCH"/>
    <x v="0"/>
  </r>
  <r>
    <s v="EXP101888"/>
    <s v="E041"/>
    <s v="AX751316285"/>
    <d v="2026-04-07T00:00:00"/>
    <d v="2026-04-13T00:00:00"/>
    <s v="STAPLES #0231"/>
    <s v="5943"/>
    <s v="Office Supplies"/>
    <n v="27.21"/>
    <s v="Corporate Amex"/>
    <m/>
    <s v="N"/>
    <s v="Office Supplies"/>
    <s v="MATCH"/>
    <x v="0"/>
  </r>
  <r>
    <s v="EXP101889"/>
    <s v="E041"/>
    <m/>
    <d v="2026-04-07T00:00:00"/>
    <d v="2026-04-13T00:00:00"/>
    <s v="CHIPOTLE 2214"/>
    <s v="5812"/>
    <s v="Meals"/>
    <n v="21.83"/>
    <s v="Corporate Amex"/>
    <m/>
    <s v="Y"/>
    <s v="Meals"/>
    <s v="MATCH"/>
    <x v="0"/>
  </r>
  <r>
    <s v="EXP101890"/>
    <s v="E268"/>
    <s v="AX631986304"/>
    <d v="2026-04-07T00:00:00"/>
    <d v="2026-04-13T00:00:00"/>
    <s v="MARRIOTT #4471"/>
    <s v="7011"/>
    <s v="Lodging"/>
    <n v="239.64"/>
    <s v="Corporate Amex"/>
    <m/>
    <s v="N"/>
    <s v="Lodging"/>
    <s v="MATCH"/>
    <x v="3"/>
  </r>
  <r>
    <s v="EXP101891"/>
    <s v="E039"/>
    <s v="AX912808129"/>
    <d v="2026-04-05T00:00:00"/>
    <d v="2026-04-13T00:00:00"/>
    <s v=" PANERA BREAD #0231"/>
    <s v="5812"/>
    <s v="Meals"/>
    <n v="11.9"/>
    <s v="Corporate Amex"/>
    <m/>
    <s v="Y"/>
    <s v="Meals"/>
    <s v="MATCH"/>
    <x v="0"/>
  </r>
  <r>
    <s v="EXP101892"/>
    <s v="E125"/>
    <s v="AX585595227"/>
    <d v="2026-04-10T00:00:00"/>
    <d v="2026-04-13T00:00:00"/>
    <s v="UNITED AIRLINES 0162233"/>
    <s v="4511"/>
    <s v="Travel"/>
    <n v="697.54"/>
    <s v="Corporate Amex"/>
    <m/>
    <s v="N"/>
    <s v="Travel"/>
    <s v="MATCH"/>
    <x v="7"/>
  </r>
  <r>
    <s v="EXP101893"/>
    <s v="E270"/>
    <s v="AX 713611185"/>
    <d v="2026-04-05T00:00:00"/>
    <d v="2026-04-13T00:00:00"/>
    <s v="MICROSOFT*365"/>
    <s v="5734"/>
    <s v="Software"/>
    <n v="22.58"/>
    <s v="Corporate Amex"/>
    <m/>
    <s v="Y"/>
    <s v="Software"/>
    <s v="MATCH"/>
    <x v="3"/>
  </r>
  <r>
    <s v="EXP101894"/>
    <s v="E188"/>
    <s v="AX572574876"/>
    <d v="2026-04-08T00:00:00"/>
    <d v="2026-04-13T00:00:00"/>
    <s v="TOPGOLF #442"/>
    <s v="7997"/>
    <s v="Entertainment"/>
    <n v="204.58"/>
    <s v="Corporate Amex"/>
    <m/>
    <s v="Y"/>
    <s v="Entertainment"/>
    <s v="MATCH"/>
    <x v="5"/>
  </r>
  <r>
    <s v="EXP101895"/>
    <s v="E050"/>
    <s v="AX-457527030"/>
    <d v="2026-04-06T00:00:00"/>
    <d v="2026-04-13T00:00:00"/>
    <s v="EVENTBRITE"/>
    <s v="7999"/>
    <s v="Events"/>
    <n v="210.51"/>
    <s v="Corporate Amex"/>
    <m/>
    <s v="Y"/>
    <s v="Events"/>
    <s v="MATCH"/>
    <x v="0"/>
  </r>
  <r>
    <s v="EXP101896"/>
    <s v="E203"/>
    <s v="AX886640255"/>
    <d v="2026-04-08T00:00:00"/>
    <d v="2026-04-13T00:00:00"/>
    <s v="ZOOM.US"/>
    <s v="5734"/>
    <s v="Software"/>
    <n v="59.89"/>
    <s v="Corporate Amex"/>
    <m/>
    <s v="Y"/>
    <s v="Software"/>
    <s v="MATCH"/>
    <x v="5"/>
  </r>
  <r>
    <s v="EXP101897"/>
    <s v="E195"/>
    <s v="AX943926696"/>
    <d v="2026-04-07T00:00:00"/>
    <d v="2026-04-13T00:00:00"/>
    <s v="OLIVE GARDEN 00456"/>
    <s v="5812"/>
    <s v="Meals"/>
    <n v="111.24"/>
    <s v="Corporate Amex"/>
    <m/>
    <s v="Y"/>
    <s v="Meals"/>
    <s v="MATCH"/>
    <x v="5"/>
  </r>
  <r>
    <s v="EXP101898"/>
    <s v="E061"/>
    <s v="ax234525854"/>
    <d v="2026-04-11T00:00:00"/>
    <d v="2026-04-13T00:00:00"/>
    <s v="HILTON GARDEN INN 2231"/>
    <s v="7011"/>
    <s v="Events"/>
    <n v="188.24"/>
    <s v="Corporate Amex"/>
    <m/>
    <s v="Y"/>
    <s v="Lodging"/>
    <s v="MISMATCH"/>
    <x v="0"/>
  </r>
  <r>
    <s v="EXP101899"/>
    <s v="E198"/>
    <m/>
    <d v="2026-04-08T00:00:00"/>
    <d v="2026-04-13T00:00:00"/>
    <s v="SQ *THE CORNER BISTRO"/>
    <s v="5812"/>
    <s v="Meals"/>
    <n v="46.62"/>
    <s v="Personal (Reimbursement)"/>
    <s v="International merchant - Amex not accepted"/>
    <s v="Y"/>
    <s v="Meals"/>
    <s v="MATCH"/>
    <x v="5"/>
  </r>
  <r>
    <s v="EXP101900"/>
    <s v="E141"/>
    <m/>
    <d v="2026-04-13T00:00:00"/>
    <d v="2026-04-13T00:00:00"/>
    <s v="STAPLES #0231"/>
    <s v="5943"/>
    <s v="Office Supplies"/>
    <n v="127.2"/>
    <s v="Corporate Amex"/>
    <m/>
    <s v="Y"/>
    <s v="Office Supplies"/>
    <s v="MATCH"/>
    <x v="7"/>
  </r>
  <r>
    <s v="EXP101901"/>
    <s v="E025"/>
    <s v="AX 401258174"/>
    <d v="2026-04-06T00:00:00"/>
    <d v="2026-04-13T00:00:00"/>
    <s v="PANERA BREAD #0231"/>
    <s v="5812"/>
    <s v="Meals"/>
    <n v="23.94"/>
    <s v="Corporate Amex"/>
    <m/>
    <s v="Y"/>
    <s v="Meals"/>
    <s v="MATCH"/>
    <x v="0"/>
  </r>
  <r>
    <s v="EXP101902"/>
    <s v="E022"/>
    <m/>
    <d v="2026-04-05T00:00:00"/>
    <d v="2026-04-13T00:00:00"/>
    <s v="REGION CATERING CO"/>
    <s v="5811"/>
    <s v="Events"/>
    <n v="342.35"/>
    <s v="Personal (Reimbursement)"/>
    <s v="Card not yet issued"/>
    <s v="Y"/>
    <s v="Events"/>
    <s v="MATCH"/>
    <x v="0"/>
  </r>
  <r>
    <s v="EXP101903"/>
    <s v="E004"/>
    <s v="AX-732577701"/>
    <d v="2026-04-03T00:00:00"/>
    <d v="2026-04-13T00:00:00"/>
    <s v="AMAZON MKTPLACE PMTS"/>
    <s v="5942"/>
    <s v="Office Supplies"/>
    <n v="131.71"/>
    <s v="Corporate Amex"/>
    <m/>
    <s v="Y"/>
    <s v="Office Supplies"/>
    <s v="MATCH"/>
    <x v="0"/>
  </r>
  <r>
    <s v="EXP101904"/>
    <s v="E255"/>
    <s v="AX434852913"/>
    <d v="2026-04-04T00:00:00"/>
    <d v="2026-04-13T00:00:00"/>
    <s v="PANERA BREAD #0231"/>
    <s v="5812"/>
    <s v="Meals"/>
    <n v="13.84"/>
    <s v="Corporate Amex"/>
    <m/>
    <s v="Y"/>
    <s v="Meals"/>
    <s v="MATCH"/>
    <x v="8"/>
  </r>
  <r>
    <s v="EXP101905"/>
    <s v="E106"/>
    <s v="AX723991617"/>
    <d v="2026-04-06T00:00:00"/>
    <d v="2026-04-13T00:00:00"/>
    <s v="SQ *THE CORNER BISTRO"/>
    <s v="5812"/>
    <s v="Meals"/>
    <n v="85.09"/>
    <s v="Corporate Amex"/>
    <m/>
    <s v="Y"/>
    <s v="Meals"/>
    <s v="MATCH"/>
    <x v="2"/>
  </r>
  <r>
    <s v="EXP101906"/>
    <s v="E038"/>
    <s v="AX844261366"/>
    <d v="2026-04-03T00:00:00"/>
    <d v="2026-04-13T00:00:00"/>
    <s v="YELLOW CAB CO"/>
    <s v="4121"/>
    <m/>
    <n v="33.03"/>
    <s v="Corporate Amex"/>
    <m/>
    <s v="Y"/>
    <s v="Transportation"/>
    <s v="BLANK"/>
    <x v="0"/>
  </r>
  <r>
    <s v="EXP101907"/>
    <s v="E038"/>
    <s v="AX225913994"/>
    <d v="2026-04-03T00:00:00"/>
    <d v="2026-04-13T00:00:00"/>
    <s v=" SQ *JOES COFFEE"/>
    <s v="5812"/>
    <s v="Meals"/>
    <n v="23.61"/>
    <s v="Corporate Amex"/>
    <m/>
    <s v="Y"/>
    <s v="Meals"/>
    <s v="MATCH"/>
    <x v="0"/>
  </r>
  <r>
    <s v="EXP101908"/>
    <s v="E262"/>
    <s v="ax397824310"/>
    <d v="2026-04-11T00:00:00"/>
    <d v="2026-04-13T00:00:00"/>
    <s v="REGION CATERING CO"/>
    <s v="5811"/>
    <s v="Events"/>
    <n v="604.74"/>
    <s v="Corporate Amex"/>
    <m/>
    <s v="Y"/>
    <s v="Events"/>
    <s v="MATCH"/>
    <x v="3"/>
  </r>
  <r>
    <s v="EXP101909"/>
    <s v="E145"/>
    <s v="AX-217298790"/>
    <d v="2026-04-04T00:00:00"/>
    <d v="2026-04-13T00:00:00"/>
    <s v="AMC THEATRES 0021"/>
    <s v="7832"/>
    <s v="Entertainment"/>
    <n v="37.06"/>
    <s v="Corporate Amex"/>
    <m/>
    <s v="Y"/>
    <s v="Entertainment"/>
    <s v="MATCH"/>
    <x v="7"/>
  </r>
  <r>
    <s v="EXP101910"/>
    <s v="E015"/>
    <s v="ax895262530"/>
    <d v="2026-04-10T00:00:00"/>
    <d v="2026-04-13T00:00:00"/>
    <s v="HYATT REGENCY BOS"/>
    <s v="7011"/>
    <s v="Meals"/>
    <n v="461.61"/>
    <s v="Corporate Amex"/>
    <m/>
    <s v="Y"/>
    <s v="Lodging"/>
    <s v="MISMATCH"/>
    <x v="0"/>
  </r>
  <r>
    <s v="EXP101911"/>
    <s v="E105"/>
    <s v="AX-717124776"/>
    <d v="2026-04-13T00:00:00"/>
    <d v="2026-04-14T00:00:00"/>
    <s v="TOTAL PARTY RENTAL"/>
    <s v="7999"/>
    <s v="Events"/>
    <n v="214.9"/>
    <s v="Corporate Amex"/>
    <m/>
    <s v="Y"/>
    <s v="Events"/>
    <s v="MATCH"/>
    <x v="2"/>
  </r>
  <r>
    <s v="EXP101912"/>
    <s v="E074"/>
    <s v="AX704326652"/>
    <d v="2026-04-12T00:00:00"/>
    <d v="2026-04-14T00:00:00"/>
    <s v="HYATT REGENCY BOS"/>
    <s v="7011"/>
    <s v="Lodging"/>
    <n v="415.92"/>
    <s v="Corporate Amex"/>
    <m/>
    <s v="Y"/>
    <s v="Lodging"/>
    <s v="MATCH"/>
    <x v="2"/>
  </r>
  <r>
    <s v="EXP101913"/>
    <s v="E009"/>
    <s v="ax162964720"/>
    <d v="2026-04-14T00:00:00"/>
    <d v="2026-04-14T00:00:00"/>
    <s v="DELTA AIR 00623891045"/>
    <s v="4511"/>
    <s v="Travel"/>
    <n v="205.12"/>
    <s v="Corporate Amex"/>
    <m/>
    <s v="N"/>
    <s v="Travel"/>
    <s v="MATCH"/>
    <x v="0"/>
  </r>
  <r>
    <s v="EXP101914"/>
    <s v="E068"/>
    <s v="AX480062662"/>
    <d v="2026-04-09T00:00:00"/>
    <d v="2026-04-14T00:00:00"/>
    <s v="UNITED AIRLINES 0162233"/>
    <s v="4511"/>
    <s v="Travel"/>
    <n v="340.13"/>
    <s v="Corporate Amex"/>
    <m/>
    <s v="Y"/>
    <s v="Travel"/>
    <s v="MATCH"/>
    <x v="0"/>
  </r>
  <r>
    <s v="EXP101915"/>
    <s v="E011"/>
    <m/>
    <d v="2026-04-04T00:00:00"/>
    <d v="2026-04-14T00:00:00"/>
    <s v="TOPGOLF #442"/>
    <s v="7997"/>
    <m/>
    <n v="96.94"/>
    <s v="Personal (Reimbursement)"/>
    <s v="Forgot corporate card"/>
    <s v="Y"/>
    <s v="Entertainment"/>
    <s v="BLANK"/>
    <x v="0"/>
  </r>
  <r>
    <s v="EXP101916"/>
    <s v="E156"/>
    <m/>
    <d v="2026-04-06T00:00:00"/>
    <d v="2026-04-14T00:00:00"/>
    <s v=" HYATT REGENCY BOS"/>
    <s v="7011"/>
    <s v="Lodging"/>
    <n v="425.83"/>
    <s v="Corporate Amex"/>
    <m/>
    <s v="Y"/>
    <s v="Lodging"/>
    <s v="MATCH"/>
    <x v="6"/>
  </r>
  <r>
    <s v="EXP101917"/>
    <s v="E025"/>
    <s v="ax831887135"/>
    <d v="2026-04-14T00:00:00"/>
    <d v="2026-04-14T00:00:00"/>
    <s v="BRANDWATCH LTD"/>
    <s v="5734"/>
    <s v="Software"/>
    <n v="197.21"/>
    <s v="Corporate Amex"/>
    <m/>
    <s v="Y"/>
    <s v="Software"/>
    <s v="MATCH"/>
    <x v="0"/>
  </r>
  <r>
    <s v="EXP101918"/>
    <s v="E055"/>
    <s v="AX 357811751"/>
    <d v="2026-04-09T00:00:00"/>
    <d v="2026-04-14T00:00:00"/>
    <s v="AMC THEATRES 0021"/>
    <s v="7832"/>
    <s v="Entertainment"/>
    <n v="33.130000000000003"/>
    <s v="Corporate Amex"/>
    <m/>
    <s v="Y"/>
    <s v="Entertainment"/>
    <s v="MATCH"/>
    <x v="0"/>
  </r>
  <r>
    <s v="EXP101919"/>
    <s v="E006"/>
    <m/>
    <d v="2026-04-13T00:00:00"/>
    <d v="2026-04-14T00:00:00"/>
    <s v="HOOTSUITE INC"/>
    <s v="5734"/>
    <s v="Software"/>
    <n v="183.48"/>
    <s v="Corporate Amex"/>
    <m/>
    <s v="Y"/>
    <s v="Software"/>
    <s v="MATCH"/>
    <x v="0"/>
  </r>
  <r>
    <s v="EXP101920"/>
    <s v="E006"/>
    <m/>
    <d v="2026-04-04T00:00:00"/>
    <d v="2026-04-14T00:00:00"/>
    <s v="CHIPOTLE 2214"/>
    <s v="5812"/>
    <s v="Meals"/>
    <n v="9.8800000000000008"/>
    <s v="Corporate Amex"/>
    <m/>
    <s v="Y"/>
    <s v="Meals"/>
    <s v="MATCH"/>
    <x v="0"/>
  </r>
  <r>
    <s v="EXP101921"/>
    <s v="E054"/>
    <s v="AX292128489"/>
    <d v="2026-04-04T00:00:00"/>
    <d v="2026-04-14T00:00:00"/>
    <s v="OLIVE GARDEN 00456"/>
    <s v="5812"/>
    <s v="Meals"/>
    <n v="69.989999999999995"/>
    <s v="Corporate Amex"/>
    <m/>
    <s v="Y"/>
    <s v="Meals"/>
    <s v="MATCH"/>
    <x v="0"/>
  </r>
  <r>
    <s v="EXP101922"/>
    <s v="E054"/>
    <s v="AX 196050407"/>
    <d v="2026-04-10T00:00:00"/>
    <d v="2026-04-14T00:00:00"/>
    <s v="SPROUT SOCIAL"/>
    <s v="5734"/>
    <s v="Software"/>
    <n v="93.6"/>
    <s v="Corporate Amex"/>
    <m/>
    <s v="Y"/>
    <s v="Software"/>
    <s v="MATCH"/>
    <x v="0"/>
  </r>
  <r>
    <s v="EXP101923"/>
    <s v="E003"/>
    <s v="AX185222306"/>
    <d v="2026-04-06T00:00:00"/>
    <d v="2026-04-14T00:00:00"/>
    <s v="SPROUT SOCIAL"/>
    <s v="5734"/>
    <s v="  Software "/>
    <n v="155.38"/>
    <s v="Corporate Amex"/>
    <m/>
    <s v="Y"/>
    <s v="Software"/>
    <s v="MATCH"/>
    <x v="0"/>
  </r>
  <r>
    <s v="EXP101925"/>
    <s v="E044"/>
    <s v="AX 271615088"/>
    <d v="2026-04-09T00:00:00"/>
    <d v="2026-04-14T00:00:00"/>
    <s v="HOOTSUITE INC"/>
    <s v="5734"/>
    <s v="Software"/>
    <n v="164.15"/>
    <s v="Corporate Amex"/>
    <m/>
    <s v="Y"/>
    <s v="Software"/>
    <s v="MATCH"/>
    <x v="0"/>
  </r>
  <r>
    <s v="EXP101926"/>
    <s v="E066"/>
    <s v="AX753041719"/>
    <d v="2026-04-09T00:00:00"/>
    <d v="2026-04-14T00:00:00"/>
    <s v="LYFT RIDE THU"/>
    <s v="4121"/>
    <s v="Transportation"/>
    <n v="39.97"/>
    <s v="Corporate Amex"/>
    <m/>
    <s v="Y"/>
    <s v="Transportation"/>
    <s v="MATCH"/>
    <x v="0"/>
  </r>
  <r>
    <s v="EXP101927"/>
    <s v="E268"/>
    <s v="AX209604533"/>
    <d v="2026-04-06T00:00:00"/>
    <d v="2026-04-14T00:00:00"/>
    <s v="AMAZON MKTPLACE PMTS"/>
    <s v="5942"/>
    <s v="Office Supplies"/>
    <n v="374.88"/>
    <s v="Corporate Amex"/>
    <m/>
    <s v="Y"/>
    <s v="Office Supplies"/>
    <s v="MATCH"/>
    <x v="3"/>
  </r>
  <r>
    <s v="EXP101928"/>
    <s v="E268"/>
    <s v="AX890074197"/>
    <d v="2026-04-14T00:00:00"/>
    <d v="2026-04-14T00:00:00"/>
    <s v="SQ *THE CORNER BISTRO"/>
    <s v="5812"/>
    <s v="Meals"/>
    <n v="75.069999999999993"/>
    <s v="Corporate Amex"/>
    <m/>
    <s v="Y"/>
    <s v="Meals"/>
    <s v="MATCH"/>
    <x v="3"/>
  </r>
  <r>
    <s v="EXP101929"/>
    <s v="E134"/>
    <s v="AX271790219"/>
    <d v="2026-04-07T00:00:00"/>
    <d v="2026-04-15T00:00:00"/>
    <s v="SPROUT SOCIAL"/>
    <s v="5734"/>
    <s v="Software"/>
    <n v="223.73"/>
    <s v="Corporate Amex"/>
    <m/>
    <s v="Y"/>
    <s v="Software"/>
    <s v="MATCH"/>
    <x v="7"/>
  </r>
  <r>
    <s v="EXP101930"/>
    <s v="E054"/>
    <m/>
    <d v="2026-04-07T00:00:00"/>
    <d v="2026-04-15T00:00:00"/>
    <s v="HOOTSUITE INC"/>
    <s v="5734"/>
    <s v="Software"/>
    <n v="156.15"/>
    <s v="Corporate Amex"/>
    <m/>
    <s v="Y"/>
    <s v="Software"/>
    <s v="MATCH"/>
    <x v="0"/>
  </r>
  <r>
    <s v="EXP101931"/>
    <s v="E107"/>
    <m/>
    <d v="2026-04-12T00:00:00"/>
    <d v="2026-04-15T00:00:00"/>
    <s v="UBER TRIP HELP.UBER"/>
    <s v="4121"/>
    <s v="Transportation"/>
    <n v="56.47"/>
    <s v="Corporate Amex"/>
    <m/>
    <s v="Y"/>
    <s v="Transportation"/>
    <s v="MATCH"/>
    <x v="2"/>
  </r>
  <r>
    <s v="EXP101932"/>
    <s v="E057"/>
    <s v="AX-741378596"/>
    <d v="2026-04-07T00:00:00"/>
    <d v="2026-04-15T00:00:00"/>
    <s v="LYFT RIDE THU"/>
    <s v="4121"/>
    <s v="Transportation"/>
    <n v="14.31"/>
    <s v="Corporate Amex"/>
    <m/>
    <s v="Y"/>
    <s v="Transportation"/>
    <s v="MATCH"/>
    <x v="0"/>
  </r>
  <r>
    <s v="EXP101933"/>
    <s v="E118"/>
    <s v="ax278587852"/>
    <d v="2026-04-06T00:00:00"/>
    <d v="2026-04-15T00:00:00"/>
    <s v="TOPGOLF #442"/>
    <s v="7997"/>
    <s v="Entertainment"/>
    <n v="171.63"/>
    <s v="Corporate Amex"/>
    <m/>
    <s v="Y"/>
    <s v="Entertainment"/>
    <s v="MATCH"/>
    <x v="7"/>
  </r>
  <r>
    <s v="EXP101934"/>
    <s v="E075"/>
    <m/>
    <d v="2026-04-13T00:00:00"/>
    <d v="2026-04-15T00:00:00"/>
    <s v="SOUTHWEST AIR 5261823"/>
    <s v="4511"/>
    <s v="Travel"/>
    <n v="129.13999999999999"/>
    <s v="Corporate Amex"/>
    <m/>
    <s v="Y"/>
    <s v="Travel"/>
    <s v="MATCH"/>
    <x v="2"/>
  </r>
  <r>
    <s v="EXP101935"/>
    <s v="E095"/>
    <m/>
    <d v="2026-04-13T00:00:00"/>
    <d v="2026-04-15T00:00:00"/>
    <s v="SOUTHWEST AIR 5261823"/>
    <s v="4511"/>
    <s v="Travel"/>
    <n v="341.34"/>
    <s v="Corporate Amex"/>
    <m/>
    <s v="Y"/>
    <s v="Travel"/>
    <s v="MATCH"/>
    <x v="2"/>
  </r>
  <r>
    <s v="EXP101936"/>
    <s v="E078"/>
    <m/>
    <d v="2026-04-11T00:00:00"/>
    <d v="2026-04-15T00:00:00"/>
    <s v="TOTAL PARTY RENTAL"/>
    <s v="7999"/>
    <s v="Events"/>
    <n v="81.87"/>
    <s v="Corporate Amex"/>
    <m/>
    <s v="Y"/>
    <s v="Events"/>
    <s v="MATCH"/>
    <x v="2"/>
  </r>
  <r>
    <s v="EXP101937"/>
    <s v="E035"/>
    <s v="AX736688841"/>
    <d v="2026-04-14T00:00:00"/>
    <d v="2026-04-15T00:00:00"/>
    <s v="SQ *JOES COFFEE"/>
    <s v="5812"/>
    <s v="Meals"/>
    <n v="23.39"/>
    <s v="Corporate Amex"/>
    <m/>
    <s v="Y"/>
    <s v="Meals"/>
    <s v="MATCH"/>
    <x v="0"/>
  </r>
  <r>
    <s v="EXP101938"/>
    <s v="E116"/>
    <s v="AX873767404"/>
    <d v="2026-04-06T00:00:00"/>
    <d v="2026-04-15T00:00:00"/>
    <s v="REGION CATERING CO"/>
    <s v="5811"/>
    <s v="Events"/>
    <n v="188.45"/>
    <s v="Corporate Amex"/>
    <m/>
    <s v="Y"/>
    <s v="Events"/>
    <s v="MATCH"/>
    <x v="7"/>
  </r>
  <r>
    <s v="EXP101939"/>
    <s v="E020"/>
    <m/>
    <d v="2026-04-09T00:00:00"/>
    <d v="2026-04-15T00:00:00"/>
    <s v="SOUTHWEST AIR 5261823"/>
    <s v="4511"/>
    <s v="Travel"/>
    <n v="190.81"/>
    <s v="Personal (Reimbursement)"/>
    <s v="Amex declined - vendor doesn't accept Amex"/>
    <s v="Y"/>
    <s v="Travel"/>
    <s v="MATCH"/>
    <x v="0"/>
  </r>
  <r>
    <s v="EXP101940"/>
    <s v="E064"/>
    <s v="AX 914114412"/>
    <d v="2026-04-14T00:00:00"/>
    <d v="2026-04-15T00:00:00"/>
    <s v="SOUTHWEST AIR 5261823"/>
    <s v="4511"/>
    <s v="Travel"/>
    <n v="161.16999999999999"/>
    <s v="Corporate Amex"/>
    <m/>
    <s v="Y"/>
    <s v="Travel"/>
    <s v="MATCH"/>
    <x v="0"/>
  </r>
  <r>
    <s v="EXP101941"/>
    <s v="E013"/>
    <s v="AX357885319"/>
    <d v="2026-04-06T00:00:00"/>
    <d v="2026-04-15T00:00:00"/>
    <s v="MICROSOFT*365"/>
    <s v="5734"/>
    <s v="Software"/>
    <n v="26.36"/>
    <s v="Corporate Amex"/>
    <m/>
    <s v="Y"/>
    <s v="Software"/>
    <s v="MATCH"/>
    <x v="0"/>
  </r>
  <r>
    <s v="EXP101942"/>
    <s v="E065"/>
    <s v="ax966309448"/>
    <d v="2026-04-10T00:00:00"/>
    <d v="2026-04-15T00:00:00"/>
    <s v="MARRIOTT #4471"/>
    <s v="7011"/>
    <s v="Lodging"/>
    <n v="288.25"/>
    <s v="Corporate Amex"/>
    <m/>
    <s v="Y"/>
    <s v="Lodging"/>
    <s v="MATCH"/>
    <x v="0"/>
  </r>
  <r>
    <s v="EXP101943"/>
    <s v="E190"/>
    <s v="AX940001476"/>
    <d v="2026-04-05T00:00:00"/>
    <d v="2026-04-15T00:00:00"/>
    <s v="DELTA AIR 00623891045"/>
    <s v="4511"/>
    <s v="Travel"/>
    <n v="439.31"/>
    <s v="Corporate Amex"/>
    <m/>
    <s v="Y"/>
    <s v="Travel"/>
    <s v="MATCH"/>
    <x v="5"/>
  </r>
  <r>
    <s v="EXP101944"/>
    <s v="E068"/>
    <m/>
    <d v="2026-04-15T00:00:00"/>
    <d v="2026-04-15T00:00:00"/>
    <s v="SQ *JOES COFFEE"/>
    <s v="5812"/>
    <s v="Meals"/>
    <n v="19.059999999999999"/>
    <s v="Personal (Reimbursement)"/>
    <s v="Forgot corporate card"/>
    <s v="Y"/>
    <s v="Meals"/>
    <s v="MATCH"/>
    <x v="0"/>
  </r>
  <r>
    <s v="EXP101945"/>
    <s v="E067"/>
    <s v="AX 836006527"/>
    <d v="2026-04-07T00:00:00"/>
    <d v="2026-04-15T00:00:00"/>
    <s v="SPROUT SOCIAL"/>
    <s v="5734"/>
    <s v="Software"/>
    <n v="166.65"/>
    <s v="Corporate Amex"/>
    <m/>
    <s v="Y"/>
    <s v="Software"/>
    <s v="MATCH"/>
    <x v="0"/>
  </r>
  <r>
    <s v="EXP101946"/>
    <s v="E062"/>
    <s v="ax345257847"/>
    <d v="2026-04-05T00:00:00"/>
    <d v="2026-04-15T00:00:00"/>
    <s v="OLIVE GARDEN 00456"/>
    <s v="5812"/>
    <s v="Meals"/>
    <n v="85.64"/>
    <s v="Corporate Amex"/>
    <m/>
    <s v="N"/>
    <s v="Meals"/>
    <s v="MATCH"/>
    <x v="0"/>
  </r>
  <r>
    <s v="EXP101947"/>
    <s v="E072"/>
    <s v="AX-614395842"/>
    <d v="2026-04-06T00:00:00"/>
    <d v="2026-04-15T00:00:00"/>
    <s v="ZOOM.US"/>
    <s v="5734"/>
    <s v="Software"/>
    <n v="56"/>
    <s v="Corporate Amex"/>
    <m/>
    <s v="Y"/>
    <s v="Software"/>
    <s v="MATCH"/>
    <x v="2"/>
  </r>
  <r>
    <s v="EXP101948"/>
    <s v="E088"/>
    <m/>
    <d v="2026-04-06T00:00:00"/>
    <d v="2026-04-15T00:00:00"/>
    <s v="TOTAL PARTY RENTAL"/>
    <s v="7999"/>
    <s v="Events"/>
    <n v="97.99"/>
    <s v="Personal (Reimbursement)"/>
    <s v="Amex declined - vendor doesn't accept Amex"/>
    <s v="Y"/>
    <s v="Events"/>
    <s v="MATCH"/>
    <x v="2"/>
  </r>
  <r>
    <s v="EXP101949"/>
    <s v="E222"/>
    <m/>
    <d v="2026-04-13T00:00:00"/>
    <d v="2026-04-15T00:00:00"/>
    <s v="SOUTHWEST AIR 5261823"/>
    <s v="4511"/>
    <s v="Travel"/>
    <n v="215.01"/>
    <s v="Personal (Reimbursement)"/>
    <s v="International merchant - Amex not accepted"/>
    <s v="N"/>
    <s v="Travel"/>
    <s v="MATCH"/>
    <x v="4"/>
  </r>
  <r>
    <s v="EXP101950"/>
    <s v="E222"/>
    <s v="AX-353761163"/>
    <d v="2026-04-11T00:00:00"/>
    <d v="2026-04-15T00:00:00"/>
    <s v="SQ *JOES COFFEE"/>
    <s v="5812"/>
    <s v="Meals"/>
    <n v="13.01"/>
    <s v="Corporate Amex"/>
    <m/>
    <s v="Y"/>
    <s v="Meals"/>
    <s v="MATCH"/>
    <x v="4"/>
  </r>
  <r>
    <s v="EXP101951"/>
    <s v="E032"/>
    <m/>
    <d v="2026-04-12T00:00:00"/>
    <d v="2026-04-15T00:00:00"/>
    <s v="OLIVE GARDEN 00456"/>
    <s v="5812"/>
    <s v="  Meals "/>
    <n v="39.880000000000003"/>
    <s v="Corporate Amex"/>
    <m/>
    <s v="Y"/>
    <s v="Meals"/>
    <s v="MATCH"/>
    <x v="0"/>
  </r>
  <r>
    <s v="EXP101952"/>
    <s v="E031"/>
    <s v="AX 758424800"/>
    <d v="2026-04-10T00:00:00"/>
    <d v="2026-04-15T00:00:00"/>
    <s v="MICROSOFT*365"/>
    <s v="5734"/>
    <s v="Office Supplies"/>
    <n v="36.51"/>
    <s v="Corporate Amex"/>
    <m/>
    <s v="Y"/>
    <s v="Software"/>
    <s v="MISMATCH"/>
    <x v="0"/>
  </r>
  <r>
    <s v="EXP101953"/>
    <s v="E069"/>
    <s v="AX-156154543"/>
    <d v="2026-04-10T00:00:00"/>
    <d v="2026-04-16T00:00:00"/>
    <s v="ADOBE *CREATIVE CLOUD"/>
    <s v="5734"/>
    <s v="Software"/>
    <n v="61.55"/>
    <s v="Corporate Amex"/>
    <m/>
    <s v="Y"/>
    <s v="Software"/>
    <s v="MATCH"/>
    <x v="0"/>
  </r>
  <r>
    <s v="EXP101954"/>
    <s v="E199"/>
    <s v="AX921118451"/>
    <d v="2026-04-11T00:00:00"/>
    <d v="2026-04-16T00:00:00"/>
    <s v="HOOTSUITE INC"/>
    <s v="5734"/>
    <s v="Software"/>
    <n v="49.01"/>
    <s v="Corporate Amex"/>
    <m/>
    <s v="Y"/>
    <s v="Software"/>
    <s v="MATCH"/>
    <x v="5"/>
  </r>
  <r>
    <s v="EXP101955"/>
    <s v="E268"/>
    <s v="AX-600553020"/>
    <d v="2026-04-14T00:00:00"/>
    <d v="2026-04-16T00:00:00"/>
    <s v="SQ *THE CORNER BISTRO"/>
    <s v="5812"/>
    <s v="Entertainment"/>
    <n v="56.42"/>
    <s v="Corporate Amex"/>
    <m/>
    <s v="N"/>
    <s v="Meals"/>
    <s v="MISMATCH"/>
    <x v="3"/>
  </r>
  <r>
    <s v="EXP101956"/>
    <s v="E097"/>
    <s v="AX848655969"/>
    <d v="2026-04-11T00:00:00"/>
    <d v="2026-04-16T00:00:00"/>
    <s v="SQ *JOES COFFEE"/>
    <s v="5812"/>
    <s v="Meals"/>
    <n v="19.38"/>
    <s v="Corporate Amex"/>
    <m/>
    <s v="Y"/>
    <s v="Meals"/>
    <s v="MATCH"/>
    <x v="2"/>
  </r>
  <r>
    <s v="EXP101957"/>
    <s v="E060"/>
    <s v="AX-331826528"/>
    <d v="2026-04-11T00:00:00"/>
    <d v="2026-04-16T00:00:00"/>
    <s v="HILTON GARDEN INN 2231"/>
    <s v="7011"/>
    <s v="Lodging"/>
    <n v="145.32"/>
    <s v="Corporate Amex"/>
    <m/>
    <s v="N"/>
    <s v="Lodging"/>
    <s v="MATCH"/>
    <x v="0"/>
  </r>
  <r>
    <s v="EXP101958"/>
    <s v="E149"/>
    <m/>
    <d v="2026-04-12T00:00:00"/>
    <d v="2026-04-16T00:00:00"/>
    <s v="HOOTSUITE INC"/>
    <s v="5734"/>
    <s v="Software"/>
    <n v="76.03"/>
    <s v="Corporate Amex"/>
    <m/>
    <s v="Y"/>
    <s v="Software"/>
    <s v="MATCH"/>
    <x v="7"/>
  </r>
  <r>
    <s v="EXP101959"/>
    <s v="E021"/>
    <m/>
    <d v="2026-04-15T00:00:00"/>
    <d v="2026-04-16T00:00:00"/>
    <s v="SQ *JOES COFFEE"/>
    <s v="5812"/>
    <s v="Meals"/>
    <n v="15.2"/>
    <s v="Corporate Amex"/>
    <m/>
    <s v="Y"/>
    <s v="Meals"/>
    <s v="MATCH"/>
    <x v="0"/>
  </r>
  <r>
    <s v="EXP101960"/>
    <s v="E001"/>
    <m/>
    <d v="2026-04-15T00:00:00"/>
    <d v="2026-04-16T00:00:00"/>
    <s v="CHIPOTLE 2214"/>
    <s v="5812"/>
    <s v="Meals"/>
    <n v="12.85"/>
    <s v="Corporate Amex"/>
    <m/>
    <s v="Y"/>
    <s v="Meals"/>
    <s v="MATCH"/>
    <x v="0"/>
  </r>
  <r>
    <s v="EXP101961"/>
    <s v="E081"/>
    <s v="AX334980323"/>
    <d v="2026-04-08T00:00:00"/>
    <d v="2026-04-16T00:00:00"/>
    <s v="LYFT RIDE THU"/>
    <s v="4121"/>
    <s v="Transportation"/>
    <n v="41.28"/>
    <s v="Corporate Amex"/>
    <m/>
    <s v="Y"/>
    <s v="Transportation"/>
    <s v="MATCH"/>
    <x v="2"/>
  </r>
  <r>
    <s v="EXP101962"/>
    <s v="E031"/>
    <s v="ax222797177"/>
    <d v="2026-04-13T00:00:00"/>
    <d v="2026-04-16T00:00:00"/>
    <s v="HOOTSUITE INC"/>
    <s v="5734"/>
    <s v="Software"/>
    <n v="192.3"/>
    <s v="Corporate Amex"/>
    <m/>
    <s v="Y"/>
    <s v="Software"/>
    <s v="MATCH"/>
    <x v="0"/>
  </r>
  <r>
    <s v="EXP101963"/>
    <s v="E031"/>
    <s v="AX483045741"/>
    <d v="2026-04-08T00:00:00"/>
    <d v="2026-04-16T00:00:00"/>
    <s v="SQ *THE CORNER BISTRO"/>
    <s v="5812"/>
    <s v="Meals"/>
    <n v="75.569999999999993"/>
    <s v="Corporate Amex"/>
    <m/>
    <s v="Y"/>
    <s v="Meals"/>
    <s v="MATCH"/>
    <x v="0"/>
  </r>
  <r>
    <s v="EXP101964"/>
    <s v="E067"/>
    <s v="ax622412730"/>
    <d v="2026-04-06T00:00:00"/>
    <d v="2026-04-16T00:00:00"/>
    <s v="HILTON GARDEN INN 2231"/>
    <s v="7011"/>
    <s v="Lodging"/>
    <n v="238.23"/>
    <s v="Corporate Amex"/>
    <m/>
    <s v="Y"/>
    <s v="Lodging"/>
    <s v="MATCH"/>
    <x v="0"/>
  </r>
  <r>
    <s v="EXP101965"/>
    <s v="E024"/>
    <s v="ax641483001"/>
    <d v="2026-04-07T00:00:00"/>
    <d v="2026-04-16T00:00:00"/>
    <s v="SQ *JOES COFFEE"/>
    <s v="5812"/>
    <s v="Meals"/>
    <n v="24.89"/>
    <s v="Corporate Amex"/>
    <m/>
    <s v="Y"/>
    <s v="Meals"/>
    <s v="MATCH"/>
    <x v="0"/>
  </r>
  <r>
    <s v="EXP101966"/>
    <s v="E186"/>
    <s v="ax456967917"/>
    <d v="2026-04-10T00:00:00"/>
    <d v="2026-04-16T00:00:00"/>
    <s v="AMC THEATRES 0021"/>
    <s v="7832"/>
    <s v="Entertainment"/>
    <n v="32.36"/>
    <s v="Corporate Amex"/>
    <m/>
    <s v="Y"/>
    <s v="Entertainment"/>
    <s v="MATCH"/>
    <x v="5"/>
  </r>
  <r>
    <s v="EXP101967"/>
    <s v="E053"/>
    <s v="AX-956148009"/>
    <d v="2026-04-16T00:00:00"/>
    <d v="2026-04-16T00:00:00"/>
    <s v="MARRIOTT #4471"/>
    <s v="7011"/>
    <s v="Lodging"/>
    <n v="416.37"/>
    <s v="Corporate Amex"/>
    <m/>
    <s v="N"/>
    <s v="Lodging"/>
    <s v="MATCH"/>
    <x v="0"/>
  </r>
  <r>
    <s v="EXP101968"/>
    <s v="E068"/>
    <s v="ax439609910"/>
    <d v="2026-04-16T00:00:00"/>
    <d v="2026-04-16T00:00:00"/>
    <s v="YELLOW CAB CO"/>
    <s v="4121"/>
    <m/>
    <n v="17.489999999999998"/>
    <s v="Corporate Amex"/>
    <m/>
    <s v="Y"/>
    <s v="Transportation"/>
    <s v="BLANK"/>
    <x v="0"/>
  </r>
  <r>
    <s v="EXP101969"/>
    <s v="E050"/>
    <s v="ax780920913"/>
    <d v="2026-04-15T00:00:00"/>
    <d v="2026-04-16T00:00:00"/>
    <s v="UNITED AIRLINES 0162233"/>
    <s v="4511"/>
    <s v="Travel"/>
    <n v="217.19"/>
    <s v="Corporate Amex"/>
    <m/>
    <s v="Y"/>
    <s v="Travel"/>
    <s v="MATCH"/>
    <x v="0"/>
  </r>
  <r>
    <s v="EXP101970"/>
    <s v="E028"/>
    <s v="AX-551477783"/>
    <d v="2026-04-14T00:00:00"/>
    <d v="2026-04-16T00:00:00"/>
    <s v=" HOOTSUITE INC"/>
    <s v="5734"/>
    <s v="Software"/>
    <n v="116.21"/>
    <s v="Corporate Amex"/>
    <m/>
    <s v="N"/>
    <s v="Software"/>
    <s v="MATCH"/>
    <x v="0"/>
  </r>
  <r>
    <s v="EXP101971"/>
    <s v="E091"/>
    <s v="AX210003510"/>
    <d v="2026-04-09T00:00:00"/>
    <d v="2026-04-16T00:00:00"/>
    <s v="PANERA BREAD #0231"/>
    <s v="5812"/>
    <s v="Meals"/>
    <n v="11.38"/>
    <s v="Corporate Amex"/>
    <m/>
    <s v="Y"/>
    <s v="Meals"/>
    <s v="MATCH"/>
    <x v="2"/>
  </r>
  <r>
    <s v="EXP101972"/>
    <s v="E086"/>
    <s v="AX392531779"/>
    <d v="2026-04-08T00:00:00"/>
    <d v="2026-04-16T00:00:00"/>
    <s v="PANERA BREAD #0231"/>
    <s v="5812"/>
    <s v="Meals"/>
    <n v="9.83"/>
    <s v="Corporate Amex"/>
    <m/>
    <s v="Y"/>
    <s v="Meals"/>
    <s v="MATCH"/>
    <x v="2"/>
  </r>
  <r>
    <s v="EXP101973"/>
    <s v="E117"/>
    <s v="AX-833400878"/>
    <d v="2026-04-12T00:00:00"/>
    <d v="2026-04-16T00:00:00"/>
    <s v="MICROSOFT*365"/>
    <s v="5734"/>
    <s v="Software"/>
    <n v="68.87"/>
    <s v="Corporate Amex"/>
    <m/>
    <s v="Y"/>
    <s v="Software"/>
    <s v="MATCH"/>
    <x v="7"/>
  </r>
  <r>
    <s v="EXP101974"/>
    <s v="E057"/>
    <s v="ax890037719"/>
    <d v="2026-04-14T00:00:00"/>
    <d v="2026-04-16T00:00:00"/>
    <s v="MARRIOTT #4471"/>
    <s v="7011"/>
    <s v="Lodging"/>
    <n v="364.88"/>
    <s v="Corporate Amex"/>
    <m/>
    <s v="Y"/>
    <s v="Lodging"/>
    <s v="MATCH"/>
    <x v="0"/>
  </r>
  <r>
    <s v="EXP101975"/>
    <s v="E023"/>
    <m/>
    <d v="2026-04-06T00:00:00"/>
    <d v="2026-04-16T00:00:00"/>
    <s v="LYFT RIDE THU"/>
    <s v="4121"/>
    <s v="Transportation"/>
    <n v="49.77"/>
    <s v="Personal (Reimbursement)"/>
    <s v="Forgot corporate card"/>
    <s v="Y"/>
    <s v="Transportation"/>
    <s v="MATCH"/>
    <x v="0"/>
  </r>
  <r>
    <s v="EXP101976"/>
    <s v="E143"/>
    <s v="ax184828951"/>
    <d v="2026-04-12T00:00:00"/>
    <d v="2026-04-16T00:00:00"/>
    <s v="UNITED AIRLINES 0162233"/>
    <s v="4511"/>
    <s v="Travel"/>
    <n v="278.39"/>
    <s v="Corporate Amex"/>
    <m/>
    <s v="Y"/>
    <s v="Travel"/>
    <s v="MATCH"/>
    <x v="7"/>
  </r>
  <r>
    <s v="EXP101977"/>
    <s v="E052"/>
    <s v="AX825429165"/>
    <d v="2026-04-14T00:00:00"/>
    <d v="2026-04-16T00:00:00"/>
    <s v="SQ *JOES COFFEE"/>
    <s v="5812"/>
    <s v="Meals"/>
    <n v="21.04"/>
    <s v="Corporate Amex"/>
    <m/>
    <s v="Y"/>
    <s v="Meals"/>
    <s v="MATCH"/>
    <x v="0"/>
  </r>
  <r>
    <s v="EXP101978"/>
    <s v="E144"/>
    <s v="AX363390285"/>
    <d v="2026-04-12T00:00:00"/>
    <d v="2026-04-16T00:00:00"/>
    <s v="ADOBE *CREATIVE CLOUD"/>
    <s v="5734"/>
    <s v="Software"/>
    <n v="52.78"/>
    <s v="Corporate Amex"/>
    <m/>
    <s v="Y"/>
    <s v="Software"/>
    <s v="MATCH"/>
    <x v="7"/>
  </r>
  <r>
    <s v="EXP101979"/>
    <s v="E160"/>
    <s v="AX247780076"/>
    <d v="2026-04-08T00:00:00"/>
    <d v="2026-04-17T00:00:00"/>
    <s v="SQ *JOES COFFEE"/>
    <s v="5812"/>
    <s v="Meals"/>
    <n v="12.34"/>
    <s v="Corporate Amex"/>
    <m/>
    <s v="Y"/>
    <s v="Meals"/>
    <s v="MATCH"/>
    <x v="6"/>
  </r>
  <r>
    <s v="EXP101980"/>
    <s v="E145"/>
    <m/>
    <d v="2026-04-12T00:00:00"/>
    <d v="2026-04-17T00:00:00"/>
    <s v="SPROUT SOCIAL"/>
    <s v="5734"/>
    <s v="Software"/>
    <n v="106.91"/>
    <s v="Personal (Reimbursement)"/>
    <s v="Amex declined - vendor doesn't accept Amex"/>
    <s v="Y"/>
    <s v="Software"/>
    <s v="MATCH"/>
    <x v="7"/>
  </r>
  <r>
    <s v="EXP101981"/>
    <s v="E032"/>
    <s v="AX994400472"/>
    <d v="2026-04-07T00:00:00"/>
    <d v="2026-04-17T00:00:00"/>
    <s v="TOPGOLF #442"/>
    <s v="7997"/>
    <s v="Entertainment"/>
    <n v="99.18"/>
    <s v="Corporate Amex"/>
    <m/>
    <s v="Y"/>
    <s v="Entertainment"/>
    <s v="MATCH"/>
    <x v="0"/>
  </r>
  <r>
    <s v="EXP101982"/>
    <s v="E011"/>
    <m/>
    <d v="2026-04-07T00:00:00"/>
    <d v="2026-04-17T00:00:00"/>
    <s v="TOTAL PARTY RENTAL"/>
    <s v="7999"/>
    <s v="Events"/>
    <n v="505.56"/>
    <s v="Corporate Amex"/>
    <m/>
    <s v="Y"/>
    <s v="Events"/>
    <s v="MATCH"/>
    <x v="0"/>
  </r>
  <r>
    <s v="EXP101983"/>
    <s v="E033"/>
    <s v="AX247826313"/>
    <d v="2026-04-08T00:00:00"/>
    <d v="2026-04-17T00:00:00"/>
    <s v="PANERA BREAD #0231"/>
    <s v="5812"/>
    <s v="Meals"/>
    <n v="16.77"/>
    <s v="Corporate Amex"/>
    <m/>
    <s v="Y"/>
    <s v="Meals"/>
    <s v="MATCH"/>
    <x v="0"/>
  </r>
  <r>
    <s v="EXP101984"/>
    <s v="E047"/>
    <s v="AX-234752634"/>
    <d v="2026-04-07T00:00:00"/>
    <d v="2026-04-17T00:00:00"/>
    <s v="MARRIOTT #4471"/>
    <s v="7011"/>
    <s v="Lodging"/>
    <n v="215.39"/>
    <s v="Corporate Amex"/>
    <m/>
    <s v="Y"/>
    <s v="Lodging"/>
    <s v="MATCH"/>
    <x v="0"/>
  </r>
  <r>
    <s v="EXP101985"/>
    <s v="E047"/>
    <s v="AX290599852"/>
    <d v="2026-04-16T00:00:00"/>
    <d v="2026-04-17T00:00:00"/>
    <s v="ZOOM.US"/>
    <s v="5734"/>
    <s v="Software"/>
    <n v="29.15"/>
    <s v="Corporate Amex"/>
    <m/>
    <s v="Y"/>
    <s v="Software"/>
    <s v="MATCH"/>
    <x v="0"/>
  </r>
  <r>
    <s v="EXP101986"/>
    <s v="E003"/>
    <s v="ax129067479"/>
    <d v="2026-04-15T00:00:00"/>
    <d v="2026-04-17T00:00:00"/>
    <s v="TOTAL PARTY RENTAL"/>
    <s v="7999"/>
    <s v="Events"/>
    <n v="126.3"/>
    <s v="Corporate Amex"/>
    <m/>
    <s v="Y"/>
    <s v="Events"/>
    <s v="MATCH"/>
    <x v="0"/>
  </r>
  <r>
    <s v="EXP101987"/>
    <s v="E114"/>
    <s v="AX196157447"/>
    <d v="2026-04-11T00:00:00"/>
    <d v="2026-04-17T00:00:00"/>
    <s v="STAPLES #0231"/>
    <s v="5943"/>
    <s v="Office Supplies"/>
    <n v="97.52"/>
    <s v="Corporate Amex"/>
    <m/>
    <s v="Y"/>
    <s v="Office Supplies"/>
    <s v="MATCH"/>
    <x v="2"/>
  </r>
  <r>
    <s v="EXP101988"/>
    <s v="E215"/>
    <s v="AX428730831"/>
    <d v="2026-04-09T00:00:00"/>
    <d v="2026-04-17T00:00:00"/>
    <s v="STAPLES #0231"/>
    <s v="5943"/>
    <s v="Transportation"/>
    <n v="134.33000000000001"/>
    <s v="Corporate Amex"/>
    <m/>
    <s v="Y"/>
    <s v="Office Supplies"/>
    <s v="MISMATCH"/>
    <x v="4"/>
  </r>
  <r>
    <s v="EXP101989"/>
    <s v="E026"/>
    <s v="AX-764787580"/>
    <d v="2026-04-11T00:00:00"/>
    <d v="2026-04-17T00:00:00"/>
    <s v="LYFT RIDE THU"/>
    <s v="4121"/>
    <s v="Transportation"/>
    <n v="27.97"/>
    <s v="Corporate Amex"/>
    <m/>
    <s v="Y"/>
    <s v="Transportation"/>
    <s v="MATCH"/>
    <x v="0"/>
  </r>
  <r>
    <s v="EXP101990"/>
    <s v="E139"/>
    <s v="AX796362125"/>
    <d v="2026-04-13T00:00:00"/>
    <d v="2026-04-18T00:00:00"/>
    <s v="STAPLES #0231"/>
    <s v="5943"/>
    <s v="Office Supplies"/>
    <n v="121.69"/>
    <s v="Corporate Amex"/>
    <m/>
    <s v="Y"/>
    <s v="Office Supplies"/>
    <s v="MATCH"/>
    <x v="7"/>
  </r>
  <r>
    <s v="EXP101991"/>
    <s v="E068"/>
    <s v="AX 361671245"/>
    <d v="2026-04-17T00:00:00"/>
    <d v="2026-04-18T00:00:00"/>
    <s v="STARBUCKS #4471"/>
    <s v="5812"/>
    <s v="Meals"/>
    <n v="10.02"/>
    <s v="Corporate Amex"/>
    <m/>
    <s v="Y"/>
    <s v="Meals"/>
    <s v="MATCH"/>
    <x v="0"/>
  </r>
  <r>
    <s v="EXP101992"/>
    <s v="E069"/>
    <s v="AX 219781306"/>
    <d v="2026-04-10T00:00:00"/>
    <d v="2026-04-18T00:00:00"/>
    <s v="PANERA BREAD #0231"/>
    <s v="5812"/>
    <s v="Meals"/>
    <n v="24.77"/>
    <s v="Corporate Amex"/>
    <m/>
    <s v="N"/>
    <s v="Meals"/>
    <s v="MATCH"/>
    <x v="0"/>
  </r>
  <r>
    <s v="EXP101993"/>
    <s v="E185"/>
    <s v="ax165084231"/>
    <d v="2026-04-13T00:00:00"/>
    <d v="2026-04-18T00:00:00"/>
    <s v="ADOBE *CREATIVE CLOUD"/>
    <s v="5734"/>
    <s v="Software"/>
    <n v="72.23"/>
    <s v="Corporate Amex"/>
    <m/>
    <s v="Y"/>
    <s v="Software"/>
    <s v="MATCH"/>
    <x v="5"/>
  </r>
  <r>
    <s v="EXP101994"/>
    <s v="E045"/>
    <s v="AX944219127"/>
    <d v="2026-04-13T00:00:00"/>
    <d v="2026-04-18T00:00:00"/>
    <s v="UNITED AIRLINES 0162233"/>
    <s v="4511"/>
    <s v="Travel"/>
    <n v="314.51"/>
    <s v="Corporate Amex"/>
    <m/>
    <s v="Y"/>
    <s v="Travel"/>
    <s v="MATCH"/>
    <x v="0"/>
  </r>
  <r>
    <s v="EXP101995"/>
    <s v="E260"/>
    <s v="AX431032089"/>
    <d v="2026-04-13T00:00:00"/>
    <d v="2026-04-18T00:00:00"/>
    <s v="SQ *THE CORNER BISTRO"/>
    <s v="5812"/>
    <s v="Meals"/>
    <n v="76.180000000000007"/>
    <s v="Corporate Amex"/>
    <m/>
    <s v="Y"/>
    <s v="Meals"/>
    <s v="MATCH"/>
    <x v="8"/>
  </r>
  <r>
    <s v="EXP101996"/>
    <s v="E170"/>
    <s v="AX-403487309"/>
    <d v="2026-04-15T00:00:00"/>
    <d v="2026-04-18T00:00:00"/>
    <s v="REGION CATERING CO"/>
    <s v="5811"/>
    <s v="Events"/>
    <n v="201.03"/>
    <s v="Corporate Amex"/>
    <m/>
    <s v="Y"/>
    <s v="Events"/>
    <s v="MATCH"/>
    <x v="6"/>
  </r>
  <r>
    <s v="EXP101997"/>
    <s v="E026"/>
    <s v="AX273430899"/>
    <d v="2026-04-16T00:00:00"/>
    <d v="2026-04-18T00:00:00"/>
    <s v="STARBUCKS #4471"/>
    <s v="5812"/>
    <s v="Meals"/>
    <n v="17.38"/>
    <s v="Corporate Amex"/>
    <m/>
    <s v="Y"/>
    <s v="Meals"/>
    <s v="MATCH"/>
    <x v="0"/>
  </r>
  <r>
    <s v="EXP101998"/>
    <s v="E259"/>
    <m/>
    <d v="2026-04-11T00:00:00"/>
    <d v="2026-04-18T00:00:00"/>
    <s v="EVENTBRITE"/>
    <s v="7999"/>
    <s v="Events"/>
    <n v="191.96"/>
    <s v="Corporate Amex"/>
    <m/>
    <s v="Y"/>
    <s v="Events"/>
    <s v="MATCH"/>
    <x v="8"/>
  </r>
  <r>
    <s v="EXP101999"/>
    <s v="E025"/>
    <s v="ax319462600"/>
    <d v="2026-04-17T00:00:00"/>
    <d v="2026-04-18T00:00:00"/>
    <s v="CHIPOTLE 2214"/>
    <s v="5812"/>
    <s v="  Meals "/>
    <n v="14.89"/>
    <s v="Corporate Amex"/>
    <m/>
    <s v="Y"/>
    <s v="Meals"/>
    <s v="MATCH"/>
    <x v="0"/>
  </r>
  <r>
    <s v="EXP102001"/>
    <s v="E017"/>
    <s v="AX 857680193"/>
    <d v="2026-04-14T00:00:00"/>
    <d v="2026-04-18T00:00:00"/>
    <s v="REGION CATERING CO"/>
    <s v="5811"/>
    <s v="Events"/>
    <n v="663.54"/>
    <s v="Corporate Amex"/>
    <m/>
    <s v="Y"/>
    <s v="Events"/>
    <s v="MATCH"/>
    <x v="0"/>
  </r>
  <r>
    <s v="EXP102002"/>
    <s v="E061"/>
    <s v="AX 881203693"/>
    <d v="2026-04-11T00:00:00"/>
    <d v="2026-04-18T00:00:00"/>
    <s v="CHIPOTLE 2214"/>
    <s v="5812"/>
    <s v="Meals"/>
    <n v="11.8"/>
    <s v="Corporate Amex"/>
    <m/>
    <s v="Y"/>
    <s v="Meals"/>
    <s v="MATCH"/>
    <x v="0"/>
  </r>
  <r>
    <s v="EXP102003"/>
    <s v="E275"/>
    <s v="AX685292762"/>
    <d v="2026-04-17T00:00:00"/>
    <d v="2026-04-18T00:00:00"/>
    <s v="AMC THEATRES 0021"/>
    <s v="7832"/>
    <s v="Entertainment"/>
    <n v="54.27"/>
    <s v="Corporate Amex"/>
    <m/>
    <s v="Y"/>
    <s v="Entertainment"/>
    <s v="MATCH"/>
    <x v="3"/>
  </r>
  <r>
    <s v="EXP102004"/>
    <s v="E028"/>
    <s v="AX 880300214"/>
    <d v="2026-04-15T00:00:00"/>
    <d v="2026-04-18T00:00:00"/>
    <s v="HOOTSUITE INC"/>
    <s v="5734"/>
    <s v="Software"/>
    <n v="128.02000000000001"/>
    <s v="Corporate Amex"/>
    <m/>
    <s v="Y"/>
    <s v="Software"/>
    <s v="MATCH"/>
    <x v="0"/>
  </r>
  <r>
    <s v="EXP102005"/>
    <s v="E028"/>
    <s v="AX212551720"/>
    <d v="2026-04-15T00:00:00"/>
    <d v="2026-04-18T00:00:00"/>
    <s v="ZOOM.US"/>
    <s v="5734"/>
    <s v="Software"/>
    <n v="24.77"/>
    <s v="Corporate Amex"/>
    <m/>
    <s v="N"/>
    <s v="Software"/>
    <s v="MATCH"/>
    <x v="0"/>
  </r>
  <r>
    <s v="EXP102006"/>
    <s v="E053"/>
    <s v="AX875820714"/>
    <d v="2026-04-16T00:00:00"/>
    <d v="2026-04-18T00:00:00"/>
    <s v="MARRIOTT #4471"/>
    <s v="7011"/>
    <s v="Lodging"/>
    <n v="318.45999999999998"/>
    <s v="Corporate Amex"/>
    <m/>
    <s v="Y"/>
    <s v="Lodging"/>
    <s v="MATCH"/>
    <x v="0"/>
  </r>
  <r>
    <s v="EXP102007"/>
    <s v="E005"/>
    <s v="AX295898115"/>
    <d v="2026-04-18T00:00:00"/>
    <d v="2026-04-18T00:00:00"/>
    <s v="AMAZON MKTPLACE PMTS"/>
    <s v="5942"/>
    <s v="Office Supplies"/>
    <n v="382.53"/>
    <s v="Corporate Amex"/>
    <m/>
    <s v="Y"/>
    <s v="Office Supplies"/>
    <s v="MATCH"/>
    <x v="0"/>
  </r>
  <r>
    <s v="EXP102008"/>
    <s v="E024"/>
    <s v="AX771081482"/>
    <d v="2026-04-15T00:00:00"/>
    <d v="2026-04-18T00:00:00"/>
    <s v="TOTAL PARTY RENTAL"/>
    <s v="7999"/>
    <s v="Events"/>
    <n v="387.36"/>
    <s v="Corporate Amex"/>
    <m/>
    <s v="N"/>
    <s v="Events"/>
    <s v="MATCH"/>
    <x v="0"/>
  </r>
  <r>
    <s v="EXP102009"/>
    <s v="E042"/>
    <s v="AX 192941637"/>
    <d v="2026-04-11T00:00:00"/>
    <d v="2026-04-19T00:00:00"/>
    <s v="ADOBE *CREATIVE CLOUD"/>
    <s v="5734"/>
    <s v="Software"/>
    <n v="57.45"/>
    <s v="Corporate Amex"/>
    <m/>
    <s v="N"/>
    <s v="Software"/>
    <s v="MATCH"/>
    <x v="0"/>
  </r>
  <r>
    <s v="EXP102010"/>
    <s v="E151"/>
    <s v="AX 536091565"/>
    <d v="2026-04-15T00:00:00"/>
    <d v="2026-04-19T00:00:00"/>
    <s v="CHIPOTLE 2214"/>
    <s v="5812"/>
    <s v="Meals"/>
    <n v="21.17"/>
    <s v="Corporate Amex"/>
    <m/>
    <s v="Y"/>
    <s v="Meals"/>
    <s v="MATCH"/>
    <x v="6"/>
  </r>
  <r>
    <s v="EXP102011"/>
    <s v="E062"/>
    <s v="AX398439330"/>
    <d v="2026-04-11T00:00:00"/>
    <d v="2026-04-19T00:00:00"/>
    <s v="SOUTHWEST AIR 5261823"/>
    <s v="4511"/>
    <s v="Travel"/>
    <n v="183.4"/>
    <s v="Corporate Amex"/>
    <m/>
    <s v="Y"/>
    <s v="Travel"/>
    <s v="MATCH"/>
    <x v="0"/>
  </r>
  <r>
    <s v="EXP102012"/>
    <s v="E041"/>
    <s v="ax844717150"/>
    <d v="2026-04-19T00:00:00"/>
    <d v="2026-04-19T00:00:00"/>
    <s v="SPROUT SOCIAL"/>
    <s v="5734"/>
    <s v="Office Supplies"/>
    <n v="144.24"/>
    <s v="Corporate Amex"/>
    <m/>
    <s v="Y"/>
    <s v="Software"/>
    <s v="MISMATCH"/>
    <x v="0"/>
  </r>
  <r>
    <s v="EXP102013"/>
    <s v="E087"/>
    <m/>
    <d v="2026-04-12T00:00:00"/>
    <d v="2026-04-19T00:00:00"/>
    <s v=" SQ *THE CORNER BISTRO"/>
    <s v="5812"/>
    <s v="Meals"/>
    <n v="22.32"/>
    <s v="Corporate Amex"/>
    <m/>
    <s v="N"/>
    <s v="Meals"/>
    <s v="MATCH"/>
    <x v="2"/>
  </r>
  <r>
    <s v="EXP102014"/>
    <s v="E240"/>
    <s v="AX132568982"/>
    <d v="2026-04-13T00:00:00"/>
    <d v="2026-04-19T00:00:00"/>
    <s v="HOOTSUITE INC"/>
    <s v="5734"/>
    <s v="Software"/>
    <n v="194.59"/>
    <s v="Corporate Amex"/>
    <m/>
    <s v="Y"/>
    <s v="Software"/>
    <s v="MATCH"/>
    <x v="1"/>
  </r>
  <r>
    <s v="EXP102015"/>
    <s v="E133"/>
    <s v="AX556991075"/>
    <d v="2026-04-15T00:00:00"/>
    <d v="2026-04-19T00:00:00"/>
    <s v="UNITED AIRLINES 0162233"/>
    <s v="4511"/>
    <s v="Travel"/>
    <n v="190.81"/>
    <s v="Corporate Amex"/>
    <m/>
    <s v="Y"/>
    <s v="Travel"/>
    <s v="MATCH"/>
    <x v="7"/>
  </r>
  <r>
    <s v="EXP102016"/>
    <s v="E055"/>
    <s v="AX791172165"/>
    <d v="2026-04-12T00:00:00"/>
    <d v="2026-04-19T00:00:00"/>
    <s v="STARBUCKS #4471"/>
    <s v="5812"/>
    <s v="Meals"/>
    <n v="8.44"/>
    <s v="Corporate Amex"/>
    <m/>
    <s v="Y"/>
    <s v="Meals"/>
    <s v="MATCH"/>
    <x v="0"/>
  </r>
  <r>
    <s v="EXP102017"/>
    <s v="E052"/>
    <s v="AX872472023"/>
    <d v="2026-04-15T00:00:00"/>
    <d v="2026-04-19T00:00:00"/>
    <s v="HILTON GARDEN INN 2231"/>
    <s v="7011"/>
    <s v="Lodging"/>
    <n v="344.63"/>
    <s v="Corporate Amex"/>
    <m/>
    <s v="Y"/>
    <s v="Lodging"/>
    <s v="MATCH"/>
    <x v="0"/>
  </r>
  <r>
    <s v="EXP102018"/>
    <s v="E202"/>
    <s v="ax480820075"/>
    <d v="2026-04-17T00:00:00"/>
    <d v="2026-04-19T00:00:00"/>
    <s v="MARRIOTT #4471"/>
    <s v="7011"/>
    <s v="Lodging"/>
    <n v="228.31"/>
    <s v="Corporate Amex"/>
    <m/>
    <s v="Y"/>
    <s v="Lodging"/>
    <s v="MATCH"/>
    <x v="5"/>
  </r>
  <r>
    <s v="EXP102019"/>
    <s v="E061"/>
    <s v="ax255599098"/>
    <d v="2026-04-18T00:00:00"/>
    <d v="2026-04-19T00:00:00"/>
    <s v="AMAZON MKTPLACE PMTS"/>
    <s v="5942"/>
    <s v="Office Supplies"/>
    <n v="206.43"/>
    <s v="Corporate Amex"/>
    <m/>
    <s v="Y"/>
    <s v="Office Supplies"/>
    <s v="MATCH"/>
    <x v="0"/>
  </r>
  <r>
    <s v="EXP102020"/>
    <s v="E259"/>
    <s v="AX380170108"/>
    <d v="2026-04-11T00:00:00"/>
    <d v="2026-04-19T00:00:00"/>
    <s v="ADOBE *CREATIVE CLOUD"/>
    <s v="5734"/>
    <s v="Software"/>
    <n v="81.760000000000005"/>
    <s v="Corporate Amex"/>
    <m/>
    <s v="Y"/>
    <s v="Software"/>
    <s v="MATCH"/>
    <x v="8"/>
  </r>
  <r>
    <s v="EXP102021"/>
    <s v="E017"/>
    <s v="ax665078825"/>
    <d v="2026-04-18T00:00:00"/>
    <d v="2026-04-19T00:00:00"/>
    <s v="DELTA AIR 00623891045"/>
    <s v="4511"/>
    <s v="Travel"/>
    <n v="227.44"/>
    <s v="Corporate Amex"/>
    <m/>
    <s v="Y"/>
    <s v="Travel"/>
    <s v="MATCH"/>
    <x v="0"/>
  </r>
  <r>
    <s v="EXP102022"/>
    <s v="E203"/>
    <s v="AX804112799"/>
    <d v="2026-04-11T00:00:00"/>
    <d v="2026-04-19T00:00:00"/>
    <s v="YELLOW CAB CO"/>
    <s v="4121"/>
    <s v="Transportation"/>
    <n v="40.520000000000003"/>
    <s v="Corporate Amex"/>
    <m/>
    <s v="Y"/>
    <s v="Transportation"/>
    <s v="MATCH"/>
    <x v="5"/>
  </r>
  <r>
    <s v="EXP102023"/>
    <s v="E075"/>
    <s v="AX253556641"/>
    <d v="2026-04-09T00:00:00"/>
    <d v="2026-04-19T00:00:00"/>
    <s v="LYFT RIDE THU"/>
    <s v="4121"/>
    <s v="Transportation"/>
    <n v="17.690000000000001"/>
    <s v="Corporate Amex"/>
    <m/>
    <s v="Y"/>
    <s v="Transportation"/>
    <s v="MATCH"/>
    <x v="2"/>
  </r>
  <r>
    <s v="EXP102024"/>
    <s v="E131"/>
    <s v="AX 603307883"/>
    <d v="2026-04-11T00:00:00"/>
    <d v="2026-04-19T00:00:00"/>
    <s v="ZOOM.US"/>
    <s v="5734"/>
    <s v="Software"/>
    <n v="47.84"/>
    <s v="Corporate Amex"/>
    <m/>
    <s v="Y"/>
    <s v="Software"/>
    <s v="MATCH"/>
    <x v="7"/>
  </r>
  <r>
    <s v="EXP102025"/>
    <s v="E104"/>
    <s v="ax519824326"/>
    <d v="2026-04-15T00:00:00"/>
    <d v="2026-04-20T00:00:00"/>
    <s v="SQ *JOES COFFEE"/>
    <s v="5812"/>
    <s v="Meals"/>
    <n v="19.559999999999999"/>
    <s v="Corporate Amex"/>
    <m/>
    <s v="Y"/>
    <s v="Meals"/>
    <s v="MATCH"/>
    <x v="2"/>
  </r>
  <r>
    <s v="EXP102026"/>
    <s v="E138"/>
    <s v="AX828546619"/>
    <d v="2026-04-10T00:00:00"/>
    <d v="2026-04-20T00:00:00"/>
    <s v="MICROSOFT*365"/>
    <s v="5734"/>
    <s v="Software"/>
    <n v="38.520000000000003"/>
    <s v="Corporate Amex"/>
    <m/>
    <s v="Y"/>
    <s v="Software"/>
    <s v="MATCH"/>
    <x v="7"/>
  </r>
  <r>
    <s v="EXP102027"/>
    <s v="E131"/>
    <m/>
    <d v="2026-04-15T00:00:00"/>
    <d v="2026-04-20T00:00:00"/>
    <s v=" OLIVE GARDEN 00456"/>
    <s v="5812"/>
    <s v="Meals"/>
    <n v="92.64"/>
    <s v="Corporate Amex"/>
    <m/>
    <s v="N"/>
    <s v="Meals"/>
    <s v="MATCH"/>
    <x v="7"/>
  </r>
  <r>
    <s v="EXP102028"/>
    <s v="E148"/>
    <s v="AX176545885"/>
    <d v="2026-04-10T00:00:00"/>
    <d v="2026-04-20T00:00:00"/>
    <s v="STARBUCKS #4471"/>
    <s v="5812"/>
    <s v="Meals"/>
    <n v="10.57"/>
    <s v="Corporate Amex"/>
    <m/>
    <s v="N"/>
    <s v="Meals"/>
    <s v="MATCH"/>
    <x v="7"/>
  </r>
  <r>
    <s v="EXP102029"/>
    <s v="E098"/>
    <s v="AX144577836"/>
    <d v="2026-04-17T00:00:00"/>
    <d v="2026-04-20T00:00:00"/>
    <s v="AMAZON MKTPLACE PMTS"/>
    <s v="5942"/>
    <s v="Office Supplies"/>
    <n v="317.52999999999997"/>
    <s v="Corporate Amex"/>
    <m/>
    <s v="Y"/>
    <s v="Office Supplies"/>
    <s v="MATCH"/>
    <x v="2"/>
  </r>
  <r>
    <s v="EXP102030"/>
    <s v="E015"/>
    <s v="AX968814888"/>
    <d v="2026-04-17T00:00:00"/>
    <d v="2026-04-20T00:00:00"/>
    <s v="SOUTHWEST AIR 5261823"/>
    <s v="4511"/>
    <s v="Travel"/>
    <n v="163.66999999999999"/>
    <s v="Corporate Amex"/>
    <m/>
    <s v="N"/>
    <s v="Travel"/>
    <s v="MATCH"/>
    <x v="0"/>
  </r>
  <r>
    <s v="EXP102031"/>
    <s v="E083"/>
    <s v="AX692620141"/>
    <d v="2026-04-13T00:00:00"/>
    <d v="2026-04-20T00:00:00"/>
    <s v="LYFT RIDE THU"/>
    <s v="4121"/>
    <s v="Transportation"/>
    <n v="22.6"/>
    <s v="Corporate Amex"/>
    <m/>
    <s v="Y"/>
    <s v="Transportation"/>
    <s v="MATCH"/>
    <x v="2"/>
  </r>
  <r>
    <s v="EXP102032"/>
    <s v="E037"/>
    <s v="AX813066035"/>
    <d v="2026-04-13T00:00:00"/>
    <d v="2026-04-20T00:00:00"/>
    <s v="AMC THEATRES 0021"/>
    <s v="7832"/>
    <s v="Entertainment"/>
    <n v="46.49"/>
    <s v="Corporate Amex"/>
    <m/>
    <s v="Y"/>
    <s v="Entertainment"/>
    <s v="MATCH"/>
    <x v="0"/>
  </r>
  <r>
    <s v="EXP102033"/>
    <s v="E256"/>
    <m/>
    <d v="2026-04-10T00:00:00"/>
    <d v="2026-04-20T00:00:00"/>
    <s v="OLIVE GARDEN 00456"/>
    <s v="5812"/>
    <s v="Meals"/>
    <n v="46.93"/>
    <s v="Corporate Amex"/>
    <m/>
    <s v="Y"/>
    <s v="Meals"/>
    <s v="MATCH"/>
    <x v="8"/>
  </r>
  <r>
    <s v="EXP102034"/>
    <s v="E144"/>
    <s v="AX607015821"/>
    <d v="2026-04-15T00:00:00"/>
    <d v="2026-04-20T00:00:00"/>
    <s v="HYATT REGENCY BOS"/>
    <s v="7011"/>
    <s v="Lodging"/>
    <n v="316.58"/>
    <s v="Corporate Amex"/>
    <m/>
    <s v="Y"/>
    <s v="Lodging"/>
    <s v="MATCH"/>
    <x v="7"/>
  </r>
  <r>
    <s v="EXP102035"/>
    <s v="E263"/>
    <s v="AX-190138535"/>
    <d v="2026-04-12T00:00:00"/>
    <d v="2026-04-20T00:00:00"/>
    <s v="STARBUCKS #4471"/>
    <s v="5812"/>
    <s v="Meals"/>
    <n v="13.11"/>
    <s v="Corporate Amex"/>
    <m/>
    <s v="Y"/>
    <s v="Meals"/>
    <s v="MATCH"/>
    <x v="3"/>
  </r>
  <r>
    <s v="EXP102036"/>
    <s v="E121"/>
    <s v="AX489708503"/>
    <d v="2026-04-14T00:00:00"/>
    <d v="2026-04-20T00:00:00"/>
    <s v="HILTON GARDEN INN 2231"/>
    <s v="7011"/>
    <s v="Lodging"/>
    <n v="353.96"/>
    <s v="Corporate Amex"/>
    <m/>
    <s v="Y"/>
    <s v="Lodging"/>
    <s v="MATCH"/>
    <x v="7"/>
  </r>
  <r>
    <s v="EXP102037"/>
    <s v="E155"/>
    <s v="AX 451409951"/>
    <d v="2026-04-11T00:00:00"/>
    <d v="2026-04-20T00:00:00"/>
    <s v="ZOOM.US"/>
    <s v="5734"/>
    <s v="Software"/>
    <n v="19.72"/>
    <s v="Corporate Amex"/>
    <m/>
    <s v="Y"/>
    <s v="Software"/>
    <s v="MATCH"/>
    <x v="6"/>
  </r>
  <r>
    <s v="EXP102038"/>
    <s v="E019"/>
    <s v="ax254982124"/>
    <d v="2026-04-17T00:00:00"/>
    <d v="2026-04-20T00:00:00"/>
    <s v="SOUTHWEST AIR 5261823"/>
    <s v="4511"/>
    <s v="Travel"/>
    <n v="176.1"/>
    <s v="Corporate Amex"/>
    <m/>
    <s v="Y"/>
    <s v="Travel"/>
    <s v="MATCH"/>
    <x v="0"/>
  </r>
  <r>
    <s v="EXP102039"/>
    <s v="E001"/>
    <m/>
    <d v="2026-04-10T00:00:00"/>
    <d v="2026-04-20T00:00:00"/>
    <s v="YELLOW CAB CO"/>
    <s v="4121"/>
    <s v="Transportation"/>
    <n v="43.71"/>
    <s v="Corporate Amex"/>
    <m/>
    <s v="Y"/>
    <s v="Transportation"/>
    <s v="MATCH"/>
    <x v="0"/>
  </r>
  <r>
    <s v="EXP102040"/>
    <s v="E269"/>
    <s v="AX-847236450"/>
    <d v="2026-04-21T00:00:00"/>
    <d v="2026-04-21T00:00:00"/>
    <s v="ZOOM.US"/>
    <s v="5734"/>
    <s v="Software"/>
    <n v="55.57"/>
    <s v="Corporate Amex"/>
    <m/>
    <s v="Y"/>
    <s v="Software"/>
    <s v="MATCH"/>
    <x v="3"/>
  </r>
  <r>
    <s v="EXP102041"/>
    <s v="E076"/>
    <s v="ax737239835"/>
    <d v="2026-04-16T00:00:00"/>
    <d v="2026-04-21T00:00:00"/>
    <s v="AMAZON MKTPLACE PMTS"/>
    <s v="5942"/>
    <s v="Office Supplies"/>
    <n v="427.84"/>
    <s v="Corporate Amex"/>
    <m/>
    <s v="N"/>
    <s v="Office Supplies"/>
    <s v="MATCH"/>
    <x v="2"/>
  </r>
  <r>
    <s v="EXP102042"/>
    <s v="E098"/>
    <s v="AX-192524968"/>
    <d v="2026-04-16T00:00:00"/>
    <d v="2026-04-21T00:00:00"/>
    <s v="TOPGOLF #442"/>
    <s v="7997"/>
    <s v="Entertainment"/>
    <n v="75.62"/>
    <s v="Corporate Amex"/>
    <m/>
    <s v="N"/>
    <s v="Entertainment"/>
    <s v="MATCH"/>
    <x v="2"/>
  </r>
  <r>
    <s v="EXP102043"/>
    <s v="E075"/>
    <s v="AX 490290440"/>
    <d v="2026-04-19T00:00:00"/>
    <d v="2026-04-21T00:00:00"/>
    <s v="AMAZON MKTPLACE PMTS"/>
    <s v="5942"/>
    <s v="Office Supplies"/>
    <n v="259.83"/>
    <s v="Corporate Amex"/>
    <m/>
    <s v="Y"/>
    <s v="Office Supplies"/>
    <s v="MATCH"/>
    <x v="2"/>
  </r>
  <r>
    <s v="EXP102044"/>
    <s v="E007"/>
    <s v="AX230058836"/>
    <d v="2026-04-16T00:00:00"/>
    <d v="2026-04-21T00:00:00"/>
    <s v="MARRIOTT #4471"/>
    <s v="7011"/>
    <s v="Events"/>
    <n v="345.99"/>
    <s v="Corporate Amex"/>
    <m/>
    <s v="Y"/>
    <s v="Lodging"/>
    <s v="MISMATCH"/>
    <x v="0"/>
  </r>
  <r>
    <s v="EXP102045"/>
    <s v="E007"/>
    <s v="ax313876842"/>
    <d v="2026-04-15T00:00:00"/>
    <d v="2026-04-21T00:00:00"/>
    <s v="STAPLES #0231"/>
    <s v="5943"/>
    <s v="Office Supplies"/>
    <n v="106.86"/>
    <s v="Corporate Amex"/>
    <m/>
    <s v="Y"/>
    <s v="Office Supplies"/>
    <s v="MATCH"/>
    <x v="0"/>
  </r>
  <r>
    <s v="EXP102046"/>
    <s v="E265"/>
    <s v="AX803064885"/>
    <d v="2026-04-19T00:00:00"/>
    <d v="2026-04-21T00:00:00"/>
    <s v="HYATT REGENCY BOS"/>
    <s v="7011"/>
    <m/>
    <n v="220.39"/>
    <s v="Corporate Amex"/>
    <m/>
    <s v="Y"/>
    <s v="Lodging"/>
    <s v="BLANK"/>
    <x v="3"/>
  </r>
  <r>
    <s v="EXP102047"/>
    <s v="E065"/>
    <m/>
    <d v="2026-04-17T00:00:00"/>
    <d v="2026-04-21T00:00:00"/>
    <s v="HILTON GARDEN INN 2231"/>
    <s v="7011"/>
    <s v="Lodging"/>
    <n v="293.70999999999998"/>
    <s v="Corporate Amex"/>
    <m/>
    <s v="Y"/>
    <s v="Lodging"/>
    <s v="MATCH"/>
    <x v="0"/>
  </r>
  <r>
    <s v="EXP102048"/>
    <s v="E188"/>
    <s v="AX-680810991"/>
    <d v="2026-04-14T00:00:00"/>
    <d v="2026-04-21T00:00:00"/>
    <s v="YELLOW CAB CO"/>
    <s v="4121"/>
    <s v="Transportation"/>
    <n v="42.7"/>
    <s v="Corporate Amex"/>
    <m/>
    <s v="Y"/>
    <s v="Transportation"/>
    <s v="MATCH"/>
    <x v="5"/>
  </r>
  <r>
    <s v="EXP102049"/>
    <s v="E059"/>
    <s v="AX-450086725"/>
    <d v="2026-04-18T00:00:00"/>
    <d v="2026-04-21T00:00:00"/>
    <s v="PANERA BREAD #0231"/>
    <s v="5812"/>
    <m/>
    <n v="13.37"/>
    <s v="Corporate Amex"/>
    <m/>
    <s v="Y"/>
    <s v="Meals"/>
    <s v="BLANK"/>
    <x v="0"/>
  </r>
  <r>
    <s v="EXP102050"/>
    <s v="E044"/>
    <s v="AX489994407"/>
    <d v="2026-04-14T00:00:00"/>
    <d v="2026-04-21T00:00:00"/>
    <s v="STARBUCKS #4471"/>
    <s v="5812"/>
    <s v="Meals"/>
    <n v="11.05"/>
    <s v="Corporate Amex"/>
    <m/>
    <s v="Y"/>
    <s v="Meals"/>
    <s v="MATCH"/>
    <x v="0"/>
  </r>
  <r>
    <s v="EXP102051"/>
    <s v="E044"/>
    <s v="ax595833399"/>
    <d v="2026-04-11T00:00:00"/>
    <d v="2026-04-21T00:00:00"/>
    <s v="DELTA AIR 00623891045"/>
    <s v="4511"/>
    <s v="Travel"/>
    <n v="460.71"/>
    <s v="Corporate Amex"/>
    <m/>
    <s v="Y"/>
    <s v="Travel"/>
    <s v="MATCH"/>
    <x v="0"/>
  </r>
  <r>
    <s v="EXP102052"/>
    <s v="E023"/>
    <s v="AX611146404"/>
    <d v="2026-04-12T00:00:00"/>
    <d v="2026-04-21T00:00:00"/>
    <s v="ADOBE *CREATIVE CLOUD"/>
    <s v="5734"/>
    <s v="Software"/>
    <n v="68.67"/>
    <s v="Corporate Amex"/>
    <m/>
    <s v="Y"/>
    <s v="Software"/>
    <s v="MATCH"/>
    <x v="0"/>
  </r>
  <r>
    <s v="EXP102053"/>
    <s v="E095"/>
    <s v="AX558152821"/>
    <d v="2026-04-20T00:00:00"/>
    <d v="2026-04-21T00:00:00"/>
    <s v=" STARBUCKS #4471"/>
    <s v="5812"/>
    <s v="Meals"/>
    <n v="5.87"/>
    <s v="Corporate Amex"/>
    <m/>
    <s v="Y"/>
    <s v="Meals"/>
    <s v="MATCH"/>
    <x v="2"/>
  </r>
  <r>
    <s v="EXP102054"/>
    <s v="E063"/>
    <m/>
    <d v="2026-04-12T00:00:00"/>
    <d v="2026-04-21T00:00:00"/>
    <s v="AMC THEATRES 0021"/>
    <s v="7832"/>
    <s v="Entertainment"/>
    <n v="44.14"/>
    <s v="Corporate Amex"/>
    <m/>
    <s v="Y"/>
    <s v="Entertainment"/>
    <s v="MATCH"/>
    <x v="0"/>
  </r>
  <r>
    <s v="EXP102055"/>
    <s v="E022"/>
    <m/>
    <d v="2026-04-20T00:00:00"/>
    <d v="2026-04-21T00:00:00"/>
    <s v="CHIPOTLE 2214"/>
    <s v="5812"/>
    <s v="Meals"/>
    <n v="21.08"/>
    <s v="Personal (Reimbursement)"/>
    <s v="Card not yet issued"/>
    <s v="Y"/>
    <s v="Meals"/>
    <s v="MATCH"/>
    <x v="0"/>
  </r>
  <r>
    <s v="EXP102056"/>
    <s v="E022"/>
    <m/>
    <d v="2026-04-13T00:00:00"/>
    <d v="2026-04-21T00:00:00"/>
    <s v="UBER TRIP HELP.UBER"/>
    <s v="4121"/>
    <s v="Transportation"/>
    <n v="63.46"/>
    <s v="Personal (Reimbursement)"/>
    <s v="Card not yet issued"/>
    <s v="Y"/>
    <s v="Transportation"/>
    <s v="MATCH"/>
    <x v="0"/>
  </r>
  <r>
    <s v="EXP102057"/>
    <s v="E109"/>
    <s v="AX409648411"/>
    <d v="2026-04-12T00:00:00"/>
    <d v="2026-04-21T00:00:00"/>
    <s v="DELTA AIR 00623891045"/>
    <s v="4511"/>
    <m/>
    <n v="202.44"/>
    <s v="Corporate Amex"/>
    <m/>
    <s v="Y"/>
    <s v="Travel"/>
    <s v="BLANK"/>
    <x v="2"/>
  </r>
  <r>
    <s v="EXP102058"/>
    <s v="E049"/>
    <s v="ax374383014"/>
    <d v="2026-04-15T00:00:00"/>
    <d v="2026-04-21T00:00:00"/>
    <s v="MARRIOTT #4471"/>
    <s v="7011"/>
    <s v="Travel"/>
    <n v="226.6"/>
    <s v="Corporate Amex"/>
    <m/>
    <s v="Y"/>
    <s v="Lodging"/>
    <s v="MISMATCH"/>
    <x v="0"/>
  </r>
  <r>
    <s v="EXP102059"/>
    <s v="E040"/>
    <s v="AX-539244971"/>
    <d v="2026-04-20T00:00:00"/>
    <d v="2026-04-21T00:00:00"/>
    <s v="EVENTBRITE"/>
    <s v="7999"/>
    <s v="Events"/>
    <n v="127.79"/>
    <s v="Corporate Amex"/>
    <m/>
    <s v="Y"/>
    <s v="Events"/>
    <s v="MATCH"/>
    <x v="0"/>
  </r>
  <r>
    <s v="EXP102060"/>
    <s v="E137"/>
    <m/>
    <d v="2026-04-21T00:00:00"/>
    <d v="2026-04-21T00:00:00"/>
    <s v="MARRIOTT #4471"/>
    <s v="7011"/>
    <s v="Lodging"/>
    <n v="239.63"/>
    <s v="Personal (Reimbursement)"/>
    <s v="International merchant - Amex not accepted"/>
    <s v="Y"/>
    <s v="Lodging"/>
    <s v="MATCH"/>
    <x v="7"/>
  </r>
  <r>
    <s v="EXP102061"/>
    <s v="E048"/>
    <s v="ax190233047"/>
    <d v="2026-04-13T00:00:00"/>
    <d v="2026-04-22T00:00:00"/>
    <s v="SQ *THE CORNER BISTRO"/>
    <s v="5812"/>
    <s v="Meals"/>
    <n v="20.100000000000001"/>
    <s v="Corporate Amex"/>
    <m/>
    <s v="Y"/>
    <s v="Meals"/>
    <s v="MATCH"/>
    <x v="0"/>
  </r>
  <r>
    <s v="EXP102062"/>
    <s v="E065"/>
    <s v="AX981201858"/>
    <d v="2026-04-19T00:00:00"/>
    <d v="2026-04-22T00:00:00"/>
    <s v="SQ *THE CORNER BISTRO"/>
    <s v="5812"/>
    <s v="Meals"/>
    <n v="35.4"/>
    <s v="Corporate Amex"/>
    <m/>
    <s v="Y"/>
    <s v="Meals"/>
    <s v="MATCH"/>
    <x v="0"/>
  </r>
  <r>
    <s v="EXP102063"/>
    <s v="E134"/>
    <s v="AX-733263339"/>
    <d v="2026-04-12T00:00:00"/>
    <d v="2026-04-22T00:00:00"/>
    <s v="TOPGOLF #442"/>
    <s v="7997"/>
    <s v="Entertainment"/>
    <n v="70.66"/>
    <s v="Corporate Amex"/>
    <m/>
    <s v="Y"/>
    <s v="Entertainment"/>
    <s v="MATCH"/>
    <x v="7"/>
  </r>
  <r>
    <s v="EXP102064"/>
    <s v="E135"/>
    <s v="AX286749203"/>
    <d v="2026-04-16T00:00:00"/>
    <d v="2026-04-22T00:00:00"/>
    <s v="CHIPOTLE 2214"/>
    <s v="5812"/>
    <s v="Meals"/>
    <n v="11.09"/>
    <s v="Corporate Amex"/>
    <m/>
    <s v="Y"/>
    <s v="Meals"/>
    <s v="MATCH"/>
    <x v="7"/>
  </r>
  <r>
    <s v="EXP102065"/>
    <s v="E004"/>
    <s v="ax731155656"/>
    <d v="2026-04-13T00:00:00"/>
    <d v="2026-04-22T00:00:00"/>
    <s v="AMC THEATRES 0021"/>
    <s v="7832"/>
    <s v="Entertainment"/>
    <n v="36.89"/>
    <s v="Corporate Amex"/>
    <m/>
    <s v="Y"/>
    <s v="Entertainment"/>
    <s v="MATCH"/>
    <x v="0"/>
  </r>
  <r>
    <s v="EXP102066"/>
    <s v="E032"/>
    <s v="AX572026894"/>
    <d v="2026-04-12T00:00:00"/>
    <d v="2026-04-22T00:00:00"/>
    <s v="SPROUT SOCIAL"/>
    <s v="5734"/>
    <s v="Software"/>
    <n v="117.47"/>
    <s v="Corporate Amex"/>
    <m/>
    <s v="N"/>
    <s v="Software"/>
    <s v="MATCH"/>
    <x v="0"/>
  </r>
  <r>
    <s v="EXP102067"/>
    <s v="E123"/>
    <s v="AX204449163"/>
    <d v="2026-04-20T00:00:00"/>
    <d v="2026-04-22T00:00:00"/>
    <s v="HILTON GARDEN INN 2231"/>
    <s v="7011"/>
    <s v="Lodging"/>
    <n v="135.36000000000001"/>
    <s v="Corporate Amex"/>
    <m/>
    <s v="Y"/>
    <s v="Lodging"/>
    <s v="MATCH"/>
    <x v="7"/>
  </r>
  <r>
    <s v="EXP102068"/>
    <s v="E007"/>
    <s v="AX-215973011"/>
    <d v="2026-04-20T00:00:00"/>
    <d v="2026-04-22T00:00:00"/>
    <s v="UBER TRIP HELP.UBER"/>
    <s v="4121"/>
    <s v="Transportation"/>
    <n v="49.35"/>
    <s v="Corporate Amex"/>
    <m/>
    <s v="Y"/>
    <s v="Transportation"/>
    <s v="MATCH"/>
    <x v="0"/>
  </r>
  <r>
    <s v="EXP102069"/>
    <s v="E023"/>
    <s v="AX 548237172"/>
    <d v="2026-04-18T00:00:00"/>
    <d v="2026-04-23T00:00:00"/>
    <s v="PANERA BREAD #0231"/>
    <s v="5812"/>
    <m/>
    <n v="14.8"/>
    <s v="Corporate Amex"/>
    <m/>
    <s v="N"/>
    <s v="Meals"/>
    <s v="BLANK"/>
    <x v="0"/>
  </r>
  <r>
    <s v="EXP102070"/>
    <s v="E057"/>
    <s v="ax764981667"/>
    <d v="2026-04-19T00:00:00"/>
    <d v="2026-04-23T00:00:00"/>
    <s v="CHIPOTLE 2214"/>
    <s v="5812"/>
    <s v="Meals"/>
    <n v="14.1"/>
    <s v="Corporate Amex"/>
    <m/>
    <s v="N"/>
    <s v="Meals"/>
    <s v="MATCH"/>
    <x v="0"/>
  </r>
  <r>
    <s v="EXP102071"/>
    <s v="E131"/>
    <m/>
    <d v="2026-04-14T00:00:00"/>
    <d v="2026-04-23T00:00:00"/>
    <s v="BRANDWATCH LTD"/>
    <s v="5734"/>
    <s v="Software"/>
    <n v="513.58000000000004"/>
    <s v="Corporate Amex"/>
    <m/>
    <s v="Y"/>
    <s v="Software"/>
    <s v="MATCH"/>
    <x v="7"/>
  </r>
  <r>
    <s v="EXP102072"/>
    <s v="E143"/>
    <m/>
    <d v="2026-04-17T00:00:00"/>
    <d v="2026-04-23T00:00:00"/>
    <s v="AMAZON MKTPLACE PMTS"/>
    <s v="5942"/>
    <s v="Travel"/>
    <n v="116.83"/>
    <s v="Corporate Amex"/>
    <m/>
    <s v="Y"/>
    <s v="Office Supplies"/>
    <s v="MISMATCH"/>
    <x v="7"/>
  </r>
  <r>
    <s v="EXP102073"/>
    <s v="E214"/>
    <s v="AX 209253603"/>
    <d v="2026-04-14T00:00:00"/>
    <d v="2026-04-23T00:00:00"/>
    <s v="ADOBE *CREATIVE CLOUD"/>
    <s v="5734"/>
    <m/>
    <n v="44.39"/>
    <s v="Corporate Amex"/>
    <m/>
    <s v="Y"/>
    <s v="Software"/>
    <s v="BLANK"/>
    <x v="4"/>
  </r>
  <r>
    <s v="EXP102074"/>
    <s v="E251"/>
    <s v="AX-613584351"/>
    <d v="2026-04-16T00:00:00"/>
    <d v="2026-04-23T00:00:00"/>
    <s v="HYATT REGENCY BOS"/>
    <s v="7011"/>
    <m/>
    <n v="344.25"/>
    <s v="Corporate Amex"/>
    <m/>
    <s v="N"/>
    <s v="Lodging"/>
    <s v="BLANK"/>
    <x v="1"/>
  </r>
  <r>
    <s v="EXP102075"/>
    <s v="E041"/>
    <m/>
    <d v="2026-04-16T00:00:00"/>
    <d v="2026-04-23T00:00:00"/>
    <s v="CHIPOTLE 2214"/>
    <s v="5812"/>
    <s v="Meals"/>
    <n v="21.47"/>
    <s v="Corporate Amex"/>
    <m/>
    <s v="Y"/>
    <s v="Meals"/>
    <s v="MATCH"/>
    <x v="0"/>
  </r>
  <r>
    <s v="EXP102076"/>
    <s v="E176"/>
    <s v="ax275640858"/>
    <d v="2026-04-15T00:00:00"/>
    <d v="2026-04-23T00:00:00"/>
    <s v="OLIVE GARDEN 00456"/>
    <s v="5812"/>
    <s v="Meals"/>
    <n v="115.53"/>
    <s v="Corporate Amex"/>
    <m/>
    <s v="Y"/>
    <s v="Meals"/>
    <s v="MATCH"/>
    <x v="6"/>
  </r>
  <r>
    <s v="EXP102077"/>
    <s v="E207"/>
    <s v="AX869614810"/>
    <d v="2026-04-18T00:00:00"/>
    <d v="2026-04-23T00:00:00"/>
    <s v="TOPGOLF #442"/>
    <s v="7997"/>
    <s v="Entertainment"/>
    <n v="88.61"/>
    <s v="Corporate Amex"/>
    <m/>
    <s v="Y"/>
    <s v="Entertainment"/>
    <s v="MATCH"/>
    <x v="5"/>
  </r>
  <r>
    <s v="EXP102078"/>
    <s v="E062"/>
    <s v="AX 711583970"/>
    <d v="2026-04-15T00:00:00"/>
    <d v="2026-04-23T00:00:00"/>
    <s v="HYATT REGENCY BOS"/>
    <s v="7011"/>
    <s v="Lodging"/>
    <n v="429.54"/>
    <s v="Corporate Amex"/>
    <m/>
    <s v="Y"/>
    <s v="Lodging"/>
    <s v="MATCH"/>
    <x v="0"/>
  </r>
  <r>
    <s v="EXP102079"/>
    <s v="E259"/>
    <m/>
    <d v="2026-04-20T00:00:00"/>
    <d v="2026-04-23T00:00:00"/>
    <s v="CHIPOTLE 2214"/>
    <s v="5812"/>
    <s v="Meals"/>
    <n v="10.220000000000001"/>
    <s v="Personal (Reimbursement)"/>
    <s v="Amex declined - vendor doesn't accept Amex"/>
    <s v="Y"/>
    <s v="Meals"/>
    <s v="MATCH"/>
    <x v="8"/>
  </r>
  <r>
    <s v="EXP102080"/>
    <s v="E148"/>
    <s v="AX 147171907"/>
    <d v="2026-04-22T00:00:00"/>
    <d v="2026-04-23T00:00:00"/>
    <s v="HOOTSUITE INC"/>
    <s v="5734"/>
    <s v="Software"/>
    <n v="50.53"/>
    <s v="Corporate Amex"/>
    <m/>
    <s v="Y"/>
    <s v="Software"/>
    <s v="MATCH"/>
    <x v="7"/>
  </r>
  <r>
    <s v="EXP102081"/>
    <s v="E117"/>
    <s v="ax988490652"/>
    <d v="2026-04-16T00:00:00"/>
    <d v="2026-04-23T00:00:00"/>
    <s v="TOPGOLF #442"/>
    <s v="7997"/>
    <s v="Entertainment"/>
    <n v="200.66"/>
    <s v="Corporate Amex"/>
    <m/>
    <s v="Y"/>
    <s v="Entertainment"/>
    <s v="MATCH"/>
    <x v="7"/>
  </r>
  <r>
    <s v="EXP102082"/>
    <s v="E063"/>
    <s v="AX875953155"/>
    <d v="2026-04-21T00:00:00"/>
    <d v="2026-04-23T00:00:00"/>
    <s v="TOPGOLF #442"/>
    <s v="7997"/>
    <s v="Entertainment"/>
    <n v="210.57"/>
    <s v="Corporate Amex"/>
    <m/>
    <s v="Y"/>
    <s v="Entertainment"/>
    <s v="MATCH"/>
    <x v="0"/>
  </r>
  <r>
    <s v="EXP102083"/>
    <s v="E191"/>
    <s v="ax112176666"/>
    <d v="2026-04-22T00:00:00"/>
    <d v="2026-04-23T00:00:00"/>
    <s v="PANERA BREAD #0231"/>
    <s v="5812"/>
    <s v="Meals"/>
    <n v="24.71"/>
    <s v="Corporate Amex"/>
    <m/>
    <s v="Y"/>
    <s v="Meals"/>
    <s v="MATCH"/>
    <x v="5"/>
  </r>
  <r>
    <s v="EXP102084"/>
    <s v="E014"/>
    <s v="AX969157031"/>
    <d v="2026-04-18T00:00:00"/>
    <d v="2026-04-23T00:00:00"/>
    <s v=" ADOBE *CREATIVE CLOUD"/>
    <s v="5734"/>
    <s v="  Software "/>
    <n v="53.41"/>
    <s v="Corporate Amex"/>
    <m/>
    <s v="Y"/>
    <s v="Software"/>
    <s v="MATCH"/>
    <x v="0"/>
  </r>
  <r>
    <s v="EXP102085"/>
    <s v="E174"/>
    <s v="AX494158138"/>
    <d v="2026-04-20T00:00:00"/>
    <d v="2026-04-23T00:00:00"/>
    <s v="STAPLES #0231"/>
    <s v="5943"/>
    <s v="Office Supplies"/>
    <n v="96.74"/>
    <s v="Corporate Amex"/>
    <m/>
    <s v="N"/>
    <s v="Office Supplies"/>
    <s v="MATCH"/>
    <x v="6"/>
  </r>
  <r>
    <s v="EXP102086"/>
    <s v="E213"/>
    <m/>
    <d v="2026-04-14T00:00:00"/>
    <d v="2026-04-23T00:00:00"/>
    <s v="MICROSOFT*365"/>
    <s v="5734"/>
    <s v="Software"/>
    <n v="61.75"/>
    <s v="Corporate Amex"/>
    <m/>
    <s v="Y"/>
    <s v="Software"/>
    <s v="MATCH"/>
    <x v="4"/>
  </r>
  <r>
    <s v="EXP102087"/>
    <s v="E146"/>
    <s v="AX546168119"/>
    <d v="2026-04-15T00:00:00"/>
    <d v="2026-04-23T00:00:00"/>
    <s v="SQ *THE CORNER BISTRO"/>
    <s v="5812"/>
    <m/>
    <n v="76.53"/>
    <s v="Corporate Amex"/>
    <m/>
    <s v="Y"/>
    <s v="Meals"/>
    <s v="BLANK"/>
    <x v="7"/>
  </r>
  <r>
    <s v="EXP102088"/>
    <s v="E114"/>
    <s v="AX684643349"/>
    <d v="2026-04-20T00:00:00"/>
    <d v="2026-04-24T00:00:00"/>
    <s v="EVENTBRITE"/>
    <s v="7999"/>
    <s v="Events"/>
    <n v="251.79"/>
    <s v="Corporate Amex"/>
    <m/>
    <s v="Y"/>
    <s v="Events"/>
    <s v="MATCH"/>
    <x v="2"/>
  </r>
  <r>
    <s v="EXP102089"/>
    <s v="E254"/>
    <s v="AX278066276"/>
    <d v="2026-04-15T00:00:00"/>
    <d v="2026-04-24T00:00:00"/>
    <s v="TOTAL PARTY RENTAL"/>
    <s v="7999"/>
    <s v="Events"/>
    <n v="104.52"/>
    <s v="Corporate Amex"/>
    <m/>
    <s v="Y"/>
    <s v="Events"/>
    <s v="MATCH"/>
    <x v="8"/>
  </r>
  <r>
    <s v="EXP102090"/>
    <s v="E072"/>
    <s v="AX802979072"/>
    <d v="2026-04-24T00:00:00"/>
    <d v="2026-04-24T00:00:00"/>
    <s v="UNITED AIRLINES 0162233"/>
    <s v="4511"/>
    <s v="Other"/>
    <n v="203.42"/>
    <s v="Corporate Amex"/>
    <m/>
    <s v="N"/>
    <s v="Travel"/>
    <s v="MISMATCH"/>
    <x v="2"/>
  </r>
  <r>
    <s v="EXP102091"/>
    <s v="E079"/>
    <s v="AX-695077988"/>
    <d v="2026-04-23T00:00:00"/>
    <d v="2026-04-24T00:00:00"/>
    <s v="EVENTBRITE"/>
    <s v="7999"/>
    <s v="Events"/>
    <n v="16.149999999999999"/>
    <s v="Corporate Amex"/>
    <m/>
    <s v="Y"/>
    <s v="Events"/>
    <s v="MATCH"/>
    <x v="2"/>
  </r>
  <r>
    <s v="EXP102092"/>
    <s v="E133"/>
    <s v="AX375215523"/>
    <d v="2026-04-17T00:00:00"/>
    <d v="2026-04-24T00:00:00"/>
    <s v="BRANDWATCH LTD"/>
    <s v="5734"/>
    <s v="Software"/>
    <n v="570.47"/>
    <s v="Corporate Amex"/>
    <m/>
    <s v="Y"/>
    <s v="Software"/>
    <s v="MATCH"/>
    <x v="7"/>
  </r>
  <r>
    <s v="EXP102093"/>
    <s v="E023"/>
    <s v="AX 328448420"/>
    <d v="2026-04-20T00:00:00"/>
    <d v="2026-04-24T00:00:00"/>
    <s v="STARBUCKS #4471"/>
    <s v="5812"/>
    <s v="Meals"/>
    <n v="9.0500000000000007"/>
    <s v="Corporate Amex"/>
    <m/>
    <s v="Y"/>
    <s v="Meals"/>
    <s v="MATCH"/>
    <x v="0"/>
  </r>
  <r>
    <s v="EXP102094"/>
    <s v="E042"/>
    <s v="AX636089832"/>
    <d v="2026-04-18T00:00:00"/>
    <d v="2026-04-24T00:00:00"/>
    <s v="AMC THEATRES 0021"/>
    <s v="7832"/>
    <s v="Entertainment"/>
    <n v="33.42"/>
    <s v="Corporate Amex"/>
    <m/>
    <s v="Y"/>
    <s v="Entertainment"/>
    <s v="MATCH"/>
    <x v="0"/>
  </r>
  <r>
    <s v="EXP102095"/>
    <s v="E041"/>
    <s v="AX845669678"/>
    <d v="2026-04-20T00:00:00"/>
    <d v="2026-04-24T00:00:00"/>
    <s v="YELLOW CAB CO"/>
    <s v="4121"/>
    <s v="Transportation"/>
    <n v="24.36"/>
    <s v="Corporate Amex"/>
    <m/>
    <s v="Y"/>
    <s v="Transportation"/>
    <s v="MATCH"/>
    <x v="0"/>
  </r>
  <r>
    <s v="EXP102096"/>
    <s v="E091"/>
    <s v="AX336495190"/>
    <d v="2026-04-19T00:00:00"/>
    <d v="2026-04-24T00:00:00"/>
    <s v="SQ *JOES COFFEE"/>
    <s v="5812"/>
    <s v="Other"/>
    <n v="17.29"/>
    <s v="Corporate Amex"/>
    <m/>
    <s v="Y"/>
    <s v="Meals"/>
    <s v="MISMATCH"/>
    <x v="2"/>
  </r>
  <r>
    <s v="EXP102097"/>
    <s v="E246"/>
    <m/>
    <d v="2026-04-21T00:00:00"/>
    <d v="2026-04-24T00:00:00"/>
    <s v="SQ *JOES COFFEE"/>
    <s v="5812"/>
    <m/>
    <n v="19.07"/>
    <s v="Personal (Reimbursement)"/>
    <s v="Amex declined - vendor doesn't accept Amex"/>
    <s v="Y"/>
    <s v="Meals"/>
    <s v="BLANK"/>
    <x v="1"/>
  </r>
  <r>
    <s v="EXP102098"/>
    <s v="E105"/>
    <m/>
    <d v="2026-04-18T00:00:00"/>
    <d v="2026-04-24T00:00:00"/>
    <s v="SOUTHWEST AIR 5261823"/>
    <s v="4511"/>
    <s v="Travel"/>
    <n v="317.13"/>
    <s v="Corporate Amex"/>
    <m/>
    <s v="Y"/>
    <s v="Travel"/>
    <s v="MATCH"/>
    <x v="2"/>
  </r>
  <r>
    <s v="EXP102099"/>
    <s v="E128"/>
    <s v="AX-246789552"/>
    <d v="2026-04-15T00:00:00"/>
    <d v="2026-04-25T00:00:00"/>
    <s v="UNITED AIRLINES 0162233"/>
    <s v="4511"/>
    <s v="Travel"/>
    <n v="474.11"/>
    <s v="Corporate Amex"/>
    <m/>
    <s v="Y"/>
    <s v="Travel"/>
    <s v="MATCH"/>
    <x v="7"/>
  </r>
  <r>
    <s v="EXP102100"/>
    <s v="E174"/>
    <s v="AX695605003"/>
    <d v="2026-04-23T00:00:00"/>
    <d v="2026-04-25T00:00:00"/>
    <s v="AMC THEATRES 0021"/>
    <s v="7832"/>
    <s v="Entertainment"/>
    <n v="56.6"/>
    <s v="Corporate Amex"/>
    <m/>
    <s v="Y"/>
    <s v="Entertainment"/>
    <s v="MATCH"/>
    <x v="6"/>
  </r>
  <r>
    <s v="EXP102101"/>
    <s v="E080"/>
    <s v="AX-929330768"/>
    <d v="2026-04-25T00:00:00"/>
    <d v="2026-04-25T00:00:00"/>
    <s v="DELTA AIR 00623891045"/>
    <s v="4511"/>
    <m/>
    <n v="399.06"/>
    <s v="Corporate Amex"/>
    <m/>
    <s v="Y"/>
    <s v="Travel"/>
    <s v="BLANK"/>
    <x v="2"/>
  </r>
  <r>
    <s v="EXP102102"/>
    <s v="E060"/>
    <s v="AX 983399255"/>
    <d v="2026-04-18T00:00:00"/>
    <d v="2026-04-25T00:00:00"/>
    <s v="STARBUCKS #4471"/>
    <s v="5812"/>
    <s v="Meals"/>
    <n v="11.54"/>
    <s v="Corporate Amex"/>
    <m/>
    <s v="Y"/>
    <s v="Meals"/>
    <s v="MATCH"/>
    <x v="0"/>
  </r>
  <r>
    <s v="EXP102103"/>
    <s v="E003"/>
    <s v="AX906056800"/>
    <d v="2026-04-23T00:00:00"/>
    <d v="2026-04-25T00:00:00"/>
    <s v="AMC THEATRES 0021"/>
    <s v="7832"/>
    <s v="Entertainment"/>
    <n v="58.84"/>
    <s v="Corporate Amex"/>
    <m/>
    <s v="Y"/>
    <s v="Entertainment"/>
    <s v="MATCH"/>
    <x v="0"/>
  </r>
  <r>
    <s v="EXP102104"/>
    <s v="E149"/>
    <s v="AX617909376"/>
    <d v="2026-04-15T00:00:00"/>
    <d v="2026-04-25T00:00:00"/>
    <s v="MICROSOFT*365"/>
    <s v="5734"/>
    <s v="Software"/>
    <n v="34.94"/>
    <s v="Corporate Amex"/>
    <m/>
    <s v="N"/>
    <s v="Software"/>
    <s v="MATCH"/>
    <x v="7"/>
  </r>
  <r>
    <s v="EXP102105"/>
    <s v="E032"/>
    <s v="AX-731430585"/>
    <d v="2026-04-22T00:00:00"/>
    <d v="2026-04-25T00:00:00"/>
    <s v="MICROSOFT*365"/>
    <s v="5734"/>
    <s v="Software"/>
    <n v="68.22"/>
    <s v="Corporate Amex"/>
    <m/>
    <s v="Y"/>
    <s v="Software"/>
    <s v="MATCH"/>
    <x v="0"/>
  </r>
  <r>
    <s v="EXP102106"/>
    <s v="E105"/>
    <s v="AX654531021"/>
    <d v="2026-04-15T00:00:00"/>
    <d v="2026-04-25T00:00:00"/>
    <s v="ADOBE *CREATIVE CLOUD"/>
    <s v="5734"/>
    <s v="Software"/>
    <n v="56.68"/>
    <s v="Corporate Amex"/>
    <m/>
    <s v="Y"/>
    <s v="Software"/>
    <s v="MATCH"/>
    <x v="2"/>
  </r>
  <r>
    <s v="EXP102107"/>
    <s v="E122"/>
    <s v="AX-129196947"/>
    <d v="2026-04-23T00:00:00"/>
    <d v="2026-04-25T00:00:00"/>
    <s v="DELTA AIR 00623891045"/>
    <s v="4511"/>
    <s v="Travel"/>
    <n v="246.85"/>
    <s v="Corporate Amex"/>
    <m/>
    <s v="Y"/>
    <s v="Travel"/>
    <s v="MATCH"/>
    <x v="7"/>
  </r>
  <r>
    <s v="EXP102108"/>
    <s v="E155"/>
    <s v="ax946044187"/>
    <d v="2026-04-17T00:00:00"/>
    <d v="2026-04-25T00:00:00"/>
    <s v="MICROSOFT*365"/>
    <s v="5734"/>
    <s v="Software"/>
    <n v="50.69"/>
    <s v="Corporate Amex"/>
    <m/>
    <s v="Y"/>
    <s v="Software"/>
    <s v="MATCH"/>
    <x v="6"/>
  </r>
  <r>
    <s v="EXP102109"/>
    <s v="E254"/>
    <s v="AX 145626128"/>
    <d v="2026-04-16T00:00:00"/>
    <d v="2026-04-25T00:00:00"/>
    <s v="SOUTHWEST AIR 5261823"/>
    <s v="4511"/>
    <s v="Travel"/>
    <n v="155.44999999999999"/>
    <s v="Corporate Amex"/>
    <m/>
    <s v="Y"/>
    <s v="Travel"/>
    <s v="MATCH"/>
    <x v="8"/>
  </r>
  <r>
    <s v="EXP102110"/>
    <s v="E034"/>
    <s v="AX772851320"/>
    <d v="2026-04-15T00:00:00"/>
    <d v="2026-04-25T00:00:00"/>
    <s v="OLIVE GARDEN 00456"/>
    <s v="5812"/>
    <s v="Meals"/>
    <n v="103.66"/>
    <s v="Corporate Amex"/>
    <m/>
    <s v="N"/>
    <s v="Meals"/>
    <s v="MATCH"/>
    <x v="0"/>
  </r>
  <r>
    <s v="EXP102111"/>
    <s v="E058"/>
    <m/>
    <d v="2026-04-23T00:00:00"/>
    <d v="2026-04-25T00:00:00"/>
    <s v="UNITED AIRLINES 0162233"/>
    <s v="4511"/>
    <s v="Travel"/>
    <n v="633.15"/>
    <s v="Corporate Amex"/>
    <m/>
    <s v="N"/>
    <s v="Travel"/>
    <s v="MATCH"/>
    <x v="0"/>
  </r>
  <r>
    <s v="EXP102112"/>
    <s v="E005"/>
    <m/>
    <d v="2026-04-23T00:00:00"/>
    <d v="2026-04-25T00:00:00"/>
    <s v="HYATT REGENCY BOS"/>
    <s v="7011"/>
    <s v="Lodging"/>
    <n v="289.56"/>
    <s v="Personal (Reimbursement)"/>
    <s v="Amex declined - vendor doesn't accept Amex"/>
    <s v="Y"/>
    <s v="Lodging"/>
    <s v="MATCH"/>
    <x v="0"/>
  </r>
  <r>
    <s v="EXP102113"/>
    <s v="E045"/>
    <s v="AX-192196800"/>
    <d v="2026-04-24T00:00:00"/>
    <d v="2026-04-25T00:00:00"/>
    <s v="ADOBE *CREATIVE CLOUD"/>
    <s v="5734"/>
    <s v="Software"/>
    <n v="78.67"/>
    <s v="Corporate Amex"/>
    <m/>
    <s v="Y"/>
    <s v="Software"/>
    <s v="MATCH"/>
    <x v="0"/>
  </r>
  <r>
    <s v="EXP102114"/>
    <s v="E015"/>
    <s v="AX 124339625"/>
    <d v="2026-04-17T00:00:00"/>
    <d v="2026-04-25T00:00:00"/>
    <s v="PANERA BREAD #0231"/>
    <s v="5812"/>
    <s v="Meals"/>
    <n v="11"/>
    <s v="Corporate Amex"/>
    <m/>
    <s v="Y"/>
    <s v="Meals"/>
    <s v="MATCH"/>
    <x v="0"/>
  </r>
  <r>
    <s v="EXP102115"/>
    <s v="E036"/>
    <s v="AX607664112"/>
    <d v="2026-04-25T00:00:00"/>
    <d v="2026-04-25T00:00:00"/>
    <s v="PANERA BREAD #0231"/>
    <s v="5812"/>
    <s v="Meals"/>
    <n v="22.77"/>
    <s v="Corporate Amex"/>
    <m/>
    <s v="N"/>
    <s v="Meals"/>
    <s v="MATCH"/>
    <x v="0"/>
  </r>
  <r>
    <s v="EXP102116"/>
    <s v="E203"/>
    <s v="AX109723646"/>
    <d v="2026-04-23T00:00:00"/>
    <d v="2026-04-25T00:00:00"/>
    <s v="HOOTSUITE INC"/>
    <s v="5734"/>
    <s v="Software"/>
    <n v="50.98"/>
    <s v="Corporate Amex"/>
    <m/>
    <s v="Y"/>
    <s v="Software"/>
    <s v="MATCH"/>
    <x v="5"/>
  </r>
  <r>
    <s v="EXP102117"/>
    <s v="E016"/>
    <m/>
    <d v="2026-04-23T00:00:00"/>
    <d v="2026-04-25T00:00:00"/>
    <s v="UBER TRIP HELP.UBER"/>
    <s v="4121"/>
    <s v="Transportation"/>
    <n v="28.64"/>
    <s v="Personal (Reimbursement)"/>
    <s v="Card not yet issued"/>
    <s v="Y"/>
    <s v="Transportation"/>
    <s v="MATCH"/>
    <x v="0"/>
  </r>
  <r>
    <s v="EXP102118"/>
    <s v="E046"/>
    <m/>
    <d v="2026-04-21T00:00:00"/>
    <d v="2026-04-25T00:00:00"/>
    <s v="SQ *JOES COFFEE"/>
    <s v="5812"/>
    <s v="Meals"/>
    <n v="10.29"/>
    <s v="Corporate Amex"/>
    <m/>
    <s v="Y"/>
    <s v="Meals"/>
    <s v="MATCH"/>
    <x v="0"/>
  </r>
  <r>
    <s v="EXP102119"/>
    <s v="E260"/>
    <s v="ax927997071"/>
    <d v="2026-04-22T00:00:00"/>
    <d v="2026-04-25T00:00:00"/>
    <s v="MICROSOFT*365"/>
    <s v="5734"/>
    <m/>
    <n v="54.23"/>
    <s v="Corporate Amex"/>
    <m/>
    <s v="N"/>
    <s v="Software"/>
    <s v="BLANK"/>
    <x v="8"/>
  </r>
  <r>
    <s v="EXP102120"/>
    <s v="E022"/>
    <m/>
    <d v="2026-04-21T00:00:00"/>
    <d v="2026-04-25T00:00:00"/>
    <s v="CHIPOTLE 2214"/>
    <s v="5812"/>
    <s v="Meals"/>
    <n v="19.07"/>
    <s v="Personal (Reimbursement)"/>
    <s v="Card not yet issued"/>
    <s v="Y"/>
    <s v="Meals"/>
    <s v="MATCH"/>
    <x v="0"/>
  </r>
  <r>
    <s v="EXP102121"/>
    <s v="E022"/>
    <m/>
    <d v="2026-04-21T00:00:00"/>
    <d v="2026-04-25T00:00:00"/>
    <s v="YELLOW CAB CO"/>
    <s v="4121"/>
    <s v="Transportation"/>
    <n v="17.600000000000001"/>
    <s v="Personal (Reimbursement)"/>
    <s v="Card not yet issued"/>
    <s v="Y"/>
    <s v="Transportation"/>
    <s v="MATCH"/>
    <x v="0"/>
  </r>
  <r>
    <s v="EXP102122"/>
    <s v="E015"/>
    <m/>
    <d v="2026-04-25T00:00:00"/>
    <d v="2026-04-26T00:00:00"/>
    <s v="HILTON GARDEN INN 2231"/>
    <s v="7011"/>
    <s v="Lodging"/>
    <n v="130.27000000000001"/>
    <s v="Personal (Reimbursement)"/>
    <s v="Amex declined - vendor doesn't accept Amex"/>
    <s v="Y"/>
    <s v="Lodging"/>
    <s v="MATCH"/>
    <x v="0"/>
  </r>
  <r>
    <s v="EXP102123"/>
    <s v="E064"/>
    <s v="AX432385860"/>
    <d v="2026-04-18T00:00:00"/>
    <d v="2026-04-26T00:00:00"/>
    <s v="UBER TRIP HELP.UBER"/>
    <s v="4121"/>
    <s v="Transportation"/>
    <n v="59.66"/>
    <s v="Corporate Amex"/>
    <m/>
    <s v="Y"/>
    <s v="Transportation"/>
    <s v="MATCH"/>
    <x v="0"/>
  </r>
  <r>
    <s v="EXP102124"/>
    <s v="E057"/>
    <m/>
    <d v="2026-04-26T00:00:00"/>
    <d v="2026-04-26T00:00:00"/>
    <s v="MICROSOFT*365"/>
    <s v="5734"/>
    <s v="Software"/>
    <n v="50.15"/>
    <s v="Corporate Amex"/>
    <m/>
    <s v="Y"/>
    <s v="Software"/>
    <s v="MATCH"/>
    <x v="0"/>
  </r>
  <r>
    <s v="EXP102125"/>
    <s v="E136"/>
    <s v="AX467602837"/>
    <d v="2026-04-25T00:00:00"/>
    <d v="2026-04-26T00:00:00"/>
    <s v="UBER TRIP HELP.UBER"/>
    <s v="4121"/>
    <s v="Transportation"/>
    <n v="16.309999999999999"/>
    <s v="Corporate Amex"/>
    <m/>
    <s v="Y"/>
    <s v="Transportation"/>
    <s v="MATCH"/>
    <x v="7"/>
  </r>
  <r>
    <s v="EXP102126"/>
    <s v="E139"/>
    <s v="AX554373149"/>
    <d v="2026-04-16T00:00:00"/>
    <d v="2026-04-26T00:00:00"/>
    <s v="STARBUCKS #4471"/>
    <s v="5812"/>
    <s v="Meals"/>
    <n v="7.33"/>
    <s v="Corporate Amex"/>
    <m/>
    <s v="Y"/>
    <s v="Meals"/>
    <s v="MATCH"/>
    <x v="7"/>
  </r>
  <r>
    <s v="EXP102127"/>
    <s v="E159"/>
    <s v="ax305446443"/>
    <d v="2026-04-21T00:00:00"/>
    <d v="2026-04-26T00:00:00"/>
    <s v="PANERA BREAD #0231"/>
    <s v="5812"/>
    <s v="Meals"/>
    <n v="17.04"/>
    <s v="Corporate Amex"/>
    <m/>
    <s v="N"/>
    <s v="Meals"/>
    <s v="MATCH"/>
    <x v="6"/>
  </r>
  <r>
    <s v="EXP102128"/>
    <s v="E026"/>
    <s v="ax343616420"/>
    <d v="2026-04-22T00:00:00"/>
    <d v="2026-04-26T00:00:00"/>
    <s v="CHIPOTLE 2214"/>
    <s v="5812"/>
    <s v="Meals"/>
    <n v="20.99"/>
    <s v="Corporate Amex"/>
    <m/>
    <s v="N"/>
    <s v="Meals"/>
    <s v="MATCH"/>
    <x v="0"/>
  </r>
  <r>
    <s v="EXP102129"/>
    <s v="E054"/>
    <s v="AX982365038"/>
    <d v="2026-04-23T00:00:00"/>
    <d v="2026-04-26T00:00:00"/>
    <s v="SOUTHWEST AIR 5261823"/>
    <s v="4511"/>
    <s v="Travel"/>
    <n v="215.94"/>
    <s v="Corporate Amex"/>
    <m/>
    <s v="Y"/>
    <s v="Travel"/>
    <s v="MATCH"/>
    <x v="0"/>
  </r>
  <r>
    <s v="EXP102130"/>
    <s v="E059"/>
    <s v="AX631529728"/>
    <d v="2026-04-16T00:00:00"/>
    <d v="2026-04-26T00:00:00"/>
    <s v="DELTA AIR 00623891045"/>
    <s v="4511"/>
    <s v="Travel"/>
    <n v="422.54"/>
    <s v="Corporate Amex"/>
    <m/>
    <s v="Y"/>
    <s v="Travel"/>
    <s v="MATCH"/>
    <x v="0"/>
  </r>
  <r>
    <s v="EXP102131"/>
    <s v="E138"/>
    <s v="AX-178941688"/>
    <d v="2026-04-24T00:00:00"/>
    <d v="2026-04-26T00:00:00"/>
    <s v="HYATT REGENCY BOS"/>
    <s v="7011"/>
    <s v="Lodging"/>
    <n v="423.67"/>
    <s v="Corporate Amex"/>
    <m/>
    <s v="Y"/>
    <s v="Lodging"/>
    <s v="MATCH"/>
    <x v="7"/>
  </r>
  <r>
    <s v="EXP102132"/>
    <s v="E208"/>
    <s v="AX979848407"/>
    <d v="2026-04-20T00:00:00"/>
    <d v="2026-04-26T00:00:00"/>
    <s v=" HOOTSUITE INC"/>
    <s v="5734"/>
    <s v="Software"/>
    <n v="113.32"/>
    <s v="Corporate Amex"/>
    <m/>
    <s v="Y"/>
    <s v="Software"/>
    <s v="MATCH"/>
    <x v="4"/>
  </r>
  <r>
    <s v="EXP102133"/>
    <s v="E018"/>
    <s v="AX 453663606"/>
    <d v="2026-04-18T00:00:00"/>
    <d v="2026-04-26T00:00:00"/>
    <s v="STARBUCKS #4471"/>
    <s v="5812"/>
    <s v="Meals"/>
    <n v="12.89"/>
    <s v="Corporate Amex"/>
    <m/>
    <s v="Y"/>
    <s v="Meals"/>
    <s v="MATCH"/>
    <x v="0"/>
  </r>
  <r>
    <s v="EXP102134"/>
    <s v="E018"/>
    <s v="ax205556206"/>
    <d v="2026-04-17T00:00:00"/>
    <d v="2026-04-26T00:00:00"/>
    <s v="YELLOW CAB CO"/>
    <s v="4121"/>
    <s v="Transportation"/>
    <n v="49.91"/>
    <s v="Corporate Amex"/>
    <m/>
    <s v="Y"/>
    <s v="Transportation"/>
    <s v="MATCH"/>
    <x v="0"/>
  </r>
  <r>
    <s v="EXP102135"/>
    <s v="E066"/>
    <s v="AX602260072"/>
    <d v="2026-04-20T00:00:00"/>
    <d v="2026-04-26T00:00:00"/>
    <s v="STAPLES #0231"/>
    <s v="5943"/>
    <s v="Office Supplies"/>
    <n v="156.19999999999999"/>
    <s v="Corporate Amex"/>
    <m/>
    <s v="Y"/>
    <s v="Office Supplies"/>
    <s v="MATCH"/>
    <x v="0"/>
  </r>
  <r>
    <s v="EXP102136"/>
    <s v="E066"/>
    <s v="ax194311128"/>
    <d v="2026-04-24T00:00:00"/>
    <d v="2026-04-26T00:00:00"/>
    <s v="SOUTHWEST AIR 5261823"/>
    <s v="4511"/>
    <s v="Travel"/>
    <n v="166.5"/>
    <s v="Corporate Amex"/>
    <m/>
    <s v="N"/>
    <s v="Travel"/>
    <s v="MATCH"/>
    <x v="0"/>
  </r>
  <r>
    <s v="EXP102138"/>
    <s v="E014"/>
    <s v="ax550732454"/>
    <d v="2026-04-22T00:00:00"/>
    <d v="2026-04-26T00:00:00"/>
    <s v="DELTA AIR 00623891045"/>
    <s v="4511"/>
    <s v="Travel"/>
    <n v="317.01"/>
    <s v="Corporate Amex"/>
    <m/>
    <s v="Y"/>
    <s v="Travel"/>
    <s v="MATCH"/>
    <x v="0"/>
  </r>
  <r>
    <s v="EXP102139"/>
    <s v="E012"/>
    <s v="AX378246443"/>
    <d v="2026-04-23T00:00:00"/>
    <d v="2026-04-26T00:00:00"/>
    <s v="REGION CATERING CO"/>
    <s v="5811"/>
    <s v="Events"/>
    <n v="213.65"/>
    <s v="Corporate Amex"/>
    <m/>
    <s v="Y"/>
    <s v="Events"/>
    <s v="MATCH"/>
    <x v="0"/>
  </r>
  <r>
    <s v="EXP102140"/>
    <s v="E118"/>
    <m/>
    <d v="2026-04-19T00:00:00"/>
    <d v="2026-04-26T00:00:00"/>
    <s v="STARBUCKS #4471"/>
    <s v="5812"/>
    <s v="Meals"/>
    <n v="17.34"/>
    <s v="Corporate Amex"/>
    <m/>
    <s v="N"/>
    <s v="Meals"/>
    <s v="MATCH"/>
    <x v="7"/>
  </r>
  <r>
    <s v="EXP102141"/>
    <s v="E126"/>
    <s v="AX277026918"/>
    <d v="2026-04-19T00:00:00"/>
    <d v="2026-04-26T00:00:00"/>
    <s v="CHIPOTLE 2214"/>
    <s v="5812"/>
    <s v="Meals"/>
    <n v="14.8"/>
    <s v="Corporate Amex"/>
    <m/>
    <s v="Y"/>
    <s v="Meals"/>
    <s v="MATCH"/>
    <x v="7"/>
  </r>
  <r>
    <s v="EXP102142"/>
    <s v="E060"/>
    <s v="AX276948554"/>
    <d v="2026-04-24T00:00:00"/>
    <d v="2026-04-26T00:00:00"/>
    <s v="AMC THEATRES 0021"/>
    <s v="7832"/>
    <s v="Entertainment"/>
    <n v="51.38"/>
    <s v="Corporate Amex"/>
    <m/>
    <s v="N"/>
    <s v="Entertainment"/>
    <s v="MATCH"/>
    <x v="0"/>
  </r>
  <r>
    <s v="EXP102143"/>
    <s v="E233"/>
    <s v="AX331463740"/>
    <d v="2026-04-16T00:00:00"/>
    <d v="2026-04-26T00:00:00"/>
    <s v="PANERA BREAD #0231"/>
    <s v="5812"/>
    <s v="Meals"/>
    <n v="10.95"/>
    <s v="Corporate Amex"/>
    <m/>
    <s v="Y"/>
    <s v="Meals"/>
    <s v="MATCH"/>
    <x v="1"/>
  </r>
  <r>
    <s v="EXP102144"/>
    <s v="E160"/>
    <m/>
    <d v="2026-04-25T00:00:00"/>
    <d v="2026-04-26T00:00:00"/>
    <s v="EVENTBRITE"/>
    <s v="7999"/>
    <s v="Events"/>
    <n v="71.2"/>
    <s v="Personal (Reimbursement)"/>
    <s v="International merchant - Amex not accepted"/>
    <s v="N"/>
    <s v="Events"/>
    <s v="MATCH"/>
    <x v="6"/>
  </r>
  <r>
    <s v="EXP102145"/>
    <s v="E121"/>
    <s v="ax978362385"/>
    <d v="2026-04-23T00:00:00"/>
    <d v="2026-04-26T00:00:00"/>
    <s v="HYATT REGENCY BOS"/>
    <s v="7011"/>
    <s v="Lodging"/>
    <n v="312.51"/>
    <s v="Corporate Amex"/>
    <m/>
    <s v="Y"/>
    <s v="Lodging"/>
    <s v="MATCH"/>
    <x v="7"/>
  </r>
  <r>
    <s v="EXP102146"/>
    <s v="E039"/>
    <m/>
    <d v="2026-04-20T00:00:00"/>
    <d v="2026-04-26T00:00:00"/>
    <s v="BRANDWATCH LTD"/>
    <s v="5734"/>
    <s v="Software"/>
    <n v="511.58"/>
    <s v="Corporate Amex"/>
    <m/>
    <s v="Y"/>
    <s v="Software"/>
    <s v="MATCH"/>
    <x v="0"/>
  </r>
  <r>
    <s v="EXP102147"/>
    <s v="E068"/>
    <s v="AX 685559557"/>
    <d v="2026-04-18T00:00:00"/>
    <d v="2026-04-26T00:00:00"/>
    <s v="MARRIOTT #4471"/>
    <s v="7011"/>
    <s v="Lodging"/>
    <n v="355.72"/>
    <s v="Corporate Amex"/>
    <m/>
    <s v="Y"/>
    <s v="Lodging"/>
    <s v="MATCH"/>
    <x v="0"/>
  </r>
  <r>
    <s v="EXP102148"/>
    <s v="E157"/>
    <s v="ax465444300"/>
    <d v="2026-04-23T00:00:00"/>
    <d v="2026-04-27T00:00:00"/>
    <s v="ADOBE *CREATIVE CLOUD"/>
    <s v="5734"/>
    <s v="Software"/>
    <n v="51.22"/>
    <s v="Corporate Amex"/>
    <m/>
    <s v="Y"/>
    <s v="Software"/>
    <s v="MATCH"/>
    <x v="6"/>
  </r>
  <r>
    <s v="EXP102149"/>
    <s v="E057"/>
    <s v="AX904080195"/>
    <d v="2026-04-26T00:00:00"/>
    <d v="2026-04-27T00:00:00"/>
    <s v="SQ *THE CORNER BISTRO"/>
    <s v="5812"/>
    <s v="Meals"/>
    <n v="34.53"/>
    <s v="Corporate Amex"/>
    <m/>
    <s v="Y"/>
    <s v="Meals"/>
    <s v="MATCH"/>
    <x v="0"/>
  </r>
  <r>
    <s v="EXP102150"/>
    <s v="E020"/>
    <s v="AX-935615302"/>
    <d v="2026-04-20T00:00:00"/>
    <d v="2026-04-27T00:00:00"/>
    <s v="REGION CATERING CO"/>
    <s v="5811"/>
    <s v="Events"/>
    <n v="421.29"/>
    <s v="Corporate Amex"/>
    <m/>
    <s v="Y"/>
    <s v="Events"/>
    <s v="MATCH"/>
    <x v="0"/>
  </r>
  <r>
    <s v="EXP102151"/>
    <s v="E027"/>
    <s v="AX754794281"/>
    <d v="2026-04-21T00:00:00"/>
    <d v="2026-04-27T00:00:00"/>
    <s v="MICROSOFT*365"/>
    <s v="5734"/>
    <s v="Software"/>
    <n v="30.34"/>
    <s v="Corporate Amex"/>
    <m/>
    <s v="Y"/>
    <s v="Software"/>
    <s v="MATCH"/>
    <x v="0"/>
  </r>
  <r>
    <s v="EXP102152"/>
    <s v="E029"/>
    <s v="AX410842892"/>
    <d v="2026-04-17T00:00:00"/>
    <d v="2026-04-27T00:00:00"/>
    <s v="REGION CATERING CO"/>
    <s v="5811"/>
    <s v="  Events "/>
    <n v="323.02999999999997"/>
    <s v="Corporate Amex"/>
    <m/>
    <s v="N"/>
    <s v="Events"/>
    <s v="MATCH"/>
    <x v="0"/>
  </r>
  <r>
    <s v="EXP102154"/>
    <s v="E014"/>
    <s v="AX560332086"/>
    <d v="2026-04-24T00:00:00"/>
    <d v="2026-04-27T00:00:00"/>
    <s v="ZOOM.US"/>
    <s v="5734"/>
    <s v="Software"/>
    <n v="32.450000000000003"/>
    <s v="Corporate Amex"/>
    <m/>
    <s v="Y"/>
    <s v="Software"/>
    <s v="MATCH"/>
    <x v="0"/>
  </r>
  <r>
    <s v="EXP102155"/>
    <s v="E065"/>
    <s v="AX194678031"/>
    <d v="2026-04-23T00:00:00"/>
    <d v="2026-04-27T00:00:00"/>
    <s v="DELTA AIR 00623891045"/>
    <s v="4511"/>
    <s v="Travel"/>
    <n v="646.29999999999995"/>
    <s v="Corporate Amex"/>
    <m/>
    <s v="Y"/>
    <s v="Travel"/>
    <s v="MATCH"/>
    <x v="0"/>
  </r>
  <r>
    <s v="EXP102156"/>
    <s v="E216"/>
    <s v="AX348215863"/>
    <d v="2026-04-24T00:00:00"/>
    <d v="2026-04-27T00:00:00"/>
    <s v="SOUTHWEST AIR 5261823"/>
    <s v="4511"/>
    <s v="Travel"/>
    <n v="130.83000000000001"/>
    <s v="Corporate Amex"/>
    <m/>
    <s v="Y"/>
    <s v="Travel"/>
    <s v="MATCH"/>
    <x v="4"/>
  </r>
  <r>
    <s v="EXP102157"/>
    <s v="E061"/>
    <s v="AX-606836540"/>
    <d v="2026-04-20T00:00:00"/>
    <d v="2026-04-27T00:00:00"/>
    <s v="ZOOM.US"/>
    <s v="5734"/>
    <s v="Software"/>
    <n v="25.28"/>
    <s v="Corporate Amex"/>
    <m/>
    <s v="N"/>
    <s v="Software"/>
    <s v="MATCH"/>
    <x v="0"/>
  </r>
  <r>
    <s v="EXP102158"/>
    <s v="E061"/>
    <s v="AX761427110"/>
    <d v="2026-04-19T00:00:00"/>
    <d v="2026-04-27T00:00:00"/>
    <s v="MICROSOFT*365"/>
    <s v="5734"/>
    <s v="Software"/>
    <n v="14.39"/>
    <s v="Corporate Amex"/>
    <m/>
    <s v="Y"/>
    <s v="Software"/>
    <s v="MATCH"/>
    <x v="0"/>
  </r>
  <r>
    <s v="EXP102159"/>
    <s v="E242"/>
    <s v="AX745242045"/>
    <d v="2026-04-23T00:00:00"/>
    <d v="2026-04-27T00:00:00"/>
    <s v="LYFT RIDE THU"/>
    <s v="4121"/>
    <s v="Transportation"/>
    <n v="45.23"/>
    <s v="Corporate Amex"/>
    <m/>
    <s v="Y"/>
    <s v="Transportation"/>
    <s v="MATCH"/>
    <x v="1"/>
  </r>
  <r>
    <s v="EXP102160"/>
    <s v="E100"/>
    <s v="AX710086089"/>
    <d v="2026-04-19T00:00:00"/>
    <d v="2026-04-27T00:00:00"/>
    <s v="BRANDWATCH LTD"/>
    <s v="5734"/>
    <s v="Software"/>
    <n v="535.87"/>
    <s v="Corporate Amex"/>
    <m/>
    <s v="Y"/>
    <s v="Software"/>
    <s v="MATCH"/>
    <x v="2"/>
  </r>
  <r>
    <s v="EXP102161"/>
    <s v="E219"/>
    <s v="AX 289594286"/>
    <d v="2026-04-27T00:00:00"/>
    <d v="2026-04-27T00:00:00"/>
    <s v="HILTON GARDEN INN 2231"/>
    <s v="7011"/>
    <s v="Lodging"/>
    <n v="295.58999999999997"/>
    <s v="Corporate Amex"/>
    <m/>
    <s v="Y"/>
    <s v="Lodging"/>
    <s v="MATCH"/>
    <x v="4"/>
  </r>
  <r>
    <s v="EXP102162"/>
    <s v="E080"/>
    <s v="ax476113330"/>
    <d v="2026-04-18T00:00:00"/>
    <d v="2026-04-27T00:00:00"/>
    <s v="AMAZON MKTPLACE PMTS"/>
    <s v="5942"/>
    <s v="Office Supplies"/>
    <n v="44.04"/>
    <s v="Corporate Amex"/>
    <m/>
    <s v="Y"/>
    <s v="Office Supplies"/>
    <s v="MATCH"/>
    <x v="2"/>
  </r>
  <r>
    <s v="EXP102163"/>
    <s v="E109"/>
    <m/>
    <d v="2026-04-19T00:00:00"/>
    <d v="2026-04-27T00:00:00"/>
    <s v="TOPGOLF #442"/>
    <s v="7997"/>
    <s v="Entertainment"/>
    <n v="174.94"/>
    <s v="Corporate Amex"/>
    <m/>
    <s v="Y"/>
    <s v="Entertainment"/>
    <s v="MATCH"/>
    <x v="2"/>
  </r>
  <r>
    <s v="EXP102164"/>
    <s v="E052"/>
    <s v="AX731795140"/>
    <d v="2026-04-23T00:00:00"/>
    <d v="2026-04-27T00:00:00"/>
    <s v="ZOOM.US"/>
    <s v="5734"/>
    <s v="Software"/>
    <n v="34.14"/>
    <s v="Corporate Amex"/>
    <m/>
    <s v="Y"/>
    <s v="Software"/>
    <s v="MATCH"/>
    <x v="0"/>
  </r>
  <r>
    <s v="EXP102165"/>
    <s v="E031"/>
    <s v="AX 965123709"/>
    <d v="2026-04-23T00:00:00"/>
    <d v="2026-04-27T00:00:00"/>
    <s v="HILTON GARDEN INN 2231"/>
    <s v="7011"/>
    <s v="Lodging"/>
    <n v="256.11"/>
    <s v="Corporate Amex"/>
    <m/>
    <s v="Y"/>
    <s v="Lodging"/>
    <s v="MATCH"/>
    <x v="0"/>
  </r>
  <r>
    <s v="EXP102167"/>
    <s v="E015"/>
    <m/>
    <d v="2026-04-20T00:00:00"/>
    <d v="2026-04-27T00:00:00"/>
    <s v="MARRIOTT #4471"/>
    <s v="7011"/>
    <s v="Lodging"/>
    <n v="378.66"/>
    <s v="Corporate Amex"/>
    <m/>
    <s v="Y"/>
    <s v="Lodging"/>
    <s v="MATCH"/>
    <x v="0"/>
  </r>
  <r>
    <s v="EXP102168"/>
    <s v="E274"/>
    <s v="AX632074277"/>
    <d v="2026-04-20T00:00:00"/>
    <d v="2026-04-27T00:00:00"/>
    <s v="LYFT RIDE THU"/>
    <s v="4121"/>
    <s v="Transportation"/>
    <n v="42.25"/>
    <s v="Corporate Amex"/>
    <m/>
    <s v="Y"/>
    <s v="Transportation"/>
    <s v="MATCH"/>
    <x v="3"/>
  </r>
  <r>
    <s v="EXP102169"/>
    <s v="E066"/>
    <s v="AX-698759941"/>
    <d v="2026-04-23T00:00:00"/>
    <d v="2026-04-28T00:00:00"/>
    <s v="HILTON GARDEN INN 2231"/>
    <s v="7011"/>
    <m/>
    <n v="250.27"/>
    <s v="Corporate Amex"/>
    <m/>
    <s v="Y"/>
    <s v="Lodging"/>
    <s v="BLANK"/>
    <x v="0"/>
  </r>
  <r>
    <s v="EXP102170"/>
    <s v="E018"/>
    <s v="ax295490322"/>
    <d v="2026-04-23T00:00:00"/>
    <d v="2026-04-28T00:00:00"/>
    <s v="STAPLES #0231"/>
    <s v="5943"/>
    <s v="Office Supplies"/>
    <n v="148.21"/>
    <s v="Corporate Amex"/>
    <m/>
    <s v="Y"/>
    <s v="Office Supplies"/>
    <s v="MATCH"/>
    <x v="0"/>
  </r>
  <r>
    <s v="EXP102171"/>
    <s v="E026"/>
    <s v="ax570580932"/>
    <d v="2026-04-24T00:00:00"/>
    <d v="2026-04-28T00:00:00"/>
    <s v="HYATT REGENCY BOS"/>
    <s v="7011"/>
    <s v="Lodging"/>
    <n v="228.73"/>
    <s v="Corporate Amex"/>
    <m/>
    <s v="Y"/>
    <s v="Lodging"/>
    <s v="MATCH"/>
    <x v="0"/>
  </r>
  <r>
    <s v="EXP102172"/>
    <s v="E260"/>
    <s v="AX784050439"/>
    <d v="2026-04-20T00:00:00"/>
    <d v="2026-04-28T00:00:00"/>
    <s v="MICROSOFT*365"/>
    <s v="5734"/>
    <s v="Events"/>
    <n v="55.11"/>
    <s v="Corporate Amex"/>
    <m/>
    <s v="Y"/>
    <s v="Software"/>
    <s v="MISMATCH"/>
    <x v="8"/>
  </r>
  <r>
    <s v="EXP102173"/>
    <s v="E169"/>
    <m/>
    <d v="2026-04-25T00:00:00"/>
    <d v="2026-04-28T00:00:00"/>
    <s v="DELTA AIR 00623891045"/>
    <s v="4511"/>
    <s v="Travel"/>
    <n v="372.56"/>
    <s v="Corporate Amex"/>
    <m/>
    <s v="Y"/>
    <s v="Travel"/>
    <s v="MATCH"/>
    <x v="6"/>
  </r>
  <r>
    <s v="EXP102174"/>
    <s v="E015"/>
    <s v="AX328282738"/>
    <d v="2026-04-18T00:00:00"/>
    <d v="2026-04-28T00:00:00"/>
    <s v="UBER TRIP HELP.UBER"/>
    <s v="4121"/>
    <s v="Transportation"/>
    <n v="43.68"/>
    <s v="Corporate Amex"/>
    <m/>
    <s v="Y"/>
    <s v="Transportation"/>
    <s v="MATCH"/>
    <x v="0"/>
  </r>
  <r>
    <s v="EXP102175"/>
    <s v="E015"/>
    <s v="AX659596826"/>
    <d v="2026-04-19T00:00:00"/>
    <d v="2026-04-28T00:00:00"/>
    <s v="HYATT REGENCY BOS"/>
    <s v="7011"/>
    <s v="Lodging"/>
    <n v="291.98"/>
    <s v="Corporate Amex"/>
    <m/>
    <s v="Y"/>
    <s v="Lodging"/>
    <s v="MATCH"/>
    <x v="0"/>
  </r>
  <r>
    <s v="EXP102176"/>
    <s v="E054"/>
    <s v="ax107635535"/>
    <d v="2026-04-18T00:00:00"/>
    <d v="2026-04-28T00:00:00"/>
    <s v="TOPGOLF #442"/>
    <s v="7997"/>
    <s v="Entertainment"/>
    <n v="206.26"/>
    <s v="Corporate Amex"/>
    <m/>
    <s v="Y"/>
    <s v="Entertainment"/>
    <s v="MATCH"/>
    <x v="0"/>
  </r>
  <r>
    <s v="EXP102177"/>
    <s v="E058"/>
    <s v="AX685073031"/>
    <d v="2026-04-18T00:00:00"/>
    <d v="2026-04-28T00:00:00"/>
    <s v="OLIVE GARDEN 00456"/>
    <s v="5812"/>
    <s v="Meals"/>
    <n v="59.33"/>
    <s v="Corporate Amex"/>
    <m/>
    <s v="Y"/>
    <s v="Meals"/>
    <s v="MATCH"/>
    <x v="0"/>
  </r>
  <r>
    <s v="EXP102178"/>
    <s v="E042"/>
    <s v="ax706255359"/>
    <d v="2026-04-26T00:00:00"/>
    <d v="2026-04-28T00:00:00"/>
    <s v="AMC THEATRES 0021"/>
    <s v="7832"/>
    <s v="Entertainment"/>
    <n v="34.25"/>
    <s v="Corporate Amex"/>
    <m/>
    <s v="Y"/>
    <s v="Entertainment"/>
    <s v="MATCH"/>
    <x v="0"/>
  </r>
  <r>
    <s v="EXP102179"/>
    <s v="E055"/>
    <s v="AX407891764"/>
    <d v="2026-04-19T00:00:00"/>
    <d v="2026-04-28T00:00:00"/>
    <s v="UBER TRIP HELP.UBER"/>
    <s v="4121"/>
    <s v="Transportation"/>
    <n v="19.690000000000001"/>
    <s v="Corporate Amex"/>
    <m/>
    <s v="Y"/>
    <s v="Transportation"/>
    <s v="MATCH"/>
    <x v="0"/>
  </r>
  <r>
    <s v="EXP102180"/>
    <s v="E055"/>
    <m/>
    <d v="2026-04-21T00:00:00"/>
    <d v="2026-04-28T00:00:00"/>
    <s v="UBER TRIP HELP.UBER"/>
    <s v="4121"/>
    <s v="Transportation"/>
    <n v="20.37"/>
    <s v="Corporate Amex"/>
    <m/>
    <s v="N"/>
    <s v="Transportation"/>
    <s v="MATCH"/>
    <x v="0"/>
  </r>
  <r>
    <s v="EXP102181"/>
    <s v="E086"/>
    <s v="AX798859482"/>
    <d v="2026-04-25T00:00:00"/>
    <d v="2026-04-28T00:00:00"/>
    <s v="SOUTHWEST AIR 5261823"/>
    <s v="4511"/>
    <s v="Travel"/>
    <n v="400.82"/>
    <s v="Corporate Amex"/>
    <m/>
    <s v="Y"/>
    <s v="Travel"/>
    <s v="MATCH"/>
    <x v="2"/>
  </r>
  <r>
    <s v="EXP102182"/>
    <s v="E269"/>
    <s v="AX-835668587"/>
    <d v="2026-04-26T00:00:00"/>
    <d v="2026-04-28T00:00:00"/>
    <s v="MICROSOFT*365"/>
    <s v="5734"/>
    <s v="Software"/>
    <n v="17.77"/>
    <s v="Corporate Amex"/>
    <m/>
    <s v="Y"/>
    <s v="Software"/>
    <s v="MATCH"/>
    <x v="3"/>
  </r>
  <r>
    <s v="EXP102183"/>
    <s v="E017"/>
    <m/>
    <d v="2026-04-25T00:00:00"/>
    <d v="2026-04-28T00:00:00"/>
    <s v="LYFT RIDE THU"/>
    <s v="4121"/>
    <s v="  Transportation "/>
    <n v="52.14"/>
    <s v="Personal (Reimbursement)"/>
    <s v="Amex declined - vendor doesn't accept Amex"/>
    <s v="Y"/>
    <s v="Transportation"/>
    <s v="MATCH"/>
    <x v="0"/>
  </r>
  <r>
    <s v="EXP102184"/>
    <s v="E017"/>
    <s v="ax166486137"/>
    <d v="2026-04-22T00:00:00"/>
    <d v="2026-04-28T00:00:00"/>
    <s v="SQ *JOES COFFEE"/>
    <s v="5812"/>
    <s v="Meals"/>
    <n v="18.52"/>
    <s v="Corporate Amex"/>
    <m/>
    <s v="Y"/>
    <s v="Meals"/>
    <s v="MATCH"/>
    <x v="0"/>
  </r>
  <r>
    <s v="EXP102185"/>
    <s v="E063"/>
    <s v="AX888218200"/>
    <d v="2026-04-18T00:00:00"/>
    <d v="2026-04-28T00:00:00"/>
    <s v="DELTA AIR 00623891045"/>
    <s v="4511"/>
    <s v="Travel"/>
    <n v="253.77"/>
    <s v="Corporate Amex"/>
    <m/>
    <s v="Y"/>
    <s v="Travel"/>
    <s v="MATCH"/>
    <x v="0"/>
  </r>
  <r>
    <s v="EXP102186"/>
    <s v="E005"/>
    <s v="ax883236313"/>
    <d v="2026-04-27T00:00:00"/>
    <d v="2026-04-28T00:00:00"/>
    <s v="OLIVE GARDEN 00456"/>
    <s v="5812"/>
    <s v="Meals"/>
    <n v="62.79"/>
    <s v="Corporate Amex"/>
    <m/>
    <s v="Y"/>
    <s v="Meals"/>
    <s v="MATCH"/>
    <x v="0"/>
  </r>
  <r>
    <s v="EXP102187"/>
    <s v="E004"/>
    <s v="AX862862771"/>
    <d v="2026-04-22T00:00:00"/>
    <d v="2026-04-28T00:00:00"/>
    <s v="REGION CATERING CO"/>
    <s v="5811"/>
    <s v="Events"/>
    <n v="282.38"/>
    <s v="Corporate Amex"/>
    <m/>
    <s v="Y"/>
    <s v="Events"/>
    <s v="MATCH"/>
    <x v="0"/>
  </r>
  <r>
    <s v="EXP102188"/>
    <s v="E018"/>
    <s v="AX-469682702"/>
    <d v="2026-04-27T00:00:00"/>
    <d v="2026-04-29T00:00:00"/>
    <s v="UNITED AIRLINES 0162233"/>
    <s v="4511"/>
    <s v="Travel"/>
    <n v="540.29"/>
    <s v="Corporate Amex"/>
    <m/>
    <s v="Y"/>
    <s v="Travel"/>
    <s v="MATCH"/>
    <x v="0"/>
  </r>
  <r>
    <s v="EXP102190"/>
    <s v="E063"/>
    <s v="AX 986336704"/>
    <d v="2026-04-19T00:00:00"/>
    <d v="2026-04-29T00:00:00"/>
    <s v="CHIPOTLE 2214"/>
    <s v="5812"/>
    <s v="Meals"/>
    <n v="14.77"/>
    <s v="Corporate Amex"/>
    <m/>
    <s v="Y"/>
    <s v="Meals"/>
    <s v="MATCH"/>
    <x v="0"/>
  </r>
  <r>
    <s v="EXP102191"/>
    <s v="E185"/>
    <s v="AX 615605559"/>
    <d v="2026-04-27T00:00:00"/>
    <d v="2026-04-29T00:00:00"/>
    <s v="TOTAL PARTY RENTAL"/>
    <s v="7999"/>
    <s v="Events"/>
    <n v="413.31"/>
    <s v="Corporate Amex"/>
    <m/>
    <s v="Y"/>
    <s v="Events"/>
    <s v="MATCH"/>
    <x v="5"/>
  </r>
  <r>
    <s v="EXP102192"/>
    <s v="E231"/>
    <s v="AX268753363"/>
    <d v="2026-04-24T00:00:00"/>
    <d v="2026-04-29T00:00:00"/>
    <s v="PANERA BREAD #0231"/>
    <s v="5812"/>
    <s v="  Meals "/>
    <n v="20.96"/>
    <s v="Corporate Amex"/>
    <m/>
    <s v="Y"/>
    <s v="Meals"/>
    <s v="MATCH"/>
    <x v="4"/>
  </r>
  <r>
    <s v="EXP102193"/>
    <s v="E109"/>
    <s v="AX-228646025"/>
    <d v="2026-04-27T00:00:00"/>
    <d v="2026-04-29T00:00:00"/>
    <s v="UNITED AIRLINES 0162233"/>
    <s v="4511"/>
    <s v="Travel"/>
    <n v="557.17999999999995"/>
    <s v="Corporate Amex"/>
    <m/>
    <s v="Y"/>
    <s v="Travel"/>
    <s v="MATCH"/>
    <x v="2"/>
  </r>
  <r>
    <s v="EXP102194"/>
    <s v="E027"/>
    <s v="ax987350144"/>
    <d v="2026-04-19T00:00:00"/>
    <d v="2026-04-29T00:00:00"/>
    <s v="ZOOM.US"/>
    <s v="5734"/>
    <s v="Software"/>
    <n v="46.34"/>
    <s v="Corporate Amex"/>
    <m/>
    <s v="Y"/>
    <s v="Software"/>
    <s v="MATCH"/>
    <x v="0"/>
  </r>
  <r>
    <s v="EXP102195"/>
    <s v="E146"/>
    <s v="ax155340360"/>
    <d v="2026-04-28T00:00:00"/>
    <d v="2026-04-29T00:00:00"/>
    <s v="UBER TRIP HELP.UBER"/>
    <s v="4121"/>
    <s v="Transportation"/>
    <n v="15.49"/>
    <s v="Corporate Amex"/>
    <m/>
    <s v="Y"/>
    <s v="Transportation"/>
    <s v="MATCH"/>
    <x v="7"/>
  </r>
  <r>
    <s v="EXP102196"/>
    <s v="E006"/>
    <s v="ax383229110"/>
    <d v="2026-04-26T00:00:00"/>
    <d v="2026-04-29T00:00:00"/>
    <s v="MARRIOTT #4471"/>
    <s v="7011"/>
    <s v="Lodging"/>
    <n v="151.86000000000001"/>
    <s v="Corporate Amex"/>
    <m/>
    <s v="N"/>
    <s v="Lodging"/>
    <s v="MATCH"/>
    <x v="0"/>
  </r>
  <r>
    <s v="EXP102197"/>
    <s v="E051"/>
    <m/>
    <d v="2026-04-22T00:00:00"/>
    <d v="2026-04-29T00:00:00"/>
    <s v="PANERA BREAD #0231"/>
    <s v="5812"/>
    <s v="Meals"/>
    <n v="18.66"/>
    <s v="Corporate Amex"/>
    <m/>
    <s v="Y"/>
    <s v="Meals"/>
    <s v="MATCH"/>
    <x v="0"/>
  </r>
  <r>
    <s v="EXP102198"/>
    <s v="E112"/>
    <s v="ax911703424"/>
    <d v="2026-04-26T00:00:00"/>
    <d v="2026-04-29T00:00:00"/>
    <s v="SOUTHWEST AIR 5261823"/>
    <s v="4511"/>
    <s v="Travel"/>
    <n v="276.27999999999997"/>
    <s v="Corporate Amex"/>
    <m/>
    <s v="Y"/>
    <s v="Travel"/>
    <s v="MATCH"/>
    <x v="2"/>
  </r>
  <r>
    <s v="EXP102199"/>
    <s v="E025"/>
    <s v="AX531516967"/>
    <d v="2026-04-22T00:00:00"/>
    <d v="2026-04-29T00:00:00"/>
    <s v="EVENTBRITE"/>
    <s v="7999"/>
    <s v="Meals"/>
    <n v="265.58999999999997"/>
    <s v="Corporate Amex"/>
    <m/>
    <s v="Y"/>
    <s v="Events"/>
    <s v="MISMATCH"/>
    <x v="0"/>
  </r>
  <r>
    <s v="EXP102200"/>
    <s v="E060"/>
    <s v="AX-986439918"/>
    <d v="2026-04-29T00:00:00"/>
    <d v="2026-04-29T00:00:00"/>
    <s v="LYFT RIDE THU"/>
    <s v="4121"/>
    <s v="Transportation"/>
    <n v="17.260000000000002"/>
    <s v="Corporate Amex"/>
    <m/>
    <s v="Y"/>
    <s v="Transportation"/>
    <s v="MATCH"/>
    <x v="0"/>
  </r>
  <r>
    <s v="EXP102201"/>
    <s v="E045"/>
    <s v="AX-271063582"/>
    <d v="2026-04-22T00:00:00"/>
    <d v="2026-04-29T00:00:00"/>
    <s v="MARRIOTT #4471"/>
    <s v="7011"/>
    <s v="Entertainment"/>
    <n v="367.05"/>
    <s v="Corporate Amex"/>
    <m/>
    <s v="N"/>
    <s v="Lodging"/>
    <s v="MISMATCH"/>
    <x v="0"/>
  </r>
  <r>
    <s v="EXP102202"/>
    <s v="E245"/>
    <s v="AX494087817"/>
    <d v="2026-04-22T00:00:00"/>
    <d v="2026-04-30T00:00:00"/>
    <s v="SQ *THE CORNER BISTRO"/>
    <s v="5812"/>
    <s v="Meals"/>
    <n v="35.200000000000003"/>
    <s v="Corporate Amex"/>
    <m/>
    <s v="Y"/>
    <s v="Meals"/>
    <s v="MATCH"/>
    <x v="1"/>
  </r>
  <r>
    <s v="EXP102203"/>
    <s v="E055"/>
    <s v="AX413673781"/>
    <d v="2026-04-26T00:00:00"/>
    <d v="2026-04-30T00:00:00"/>
    <s v=" HILTON GARDEN INN 2231"/>
    <s v="7011"/>
    <s v="Lodging"/>
    <n v="217.29"/>
    <s v="Corporate Amex"/>
    <m/>
    <s v="Y"/>
    <s v="Lodging"/>
    <s v="MATCH"/>
    <x v="0"/>
  </r>
  <r>
    <s v="EXP102204"/>
    <s v="E207"/>
    <s v="ax943984391"/>
    <d v="2026-04-23T00:00:00"/>
    <d v="2026-04-30T00:00:00"/>
    <s v="SQ *JOES COFFEE"/>
    <s v="5812"/>
    <s v="Meals"/>
    <n v="18.25"/>
    <s v="Corporate Amex"/>
    <m/>
    <s v="Y"/>
    <s v="Meals"/>
    <s v="MATCH"/>
    <x v="5"/>
  </r>
  <r>
    <s v="EXP102205"/>
    <s v="E047"/>
    <m/>
    <d v="2026-04-26T00:00:00"/>
    <d v="2026-04-30T00:00:00"/>
    <s v="TOPGOLF #442"/>
    <s v="7997"/>
    <s v="Entertainment"/>
    <n v="127.38"/>
    <s v="Corporate Amex"/>
    <m/>
    <s v="N"/>
    <s v="Entertainment"/>
    <s v="MATCH"/>
    <x v="0"/>
  </r>
  <r>
    <s v="EXP102206"/>
    <s v="E005"/>
    <s v="AX411503974"/>
    <d v="2026-04-22T00:00:00"/>
    <d v="2026-04-30T00:00:00"/>
    <s v="MICROSOFT*365"/>
    <s v="5734"/>
    <s v="Software"/>
    <n v="51.83"/>
    <s v="Corporate Amex"/>
    <m/>
    <s v="N"/>
    <s v="Software"/>
    <s v="MATCH"/>
    <x v="0"/>
  </r>
  <r>
    <s v="EXP102207"/>
    <s v="E162"/>
    <s v="AX-247897137"/>
    <d v="2026-04-25T00:00:00"/>
    <d v="2026-04-30T00:00:00"/>
    <s v="LYFT RIDE THU"/>
    <s v="4121"/>
    <s v="Transportation"/>
    <n v="38.85"/>
    <s v="Corporate Amex"/>
    <m/>
    <s v="Y"/>
    <s v="Transportation"/>
    <s v="MATCH"/>
    <x v="6"/>
  </r>
  <r>
    <s v="EXP102208"/>
    <s v="E049"/>
    <s v="AX992475850"/>
    <d v="2026-04-22T00:00:00"/>
    <d v="2026-04-30T00:00:00"/>
    <s v="STAPLES #0231"/>
    <s v="5943"/>
    <s v="  Office Supplies "/>
    <n v="116.33"/>
    <s v="Corporate Amex"/>
    <m/>
    <s v="N"/>
    <s v="Office Supplies"/>
    <s v="MATCH"/>
    <x v="0"/>
  </r>
  <r>
    <s v="EXP102209"/>
    <s v="E043"/>
    <s v="AX945110647"/>
    <d v="2026-04-30T00:00:00"/>
    <d v="2026-04-30T00:00:00"/>
    <s v="UBER TRIP HELP.UBER"/>
    <s v="4121"/>
    <s v="Transportation"/>
    <n v="60.43"/>
    <s v="Corporate Amex"/>
    <m/>
    <s v="Y"/>
    <s v="Transportation"/>
    <s v="MATCH"/>
    <x v="0"/>
  </r>
  <r>
    <s v="EXP102210"/>
    <s v="E257"/>
    <s v="AX 277579077"/>
    <d v="2026-04-24T00:00:00"/>
    <d v="2026-04-30T00:00:00"/>
    <s v="LYFT RIDE THU"/>
    <s v="4121"/>
    <s v="Transportation"/>
    <n v="34.72"/>
    <s v="Corporate Amex"/>
    <m/>
    <s v="Y"/>
    <s v="Transportation"/>
    <s v="MATCH"/>
    <x v="8"/>
  </r>
  <r>
    <s v="EXP102211"/>
    <s v="E039"/>
    <s v="AX 162937500"/>
    <d v="2026-04-26T00:00:00"/>
    <d v="2026-04-30T00:00:00"/>
    <s v="STAPLES #0231"/>
    <s v="5943"/>
    <s v="Office Supplies"/>
    <n v="37.32"/>
    <s v="Corporate Amex"/>
    <m/>
    <s v="Y"/>
    <s v="Office Supplies"/>
    <s v="MATCH"/>
    <x v="0"/>
  </r>
  <r>
    <s v="EXP102212"/>
    <s v="E140"/>
    <s v="AX 591452493"/>
    <d v="2026-04-27T00:00:00"/>
    <d v="2026-04-30T00:00:00"/>
    <s v="YELLOW CAB CO"/>
    <s v="4121"/>
    <s v="Transportation"/>
    <n v="18.48"/>
    <s v="Corporate Amex"/>
    <m/>
    <s v="Y"/>
    <s v="Transportation"/>
    <s v="MATCH"/>
    <x v="7"/>
  </r>
  <r>
    <s v="EXP102213"/>
    <s v="E029"/>
    <s v="ax265885578"/>
    <d v="2026-04-22T00:00:00"/>
    <d v="2026-04-30T00:00:00"/>
    <s v="HOOTSUITE INC"/>
    <s v="5734"/>
    <s v="Software"/>
    <n v="151.77000000000001"/>
    <s v="Corporate Amex"/>
    <m/>
    <s v="Y"/>
    <s v="Software"/>
    <s v="MATCH"/>
    <x v="0"/>
  </r>
  <r>
    <s v="EXP102214"/>
    <s v="E129"/>
    <s v="AX293311239"/>
    <d v="2026-04-21T00:00:00"/>
    <d v="2026-04-30T00:00:00"/>
    <s v="DELTA AIR 00623891045"/>
    <s v="4511"/>
    <s v="Travel"/>
    <n v="530.91999999999996"/>
    <s v="Corporate Amex"/>
    <m/>
    <s v="Y"/>
    <s v="Travel"/>
    <s v="MATCH"/>
    <x v="7"/>
  </r>
  <r>
    <s v="EXP102215"/>
    <s v="E214"/>
    <s v="AX-180502583"/>
    <d v="2026-04-23T00:00:00"/>
    <d v="2026-04-30T00:00:00"/>
    <s v="AMC THEATRES 0021"/>
    <s v="7832"/>
    <s v="Entertainment"/>
    <n v="30.76"/>
    <s v="Corporate Amex"/>
    <m/>
    <s v="Y"/>
    <s v="Entertainment"/>
    <s v="MATCH"/>
    <x v="4"/>
  </r>
  <r>
    <s v="EXP102216"/>
    <s v="E028"/>
    <s v="AX-124559310"/>
    <d v="2026-04-24T00:00:00"/>
    <d v="2026-04-30T00:00:00"/>
    <s v="STARBUCKS #4471"/>
    <s v="5812"/>
    <m/>
    <n v="10.07"/>
    <s v="Corporate Amex"/>
    <m/>
    <s v="Y"/>
    <s v="Meals"/>
    <s v="BLANK"/>
    <x v="0"/>
  </r>
  <r>
    <s v="EXP102217"/>
    <s v="E103"/>
    <s v="AX675475590"/>
    <d v="2026-04-26T00:00:00"/>
    <d v="2026-04-30T00:00:00"/>
    <s v="DELTA AIR 00623891045"/>
    <s v="4511"/>
    <m/>
    <n v="344.01"/>
    <s v="Corporate Amex"/>
    <m/>
    <s v="N"/>
    <s v="Travel"/>
    <s v="BLANK"/>
    <x v="2"/>
  </r>
  <r>
    <s v="EXP102218"/>
    <s v="E052"/>
    <s v="AX-939130616"/>
    <d v="2026-04-26T00:00:00"/>
    <d v="2026-04-30T00:00:00"/>
    <s v="AMC THEATRES 0021"/>
    <s v="7832"/>
    <s v="Entertainment"/>
    <n v="26.67"/>
    <s v="Corporate Amex"/>
    <m/>
    <s v="Y"/>
    <s v="Entertainment"/>
    <s v="MATCH"/>
    <x v="0"/>
  </r>
  <r>
    <s v="EXP102219"/>
    <s v="E235"/>
    <s v="ax147286663"/>
    <d v="2026-04-29T00:00:00"/>
    <d v="2026-05-01T00:00:00"/>
    <s v="TOPGOLF #442"/>
    <s v="7997"/>
    <s v="Entertainment"/>
    <n v="197.83"/>
    <s v="Corporate Amex"/>
    <m/>
    <s v="Y"/>
    <s v="Entertainment"/>
    <s v="MATCH"/>
    <x v="1"/>
  </r>
  <r>
    <s v="EXP102220"/>
    <s v="E061"/>
    <s v="ax371184298"/>
    <d v="2026-04-24T00:00:00"/>
    <d v="2026-05-01T00:00:00"/>
    <s v="ZOOM.US"/>
    <s v="5734"/>
    <s v="Software"/>
    <n v="16.14"/>
    <s v="Corporate Amex"/>
    <m/>
    <s v="Y"/>
    <s v="Software"/>
    <s v="MATCH"/>
    <x v="0"/>
  </r>
  <r>
    <s v="EXP102221"/>
    <s v="E010"/>
    <m/>
    <d v="2026-04-24T00:00:00"/>
    <d v="2026-05-01T00:00:00"/>
    <s v="DELTA AIR 00623891045"/>
    <s v="4511"/>
    <s v="Travel"/>
    <n v="377.48"/>
    <s v="Corporate Amex"/>
    <m/>
    <s v="Y"/>
    <s v="Travel"/>
    <s v="MATCH"/>
    <x v="0"/>
  </r>
  <r>
    <s v="EXP102222"/>
    <s v="E034"/>
    <s v="ax402628001"/>
    <d v="2026-04-28T00:00:00"/>
    <d v="2026-05-01T00:00:00"/>
    <s v="BRANDWATCH LTD"/>
    <s v="5734"/>
    <s v="Software"/>
    <n v="451.06"/>
    <s v="Corporate Amex"/>
    <m/>
    <s v="Y"/>
    <s v="Software"/>
    <s v="MATCH"/>
    <x v="0"/>
  </r>
  <r>
    <s v="EXP102223"/>
    <s v="E019"/>
    <m/>
    <d v="2026-04-27T00:00:00"/>
    <d v="2026-05-01T00:00:00"/>
    <s v="AMC THEATRES 0021"/>
    <s v="7832"/>
    <s v="Entertainment"/>
    <n v="34.56"/>
    <s v="Corporate Amex"/>
    <m/>
    <s v="Y"/>
    <s v="Entertainment"/>
    <s v="MATCH"/>
    <x v="0"/>
  </r>
  <r>
    <s v="EXP102224"/>
    <s v="E033"/>
    <s v="AX 125953167"/>
    <d v="2026-04-27T00:00:00"/>
    <d v="2026-05-01T00:00:00"/>
    <s v="ZOOM.US"/>
    <s v="5734"/>
    <s v="Software"/>
    <n v="39.130000000000003"/>
    <s v="Corporate Amex"/>
    <m/>
    <s v="Y"/>
    <s v="Software"/>
    <s v="MATCH"/>
    <x v="0"/>
  </r>
  <r>
    <s v="EXP102225"/>
    <s v="E033"/>
    <s v="AX553521586"/>
    <d v="2026-04-29T00:00:00"/>
    <d v="2026-05-01T00:00:00"/>
    <s v="PANERA BREAD #0231"/>
    <s v="5812"/>
    <s v="Meals"/>
    <n v="29.23"/>
    <s v="Corporate Amex"/>
    <m/>
    <s v="N"/>
    <s v="Meals"/>
    <s v="MATCH"/>
    <x v="0"/>
  </r>
  <r>
    <s v="EXP102226"/>
    <s v="E091"/>
    <s v="AX653105007"/>
    <d v="2026-04-23T00:00:00"/>
    <d v="2026-05-01T00:00:00"/>
    <s v="MARRIOTT #4471"/>
    <s v="7011"/>
    <s v="Lodging"/>
    <n v="378.82"/>
    <s v="Corporate Amex"/>
    <m/>
    <s v="N"/>
    <s v="Lodging"/>
    <s v="MATCH"/>
    <x v="2"/>
  </r>
  <r>
    <s v="EXP102227"/>
    <s v="E074"/>
    <m/>
    <d v="2026-04-30T00:00:00"/>
    <d v="2026-05-01T00:00:00"/>
    <s v="ADOBE *CREATIVE CLOUD"/>
    <s v="5734"/>
    <s v="Software"/>
    <n v="88.9"/>
    <s v="Corporate Amex"/>
    <m/>
    <s v="Y"/>
    <s v="Software"/>
    <s v="MATCH"/>
    <x v="2"/>
  </r>
  <r>
    <s v="EXP102228"/>
    <s v="E053"/>
    <s v="AX701257586"/>
    <d v="2026-04-27T00:00:00"/>
    <d v="2026-05-01T00:00:00"/>
    <s v="YELLOW CAB CO"/>
    <s v="4121"/>
    <s v="Transportation"/>
    <n v="43.87"/>
    <s v="Corporate Amex"/>
    <m/>
    <s v="Y"/>
    <s v="Transportation"/>
    <s v="MATCH"/>
    <x v="0"/>
  </r>
  <r>
    <s v="EXP102229"/>
    <s v="E022"/>
    <m/>
    <d v="2026-04-28T00:00:00"/>
    <d v="2026-05-01T00:00:00"/>
    <s v="DELTA AIR 00623891045"/>
    <s v="4511"/>
    <s v="Travel"/>
    <n v="587.25"/>
    <s v="Personal (Reimbursement)"/>
    <s v="Card not yet issued"/>
    <s v="N"/>
    <s v="Travel"/>
    <s v="MATCH"/>
    <x v="0"/>
  </r>
  <r>
    <s v="EXP102230"/>
    <s v="E139"/>
    <m/>
    <d v="2026-04-30T00:00:00"/>
    <d v="2026-05-01T00:00:00"/>
    <s v="SPROUT SOCIAL"/>
    <s v="5734"/>
    <s v="Software"/>
    <n v="120.4"/>
    <s v="Corporate Amex"/>
    <m/>
    <s v="Y"/>
    <s v="Software"/>
    <s v="MATCH"/>
    <x v="7"/>
  </r>
  <r>
    <s v="EXP102231"/>
    <s v="E048"/>
    <s v="AX544453841"/>
    <d v="2026-04-25T00:00:00"/>
    <d v="2026-05-01T00:00:00"/>
    <s v=" SPROUT SOCIAL"/>
    <s v="5734"/>
    <s v="Software"/>
    <n v="119.67"/>
    <s v="Corporate Amex"/>
    <m/>
    <s v="Y"/>
    <s v="Software"/>
    <s v="MATCH"/>
    <x v="0"/>
  </r>
  <r>
    <s v="EXP102232"/>
    <s v="E130"/>
    <s v="AX 190858235"/>
    <d v="2026-04-23T00:00:00"/>
    <d v="2026-05-01T00:00:00"/>
    <s v="SQ *JOES COFFEE"/>
    <s v="5812"/>
    <s v="Meals"/>
    <n v="22.52"/>
    <s v="Corporate Amex"/>
    <m/>
    <s v="N"/>
    <s v="Meals"/>
    <s v="MATCH"/>
    <x v="7"/>
  </r>
  <r>
    <s v="EXP102233"/>
    <s v="E015"/>
    <s v="AX286749809"/>
    <d v="2026-05-01T00:00:00"/>
    <d v="2026-05-01T00:00:00"/>
    <s v="ADOBE *CREATIVE CLOUD"/>
    <s v="5734"/>
    <s v="Software"/>
    <n v="66.03"/>
    <s v="Corporate Amex"/>
    <m/>
    <s v="Y"/>
    <s v="Software"/>
    <s v="MATCH"/>
    <x v="0"/>
  </r>
  <r>
    <s v="EXP102234"/>
    <s v="E090"/>
    <s v="AX-149129533"/>
    <d v="2026-04-21T00:00:00"/>
    <d v="2026-05-01T00:00:00"/>
    <s v="SPROUT SOCIAL"/>
    <s v="5734"/>
    <m/>
    <n v="92.93"/>
    <s v="Corporate Amex"/>
    <m/>
    <s v="Y"/>
    <s v="Software"/>
    <s v="BLANK"/>
    <x v="2"/>
  </r>
  <r>
    <s v="EXP102235"/>
    <s v="E132"/>
    <s v="AX-928005463"/>
    <d v="2026-04-29T00:00:00"/>
    <d v="2026-05-01T00:00:00"/>
    <s v="SQ *THE CORNER BISTRO"/>
    <s v="5812"/>
    <s v="Meals"/>
    <n v="21.08"/>
    <s v="Corporate Amex"/>
    <m/>
    <s v="Y"/>
    <s v="Meals"/>
    <s v="MATCH"/>
    <x v="7"/>
  </r>
  <r>
    <s v="EXP102236"/>
    <s v="E115"/>
    <s v="AX616751343"/>
    <d v="2026-04-28T00:00:00"/>
    <d v="2026-05-02T00:00:00"/>
    <s v="SPROUT SOCIAL"/>
    <s v="5734"/>
    <m/>
    <n v="90.88"/>
    <s v="Corporate Amex"/>
    <m/>
    <s v="Y"/>
    <s v="Software"/>
    <s v="BLANK"/>
    <x v="2"/>
  </r>
  <r>
    <s v="EXP102237"/>
    <s v="E018"/>
    <m/>
    <d v="2026-05-01T00:00:00"/>
    <d v="2026-05-02T00:00:00"/>
    <s v="MICROSOFT*365"/>
    <s v="5734"/>
    <s v="Software"/>
    <n v="13.66"/>
    <s v="Corporate Amex"/>
    <m/>
    <s v="Y"/>
    <s v="Software"/>
    <s v="MATCH"/>
    <x v="0"/>
  </r>
  <r>
    <s v="EXP102238"/>
    <s v="E157"/>
    <s v="ax101631970"/>
    <d v="2026-05-01T00:00:00"/>
    <d v="2026-05-02T00:00:00"/>
    <s v="PANERA BREAD #0231"/>
    <s v="5812"/>
    <s v="Travel"/>
    <n v="9.41"/>
    <s v="Corporate Amex"/>
    <m/>
    <s v="Y"/>
    <s v="Meals"/>
    <s v="MISMATCH"/>
    <x v="6"/>
  </r>
  <r>
    <s v="EXP102239"/>
    <s v="E050"/>
    <s v="AX735480186"/>
    <d v="2026-04-27T00:00:00"/>
    <d v="2026-05-02T00:00:00"/>
    <s v="SQ *JOES COFFEE"/>
    <s v="5812"/>
    <s v="Meals"/>
    <n v="20.56"/>
    <s v="Corporate Amex"/>
    <m/>
    <s v="Y"/>
    <s v="Meals"/>
    <s v="MATCH"/>
    <x v="0"/>
  </r>
  <r>
    <s v="EXP102240"/>
    <s v="E064"/>
    <s v="AX-143468426"/>
    <d v="2026-04-24T00:00:00"/>
    <d v="2026-05-02T00:00:00"/>
    <s v="HILTON GARDEN INN 2231"/>
    <s v="7011"/>
    <s v="Lodging"/>
    <n v="141.80000000000001"/>
    <s v="Corporate Amex"/>
    <m/>
    <s v="N"/>
    <s v="Lodging"/>
    <s v="MATCH"/>
    <x v="0"/>
  </r>
  <r>
    <s v="EXP102241"/>
    <s v="E041"/>
    <s v="AX408100387"/>
    <d v="2026-04-23T00:00:00"/>
    <d v="2026-05-02T00:00:00"/>
    <s v="ZOOM.US"/>
    <s v="5734"/>
    <s v="Software"/>
    <n v="45.81"/>
    <s v="Corporate Amex"/>
    <m/>
    <s v="Y"/>
    <s v="Software"/>
    <s v="MATCH"/>
    <x v="0"/>
  </r>
  <r>
    <s v="EXP102242"/>
    <s v="E041"/>
    <s v="AX546976647"/>
    <d v="2026-04-27T00:00:00"/>
    <d v="2026-05-02T00:00:00"/>
    <s v=" TOTAL PARTY RENTAL"/>
    <s v="7999"/>
    <s v="Events"/>
    <n v="231.55"/>
    <s v="Corporate Amex"/>
    <m/>
    <s v="Y"/>
    <s v="Events"/>
    <s v="MATCH"/>
    <x v="0"/>
  </r>
  <r>
    <s v="EXP102243"/>
    <s v="E013"/>
    <m/>
    <d v="2026-04-29T00:00:00"/>
    <d v="2026-05-02T00:00:00"/>
    <s v="REGION CATERING CO"/>
    <s v="5811"/>
    <s v="Events"/>
    <n v="310.83"/>
    <s v="Personal (Reimbursement)"/>
    <s v="Forgot corporate card"/>
    <s v="Y"/>
    <s v="Events"/>
    <s v="MATCH"/>
    <x v="0"/>
  </r>
  <r>
    <s v="EXP102244"/>
    <s v="E254"/>
    <s v="ax139171279"/>
    <d v="2026-04-29T00:00:00"/>
    <d v="2026-05-02T00:00:00"/>
    <s v="MICROSOFT*365"/>
    <s v="5734"/>
    <s v="Software"/>
    <n v="50.24"/>
    <s v="Corporate Amex"/>
    <m/>
    <s v="Y"/>
    <s v="Software"/>
    <s v="MATCH"/>
    <x v="8"/>
  </r>
  <r>
    <s v="EXP102245"/>
    <s v="E176"/>
    <s v="AX210851158"/>
    <d v="2026-04-30T00:00:00"/>
    <d v="2026-05-02T00:00:00"/>
    <s v="UBER TRIP HELP.UBER"/>
    <s v="4121"/>
    <s v="Transportation"/>
    <n v="11.43"/>
    <s v="Corporate Amex"/>
    <m/>
    <s v="Y"/>
    <s v="Transportation"/>
    <s v="MATCH"/>
    <x v="6"/>
  </r>
  <r>
    <s v="EXP102246"/>
    <s v="E107"/>
    <s v="ax964529567"/>
    <d v="2026-04-28T00:00:00"/>
    <d v="2026-05-02T00:00:00"/>
    <s v=" HOOTSUITE INC"/>
    <s v="5734"/>
    <s v="Software"/>
    <n v="225.97"/>
    <s v="Corporate Amex"/>
    <m/>
    <s v="Y"/>
    <s v="Software"/>
    <s v="MATCH"/>
    <x v="2"/>
  </r>
  <r>
    <s v="EXP102247"/>
    <s v="E095"/>
    <s v="ax688727222"/>
    <d v="2026-04-24T00:00:00"/>
    <d v="2026-05-02T00:00:00"/>
    <s v="LYFT RIDE THU"/>
    <s v="4121"/>
    <s v="Transportation"/>
    <n v="21.69"/>
    <s v="Corporate Amex"/>
    <m/>
    <s v="Y"/>
    <s v="Transportation"/>
    <s v="MATCH"/>
    <x v="2"/>
  </r>
  <r>
    <s v="EXP102248"/>
    <s v="E014"/>
    <s v="ax468335990"/>
    <d v="2026-05-02T00:00:00"/>
    <d v="2026-05-02T00:00:00"/>
    <s v="CHIPOTLE 2214"/>
    <s v="5812"/>
    <s v="Meals"/>
    <n v="15.78"/>
    <s v="Corporate Amex"/>
    <m/>
    <s v="Y"/>
    <s v="Meals"/>
    <s v="MATCH"/>
    <x v="0"/>
  </r>
  <r>
    <s v="EXP102249"/>
    <s v="E024"/>
    <s v="AX882635411"/>
    <d v="2026-04-24T00:00:00"/>
    <d v="2026-05-03T00:00:00"/>
    <s v="REGION CATERING CO"/>
    <s v="5811"/>
    <s v="Events"/>
    <n v="354.18"/>
    <s v="Corporate Amex"/>
    <m/>
    <s v="Y"/>
    <s v="Events"/>
    <s v="MATCH"/>
    <x v="0"/>
  </r>
  <r>
    <s v="EXP102250"/>
    <s v="E036"/>
    <m/>
    <d v="2026-04-26T00:00:00"/>
    <d v="2026-05-03T00:00:00"/>
    <s v="AMAZON MKTPLACE PMTS"/>
    <s v="5942"/>
    <m/>
    <n v="351.3"/>
    <s v="Corporate Amex"/>
    <m/>
    <s v="Y"/>
    <s v="Office Supplies"/>
    <s v="BLANK"/>
    <x v="0"/>
  </r>
  <r>
    <s v="EXP102251"/>
    <s v="E245"/>
    <s v="AX 963397417"/>
    <d v="2026-04-26T00:00:00"/>
    <d v="2026-05-03T00:00:00"/>
    <s v="STARBUCKS #4471"/>
    <s v="5812"/>
    <s v="Meals"/>
    <n v="7.15"/>
    <s v="Corporate Amex"/>
    <m/>
    <s v="Y"/>
    <s v="Meals"/>
    <s v="MATCH"/>
    <x v="1"/>
  </r>
  <r>
    <s v="EXP102252"/>
    <s v="E063"/>
    <s v="AX-523515033"/>
    <d v="2026-05-03T00:00:00"/>
    <d v="2026-05-03T00:00:00"/>
    <s v="HOOTSUITE INC"/>
    <s v="5734"/>
    <s v="Software"/>
    <n v="80.92"/>
    <s v="Corporate Amex"/>
    <m/>
    <s v="Y"/>
    <s v="Software"/>
    <s v="MATCH"/>
    <x v="0"/>
  </r>
  <r>
    <s v="EXP102253"/>
    <s v="E012"/>
    <m/>
    <d v="2026-04-30T00:00:00"/>
    <d v="2026-05-03T00:00:00"/>
    <s v="TOPGOLF #442"/>
    <s v="7997"/>
    <s v="Entertainment"/>
    <n v="145.25"/>
    <s v="Personal (Reimbursement)"/>
    <s v="Amex declined - vendor doesn't accept Amex"/>
    <s v="Y"/>
    <s v="Entertainment"/>
    <s v="MATCH"/>
    <x v="0"/>
  </r>
  <r>
    <s v="EXP102254"/>
    <s v="E119"/>
    <s v="AX385321097"/>
    <d v="2026-04-23T00:00:00"/>
    <d v="2026-05-03T00:00:00"/>
    <s v="SPROUT SOCIAL"/>
    <s v="5734"/>
    <s v="  Software "/>
    <n v="121.99"/>
    <s v="Corporate Amex"/>
    <m/>
    <s v="Y"/>
    <s v="Software"/>
    <s v="MATCH"/>
    <x v="7"/>
  </r>
  <r>
    <s v="EXP102255"/>
    <s v="E026"/>
    <m/>
    <d v="2026-05-03T00:00:00"/>
    <d v="2026-05-03T00:00:00"/>
    <s v="STAPLES #0231"/>
    <s v="5943"/>
    <m/>
    <n v="104.85"/>
    <s v="Corporate Amex"/>
    <m/>
    <s v="Y"/>
    <s v="Office Supplies"/>
    <s v="BLANK"/>
    <x v="0"/>
  </r>
  <r>
    <s v="EXP102256"/>
    <s v="E057"/>
    <s v="ax428013042"/>
    <d v="2026-05-02T00:00:00"/>
    <d v="2026-05-03T00:00:00"/>
    <s v="UBER TRIP HELP.UBER"/>
    <s v="4121"/>
    <s v="Travel"/>
    <n v="41.74"/>
    <s v="Corporate Amex"/>
    <m/>
    <s v="Y"/>
    <s v="Transportation"/>
    <s v="MISMATCH"/>
    <x v="0"/>
  </r>
  <r>
    <s v="EXP102257"/>
    <s v="E021"/>
    <s v="ax850970375"/>
    <d v="2026-05-03T00:00:00"/>
    <d v="2026-05-03T00:00:00"/>
    <s v="UBER TRIP HELP.UBER"/>
    <s v="4121"/>
    <s v="Transportation"/>
    <n v="39.39"/>
    <s v="Corporate Amex"/>
    <m/>
    <s v="Y"/>
    <s v="Transportation"/>
    <s v="MATCH"/>
    <x v="0"/>
  </r>
  <r>
    <s v="EXP102258"/>
    <s v="E141"/>
    <s v="AX 314515919"/>
    <d v="2026-04-24T00:00:00"/>
    <d v="2026-05-03T00:00:00"/>
    <s v="HOOTSUITE INC"/>
    <s v="5734"/>
    <s v="Software"/>
    <n v="205.9"/>
    <s v="Corporate Amex"/>
    <m/>
    <s v="Y"/>
    <s v="Software"/>
    <s v="MATCH"/>
    <x v="7"/>
  </r>
  <r>
    <s v="EXP102259"/>
    <s v="E051"/>
    <m/>
    <d v="2026-04-23T00:00:00"/>
    <d v="2026-05-03T00:00:00"/>
    <s v="SOUTHWEST AIR 5261823"/>
    <s v="4511"/>
    <s v="Travel"/>
    <n v="468.83"/>
    <s v="Corporate Amex"/>
    <m/>
    <s v="Y"/>
    <s v="Travel"/>
    <s v="MATCH"/>
    <x v="0"/>
  </r>
  <r>
    <s v="EXP102260"/>
    <s v="E019"/>
    <s v="AX 439896894"/>
    <d v="2026-04-24T00:00:00"/>
    <d v="2026-05-03T00:00:00"/>
    <s v="SPROUT SOCIAL"/>
    <s v="5734"/>
    <s v="Software"/>
    <n v="217.34"/>
    <s v="Corporate Amex"/>
    <m/>
    <s v="Y"/>
    <s v="Software"/>
    <s v="MATCH"/>
    <x v="0"/>
  </r>
  <r>
    <s v="EXP102261"/>
    <s v="E260"/>
    <m/>
    <d v="2026-04-30T00:00:00"/>
    <d v="2026-05-03T00:00:00"/>
    <s v="OLIVE GARDEN 00456"/>
    <s v="5812"/>
    <s v="Meals"/>
    <n v="130.24"/>
    <s v="Corporate Amex"/>
    <m/>
    <s v="Y"/>
    <s v="Meals"/>
    <s v="MATCH"/>
    <x v="8"/>
  </r>
  <r>
    <s v="EXP102262"/>
    <s v="E274"/>
    <s v="AX-573864918"/>
    <d v="2026-05-01T00:00:00"/>
    <d v="2026-05-03T00:00:00"/>
    <s v="TOPGOLF #442"/>
    <s v="7997"/>
    <s v="Other"/>
    <n v="122.65"/>
    <s v="Corporate Amex"/>
    <m/>
    <s v="N"/>
    <s v="Entertainment"/>
    <s v="MISMATCH"/>
    <x v="3"/>
  </r>
  <r>
    <s v="EXP102263"/>
    <s v="E015"/>
    <m/>
    <d v="2026-04-29T00:00:00"/>
    <d v="2026-05-03T00:00:00"/>
    <s v="EVENTBRITE"/>
    <s v="7999"/>
    <s v="Events"/>
    <n v="98.3"/>
    <s v="Personal (Reimbursement)"/>
    <s v="Amex declined - vendor doesn't accept Amex"/>
    <s v="Y"/>
    <s v="Events"/>
    <s v="MATCH"/>
    <x v="0"/>
  </r>
  <r>
    <s v="EXP102264"/>
    <s v="E023"/>
    <s v="AX704146090"/>
    <d v="2026-04-25T00:00:00"/>
    <d v="2026-05-03T00:00:00"/>
    <s v="HILTON GARDEN INN 2231"/>
    <s v="7011"/>
    <s v="Lodging"/>
    <n v="274.89"/>
    <s v="Corporate Amex"/>
    <m/>
    <s v="N"/>
    <s v="Lodging"/>
    <s v="MATCH"/>
    <x v="0"/>
  </r>
  <r>
    <s v="EXP102265"/>
    <s v="E093"/>
    <s v="AX 459712938"/>
    <d v="2026-05-01T00:00:00"/>
    <d v="2026-05-03T00:00:00"/>
    <s v="CHIPOTLE 2214"/>
    <s v="5812"/>
    <s v="Meals"/>
    <n v="11.59"/>
    <s v="Corporate Amex"/>
    <m/>
    <s v="Y"/>
    <s v="Meals"/>
    <s v="MATCH"/>
    <x v="2"/>
  </r>
  <r>
    <s v="EXP102266"/>
    <s v="E200"/>
    <s v="ax324397747"/>
    <d v="2026-04-24T00:00:00"/>
    <d v="2026-05-03T00:00:00"/>
    <s v="TOTAL PARTY RENTAL"/>
    <s v="7999"/>
    <s v="Events"/>
    <n v="169.12"/>
    <s v="Corporate Amex"/>
    <m/>
    <s v="Y"/>
    <s v="Events"/>
    <s v="MATCH"/>
    <x v="5"/>
  </r>
  <r>
    <s v="EXP102267"/>
    <s v="E032"/>
    <s v="AX188427821"/>
    <d v="2026-05-03T00:00:00"/>
    <d v="2026-05-03T00:00:00"/>
    <s v="HOOTSUITE INC"/>
    <s v="5734"/>
    <s v="Software"/>
    <n v="209.96"/>
    <s v="Corporate Amex"/>
    <m/>
    <s v="Y"/>
    <s v="Software"/>
    <s v="MATCH"/>
    <x v="0"/>
  </r>
  <r>
    <s v="EXP102268"/>
    <s v="E062"/>
    <s v="AX801489387"/>
    <d v="2026-04-28T00:00:00"/>
    <d v="2026-05-03T00:00:00"/>
    <s v="LYFT RIDE THU"/>
    <s v="4121"/>
    <s v="Transportation"/>
    <n v="48.62"/>
    <s v="Corporate Amex"/>
    <m/>
    <s v="Y"/>
    <s v="Transportation"/>
    <s v="MATCH"/>
    <x v="0"/>
  </r>
  <r>
    <s v="EXP102269"/>
    <s v="E197"/>
    <s v="AX-133758960"/>
    <d v="2026-05-02T00:00:00"/>
    <d v="2026-05-04T00:00:00"/>
    <s v="EVENTBRITE"/>
    <s v="7999"/>
    <s v="Events"/>
    <n v="139.84"/>
    <s v="Corporate Amex"/>
    <m/>
    <s v="Y"/>
    <s v="Events"/>
    <s v="MATCH"/>
    <x v="5"/>
  </r>
  <r>
    <s v="EXP102270"/>
    <s v="E028"/>
    <s v="ax865859717"/>
    <d v="2026-04-29T00:00:00"/>
    <d v="2026-05-04T00:00:00"/>
    <s v="REGION CATERING CO"/>
    <s v="5811"/>
    <s v="Events"/>
    <n v="586.16"/>
    <s v="Corporate Amex"/>
    <m/>
    <s v="Y"/>
    <s v="Events"/>
    <s v="MATCH"/>
    <x v="0"/>
  </r>
  <r>
    <s v="EXP102271"/>
    <s v="E098"/>
    <s v="AX-286626383"/>
    <d v="2026-04-30T00:00:00"/>
    <d v="2026-05-04T00:00:00"/>
    <s v="REGION CATERING CO"/>
    <s v="5811"/>
    <s v="Events"/>
    <n v="633.02"/>
    <s v="Corporate Amex"/>
    <m/>
    <s v="Y"/>
    <s v="Events"/>
    <s v="MATCH"/>
    <x v="2"/>
  </r>
  <r>
    <s v="EXP102272"/>
    <s v="E022"/>
    <m/>
    <d v="2026-05-01T00:00:00"/>
    <d v="2026-05-04T00:00:00"/>
    <s v="YELLOW CAB CO"/>
    <s v="4121"/>
    <s v="Transportation"/>
    <n v="14.78"/>
    <s v="Personal (Reimbursement)"/>
    <s v="Card not yet issued"/>
    <s v="Y"/>
    <s v="Transportation"/>
    <s v="MATCH"/>
    <x v="0"/>
  </r>
  <r>
    <s v="EXP102273"/>
    <s v="E177"/>
    <s v="AX701868664"/>
    <d v="2026-05-04T00:00:00"/>
    <d v="2026-05-04T00:00:00"/>
    <s v="TOTAL PARTY RENTAL"/>
    <s v="7999"/>
    <s v="  Events "/>
    <n v="168.04"/>
    <s v="Corporate Amex"/>
    <m/>
    <s v="Y"/>
    <s v="Events"/>
    <s v="MATCH"/>
    <x v="6"/>
  </r>
  <r>
    <s v="EXP102274"/>
    <s v="E019"/>
    <s v="ax249242413"/>
    <d v="2026-04-29T00:00:00"/>
    <d v="2026-05-04T00:00:00"/>
    <s v="SQ *THE CORNER BISTRO"/>
    <s v="5812"/>
    <s v="Meals"/>
    <n v="28.91"/>
    <s v="Corporate Amex"/>
    <m/>
    <s v="Y"/>
    <s v="Meals"/>
    <s v="MATCH"/>
    <x v="0"/>
  </r>
  <r>
    <s v="EXP102275"/>
    <s v="E066"/>
    <s v="AX 550469428"/>
    <d v="2026-04-26T00:00:00"/>
    <d v="2026-05-04T00:00:00"/>
    <s v="REGION CATERING CO"/>
    <s v="5811"/>
    <s v="Events"/>
    <n v="532.80999999999995"/>
    <s v="Corporate Amex"/>
    <m/>
    <s v="Y"/>
    <s v="Events"/>
    <s v="MATCH"/>
    <x v="0"/>
  </r>
  <r>
    <s v="EXP102276"/>
    <s v="E005"/>
    <s v="AX846727869"/>
    <d v="2026-04-28T00:00:00"/>
    <d v="2026-05-04T00:00:00"/>
    <s v="AMC THEATRES 0021"/>
    <s v="7832"/>
    <s v="Entertainment"/>
    <n v="30.73"/>
    <s v="Corporate Amex"/>
    <m/>
    <s v="Y"/>
    <s v="Entertainment"/>
    <s v="MATCH"/>
    <x v="0"/>
  </r>
  <r>
    <s v="EXP102277"/>
    <s v="E136"/>
    <s v="ax956887999"/>
    <d v="2026-04-29T00:00:00"/>
    <d v="2026-05-04T00:00:00"/>
    <s v="TOTAL PARTY RENTAL"/>
    <s v="7999"/>
    <s v="Events"/>
    <n v="427.55"/>
    <s v="Corporate Amex"/>
    <m/>
    <s v="Y"/>
    <s v="Events"/>
    <s v="MATCH"/>
    <x v="7"/>
  </r>
  <r>
    <s v="EXP102278"/>
    <s v="E136"/>
    <s v="ax418401939"/>
    <d v="2026-05-02T00:00:00"/>
    <d v="2026-05-04T00:00:00"/>
    <s v="YELLOW CAB CO"/>
    <s v="4121"/>
    <s v="Transportation"/>
    <n v="52.1"/>
    <s v="Corporate Amex"/>
    <m/>
    <s v="Y"/>
    <s v="Transportation"/>
    <s v="MATCH"/>
    <x v="7"/>
  </r>
  <r>
    <s v="EXP102279"/>
    <s v="E035"/>
    <s v="AX-713655900"/>
    <d v="2026-05-01T00:00:00"/>
    <d v="2026-05-04T00:00:00"/>
    <s v="AMAZON MKTPLACE PMTS"/>
    <s v="5942"/>
    <s v="Office Supplies"/>
    <n v="45.15"/>
    <s v="Corporate Amex"/>
    <m/>
    <s v="Y"/>
    <s v="Office Supplies"/>
    <s v="MATCH"/>
    <x v="0"/>
  </r>
  <r>
    <s v="EXP102280"/>
    <s v="E182"/>
    <s v="AX379994517"/>
    <d v="2026-04-24T00:00:00"/>
    <d v="2026-05-04T00:00:00"/>
    <s v="SQ *JOES COFFEE"/>
    <s v="5812"/>
    <s v="Meals"/>
    <n v="13.99"/>
    <s v="Corporate Amex"/>
    <m/>
    <s v="Y"/>
    <s v="Meals"/>
    <s v="MATCH"/>
    <x v="5"/>
  </r>
  <r>
    <s v="EXP102281"/>
    <s v="E126"/>
    <s v="ax950438079"/>
    <d v="2026-04-27T00:00:00"/>
    <d v="2026-05-04T00:00:00"/>
    <s v="OLIVE GARDEN 00456"/>
    <s v="5812"/>
    <s v="Meals"/>
    <n v="32.380000000000003"/>
    <s v="Corporate Amex"/>
    <m/>
    <s v="Y"/>
    <s v="Meals"/>
    <s v="MATCH"/>
    <x v="7"/>
  </r>
  <r>
    <s v="EXP102282"/>
    <s v="E255"/>
    <s v="AX291647774"/>
    <d v="2026-04-29T00:00:00"/>
    <d v="2026-05-04T00:00:00"/>
    <s v="BRANDWATCH LTD"/>
    <s v="5734"/>
    <m/>
    <n v="596.83000000000004"/>
    <s v="Corporate Amex"/>
    <m/>
    <s v="N"/>
    <s v="Software"/>
    <s v="BLANK"/>
    <x v="8"/>
  </r>
  <r>
    <s v="EXP102283"/>
    <s v="E043"/>
    <s v="ax963460471"/>
    <d v="2026-04-24T00:00:00"/>
    <d v="2026-05-04T00:00:00"/>
    <s v="TOPGOLF #442"/>
    <s v="7997"/>
    <s v="Entertainment"/>
    <n v="98.38"/>
    <s v="Corporate Amex"/>
    <m/>
    <s v="Y"/>
    <s v="Entertainment"/>
    <s v="MATCH"/>
    <x v="0"/>
  </r>
  <r>
    <s v="EXP102284"/>
    <s v="E059"/>
    <s v="AX824099554"/>
    <d v="2026-04-27T00:00:00"/>
    <d v="2026-05-04T00:00:00"/>
    <s v="SPROUT SOCIAL"/>
    <s v="5734"/>
    <m/>
    <n v="236.5"/>
    <s v="Corporate Amex"/>
    <m/>
    <s v="Y"/>
    <s v="Software"/>
    <s v="BLANK"/>
    <x v="0"/>
  </r>
  <r>
    <s v="EXP102285"/>
    <s v="E016"/>
    <m/>
    <d v="2026-05-01T00:00:00"/>
    <d v="2026-05-05T00:00:00"/>
    <s v="UNITED AIRLINES 0162233"/>
    <s v="4511"/>
    <s v="Travel"/>
    <n v="380.86"/>
    <s v="Personal (Reimbursement)"/>
    <s v="Card not yet issued"/>
    <s v="Y"/>
    <s v="Travel"/>
    <s v="MATCH"/>
    <x v="0"/>
  </r>
  <r>
    <s v="EXP102286"/>
    <s v="E185"/>
    <s v="ax516236197"/>
    <d v="2026-04-25T00:00:00"/>
    <d v="2026-05-05T00:00:00"/>
    <s v="AMAZON MKTPLACE PMTS"/>
    <s v="5942"/>
    <s v="Office Supplies"/>
    <n v="148.29"/>
    <s v="Corporate Amex"/>
    <m/>
    <s v="Y"/>
    <s v="Office Supplies"/>
    <s v="MATCH"/>
    <x v="5"/>
  </r>
  <r>
    <s v="EXP102287"/>
    <s v="E034"/>
    <s v="AX 525248691"/>
    <d v="2026-05-04T00:00:00"/>
    <d v="2026-05-05T00:00:00"/>
    <s v="BRANDWATCH LTD"/>
    <s v="5734"/>
    <s v="Software"/>
    <n v="399.72"/>
    <s v="Corporate Amex"/>
    <m/>
    <s v="Y"/>
    <s v="Software"/>
    <s v="MATCH"/>
    <x v="0"/>
  </r>
  <r>
    <s v="EXP102288"/>
    <s v="E050"/>
    <m/>
    <d v="2026-04-26T00:00:00"/>
    <d v="2026-05-05T00:00:00"/>
    <s v="LYFT RIDE THU"/>
    <s v="4121"/>
    <s v="Transportation"/>
    <n v="18.14"/>
    <s v="Personal (Reimbursement)"/>
    <s v="Forgot corporate card"/>
    <s v="Y"/>
    <s v="Transportation"/>
    <s v="MATCH"/>
    <x v="0"/>
  </r>
  <r>
    <s v="EXP102289"/>
    <s v="E204"/>
    <s v="AX 883518237"/>
    <d v="2026-04-26T00:00:00"/>
    <d v="2026-05-05T00:00:00"/>
    <s v="TOPGOLF #442"/>
    <s v="7997"/>
    <s v="Entertainment"/>
    <n v="111.41"/>
    <s v="Corporate Amex"/>
    <m/>
    <s v="Y"/>
    <s v="Entertainment"/>
    <s v="MATCH"/>
    <x v="5"/>
  </r>
  <r>
    <s v="EXP102290"/>
    <s v="E220"/>
    <m/>
    <d v="2026-05-01T00:00:00"/>
    <d v="2026-05-05T00:00:00"/>
    <s v="STAPLES #0231"/>
    <s v="5943"/>
    <s v="  Office Supplies "/>
    <n v="39.36"/>
    <s v="Corporate Amex"/>
    <m/>
    <s v="N"/>
    <s v="Office Supplies"/>
    <s v="MATCH"/>
    <x v="4"/>
  </r>
  <r>
    <s v="EXP102291"/>
    <s v="E212"/>
    <s v="AX346735711"/>
    <d v="2026-04-30T00:00:00"/>
    <d v="2026-05-05T00:00:00"/>
    <s v="AMC THEATRES 0021"/>
    <s v="7832"/>
    <s v="Entertainment"/>
    <n v="53.46"/>
    <s v="Corporate Amex"/>
    <m/>
    <s v="Y"/>
    <s v="Entertainment"/>
    <s v="MATCH"/>
    <x v="4"/>
  </r>
  <r>
    <s v="EXP102292"/>
    <s v="E113"/>
    <m/>
    <d v="2026-05-05T00:00:00"/>
    <d v="2026-05-05T00:00:00"/>
    <s v="PANERA BREAD #0231"/>
    <s v="5812"/>
    <s v="Meals"/>
    <n v="25.25"/>
    <s v="Corporate Amex"/>
    <m/>
    <s v="Y"/>
    <s v="Meals"/>
    <s v="MATCH"/>
    <x v="2"/>
  </r>
  <r>
    <s v="EXP102293"/>
    <s v="E019"/>
    <s v="AX-385779100"/>
    <d v="2026-04-27T00:00:00"/>
    <d v="2026-05-05T00:00:00"/>
    <s v="SOUTHWEST AIR 5261823"/>
    <s v="4511"/>
    <s v="  Travel "/>
    <n v="399.81"/>
    <s v="Corporate Amex"/>
    <m/>
    <s v="Y"/>
    <s v="Travel"/>
    <s v="MATCH"/>
    <x v="0"/>
  </r>
  <r>
    <s v="EXP102294"/>
    <s v="E024"/>
    <s v="AX121684368"/>
    <d v="2026-04-27T00:00:00"/>
    <d v="2026-05-05T00:00:00"/>
    <s v="STARBUCKS #4471"/>
    <s v="5812"/>
    <s v="Meals"/>
    <n v="11.97"/>
    <s v="Corporate Amex"/>
    <m/>
    <s v="Y"/>
    <s v="Meals"/>
    <s v="MATCH"/>
    <x v="0"/>
  </r>
  <r>
    <s v="EXP102295"/>
    <s v="E132"/>
    <s v="AX217546627"/>
    <d v="2026-05-02T00:00:00"/>
    <d v="2026-05-05T00:00:00"/>
    <s v="ADOBE *CREATIVE CLOUD"/>
    <s v="5734"/>
    <s v="Software"/>
    <n v="35.67"/>
    <s v="Corporate Amex"/>
    <m/>
    <s v="Y"/>
    <s v="Software"/>
    <s v="MATCH"/>
    <x v="7"/>
  </r>
  <r>
    <s v="EXP102296"/>
    <s v="E258"/>
    <s v="AX658558665"/>
    <d v="2026-04-28T00:00:00"/>
    <d v="2026-05-05T00:00:00"/>
    <s v="OLIVE GARDEN 00456"/>
    <s v="5812"/>
    <s v="Meals"/>
    <n v="30.35"/>
    <s v="Corporate Amex"/>
    <m/>
    <s v="Y"/>
    <s v="Meals"/>
    <s v="MATCH"/>
    <x v="8"/>
  </r>
  <r>
    <s v="EXP102297"/>
    <s v="E134"/>
    <s v="ax271065052"/>
    <d v="2026-04-26T00:00:00"/>
    <d v="2026-05-05T00:00:00"/>
    <s v="AMAZON MKTPLACE PMTS"/>
    <s v="5942"/>
    <s v="Office Supplies"/>
    <n v="254.71"/>
    <s v="Corporate Amex"/>
    <m/>
    <s v="Y"/>
    <s v="Office Supplies"/>
    <s v="MATCH"/>
    <x v="7"/>
  </r>
  <r>
    <s v="EXP102298"/>
    <s v="E198"/>
    <s v="AX333512534"/>
    <d v="2026-05-04T00:00:00"/>
    <d v="2026-05-05T00:00:00"/>
    <s v="TOTAL PARTY RENTAL"/>
    <s v="7999"/>
    <s v="  Events "/>
    <n v="463.77"/>
    <s v="Corporate Amex"/>
    <m/>
    <s v="Y"/>
    <s v="Events"/>
    <s v="MATCH"/>
    <x v="5"/>
  </r>
  <r>
    <s v="EXP102299"/>
    <s v="E011"/>
    <s v="ax861159094"/>
    <d v="2026-04-26T00:00:00"/>
    <d v="2026-05-05T00:00:00"/>
    <s v="AMC THEATRES 0021"/>
    <s v="7832"/>
    <s v="Entertainment"/>
    <n v="55.77"/>
    <s v="Corporate Amex"/>
    <m/>
    <s v="Y"/>
    <s v="Entertainment"/>
    <s v="MATCH"/>
    <x v="0"/>
  </r>
  <r>
    <s v="EXP102300"/>
    <s v="E251"/>
    <s v="AX231164055"/>
    <d v="2026-04-29T00:00:00"/>
    <d v="2026-05-05T00:00:00"/>
    <s v="SPROUT SOCIAL"/>
    <s v="5734"/>
    <s v="Software"/>
    <n v="192.77"/>
    <s v="Corporate Amex"/>
    <m/>
    <s v="N"/>
    <s v="Software"/>
    <s v="MATCH"/>
    <x v="1"/>
  </r>
  <r>
    <s v="EXP102301"/>
    <s v="E274"/>
    <s v="AX-547323664"/>
    <d v="2026-05-03T00:00:00"/>
    <d v="2026-05-05T00:00:00"/>
    <s v="ADOBE *CREATIVE CLOUD"/>
    <s v="5734"/>
    <s v="Software"/>
    <n v="50.09"/>
    <s v="Corporate Amex"/>
    <m/>
    <s v="Y"/>
    <s v="Software"/>
    <s v="MATCH"/>
    <x v="3"/>
  </r>
  <r>
    <s v="EXP102302"/>
    <s v="E128"/>
    <s v="AX374177327"/>
    <d v="2026-05-05T00:00:00"/>
    <d v="2026-05-05T00:00:00"/>
    <s v="HOOTSUITE INC"/>
    <s v="5734"/>
    <s v="Software"/>
    <n v="219.53"/>
    <s v="Corporate Amex"/>
    <m/>
    <s v="Y"/>
    <s v="Software"/>
    <s v="MATCH"/>
    <x v="7"/>
  </r>
  <r>
    <s v="EXP102303"/>
    <s v="E017"/>
    <m/>
    <d v="2026-04-30T00:00:00"/>
    <d v="2026-05-05T00:00:00"/>
    <s v="BRANDWATCH LTD"/>
    <s v="5734"/>
    <s v="Software"/>
    <n v="204.3"/>
    <s v="Corporate Amex"/>
    <m/>
    <s v="Y"/>
    <s v="Software"/>
    <s v="MATCH"/>
    <x v="0"/>
  </r>
  <r>
    <s v="EXP102304"/>
    <s v="E017"/>
    <s v="AX728442789"/>
    <d v="2026-04-30T00:00:00"/>
    <d v="2026-05-05T00:00:00"/>
    <s v="AMC THEATRES 0021"/>
    <s v="7832"/>
    <s v="Entertainment"/>
    <n v="32.200000000000003"/>
    <s v="Corporate Amex"/>
    <m/>
    <s v="N"/>
    <s v="Entertainment"/>
    <s v="MATCH"/>
    <x v="0"/>
  </r>
  <r>
    <s v="EXP102305"/>
    <s v="E090"/>
    <s v="AX389634447"/>
    <d v="2026-05-01T00:00:00"/>
    <d v="2026-05-05T00:00:00"/>
    <s v="STARBUCKS #4471"/>
    <s v="5812"/>
    <s v="Meals"/>
    <n v="10.31"/>
    <s v="Corporate Amex"/>
    <m/>
    <s v="Y"/>
    <s v="Meals"/>
    <s v="MATCH"/>
    <x v="2"/>
  </r>
  <r>
    <s v="EXP102306"/>
    <s v="E023"/>
    <s v="AX189348097"/>
    <d v="2026-05-05T00:00:00"/>
    <d v="2026-05-05T00:00:00"/>
    <s v="HYATT REGENCY BOS"/>
    <s v="7011"/>
    <s v="Lodging"/>
    <n v="365.07"/>
    <s v="Corporate Amex"/>
    <m/>
    <s v="Y"/>
    <s v="Lodging"/>
    <s v="MATCH"/>
    <x v="0"/>
  </r>
  <r>
    <s v="EXP102307"/>
    <s v="E007"/>
    <s v="AX287393062"/>
    <d v="2026-04-29T00:00:00"/>
    <d v="2026-05-06T00:00:00"/>
    <s v="STARBUCKS #4471"/>
    <s v="5812"/>
    <s v="Meals"/>
    <n v="17.95"/>
    <s v="Corporate Amex"/>
    <m/>
    <s v="Y"/>
    <s v="Meals"/>
    <s v="MATCH"/>
    <x v="0"/>
  </r>
  <r>
    <s v="EXP102308"/>
    <s v="E080"/>
    <s v="AX496844057"/>
    <d v="2026-05-02T00:00:00"/>
    <d v="2026-05-06T00:00:00"/>
    <s v="AMAZON MKTPLACE PMTS"/>
    <s v="5942"/>
    <s v="Office Supplies"/>
    <n v="153.63999999999999"/>
    <s v="Corporate Amex"/>
    <m/>
    <s v="Y"/>
    <s v="Office Supplies"/>
    <s v="MATCH"/>
    <x v="2"/>
  </r>
  <r>
    <s v="EXP102309"/>
    <s v="E139"/>
    <s v="AX947310125"/>
    <d v="2026-05-05T00:00:00"/>
    <d v="2026-05-06T00:00:00"/>
    <s v="EVENTBRITE"/>
    <s v="7999"/>
    <s v="Events"/>
    <n v="256.89"/>
    <s v="Corporate Amex"/>
    <m/>
    <s v="Y"/>
    <s v="Events"/>
    <s v="MATCH"/>
    <x v="7"/>
  </r>
  <r>
    <s v="EXP102310"/>
    <s v="E045"/>
    <s v="AX769769466"/>
    <d v="2026-04-30T00:00:00"/>
    <d v="2026-05-06T00:00:00"/>
    <s v="ADOBE *CREATIVE CLOUD"/>
    <s v="5734"/>
    <s v="Software"/>
    <n v="31.54"/>
    <s v="Corporate Amex"/>
    <m/>
    <s v="Y"/>
    <s v="Software"/>
    <s v="MATCH"/>
    <x v="0"/>
  </r>
  <r>
    <s v="EXP102311"/>
    <s v="E005"/>
    <s v="AX 372585384"/>
    <d v="2026-05-05T00:00:00"/>
    <d v="2026-05-06T00:00:00"/>
    <s v="OLIVE GARDEN 00456"/>
    <s v="5812"/>
    <s v="Meals"/>
    <n v="56.19"/>
    <s v="Corporate Amex"/>
    <m/>
    <s v="N"/>
    <s v="Meals"/>
    <s v="MATCH"/>
    <x v="0"/>
  </r>
  <r>
    <s v="EXP102312"/>
    <s v="E102"/>
    <s v="AX902789224"/>
    <d v="2026-05-02T00:00:00"/>
    <d v="2026-05-06T00:00:00"/>
    <s v="REGION CATERING CO"/>
    <s v="5811"/>
    <s v="Events"/>
    <n v="349.45"/>
    <s v="Corporate Amex"/>
    <m/>
    <s v="Y"/>
    <s v="Events"/>
    <s v="MATCH"/>
    <x v="2"/>
  </r>
  <r>
    <s v="EXP102313"/>
    <s v="E024"/>
    <s v="AX-454402500"/>
    <d v="2026-04-30T00:00:00"/>
    <d v="2026-05-06T00:00:00"/>
    <s v="SQ *THE CORNER BISTRO"/>
    <s v="5812"/>
    <s v="Meals"/>
    <n v="58.09"/>
    <s v="Corporate Amex"/>
    <m/>
    <s v="Y"/>
    <s v="Meals"/>
    <s v="MATCH"/>
    <x v="0"/>
  </r>
  <r>
    <s v="EXP102314"/>
    <s v="E089"/>
    <s v="ax536396196"/>
    <d v="2026-05-03T00:00:00"/>
    <d v="2026-05-06T00:00:00"/>
    <s v="BRANDWATCH LTD"/>
    <s v="5734"/>
    <s v="Software"/>
    <n v="219.95"/>
    <s v="Corporate Amex"/>
    <m/>
    <s v="N"/>
    <s v="Software"/>
    <s v="MATCH"/>
    <x v="2"/>
  </r>
  <r>
    <s v="EXP102315"/>
    <s v="E029"/>
    <s v="ax670032147"/>
    <d v="2026-04-29T00:00:00"/>
    <d v="2026-05-06T00:00:00"/>
    <s v="ZOOM.US"/>
    <s v="5734"/>
    <s v="Software"/>
    <n v="16.34"/>
    <s v="Corporate Amex"/>
    <m/>
    <s v="Y"/>
    <s v="Software"/>
    <s v="MATCH"/>
    <x v="0"/>
  </r>
  <r>
    <s v="EXP102316"/>
    <s v="E042"/>
    <s v="ax376773004"/>
    <d v="2026-04-30T00:00:00"/>
    <d v="2026-05-06T00:00:00"/>
    <s v="MICROSOFT*365"/>
    <s v="5734"/>
    <s v="Software"/>
    <n v="16.88"/>
    <s v="Corporate Amex"/>
    <m/>
    <s v="Y"/>
    <s v="Software"/>
    <s v="MATCH"/>
    <x v="0"/>
  </r>
  <r>
    <s v="EXP102317"/>
    <s v="E035"/>
    <s v="AX340753573"/>
    <d v="2026-05-06T00:00:00"/>
    <d v="2026-05-06T00:00:00"/>
    <s v="TOPGOLF #442"/>
    <s v="7997"/>
    <s v="Entertainment"/>
    <n v="167.15"/>
    <s v="Corporate Amex"/>
    <m/>
    <s v="Y"/>
    <s v="Entertainment"/>
    <s v="MATCH"/>
    <x v="0"/>
  </r>
  <r>
    <s v="EXP102318"/>
    <s v="E065"/>
    <s v="AX 981233180"/>
    <d v="2026-05-03T00:00:00"/>
    <d v="2026-05-06T00:00:00"/>
    <s v="ZOOM.US"/>
    <s v="5734"/>
    <s v="  Software "/>
    <n v="17.239999999999998"/>
    <s v="Corporate Amex"/>
    <m/>
    <s v="Y"/>
    <s v="Software"/>
    <s v="MATCH"/>
    <x v="0"/>
  </r>
  <r>
    <s v="EXP102319"/>
    <s v="E161"/>
    <s v="ax296306325"/>
    <d v="2026-05-04T00:00:00"/>
    <d v="2026-05-06T00:00:00"/>
    <s v="ADOBE *CREATIVE CLOUD"/>
    <s v="5734"/>
    <s v="Software"/>
    <n v="45.14"/>
    <s v="Corporate Amex"/>
    <m/>
    <s v="Y"/>
    <s v="Software"/>
    <s v="MATCH"/>
    <x v="6"/>
  </r>
  <r>
    <s v="EXP102320"/>
    <s v="E027"/>
    <s v="AX-638872557"/>
    <d v="2026-05-04T00:00:00"/>
    <d v="2026-05-06T00:00:00"/>
    <s v="TOTAL PARTY RENTAL"/>
    <s v="7999"/>
    <s v="Events"/>
    <n v="395.1"/>
    <s v="Corporate Amex"/>
    <m/>
    <s v="Y"/>
    <s v="Events"/>
    <s v="MATCH"/>
    <x v="0"/>
  </r>
  <r>
    <s v="EXP102321"/>
    <s v="E095"/>
    <s v="ax852401417"/>
    <d v="2026-04-29T00:00:00"/>
    <d v="2026-05-06T00:00:00"/>
    <s v="SOUTHWEST AIR 5261823"/>
    <s v="4511"/>
    <m/>
    <n v="341.42"/>
    <s v="Corporate Amex"/>
    <m/>
    <s v="Y"/>
    <s v="Travel"/>
    <s v="BLANK"/>
    <x v="2"/>
  </r>
  <r>
    <s v="EXP102322"/>
    <s v="E077"/>
    <s v="ax919227979"/>
    <d v="2026-04-29T00:00:00"/>
    <d v="2026-05-06T00:00:00"/>
    <s v="LYFT RIDE THU"/>
    <s v="4121"/>
    <s v="Transportation"/>
    <n v="43.19"/>
    <s v="Corporate Amex"/>
    <m/>
    <s v="N"/>
    <s v="Transportation"/>
    <s v="MATCH"/>
    <x v="2"/>
  </r>
  <r>
    <s v="EXP102323"/>
    <s v="E031"/>
    <s v="AX251034128"/>
    <d v="2026-05-01T00:00:00"/>
    <d v="2026-05-06T00:00:00"/>
    <s v="HYATT REGENCY BOS"/>
    <s v="7011"/>
    <s v="Lodging"/>
    <n v="470.5"/>
    <s v="Corporate Amex"/>
    <m/>
    <s v="Y"/>
    <s v="Lodging"/>
    <s v="MATCH"/>
    <x v="0"/>
  </r>
  <r>
    <s v="EXP102324"/>
    <s v="E019"/>
    <s v="AX 774044187"/>
    <d v="2026-05-05T00:00:00"/>
    <d v="2026-05-06T00:00:00"/>
    <s v="HYATT REGENCY BOS"/>
    <s v="7011"/>
    <s v="Lodging"/>
    <n v="341.93"/>
    <s v="Corporate Amex"/>
    <m/>
    <s v="Y"/>
    <s v="Lodging"/>
    <s v="MATCH"/>
    <x v="0"/>
  </r>
  <r>
    <s v="EXP102325"/>
    <s v="E006"/>
    <s v="AX836456528"/>
    <d v="2026-04-26T00:00:00"/>
    <d v="2026-05-06T00:00:00"/>
    <s v="UBER TRIP HELP.UBER"/>
    <s v="4121"/>
    <s v="Transportation"/>
    <n v="24.94"/>
    <s v="Corporate Amex"/>
    <m/>
    <s v="Y"/>
    <s v="Transportation"/>
    <s v="MATCH"/>
    <x v="0"/>
  </r>
  <r>
    <s v="EXP102326"/>
    <s v="E050"/>
    <s v="AX364427708"/>
    <d v="2026-04-29T00:00:00"/>
    <d v="2026-05-07T00:00:00"/>
    <s v="AMAZON MKTPLACE PMTS"/>
    <s v="5942"/>
    <s v="Office Supplies"/>
    <n v="127.11"/>
    <s v="Corporate Amex"/>
    <m/>
    <s v="N"/>
    <s v="Office Supplies"/>
    <s v="MATCH"/>
    <x v="0"/>
  </r>
  <r>
    <s v="EXP102327"/>
    <s v="E050"/>
    <s v="ax285640264"/>
    <d v="2026-04-29T00:00:00"/>
    <d v="2026-05-07T00:00:00"/>
    <s v="AMAZON MKTPLACE PMTS"/>
    <s v="5942"/>
    <s v="Office Supplies"/>
    <n v="36.57"/>
    <s v="Corporate Amex"/>
    <m/>
    <s v="Y"/>
    <s v="Office Supplies"/>
    <s v="MATCH"/>
    <x v="0"/>
  </r>
  <r>
    <s v="EXP102328"/>
    <s v="E048"/>
    <s v="AX846540155"/>
    <d v="2026-05-04T00:00:00"/>
    <d v="2026-05-07T00:00:00"/>
    <s v="TOTAL PARTY RENTAL"/>
    <s v="7999"/>
    <s v="Events"/>
    <n v="500.1"/>
    <s v="Corporate Amex"/>
    <m/>
    <s v="Y"/>
    <s v="Events"/>
    <s v="MATCH"/>
    <x v="0"/>
  </r>
  <r>
    <s v="EXP102329"/>
    <s v="E148"/>
    <s v="AX393642923"/>
    <d v="2026-05-05T00:00:00"/>
    <d v="2026-05-07T00:00:00"/>
    <s v="UBER TRIP HELP.UBER"/>
    <s v="4121"/>
    <s v="Transportation"/>
    <n v="15.37"/>
    <s v="Corporate Amex"/>
    <m/>
    <s v="Y"/>
    <s v="Transportation"/>
    <s v="MATCH"/>
    <x v="7"/>
  </r>
  <r>
    <s v="EXP102330"/>
    <s v="E039"/>
    <s v="AX631748394"/>
    <d v="2026-05-02T00:00:00"/>
    <d v="2026-05-07T00:00:00"/>
    <s v="SQ *JOES COFFEE"/>
    <s v="5812"/>
    <s v="Meals"/>
    <n v="7.2"/>
    <s v="Corporate Amex"/>
    <m/>
    <s v="Y"/>
    <s v="Meals"/>
    <s v="MATCH"/>
    <x v="0"/>
  </r>
  <r>
    <s v="EXP102331"/>
    <s v="E116"/>
    <m/>
    <d v="2026-05-06T00:00:00"/>
    <d v="2026-05-07T00:00:00"/>
    <s v="HILTON GARDEN INN 2231"/>
    <s v="7011"/>
    <s v="Lodging"/>
    <n v="188.29"/>
    <s v="Corporate Amex"/>
    <m/>
    <s v="Y"/>
    <s v="Lodging"/>
    <s v="MATCH"/>
    <x v="7"/>
  </r>
  <r>
    <s v="EXP102332"/>
    <s v="E024"/>
    <s v="AX-538756947"/>
    <d v="2026-05-05T00:00:00"/>
    <d v="2026-05-07T00:00:00"/>
    <s v="SQ *THE CORNER BISTRO"/>
    <s v="5812"/>
    <s v="Meals"/>
    <n v="66.36"/>
    <s v="Corporate Amex"/>
    <m/>
    <s v="Y"/>
    <s v="Meals"/>
    <s v="MATCH"/>
    <x v="0"/>
  </r>
  <r>
    <s v="EXP102333"/>
    <s v="E226"/>
    <s v="AX706796052"/>
    <d v="2026-04-29T00:00:00"/>
    <d v="2026-05-07T00:00:00"/>
    <s v="UNITED AIRLINES 0162233"/>
    <s v="4511"/>
    <m/>
    <n v="487.85"/>
    <s v="Corporate Amex"/>
    <m/>
    <s v="Y"/>
    <s v="Travel"/>
    <s v="BLANK"/>
    <x v="4"/>
  </r>
  <r>
    <s v="EXP102334"/>
    <s v="E160"/>
    <s v="AX974964678"/>
    <d v="2026-04-28T00:00:00"/>
    <d v="2026-05-07T00:00:00"/>
    <s v="SPROUT SOCIAL"/>
    <s v="5734"/>
    <s v="Software"/>
    <n v="100.09"/>
    <s v="Corporate Amex"/>
    <m/>
    <s v="Y"/>
    <s v="Software"/>
    <s v="MATCH"/>
    <x v="6"/>
  </r>
  <r>
    <s v="EXP102335"/>
    <s v="E238"/>
    <m/>
    <d v="2026-05-03T00:00:00"/>
    <d v="2026-05-07T00:00:00"/>
    <s v="SPROUT SOCIAL"/>
    <s v="5734"/>
    <s v="Software"/>
    <n v="229.52"/>
    <s v="Personal (Reimbursement)"/>
    <s v="Forgot corporate card"/>
    <s v="Y"/>
    <s v="Software"/>
    <s v="MATCH"/>
    <x v="1"/>
  </r>
  <r>
    <s v="EXP102336"/>
    <s v="E066"/>
    <s v="ax134221362"/>
    <d v="2026-05-06T00:00:00"/>
    <d v="2026-05-07T00:00:00"/>
    <s v="EVENTBRITE"/>
    <s v="7999"/>
    <s v="  Events "/>
    <n v="63.75"/>
    <s v="Corporate Amex"/>
    <m/>
    <s v="Y"/>
    <s v="Events"/>
    <s v="MATCH"/>
    <x v="0"/>
  </r>
  <r>
    <s v="EXP102337"/>
    <s v="E128"/>
    <s v="AX-846688860"/>
    <d v="2026-05-04T00:00:00"/>
    <d v="2026-05-07T00:00:00"/>
    <s v="STAPLES #0231"/>
    <s v="5943"/>
    <s v="Office Supplies"/>
    <n v="74.34"/>
    <s v="Corporate Amex"/>
    <m/>
    <s v="Y"/>
    <s v="Office Supplies"/>
    <s v="MATCH"/>
    <x v="7"/>
  </r>
  <r>
    <s v="EXP102338"/>
    <s v="E012"/>
    <s v="AX130006790"/>
    <d v="2026-05-06T00:00:00"/>
    <d v="2026-05-07T00:00:00"/>
    <s v="SOUTHWEST AIR 5261823"/>
    <s v="4511"/>
    <s v="Travel"/>
    <n v="238.97"/>
    <s v="Corporate Amex"/>
    <m/>
    <s v="Y"/>
    <s v="Travel"/>
    <s v="MATCH"/>
    <x v="0"/>
  </r>
  <r>
    <s v="EXP102339"/>
    <s v="E010"/>
    <s v="AX410303379"/>
    <d v="2026-04-29T00:00:00"/>
    <d v="2026-05-07T00:00:00"/>
    <s v="STARBUCKS #4471"/>
    <s v="5812"/>
    <s v="Meals"/>
    <n v="14.05"/>
    <s v="Corporate Amex"/>
    <m/>
    <s v="Y"/>
    <s v="Meals"/>
    <s v="MATCH"/>
    <x v="0"/>
  </r>
  <r>
    <s v="EXP102340"/>
    <s v="E069"/>
    <s v="AX896700065"/>
    <d v="2026-05-05T00:00:00"/>
    <d v="2026-05-07T00:00:00"/>
    <s v="ADOBE *CREATIVE CLOUD"/>
    <s v="5734"/>
    <s v="Software"/>
    <n v="52.03"/>
    <s v="Corporate Amex"/>
    <m/>
    <s v="Y"/>
    <s v="Software"/>
    <s v="MATCH"/>
    <x v="0"/>
  </r>
  <r>
    <s v="EXP102341"/>
    <s v="E069"/>
    <s v="AX717925795"/>
    <d v="2026-05-06T00:00:00"/>
    <d v="2026-05-07T00:00:00"/>
    <s v="UBER TRIP HELP.UBER"/>
    <s v="4121"/>
    <s v="Transportation"/>
    <n v="26.24"/>
    <s v="Corporate Amex"/>
    <m/>
    <s v="Y"/>
    <s v="Transportation"/>
    <s v="MATCH"/>
    <x v="0"/>
  </r>
  <r>
    <s v="EXP102342"/>
    <s v="E034"/>
    <s v="AX 477371896"/>
    <d v="2026-05-04T00:00:00"/>
    <d v="2026-05-08T00:00:00"/>
    <s v="ZOOM.US"/>
    <s v="5734"/>
    <m/>
    <n v="54.03"/>
    <s v="Corporate Amex"/>
    <m/>
    <s v="Y"/>
    <s v="Software"/>
    <s v="BLANK"/>
    <x v="0"/>
  </r>
  <r>
    <s v="EXP102343"/>
    <s v="E245"/>
    <s v="AX589769759"/>
    <d v="2026-04-30T00:00:00"/>
    <d v="2026-05-08T00:00:00"/>
    <s v="SPROUT SOCIAL"/>
    <s v="5734"/>
    <m/>
    <n v="144.72"/>
    <s v="Corporate Amex"/>
    <m/>
    <s v="N"/>
    <s v="Software"/>
    <s v="BLANK"/>
    <x v="1"/>
  </r>
  <r>
    <s v="EXP102344"/>
    <s v="E011"/>
    <s v="AX-489706901"/>
    <d v="2026-05-04T00:00:00"/>
    <d v="2026-05-08T00:00:00"/>
    <s v="YELLOW CAB CO"/>
    <s v="4121"/>
    <s v="Transportation"/>
    <n v="57.18"/>
    <s v="Corporate Amex"/>
    <m/>
    <s v="Y"/>
    <s v="Transportation"/>
    <s v="MATCH"/>
    <x v="0"/>
  </r>
  <r>
    <s v="EXP102345"/>
    <s v="E019"/>
    <m/>
    <d v="2026-05-04T00:00:00"/>
    <d v="2026-05-08T00:00:00"/>
    <s v="ZOOM.US"/>
    <s v="5734"/>
    <s v="Software"/>
    <n v="37.200000000000003"/>
    <s v="Personal (Reimbursement)"/>
    <s v="Forgot corporate card"/>
    <s v="N"/>
    <s v="Software"/>
    <s v="MATCH"/>
    <x v="0"/>
  </r>
  <r>
    <s v="EXP102346"/>
    <s v="E059"/>
    <s v="AX282143756"/>
    <d v="2026-05-02T00:00:00"/>
    <d v="2026-05-08T00:00:00"/>
    <s v="HYATT REGENCY BOS"/>
    <s v="7011"/>
    <s v="Lodging"/>
    <n v="273.73"/>
    <s v="Corporate Amex"/>
    <m/>
    <s v="Y"/>
    <s v="Lodging"/>
    <s v="MATCH"/>
    <x v="0"/>
  </r>
  <r>
    <s v="EXP102347"/>
    <s v="E144"/>
    <s v="ax859780243"/>
    <d v="2026-05-03T00:00:00"/>
    <d v="2026-05-08T00:00:00"/>
    <s v="SQ *THE CORNER BISTRO"/>
    <s v="5812"/>
    <s v="Meals"/>
    <n v="40.57"/>
    <s v="Corporate Amex"/>
    <m/>
    <s v="Y"/>
    <s v="Meals"/>
    <s v="MATCH"/>
    <x v="7"/>
  </r>
  <r>
    <s v="EXP102348"/>
    <s v="E178"/>
    <s v="ax984978194"/>
    <d v="2026-05-01T00:00:00"/>
    <d v="2026-05-08T00:00:00"/>
    <s v="BRANDWATCH LTD"/>
    <s v="5734"/>
    <s v="Software"/>
    <n v="237.92"/>
    <s v="Corporate Amex"/>
    <m/>
    <s v="Y"/>
    <s v="Software"/>
    <s v="MATCH"/>
    <x v="6"/>
  </r>
  <r>
    <s v="EXP102349"/>
    <s v="E024"/>
    <s v="AX630687127"/>
    <d v="2026-05-02T00:00:00"/>
    <d v="2026-05-08T00:00:00"/>
    <s v="YELLOW CAB CO"/>
    <s v="4121"/>
    <s v="Transportation"/>
    <n v="46.93"/>
    <s v="Corporate Amex"/>
    <m/>
    <s v="Y"/>
    <s v="Transportation"/>
    <s v="MATCH"/>
    <x v="0"/>
  </r>
  <r>
    <s v="EXP102350"/>
    <s v="E224"/>
    <s v="AX 705140889"/>
    <d v="2026-04-28T00:00:00"/>
    <d v="2026-05-08T00:00:00"/>
    <s v="AMC THEATRES 0021"/>
    <s v="7832"/>
    <s v="Entertainment"/>
    <n v="32.49"/>
    <s v="Corporate Amex"/>
    <m/>
    <s v="Y"/>
    <s v="Entertainment"/>
    <s v="MATCH"/>
    <x v="4"/>
  </r>
  <r>
    <s v="EXP102351"/>
    <s v="E065"/>
    <m/>
    <d v="2026-05-07T00:00:00"/>
    <d v="2026-05-08T00:00:00"/>
    <s v="SPROUT SOCIAL"/>
    <s v="5734"/>
    <s v="Software"/>
    <n v="137.94999999999999"/>
    <s v="Personal (Reimbursement)"/>
    <s v="International merchant - Amex not accepted"/>
    <s v="Y"/>
    <s v="Software"/>
    <s v="MATCH"/>
    <x v="0"/>
  </r>
  <r>
    <s v="EXP102352"/>
    <s v="E050"/>
    <m/>
    <d v="2026-05-04T00:00:00"/>
    <d v="2026-05-08T00:00:00"/>
    <s v="AMAZON MKTPLACE PMTS"/>
    <s v="5942"/>
    <s v="Office Supplies"/>
    <n v="289.52"/>
    <s v="Corporate Amex"/>
    <m/>
    <s v="Y"/>
    <s v="Office Supplies"/>
    <s v="MATCH"/>
    <x v="0"/>
  </r>
  <r>
    <s v="EXP102353"/>
    <s v="E082"/>
    <s v="ax836312058"/>
    <d v="2026-05-07T00:00:00"/>
    <d v="2026-05-08T00:00:00"/>
    <s v="HOOTSUITE INC"/>
    <s v="5734"/>
    <s v="Software"/>
    <n v="173.82"/>
    <s v="Corporate Amex"/>
    <m/>
    <s v="Y"/>
    <s v="Software"/>
    <s v="MATCH"/>
    <x v="2"/>
  </r>
  <r>
    <s v="EXP102354"/>
    <s v="E157"/>
    <s v="AX649519525"/>
    <d v="2026-04-29T00:00:00"/>
    <d v="2026-05-08T00:00:00"/>
    <s v="SQ *THE CORNER BISTRO"/>
    <s v="5812"/>
    <s v="Office Supplies"/>
    <n v="72.650000000000006"/>
    <s v="Corporate Amex"/>
    <m/>
    <s v="Y"/>
    <s v="Meals"/>
    <s v="MISMATCH"/>
    <x v="6"/>
  </r>
  <r>
    <s v="EXP102355"/>
    <s v="E141"/>
    <s v="AX974625086"/>
    <d v="2026-05-06T00:00:00"/>
    <d v="2026-05-08T00:00:00"/>
    <s v="YELLOW CAB CO"/>
    <s v="4121"/>
    <s v="Transportation"/>
    <n v="44.68"/>
    <s v="Corporate Amex"/>
    <m/>
    <s v="Y"/>
    <s v="Transportation"/>
    <s v="MATCH"/>
    <x v="7"/>
  </r>
  <r>
    <s v="EXP102356"/>
    <s v="E234"/>
    <s v="AX901070346"/>
    <d v="2026-05-05T00:00:00"/>
    <d v="2026-05-08T00:00:00"/>
    <s v="SOUTHWEST AIR 5261823"/>
    <s v="4511"/>
    <s v="Travel"/>
    <n v="317.33999999999997"/>
    <s v="Corporate Amex"/>
    <m/>
    <s v="Y"/>
    <s v="Travel"/>
    <s v="MATCH"/>
    <x v="1"/>
  </r>
  <r>
    <s v="EXP102357"/>
    <s v="E198"/>
    <s v="AX503444415"/>
    <d v="2026-05-01T00:00:00"/>
    <d v="2026-05-08T00:00:00"/>
    <s v="EVENTBRITE"/>
    <s v="7999"/>
    <s v="Entertainment"/>
    <n v="241.72"/>
    <s v="Corporate Amex"/>
    <m/>
    <s v="Y"/>
    <s v="Events"/>
    <s v="MISMATCH"/>
    <x v="5"/>
  </r>
  <r>
    <s v="EXP102358"/>
    <s v="E125"/>
    <s v="AX904976208"/>
    <d v="2026-04-28T00:00:00"/>
    <d v="2026-05-08T00:00:00"/>
    <s v="REGION CATERING CO"/>
    <s v="5811"/>
    <s v="Events"/>
    <n v="565.53"/>
    <s v="Corporate Amex"/>
    <m/>
    <s v="Y"/>
    <s v="Events"/>
    <s v="MATCH"/>
    <x v="7"/>
  </r>
  <r>
    <s v="EXP102359"/>
    <s v="E045"/>
    <m/>
    <d v="2026-05-04T00:00:00"/>
    <d v="2026-05-09T00:00:00"/>
    <s v="LYFT RIDE THU"/>
    <s v="4121"/>
    <s v="  Transportation "/>
    <n v="15.85"/>
    <s v="Corporate Amex"/>
    <m/>
    <s v="Y"/>
    <s v="Transportation"/>
    <s v="MATCH"/>
    <x v="0"/>
  </r>
  <r>
    <s v="EXP102360"/>
    <s v="E075"/>
    <s v="AX323855851"/>
    <d v="2026-05-04T00:00:00"/>
    <d v="2026-05-09T00:00:00"/>
    <s v="AMC THEATRES 0021"/>
    <s v="7832"/>
    <s v="Entertainment"/>
    <n v="59"/>
    <s v="Corporate Amex"/>
    <m/>
    <s v="Y"/>
    <s v="Entertainment"/>
    <s v="MATCH"/>
    <x v="2"/>
  </r>
  <r>
    <s v="EXP102361"/>
    <s v="E101"/>
    <s v="AX 824211787"/>
    <d v="2026-05-09T00:00:00"/>
    <d v="2026-05-09T00:00:00"/>
    <s v="PANERA BREAD #0231"/>
    <s v="5812"/>
    <s v="Meals"/>
    <n v="18.5"/>
    <s v="Corporate Amex"/>
    <m/>
    <s v="Y"/>
    <s v="Meals"/>
    <s v="MATCH"/>
    <x v="2"/>
  </r>
  <r>
    <s v="EXP102362"/>
    <s v="E098"/>
    <s v="AX 456247550"/>
    <d v="2026-05-05T00:00:00"/>
    <d v="2026-05-09T00:00:00"/>
    <s v="HOOTSUITE INC"/>
    <s v="5734"/>
    <s v="Software"/>
    <n v="182.76"/>
    <s v="Corporate Amex"/>
    <m/>
    <s v="Y"/>
    <s v="Software"/>
    <s v="MATCH"/>
    <x v="2"/>
  </r>
  <r>
    <s v="EXP102363"/>
    <s v="E037"/>
    <m/>
    <d v="2026-05-08T00:00:00"/>
    <d v="2026-05-09T00:00:00"/>
    <s v="SQ *THE CORNER BISTRO"/>
    <s v="5812"/>
    <s v="Meals"/>
    <n v="41.65"/>
    <s v="Corporate Amex"/>
    <m/>
    <s v="Y"/>
    <s v="Meals"/>
    <s v="MATCH"/>
    <x v="0"/>
  </r>
  <r>
    <s v="EXP102364"/>
    <s v="E250"/>
    <m/>
    <d v="2026-05-03T00:00:00"/>
    <d v="2026-05-09T00:00:00"/>
    <s v="REGION CATERING CO"/>
    <s v="5811"/>
    <s v="Events"/>
    <n v="525.55999999999995"/>
    <s v="Corporate Amex"/>
    <m/>
    <s v="Y"/>
    <s v="Events"/>
    <s v="MATCH"/>
    <x v="1"/>
  </r>
  <r>
    <s v="EXP102366"/>
    <s v="E019"/>
    <s v="ax830278947"/>
    <d v="2026-05-03T00:00:00"/>
    <d v="2026-05-09T00:00:00"/>
    <s v="BRANDWATCH LTD"/>
    <s v="5734"/>
    <s v="Software"/>
    <n v="346.82"/>
    <s v="Corporate Amex"/>
    <m/>
    <s v="N"/>
    <s v="Software"/>
    <s v="MATCH"/>
    <x v="0"/>
  </r>
  <r>
    <s v="EXP102367"/>
    <s v="E015"/>
    <s v="AX121576441"/>
    <d v="2026-04-29T00:00:00"/>
    <d v="2026-05-09T00:00:00"/>
    <s v="AMC THEATRES 0021"/>
    <s v="7832"/>
    <s v="Entertainment"/>
    <n v="25.3"/>
    <s v="Corporate Amex"/>
    <m/>
    <s v="Y"/>
    <s v="Entertainment"/>
    <s v="MATCH"/>
    <x v="0"/>
  </r>
  <r>
    <s v="EXP102368"/>
    <s v="E206"/>
    <s v="AX739350461"/>
    <d v="2026-04-30T00:00:00"/>
    <d v="2026-05-09T00:00:00"/>
    <s v="MICROSOFT*365"/>
    <s v="5734"/>
    <s v="Software"/>
    <n v="57.65"/>
    <s v="Corporate Amex"/>
    <m/>
    <s v="N"/>
    <s v="Software"/>
    <s v="MATCH"/>
    <x v="5"/>
  </r>
  <r>
    <s v="EXP102369"/>
    <s v="E084"/>
    <s v="AX 669052898"/>
    <d v="2026-04-30T00:00:00"/>
    <d v="2026-05-09T00:00:00"/>
    <s v="UBER TRIP HELP.UBER"/>
    <s v="4121"/>
    <s v="Transportation"/>
    <n v="24.94"/>
    <s v="Corporate Amex"/>
    <m/>
    <s v="Y"/>
    <s v="Transportation"/>
    <s v="MATCH"/>
    <x v="2"/>
  </r>
  <r>
    <s v="EXP102370"/>
    <s v="E004"/>
    <s v="AX398709815"/>
    <d v="2026-05-04T00:00:00"/>
    <d v="2026-05-09T00:00:00"/>
    <s v="YELLOW CAB CO"/>
    <s v="4121"/>
    <s v="Transportation"/>
    <n v="57.92"/>
    <s v="Corporate Amex"/>
    <m/>
    <s v="Y"/>
    <s v="Transportation"/>
    <s v="MATCH"/>
    <x v="0"/>
  </r>
  <r>
    <s v="EXP102371"/>
    <s v="E152"/>
    <m/>
    <d v="2026-05-03T00:00:00"/>
    <d v="2026-05-09T00:00:00"/>
    <s v="YELLOW CAB CO"/>
    <s v="4121"/>
    <s v="Transportation"/>
    <n v="32.68"/>
    <s v="Personal (Reimbursement)"/>
    <s v="International merchant - Amex not accepted"/>
    <s v="Y"/>
    <s v="Transportation"/>
    <s v="MATCH"/>
    <x v="6"/>
  </r>
  <r>
    <s v="EXP102372"/>
    <s v="E024"/>
    <s v="AX743477069"/>
    <d v="2026-05-04T00:00:00"/>
    <d v="2026-05-09T00:00:00"/>
    <s v="ZOOM.US"/>
    <s v="5734"/>
    <s v="Software"/>
    <n v="21.15"/>
    <s v="Corporate Amex"/>
    <m/>
    <s v="N"/>
    <s v="Software"/>
    <s v="MATCH"/>
    <x v="0"/>
  </r>
  <r>
    <s v="EXP102373"/>
    <s v="E080"/>
    <s v="AX 745231214"/>
    <d v="2026-05-04T00:00:00"/>
    <d v="2026-05-09T00:00:00"/>
    <s v="MARRIOTT #4471"/>
    <s v="7011"/>
    <s v="Lodging"/>
    <n v="316.62"/>
    <s v="Corporate Amex"/>
    <m/>
    <s v="Y"/>
    <s v="Lodging"/>
    <s v="MATCH"/>
    <x v="2"/>
  </r>
  <r>
    <s v="EXP102374"/>
    <s v="E125"/>
    <s v="AX135085653"/>
    <d v="2026-05-09T00:00:00"/>
    <d v="2026-05-09T00:00:00"/>
    <s v="STARBUCKS #4471"/>
    <s v="5812"/>
    <s v="Meals"/>
    <n v="7.62"/>
    <s v="Corporate Amex"/>
    <m/>
    <s v="Y"/>
    <s v="Meals"/>
    <s v="MATCH"/>
    <x v="7"/>
  </r>
  <r>
    <s v="EXP102375"/>
    <s v="E048"/>
    <s v="ax680171185"/>
    <d v="2026-04-30T00:00:00"/>
    <d v="2026-05-09T00:00:00"/>
    <s v="AMC THEATRES 0021"/>
    <s v="7832"/>
    <s v="Entertainment"/>
    <n v="56.66"/>
    <s v="Corporate Amex"/>
    <m/>
    <s v="N"/>
    <s v="Entertainment"/>
    <s v="MATCH"/>
    <x v="0"/>
  </r>
  <r>
    <s v="EXP102376"/>
    <s v="E028"/>
    <s v="ax227422766"/>
    <d v="2026-05-01T00:00:00"/>
    <d v="2026-05-09T00:00:00"/>
    <s v="ADOBE *CREATIVE CLOUD"/>
    <s v="5734"/>
    <s v="Travel"/>
    <n v="61.2"/>
    <s v="Corporate Amex"/>
    <m/>
    <s v="Y"/>
    <s v="Software"/>
    <s v="MISMATCH"/>
    <x v="0"/>
  </r>
  <r>
    <s v="EXP102377"/>
    <s v="E064"/>
    <m/>
    <d v="2026-05-07T00:00:00"/>
    <d v="2026-05-09T00:00:00"/>
    <s v="ZOOM.US"/>
    <s v="5734"/>
    <s v="Software"/>
    <n v="48.04"/>
    <s v="Corporate Amex"/>
    <m/>
    <s v="Y"/>
    <s v="Software"/>
    <s v="MATCH"/>
    <x v="0"/>
  </r>
  <r>
    <s v="EXP102378"/>
    <s v="E162"/>
    <s v="AX-854119026"/>
    <d v="2026-05-06T00:00:00"/>
    <d v="2026-05-09T00:00:00"/>
    <s v="TOPGOLF #442"/>
    <s v="7997"/>
    <s v="Entertainment"/>
    <n v="130.82"/>
    <s v="Corporate Amex"/>
    <m/>
    <s v="Y"/>
    <s v="Entertainment"/>
    <s v="MATCH"/>
    <x v="6"/>
  </r>
  <r>
    <s v="EXP102379"/>
    <s v="E157"/>
    <s v="AX204920886"/>
    <d v="2026-04-30T00:00:00"/>
    <d v="2026-05-09T00:00:00"/>
    <s v="AMAZON MKTPLACE PMTS"/>
    <s v="5942"/>
    <s v="Office Supplies"/>
    <n v="30.56"/>
    <s v="Corporate Amex"/>
    <m/>
    <s v="Y"/>
    <s v="Office Supplies"/>
    <s v="MATCH"/>
    <x v="6"/>
  </r>
  <r>
    <s v="EXP102380"/>
    <s v="E202"/>
    <m/>
    <d v="2026-05-06T00:00:00"/>
    <d v="2026-05-09T00:00:00"/>
    <s v="SQ *THE CORNER BISTRO"/>
    <s v="5812"/>
    <s v="Meals"/>
    <n v="84.5"/>
    <s v="Corporate Amex"/>
    <m/>
    <s v="Y"/>
    <s v="Meals"/>
    <s v="MATCH"/>
    <x v="5"/>
  </r>
  <r>
    <s v="EXP102381"/>
    <s v="E154"/>
    <s v="AX732474919"/>
    <d v="2026-05-04T00:00:00"/>
    <d v="2026-05-10T00:00:00"/>
    <s v="OLIVE GARDEN 00456"/>
    <s v="5812"/>
    <s v="Meals"/>
    <n v="43.95"/>
    <s v="Corporate Amex"/>
    <m/>
    <s v="Y"/>
    <s v="Meals"/>
    <s v="MATCH"/>
    <x v="6"/>
  </r>
  <r>
    <s v="EXP102382"/>
    <s v="E070"/>
    <s v="ax373226513"/>
    <d v="2026-05-06T00:00:00"/>
    <d v="2026-05-10T00:00:00"/>
    <s v="SOUTHWEST AIR 5261823"/>
    <s v="4511"/>
    <s v="Travel"/>
    <n v="281.43"/>
    <s v="Corporate Amex"/>
    <m/>
    <s v="Y"/>
    <s v="Travel"/>
    <s v="MATCH"/>
    <x v="0"/>
  </r>
  <r>
    <s v="EXP102383"/>
    <s v="E054"/>
    <s v="AX 982303829"/>
    <d v="2026-05-03T00:00:00"/>
    <d v="2026-05-10T00:00:00"/>
    <s v="UBER TRIP HELP.UBER"/>
    <s v="4121"/>
    <s v="Transportation"/>
    <n v="41.29"/>
    <s v="Corporate Amex"/>
    <m/>
    <s v="Y"/>
    <s v="Transportation"/>
    <s v="MATCH"/>
    <x v="0"/>
  </r>
  <r>
    <s v="EXP102384"/>
    <s v="E033"/>
    <m/>
    <d v="2026-05-06T00:00:00"/>
    <d v="2026-05-10T00:00:00"/>
    <s v="HOOTSUITE INC"/>
    <s v="5734"/>
    <s v="Software"/>
    <n v="131.35"/>
    <s v="Personal (Reimbursement)"/>
    <s v="Amex declined - vendor doesn't accept Amex"/>
    <s v="Y"/>
    <s v="Software"/>
    <s v="MATCH"/>
    <x v="0"/>
  </r>
  <r>
    <s v="EXP102385"/>
    <s v="E146"/>
    <s v="AX 995562421"/>
    <d v="2026-05-08T00:00:00"/>
    <d v="2026-05-10T00:00:00"/>
    <s v="REGION CATERING CO"/>
    <s v="5811"/>
    <s v="Events"/>
    <n v="255.99"/>
    <s v="Corporate Amex"/>
    <m/>
    <s v="Y"/>
    <s v="Events"/>
    <s v="MATCH"/>
    <x v="7"/>
  </r>
  <r>
    <s v="EXP102386"/>
    <s v="E188"/>
    <s v="AX497721181"/>
    <d v="2026-05-07T00:00:00"/>
    <d v="2026-05-10T00:00:00"/>
    <s v="SPROUT SOCIAL"/>
    <s v="5734"/>
    <s v="Software"/>
    <n v="220.9"/>
    <s v="Corporate Amex"/>
    <m/>
    <s v="Y"/>
    <s v="Software"/>
    <s v="MATCH"/>
    <x v="5"/>
  </r>
  <r>
    <s v="EXP102387"/>
    <s v="E077"/>
    <s v="AX647161005"/>
    <d v="2026-04-30T00:00:00"/>
    <d v="2026-05-10T00:00:00"/>
    <s v="UBER TRIP HELP.UBER"/>
    <s v="4121"/>
    <s v="Transportation"/>
    <n v="15.99"/>
    <s v="Corporate Amex"/>
    <m/>
    <s v="Y"/>
    <s v="Transportation"/>
    <s v="MATCH"/>
    <x v="2"/>
  </r>
  <r>
    <s v="EXP102388"/>
    <s v="E203"/>
    <s v="AX 895983490"/>
    <d v="2026-05-08T00:00:00"/>
    <d v="2026-05-10T00:00:00"/>
    <s v="HOOTSUITE INC"/>
    <s v="5734"/>
    <s v="Software"/>
    <n v="188.47"/>
    <s v="Corporate Amex"/>
    <m/>
    <s v="Y"/>
    <s v="Software"/>
    <s v="MATCH"/>
    <x v="5"/>
  </r>
  <r>
    <s v="EXP102389"/>
    <s v="E031"/>
    <m/>
    <d v="2026-05-06T00:00:00"/>
    <d v="2026-05-10T00:00:00"/>
    <s v="MICROSOFT*365"/>
    <s v="5734"/>
    <s v="Software"/>
    <n v="27.58"/>
    <s v="Corporate Amex"/>
    <m/>
    <s v="Y"/>
    <s v="Software"/>
    <s v="MATCH"/>
    <x v="0"/>
  </r>
  <r>
    <s v="EXP102390"/>
    <s v="E247"/>
    <s v="AX335981363"/>
    <d v="2026-05-03T00:00:00"/>
    <d v="2026-05-10T00:00:00"/>
    <s v="UNITED AIRLINES 0162233"/>
    <s v="4511"/>
    <s v="Travel"/>
    <n v="229.28"/>
    <s v="Corporate Amex"/>
    <m/>
    <s v="Y"/>
    <s v="Travel"/>
    <s v="MATCH"/>
    <x v="1"/>
  </r>
  <r>
    <s v="EXP102391"/>
    <s v="E164"/>
    <s v="AX483364911"/>
    <d v="2026-05-09T00:00:00"/>
    <d v="2026-05-10T00:00:00"/>
    <s v="PANERA BREAD #0231"/>
    <s v="5812"/>
    <s v="Meals"/>
    <n v="20.94"/>
    <s v="Corporate Amex"/>
    <m/>
    <s v="Y"/>
    <s v="Meals"/>
    <s v="MATCH"/>
    <x v="6"/>
  </r>
  <r>
    <s v="EXP102392"/>
    <s v="E257"/>
    <s v="AX634167212"/>
    <d v="2026-05-08T00:00:00"/>
    <d v="2026-05-10T00:00:00"/>
    <s v="OLIVE GARDEN 00456"/>
    <s v="5812"/>
    <s v="Meals"/>
    <n v="93.34"/>
    <s v="Corporate Amex"/>
    <m/>
    <s v="Y"/>
    <s v="Meals"/>
    <s v="MATCH"/>
    <x v="8"/>
  </r>
  <r>
    <s v="EXP102393"/>
    <s v="E012"/>
    <s v="AX153453568"/>
    <d v="2026-05-08T00:00:00"/>
    <d v="2026-05-10T00:00:00"/>
    <s v="YELLOW CAB CO"/>
    <s v="4121"/>
    <s v="Transportation"/>
    <n v="43.98"/>
    <s v="Corporate Amex"/>
    <m/>
    <s v="Y"/>
    <s v="Transportation"/>
    <s v="MATCH"/>
    <x v="0"/>
  </r>
  <r>
    <s v="EXP102394"/>
    <s v="E258"/>
    <s v="AX111277176"/>
    <d v="2026-05-09T00:00:00"/>
    <d v="2026-05-10T00:00:00"/>
    <s v="STAPLES #0231"/>
    <s v="5943"/>
    <s v="Office Supplies"/>
    <n v="21.08"/>
    <s v="Corporate Amex"/>
    <m/>
    <s v="Y"/>
    <s v="Office Supplies"/>
    <s v="MATCH"/>
    <x v="8"/>
  </r>
  <r>
    <s v="EXP102395"/>
    <s v="E023"/>
    <m/>
    <d v="2026-05-06T00:00:00"/>
    <d v="2026-05-10T00:00:00"/>
    <s v="MICROSOFT*365"/>
    <s v="5734"/>
    <s v="Software"/>
    <n v="19.7"/>
    <s v="Personal (Reimbursement)"/>
    <s v="Forgot corporate card"/>
    <s v="Y"/>
    <s v="Software"/>
    <s v="MATCH"/>
    <x v="0"/>
  </r>
  <r>
    <s v="EXP102396"/>
    <s v="E025"/>
    <s v="AX738703758"/>
    <d v="2026-05-05T00:00:00"/>
    <d v="2026-05-10T00:00:00"/>
    <s v="CHIPOTLE 2214"/>
    <s v="5812"/>
    <s v="Meals"/>
    <n v="13.25"/>
    <s v="Corporate Amex"/>
    <m/>
    <s v="Y"/>
    <s v="Meals"/>
    <s v="MATCH"/>
    <x v="0"/>
  </r>
  <r>
    <s v="EXP102397"/>
    <s v="E130"/>
    <s v="ax923960610"/>
    <d v="2026-05-06T00:00:00"/>
    <d v="2026-05-10T00:00:00"/>
    <s v="ZOOM.US"/>
    <s v="5734"/>
    <s v="Software"/>
    <n v="29.07"/>
    <s v="Corporate Amex"/>
    <m/>
    <s v="Y"/>
    <s v="Software"/>
    <s v="MATCH"/>
    <x v="7"/>
  </r>
  <r>
    <s v="EXP102398"/>
    <s v="E053"/>
    <s v="AX-398550657"/>
    <d v="2026-05-06T00:00:00"/>
    <d v="2026-05-10T00:00:00"/>
    <s v="HILTON GARDEN INN 2231"/>
    <s v="7011"/>
    <s v="Lodging"/>
    <n v="349.72"/>
    <s v="Corporate Amex"/>
    <m/>
    <s v="Y"/>
    <s v="Lodging"/>
    <s v="MATCH"/>
    <x v="0"/>
  </r>
  <r>
    <s v="EXP102399"/>
    <s v="E048"/>
    <m/>
    <d v="2026-05-08T00:00:00"/>
    <d v="2026-05-11T00:00:00"/>
    <s v="LYFT RIDE THU"/>
    <s v="4121"/>
    <s v="Transportation"/>
    <n v="54.04"/>
    <s v="Personal (Reimbursement)"/>
    <s v="Amex declined - vendor doesn't accept Amex"/>
    <s v="Y"/>
    <s v="Transportation"/>
    <s v="MATCH"/>
    <x v="0"/>
  </r>
  <r>
    <s v="EXP102400"/>
    <s v="E029"/>
    <m/>
    <d v="2026-05-07T00:00:00"/>
    <d v="2026-05-11T00:00:00"/>
    <s v="HYATT REGENCY BOS"/>
    <s v="7011"/>
    <s v="Lodging"/>
    <n v="210.78"/>
    <s v="Corporate Amex"/>
    <m/>
    <s v="Y"/>
    <s v="Lodging"/>
    <s v="MATCH"/>
    <x v="0"/>
  </r>
  <r>
    <s v="EXP102401"/>
    <s v="E148"/>
    <s v="AX884298525"/>
    <d v="2026-05-07T00:00:00"/>
    <d v="2026-05-11T00:00:00"/>
    <s v="CHIPOTLE 2214"/>
    <s v="5812"/>
    <s v="Meals"/>
    <n v="15.99"/>
    <s v="Corporate Amex"/>
    <m/>
    <s v="N"/>
    <s v="Meals"/>
    <s v="MATCH"/>
    <x v="7"/>
  </r>
  <r>
    <s v="EXP102402"/>
    <s v="E016"/>
    <m/>
    <d v="2026-05-06T00:00:00"/>
    <d v="2026-05-11T00:00:00"/>
    <s v="HOOTSUITE INC"/>
    <s v="5734"/>
    <s v="Software"/>
    <n v="67.13"/>
    <s v="Personal (Reimbursement)"/>
    <s v="Card not yet issued"/>
    <s v="Y"/>
    <s v="Software"/>
    <s v="MATCH"/>
    <x v="0"/>
  </r>
  <r>
    <s v="EXP102403"/>
    <s v="E255"/>
    <s v="AX265645469"/>
    <d v="2026-05-05T00:00:00"/>
    <d v="2026-05-11T00:00:00"/>
    <s v="ADOBE *CREATIVE CLOUD"/>
    <s v="5734"/>
    <s v="Software"/>
    <n v="86.91"/>
    <s v="Corporate Amex"/>
    <m/>
    <s v="Y"/>
    <s v="Software"/>
    <s v="MATCH"/>
    <x v="8"/>
  </r>
  <r>
    <s v="EXP102404"/>
    <s v="E015"/>
    <m/>
    <d v="2026-05-07T00:00:00"/>
    <d v="2026-05-11T00:00:00"/>
    <s v="UNITED AIRLINES 0162233"/>
    <s v="4511"/>
    <s v="Travel"/>
    <n v="444.62"/>
    <s v="Corporate Amex"/>
    <m/>
    <s v="N"/>
    <s v="Travel"/>
    <s v="MATCH"/>
    <x v="0"/>
  </r>
  <r>
    <s v="EXP102405"/>
    <s v="E017"/>
    <s v="AX-266441299"/>
    <d v="2026-05-06T00:00:00"/>
    <d v="2026-05-11T00:00:00"/>
    <s v="SOUTHWEST AIR 5261823"/>
    <s v="4511"/>
    <s v="Travel"/>
    <n v="335.54"/>
    <s v="Corporate Amex"/>
    <m/>
    <s v="Y"/>
    <s v="Travel"/>
    <s v="MATCH"/>
    <x v="0"/>
  </r>
  <r>
    <s v="EXP102406"/>
    <s v="E153"/>
    <s v="AX 923624680"/>
    <d v="2026-05-05T00:00:00"/>
    <d v="2026-05-11T00:00:00"/>
    <s v="UBER TRIP HELP.UBER"/>
    <s v="4121"/>
    <s v="Transportation"/>
    <n v="27.05"/>
    <s v="Corporate Amex"/>
    <m/>
    <s v="Y"/>
    <s v="Transportation"/>
    <s v="MATCH"/>
    <x v="6"/>
  </r>
  <r>
    <s v="EXP102407"/>
    <s v="E120"/>
    <s v="AX893130601"/>
    <d v="2026-05-08T00:00:00"/>
    <d v="2026-05-11T00:00:00"/>
    <s v="HILTON GARDEN INN 2231"/>
    <s v="7011"/>
    <s v="Lodging"/>
    <n v="369.9"/>
    <s v="Corporate Amex"/>
    <m/>
    <s v="N"/>
    <s v="Lodging"/>
    <s v="MATCH"/>
    <x v="7"/>
  </r>
  <r>
    <s v="EXP102408"/>
    <s v="E140"/>
    <s v="AX665293422"/>
    <d v="2026-05-05T00:00:00"/>
    <d v="2026-05-11T00:00:00"/>
    <s v="DELTA AIR 00623891045"/>
    <s v="4511"/>
    <s v="Travel"/>
    <n v="513.17999999999995"/>
    <s v="Corporate Amex"/>
    <m/>
    <s v="Y"/>
    <s v="Travel"/>
    <s v="MATCH"/>
    <x v="7"/>
  </r>
  <r>
    <s v="EXP102409"/>
    <s v="E256"/>
    <s v="AX216157269"/>
    <d v="2026-05-11T00:00:00"/>
    <d v="2026-05-11T00:00:00"/>
    <s v="DELTA AIR 00623891045"/>
    <s v="4511"/>
    <s v="Travel"/>
    <n v="562.45000000000005"/>
    <s v="Corporate Amex"/>
    <m/>
    <s v="N"/>
    <s v="Travel"/>
    <s v="MATCH"/>
    <x v="8"/>
  </r>
  <r>
    <s v="EXP102410"/>
    <s v="E144"/>
    <s v="AX650808285"/>
    <d v="2026-05-08T00:00:00"/>
    <d v="2026-05-11T00:00:00"/>
    <s v="MICROSOFT*365"/>
    <s v="5734"/>
    <s v="Software"/>
    <n v="25.67"/>
    <s v="Corporate Amex"/>
    <m/>
    <s v="Y"/>
    <s v="Software"/>
    <s v="MATCH"/>
    <x v="7"/>
  </r>
  <r>
    <s v="EXP102411"/>
    <s v="E007"/>
    <s v="AX 855030004"/>
    <d v="2026-05-05T00:00:00"/>
    <d v="2026-05-11T00:00:00"/>
    <s v="SOUTHWEST AIR 5261823"/>
    <s v="4511"/>
    <s v="Travel"/>
    <n v="254.42"/>
    <s v="Corporate Amex"/>
    <m/>
    <s v="Y"/>
    <s v="Travel"/>
    <s v="MATCH"/>
    <x v="0"/>
  </r>
  <r>
    <s v="EXP102412"/>
    <s v="E031"/>
    <s v="AX448876693"/>
    <d v="2026-05-03T00:00:00"/>
    <d v="2026-05-12T00:00:00"/>
    <s v="SQ *THE CORNER BISTRO"/>
    <s v="5812"/>
    <s v="Meals"/>
    <n v="44.71"/>
    <s v="Corporate Amex"/>
    <m/>
    <s v="N"/>
    <s v="Meals"/>
    <s v="MATCH"/>
    <x v="0"/>
  </r>
  <r>
    <s v="EXP102413"/>
    <s v="E056"/>
    <s v="AX350039199"/>
    <d v="2026-05-04T00:00:00"/>
    <d v="2026-05-12T00:00:00"/>
    <s v="AMAZON MKTPLACE PMTS"/>
    <s v="5942"/>
    <s v="Office Supplies"/>
    <n v="326.35000000000002"/>
    <s v="Corporate Amex"/>
    <m/>
    <s v="Y"/>
    <s v="Office Supplies"/>
    <s v="MATCH"/>
    <x v="0"/>
  </r>
  <r>
    <s v="EXP102414"/>
    <s v="E231"/>
    <s v="ax676855769"/>
    <d v="2026-05-09T00:00:00"/>
    <d v="2026-05-12T00:00:00"/>
    <s v="OLIVE GARDEN 00456"/>
    <s v="5812"/>
    <s v="Meals"/>
    <n v="136.66"/>
    <s v="Corporate Amex"/>
    <m/>
    <s v="Y"/>
    <s v="Meals"/>
    <s v="MATCH"/>
    <x v="4"/>
  </r>
  <r>
    <s v="EXP102415"/>
    <s v="E224"/>
    <s v="AX177865278"/>
    <d v="2026-05-11T00:00:00"/>
    <d v="2026-05-12T00:00:00"/>
    <s v=" TOPGOLF #442"/>
    <s v="7997"/>
    <s v="Entertainment"/>
    <n v="213.7"/>
    <s v="Corporate Amex"/>
    <m/>
    <s v="Y"/>
    <s v="Entertainment"/>
    <s v="MATCH"/>
    <x v="4"/>
  </r>
  <r>
    <s v="EXP102416"/>
    <s v="E118"/>
    <s v="AX809388067"/>
    <d v="2026-05-07T00:00:00"/>
    <d v="2026-05-12T00:00:00"/>
    <s v="SQ *THE CORNER BISTRO"/>
    <s v="5812"/>
    <s v="Meals"/>
    <n v="31.41"/>
    <s v="Corporate Amex"/>
    <m/>
    <s v="Y"/>
    <s v="Meals"/>
    <s v="MATCH"/>
    <x v="7"/>
  </r>
  <r>
    <s v="EXP102417"/>
    <s v="E024"/>
    <m/>
    <d v="2026-05-09T00:00:00"/>
    <d v="2026-05-12T00:00:00"/>
    <s v="AMAZON MKTPLACE PMTS"/>
    <s v="5942"/>
    <s v="Office Supplies"/>
    <n v="102.29"/>
    <s v="Personal (Reimbursement)"/>
    <s v="Forgot corporate card"/>
    <s v="Y"/>
    <s v="Office Supplies"/>
    <s v="MATCH"/>
    <x v="0"/>
  </r>
  <r>
    <s v="EXP102418"/>
    <s v="E062"/>
    <s v="AX232492740"/>
    <d v="2026-05-09T00:00:00"/>
    <d v="2026-05-12T00:00:00"/>
    <s v="HILTON GARDEN INN 2231"/>
    <s v="7011"/>
    <s v="Lodging"/>
    <n v="329.39"/>
    <s v="Corporate Amex"/>
    <m/>
    <s v="Y"/>
    <s v="Lodging"/>
    <s v="MATCH"/>
    <x v="0"/>
  </r>
  <r>
    <s v="EXP102419"/>
    <s v="E022"/>
    <m/>
    <d v="2026-05-02T00:00:00"/>
    <d v="2026-05-12T00:00:00"/>
    <s v="SPROUT SOCIAL"/>
    <s v="5734"/>
    <s v="Software"/>
    <n v="175.41"/>
    <s v="Personal (Reimbursement)"/>
    <s v="Card not yet issued"/>
    <s v="Y"/>
    <s v="Software"/>
    <s v="MATCH"/>
    <x v="0"/>
  </r>
  <r>
    <s v="EXP102420"/>
    <s v="E177"/>
    <s v="AX586782936"/>
    <d v="2026-05-12T00:00:00"/>
    <d v="2026-05-12T00:00:00"/>
    <s v="ADOBE *CREATIVE CLOUD"/>
    <s v="5734"/>
    <s v="Software"/>
    <n v="47.51"/>
    <s v="Corporate Amex"/>
    <m/>
    <s v="Y"/>
    <s v="Software"/>
    <s v="MATCH"/>
    <x v="6"/>
  </r>
  <r>
    <s v="EXP102421"/>
    <s v="E088"/>
    <s v="AX776437675"/>
    <d v="2026-05-05T00:00:00"/>
    <d v="2026-05-12T00:00:00"/>
    <s v="PANERA BREAD #0231"/>
    <s v="5812"/>
    <s v="  Meals "/>
    <n v="19.25"/>
    <s v="Corporate Amex"/>
    <m/>
    <s v="Y"/>
    <s v="Meals"/>
    <s v="MATCH"/>
    <x v="2"/>
  </r>
  <r>
    <s v="EXP102422"/>
    <s v="E143"/>
    <m/>
    <d v="2026-05-11T00:00:00"/>
    <d v="2026-05-12T00:00:00"/>
    <s v="ADOBE *CREATIVE CLOUD"/>
    <s v="5734"/>
    <s v="Software"/>
    <n v="48.51"/>
    <s v="Personal (Reimbursement)"/>
    <s v="Forgot corporate card"/>
    <s v="Y"/>
    <s v="Software"/>
    <s v="MATCH"/>
    <x v="7"/>
  </r>
  <r>
    <s v="EXP102423"/>
    <s v="E196"/>
    <s v="AX491774742"/>
    <d v="2026-05-07T00:00:00"/>
    <d v="2026-05-12T00:00:00"/>
    <s v="CHIPOTLE 2214"/>
    <s v="5812"/>
    <s v="Meals"/>
    <n v="17.350000000000001"/>
    <s v="Corporate Amex"/>
    <m/>
    <s v="Y"/>
    <s v="Meals"/>
    <s v="MATCH"/>
    <x v="5"/>
  </r>
  <r>
    <s v="EXP102424"/>
    <s v="E116"/>
    <s v="AX227576306"/>
    <d v="2026-05-08T00:00:00"/>
    <d v="2026-05-12T00:00:00"/>
    <s v="SQ *THE CORNER BISTRO"/>
    <s v="5812"/>
    <m/>
    <n v="69.17"/>
    <s v="Corporate Amex"/>
    <m/>
    <s v="Y"/>
    <s v="Meals"/>
    <s v="BLANK"/>
    <x v="7"/>
  </r>
  <r>
    <s v="EXP102425"/>
    <s v="E041"/>
    <m/>
    <d v="2026-05-02T00:00:00"/>
    <d v="2026-05-12T00:00:00"/>
    <s v="YELLOW CAB CO"/>
    <s v="4121"/>
    <s v="Transportation"/>
    <n v="55.72"/>
    <s v="Personal (Reimbursement)"/>
    <s v="International merchant - Amex not accepted"/>
    <s v="Y"/>
    <s v="Transportation"/>
    <s v="MATCH"/>
    <x v="0"/>
  </r>
  <r>
    <s v="EXP102426"/>
    <s v="E018"/>
    <m/>
    <d v="2026-05-12T00:00:00"/>
    <d v="2026-05-12T00:00:00"/>
    <s v="TOPGOLF #442"/>
    <s v="7997"/>
    <s v="Entertainment"/>
    <n v="94.9"/>
    <s v="Personal (Reimbursement)"/>
    <s v="Amex declined - vendor doesn't accept Amex"/>
    <s v="Y"/>
    <s v="Entertainment"/>
    <s v="MATCH"/>
    <x v="0"/>
  </r>
  <r>
    <s v="EXP102427"/>
    <s v="E139"/>
    <s v="AX881290624"/>
    <d v="2026-05-09T00:00:00"/>
    <d v="2026-05-13T00:00:00"/>
    <s v="HILTON GARDEN INN 2231"/>
    <s v="7011"/>
    <s v="Lodging"/>
    <n v="148.53"/>
    <s v="Corporate Amex"/>
    <m/>
    <s v="N"/>
    <s v="Lodging"/>
    <s v="MATCH"/>
    <x v="7"/>
  </r>
  <r>
    <s v="EXP102428"/>
    <s v="E084"/>
    <s v="ax556907944"/>
    <d v="2026-05-11T00:00:00"/>
    <d v="2026-05-13T00:00:00"/>
    <s v="STARBUCKS #4471"/>
    <s v="5812"/>
    <s v="Meals"/>
    <n v="7"/>
    <s v="Corporate Amex"/>
    <m/>
    <s v="Y"/>
    <s v="Meals"/>
    <s v="MATCH"/>
    <x v="2"/>
  </r>
  <r>
    <s v="EXP102429"/>
    <s v="E130"/>
    <s v="AX 539673706"/>
    <d v="2026-05-13T00:00:00"/>
    <d v="2026-05-13T00:00:00"/>
    <s v="UNITED AIRLINES 0162233"/>
    <s v="4511"/>
    <m/>
    <n v="460.84"/>
    <s v="Corporate Amex"/>
    <m/>
    <s v="Y"/>
    <s v="Travel"/>
    <s v="BLANK"/>
    <x v="7"/>
  </r>
  <r>
    <s v="EXP102430"/>
    <s v="E009"/>
    <s v="AX416228359"/>
    <d v="2026-05-05T00:00:00"/>
    <d v="2026-05-13T00:00:00"/>
    <s v="PANERA BREAD #0231"/>
    <s v="5812"/>
    <s v="Meals"/>
    <n v="13.02"/>
    <s v="Corporate Amex"/>
    <m/>
    <s v="Y"/>
    <s v="Meals"/>
    <s v="MATCH"/>
    <x v="0"/>
  </r>
  <r>
    <s v="EXP102431"/>
    <s v="E118"/>
    <s v="ax713549337"/>
    <d v="2026-05-11T00:00:00"/>
    <d v="2026-05-13T00:00:00"/>
    <s v="TOTAL PARTY RENTAL"/>
    <s v="7999"/>
    <s v="Events"/>
    <n v="321.72000000000003"/>
    <s v="Corporate Amex"/>
    <m/>
    <s v="Y"/>
    <s v="Events"/>
    <s v="MATCH"/>
    <x v="7"/>
  </r>
  <r>
    <s v="EXP102433"/>
    <s v="E035"/>
    <s v="AX-617972955"/>
    <d v="2026-05-09T00:00:00"/>
    <d v="2026-05-13T00:00:00"/>
    <s v="LYFT RIDE THU"/>
    <s v="4121"/>
    <s v="Transportation"/>
    <n v="27.94"/>
    <s v="Corporate Amex"/>
    <m/>
    <s v="Y"/>
    <s v="Transportation"/>
    <s v="MATCH"/>
    <x v="0"/>
  </r>
  <r>
    <s v="EXP102434"/>
    <s v="E270"/>
    <s v="AX 172436196"/>
    <d v="2026-05-05T00:00:00"/>
    <d v="2026-05-13T00:00:00"/>
    <s v="STARBUCKS #4471"/>
    <s v="5812"/>
    <s v="Meals"/>
    <n v="16.95"/>
    <s v="Corporate Amex"/>
    <m/>
    <s v="Y"/>
    <s v="Meals"/>
    <s v="MATCH"/>
    <x v="3"/>
  </r>
  <r>
    <s v="EXP102435"/>
    <s v="E066"/>
    <s v="AX 820035697"/>
    <d v="2026-05-10T00:00:00"/>
    <d v="2026-05-13T00:00:00"/>
    <s v="HILTON GARDEN INN 2231"/>
    <s v="7011"/>
    <m/>
    <n v="150.69"/>
    <s v="Corporate Amex"/>
    <m/>
    <s v="Y"/>
    <s v="Lodging"/>
    <s v="BLANK"/>
    <x v="0"/>
  </r>
  <r>
    <s v="EXP102436"/>
    <s v="E039"/>
    <s v="AX-728353075"/>
    <d v="2026-05-06T00:00:00"/>
    <d v="2026-05-13T00:00:00"/>
    <s v="MICROSOFT*365"/>
    <s v="5734"/>
    <s v="Software"/>
    <n v="23.44"/>
    <s v="Corporate Amex"/>
    <m/>
    <s v="Y"/>
    <s v="Software"/>
    <s v="MATCH"/>
    <x v="0"/>
  </r>
  <r>
    <s v="EXP102437"/>
    <s v="E002"/>
    <s v="ax453388327"/>
    <d v="2026-05-09T00:00:00"/>
    <d v="2026-05-13T00:00:00"/>
    <s v="SOUTHWEST AIR 5261823"/>
    <s v="4511"/>
    <s v="Travel"/>
    <n v="300.04000000000002"/>
    <s v="Corporate Amex"/>
    <m/>
    <s v="Y"/>
    <s v="Travel"/>
    <s v="MATCH"/>
    <x v="0"/>
  </r>
  <r>
    <s v="EXP102438"/>
    <s v="E079"/>
    <s v="AX408849817"/>
    <d v="2026-05-13T00:00:00"/>
    <d v="2026-05-13T00:00:00"/>
    <s v="SQ *JOES COFFEE"/>
    <s v="5812"/>
    <s v="Meals"/>
    <n v="24.06"/>
    <s v="Corporate Amex"/>
    <m/>
    <s v="Y"/>
    <s v="Meals"/>
    <s v="MATCH"/>
    <x v="2"/>
  </r>
  <r>
    <s v="EXP102439"/>
    <s v="E024"/>
    <s v="AX 180133995"/>
    <d v="2026-05-11T00:00:00"/>
    <d v="2026-05-13T00:00:00"/>
    <s v="PANERA BREAD #0231"/>
    <s v="5812"/>
    <s v="Meals"/>
    <n v="28.38"/>
    <s v="Corporate Amex"/>
    <m/>
    <s v="Y"/>
    <s v="Meals"/>
    <s v="MATCH"/>
    <x v="0"/>
  </r>
  <r>
    <s v="EXP102440"/>
    <s v="E046"/>
    <s v="AX937037782"/>
    <d v="2026-05-13T00:00:00"/>
    <d v="2026-05-13T00:00:00"/>
    <s v="LYFT RIDE THU"/>
    <s v="4121"/>
    <s v="Transportation"/>
    <n v="16.46"/>
    <s v="Corporate Amex"/>
    <m/>
    <s v="Y"/>
    <s v="Transportation"/>
    <s v="MATCH"/>
    <x v="0"/>
  </r>
  <r>
    <s v="EXP102441"/>
    <s v="E073"/>
    <s v="ax744827181"/>
    <d v="2026-05-11T00:00:00"/>
    <d v="2026-05-13T00:00:00"/>
    <s v="DELTA AIR 00623891045"/>
    <s v="4511"/>
    <s v="Travel"/>
    <n v="207.57"/>
    <s v="Corporate Amex"/>
    <m/>
    <s v="Y"/>
    <s v="Travel"/>
    <s v="MATCH"/>
    <x v="2"/>
  </r>
  <r>
    <s v="EXP102442"/>
    <s v="E197"/>
    <s v="AX825933419"/>
    <d v="2026-05-08T00:00:00"/>
    <d v="2026-05-13T00:00:00"/>
    <s v="AMAZON MKTPLACE PMTS"/>
    <s v="5942"/>
    <s v="Events"/>
    <n v="10.08"/>
    <s v="Corporate Amex"/>
    <m/>
    <s v="Y"/>
    <s v="Office Supplies"/>
    <s v="MISMATCH"/>
    <x v="5"/>
  </r>
  <r>
    <s v="EXP102443"/>
    <s v="E194"/>
    <s v="AX920266577"/>
    <d v="2026-05-03T00:00:00"/>
    <d v="2026-05-13T00:00:00"/>
    <s v="STAPLES #0231"/>
    <s v="5943"/>
    <s v="Events"/>
    <n v="89.07"/>
    <s v="Corporate Amex"/>
    <m/>
    <s v="Y"/>
    <s v="Office Supplies"/>
    <s v="MISMATCH"/>
    <x v="5"/>
  </r>
  <r>
    <s v="EXP102444"/>
    <s v="E030"/>
    <s v="ax924569987"/>
    <d v="2026-05-04T00:00:00"/>
    <d v="2026-05-13T00:00:00"/>
    <s v="SQ *JOES COFFEE"/>
    <s v="5812"/>
    <s v="Meals"/>
    <n v="12.06"/>
    <s v="Corporate Amex"/>
    <m/>
    <s v="Y"/>
    <s v="Meals"/>
    <s v="MATCH"/>
    <x v="0"/>
  </r>
  <r>
    <s v="EXP102445"/>
    <s v="E101"/>
    <s v="AX168245879"/>
    <d v="2026-05-09T00:00:00"/>
    <d v="2026-05-13T00:00:00"/>
    <s v="SQ *JOES COFFEE"/>
    <s v="5812"/>
    <s v="Meals"/>
    <n v="13.65"/>
    <s v="Corporate Amex"/>
    <m/>
    <s v="Y"/>
    <s v="Meals"/>
    <s v="MATCH"/>
    <x v="2"/>
  </r>
  <r>
    <s v="EXP102446"/>
    <s v="E271"/>
    <s v="AX465108129"/>
    <d v="2026-05-05T00:00:00"/>
    <d v="2026-05-13T00:00:00"/>
    <s v="UNITED AIRLINES 0162233"/>
    <s v="4511"/>
    <s v="Travel"/>
    <n v="639.19000000000005"/>
    <s v="Corporate Amex"/>
    <m/>
    <s v="Y"/>
    <s v="Travel"/>
    <s v="MATCH"/>
    <x v="3"/>
  </r>
  <r>
    <s v="EXP102447"/>
    <s v="E146"/>
    <s v="AX487360051"/>
    <d v="2026-05-06T00:00:00"/>
    <d v="2026-05-13T00:00:00"/>
    <s v="AMAZON MKTPLACE PMTS"/>
    <s v="5942"/>
    <s v="Office Supplies"/>
    <n v="438.27"/>
    <s v="Corporate Amex"/>
    <m/>
    <s v="Y"/>
    <s v="Office Supplies"/>
    <s v="MATCH"/>
    <x v="7"/>
  </r>
  <r>
    <s v="EXP102448"/>
    <s v="E160"/>
    <s v="AX661129387"/>
    <d v="2026-05-13T00:00:00"/>
    <d v="2026-05-13T00:00:00"/>
    <s v="UBER TRIP HELP.UBER"/>
    <s v="4121"/>
    <s v="Transportation"/>
    <n v="8.27"/>
    <s v="Corporate Amex"/>
    <m/>
    <s v="Y"/>
    <s v="Transportation"/>
    <s v="MATCH"/>
    <x v="6"/>
  </r>
  <r>
    <s v="EXP102449"/>
    <s v="E047"/>
    <m/>
    <d v="2026-05-08T00:00:00"/>
    <d v="2026-05-13T00:00:00"/>
    <s v="TOPGOLF #442"/>
    <s v="7997"/>
    <s v="Entertainment"/>
    <n v="145.93"/>
    <s v="Personal (Reimbursement)"/>
    <s v="International merchant - Amex not accepted"/>
    <s v="Y"/>
    <s v="Entertainment"/>
    <s v="MATCH"/>
    <x v="0"/>
  </r>
  <r>
    <s v="EXP102450"/>
    <s v="E176"/>
    <s v="ax967797194"/>
    <d v="2026-05-07T00:00:00"/>
    <d v="2026-05-14T00:00:00"/>
    <s v="EVENTBRITE"/>
    <s v="7999"/>
    <s v="Events"/>
    <n v="126.43"/>
    <s v="Corporate Amex"/>
    <m/>
    <s v="Y"/>
    <s v="Events"/>
    <s v="MATCH"/>
    <x v="6"/>
  </r>
  <r>
    <s v="EXP102451"/>
    <s v="E252"/>
    <s v="AX331206957"/>
    <d v="2026-05-06T00:00:00"/>
    <d v="2026-05-14T00:00:00"/>
    <s v="MARRIOTT #4471"/>
    <s v="7011"/>
    <s v="  Lodging "/>
    <n v="209.53"/>
    <s v="Corporate Amex"/>
    <m/>
    <s v="Y"/>
    <s v="Lodging"/>
    <s v="MATCH"/>
    <x v="1"/>
  </r>
  <r>
    <s v="EXP102452"/>
    <s v="E120"/>
    <s v="AX182185937"/>
    <d v="2026-05-12T00:00:00"/>
    <d v="2026-05-14T00:00:00"/>
    <s v="UNITED AIRLINES 0162233"/>
    <s v="4511"/>
    <s v="Travel"/>
    <n v="514.22"/>
    <s v="Corporate Amex"/>
    <m/>
    <s v="Y"/>
    <s v="Travel"/>
    <s v="MATCH"/>
    <x v="7"/>
  </r>
  <r>
    <s v="EXP102453"/>
    <s v="E058"/>
    <s v="AX-976493342"/>
    <d v="2026-05-08T00:00:00"/>
    <d v="2026-05-14T00:00:00"/>
    <s v="REGION CATERING CO"/>
    <s v="5811"/>
    <s v="Events"/>
    <n v="405.32"/>
    <s v="Corporate Amex"/>
    <m/>
    <s v="N"/>
    <s v="Events"/>
    <s v="MATCH"/>
    <x v="0"/>
  </r>
  <r>
    <s v="EXP102454"/>
    <s v="E017"/>
    <s v="AX 928848249"/>
    <d v="2026-05-14T00:00:00"/>
    <d v="2026-05-14T00:00:00"/>
    <s v="SPROUT SOCIAL"/>
    <s v="5734"/>
    <s v="Software"/>
    <n v="125.6"/>
    <s v="Corporate Amex"/>
    <m/>
    <s v="Y"/>
    <s v="Software"/>
    <s v="MATCH"/>
    <x v="0"/>
  </r>
  <r>
    <s v="EXP102455"/>
    <s v="E263"/>
    <s v="ax728927149"/>
    <d v="2026-05-08T00:00:00"/>
    <d v="2026-05-14T00:00:00"/>
    <s v="YELLOW CAB CO"/>
    <s v="4121"/>
    <s v="Transportation"/>
    <n v="56.01"/>
    <s v="Corporate Amex"/>
    <m/>
    <s v="Y"/>
    <s v="Transportation"/>
    <s v="MATCH"/>
    <x v="3"/>
  </r>
  <r>
    <s v="EXP102456"/>
    <s v="E043"/>
    <s v="AX-934687408"/>
    <d v="2026-05-13T00:00:00"/>
    <d v="2026-05-14T00:00:00"/>
    <s v="STARBUCKS #4471"/>
    <s v="5812"/>
    <s v="Meals"/>
    <n v="16.25"/>
    <s v="Corporate Amex"/>
    <m/>
    <s v="Y"/>
    <s v="Meals"/>
    <s v="MATCH"/>
    <x v="0"/>
  </r>
  <r>
    <s v="EXP102457"/>
    <s v="E255"/>
    <s v="AX-721727890"/>
    <d v="2026-05-12T00:00:00"/>
    <d v="2026-05-14T00:00:00"/>
    <s v="HOOTSUITE INC"/>
    <s v="5734"/>
    <s v="Software"/>
    <n v="154.72"/>
    <s v="Corporate Amex"/>
    <m/>
    <s v="Y"/>
    <s v="Software"/>
    <s v="MATCH"/>
    <x v="8"/>
  </r>
  <r>
    <s v="EXP102458"/>
    <s v="E044"/>
    <s v="AX873769634"/>
    <d v="2026-05-14T00:00:00"/>
    <d v="2026-05-14T00:00:00"/>
    <s v="HILTON GARDEN INN 2231"/>
    <s v="7011"/>
    <m/>
    <n v="296.20999999999998"/>
    <s v="Corporate Amex"/>
    <m/>
    <s v="Y"/>
    <s v="Lodging"/>
    <s v="BLANK"/>
    <x v="0"/>
  </r>
  <r>
    <s v="EXP102460"/>
    <s v="E036"/>
    <m/>
    <d v="2026-05-10T00:00:00"/>
    <d v="2026-05-14T00:00:00"/>
    <s v="CHIPOTLE 2214"/>
    <s v="5812"/>
    <s v="Meals"/>
    <n v="19.29"/>
    <s v="Corporate Amex"/>
    <m/>
    <s v="Y"/>
    <s v="Meals"/>
    <s v="MATCH"/>
    <x v="0"/>
  </r>
  <r>
    <s v="EXP102461"/>
    <s v="E259"/>
    <m/>
    <d v="2026-05-14T00:00:00"/>
    <d v="2026-05-14T00:00:00"/>
    <s v=" SPROUT SOCIAL"/>
    <s v="5734"/>
    <s v="Software"/>
    <n v="247.9"/>
    <s v="Corporate Amex"/>
    <m/>
    <s v="Y"/>
    <s v="Software"/>
    <s v="MATCH"/>
    <x v="8"/>
  </r>
  <r>
    <s v="EXP102462"/>
    <s v="E063"/>
    <s v="AX498318864"/>
    <d v="2026-05-06T00:00:00"/>
    <d v="2026-05-14T00:00:00"/>
    <s v="UNITED AIRLINES 0162233"/>
    <s v="4511"/>
    <s v="Travel"/>
    <n v="496"/>
    <s v="Corporate Amex"/>
    <m/>
    <s v="Y"/>
    <s v="Travel"/>
    <s v="MATCH"/>
    <x v="0"/>
  </r>
  <r>
    <s v="EXP102463"/>
    <s v="E048"/>
    <s v="ax206901091"/>
    <d v="2026-05-11T00:00:00"/>
    <d v="2026-05-14T00:00:00"/>
    <s v="EVENTBRITE"/>
    <s v="7999"/>
    <s v="Events"/>
    <n v="31.47"/>
    <s v="Corporate Amex"/>
    <m/>
    <s v="Y"/>
    <s v="Events"/>
    <s v="MATCH"/>
    <x v="0"/>
  </r>
  <r>
    <s v="EXP102464"/>
    <s v="E058"/>
    <s v="AX697169207"/>
    <d v="2026-05-13T00:00:00"/>
    <d v="2026-05-15T00:00:00"/>
    <s v=" YELLOW CAB CO"/>
    <s v="4121"/>
    <s v="Transportation"/>
    <n v="14.13"/>
    <s v="Corporate Amex"/>
    <m/>
    <s v="Y"/>
    <s v="Transportation"/>
    <s v="MATCH"/>
    <x v="0"/>
  </r>
  <r>
    <s v="EXP102465"/>
    <s v="E057"/>
    <m/>
    <d v="2026-05-14T00:00:00"/>
    <d v="2026-05-15T00:00:00"/>
    <s v="LYFT RIDE THU"/>
    <s v="4121"/>
    <s v="Transportation"/>
    <n v="37.39"/>
    <s v="Corporate Amex"/>
    <m/>
    <s v="Y"/>
    <s v="Transportation"/>
    <s v="MATCH"/>
    <x v="0"/>
  </r>
  <r>
    <s v="EXP102466"/>
    <s v="E040"/>
    <s v="AX757522505"/>
    <d v="2026-05-12T00:00:00"/>
    <d v="2026-05-15T00:00:00"/>
    <s v="UNITED AIRLINES 0162233"/>
    <s v="4511"/>
    <s v="Travel"/>
    <n v="285.87"/>
    <s v="Corporate Amex"/>
    <m/>
    <s v="Y"/>
    <s v="Travel"/>
    <s v="MATCH"/>
    <x v="0"/>
  </r>
  <r>
    <s v="EXP102467"/>
    <s v="E264"/>
    <s v="AX770044775"/>
    <d v="2026-05-08T00:00:00"/>
    <d v="2026-05-15T00:00:00"/>
    <s v="HYATT REGENCY BOS"/>
    <s v="7011"/>
    <s v="Lodging"/>
    <n v="393.43"/>
    <s v="Corporate Amex"/>
    <m/>
    <s v="Y"/>
    <s v="Lodging"/>
    <s v="MATCH"/>
    <x v="3"/>
  </r>
  <r>
    <s v="EXP102468"/>
    <s v="E020"/>
    <s v="AX902768526"/>
    <d v="2026-05-12T00:00:00"/>
    <d v="2026-05-15T00:00:00"/>
    <s v="EVENTBRITE"/>
    <s v="7999"/>
    <m/>
    <n v="19.489999999999998"/>
    <s v="Corporate Amex"/>
    <m/>
    <s v="Y"/>
    <s v="Events"/>
    <s v="BLANK"/>
    <x v="0"/>
  </r>
  <r>
    <s v="EXP102469"/>
    <s v="E153"/>
    <s v="AX781391203"/>
    <d v="2026-05-14T00:00:00"/>
    <d v="2026-05-15T00:00:00"/>
    <s v="STAPLES #0231"/>
    <s v="5943"/>
    <s v="Office Supplies"/>
    <n v="44.98"/>
    <s v="Corporate Amex"/>
    <m/>
    <s v="N"/>
    <s v="Office Supplies"/>
    <s v="MATCH"/>
    <x v="6"/>
  </r>
  <r>
    <s v="EXP102470"/>
    <s v="E192"/>
    <s v="ax218719925"/>
    <d v="2026-05-07T00:00:00"/>
    <d v="2026-05-15T00:00:00"/>
    <s v="DELTA AIR 00623891045"/>
    <s v="4511"/>
    <s v="Travel"/>
    <n v="495.03"/>
    <s v="Corporate Amex"/>
    <m/>
    <s v="Y"/>
    <s v="Travel"/>
    <s v="MATCH"/>
    <x v="5"/>
  </r>
  <r>
    <s v="EXP102471"/>
    <s v="E027"/>
    <m/>
    <d v="2026-05-10T00:00:00"/>
    <d v="2026-05-15T00:00:00"/>
    <s v="TOTAL PARTY RENTAL"/>
    <s v="7999"/>
    <s v="Events"/>
    <n v="70.72"/>
    <s v="Corporate Amex"/>
    <m/>
    <s v="Y"/>
    <s v="Events"/>
    <s v="MATCH"/>
    <x v="0"/>
  </r>
  <r>
    <s v="EXP102472"/>
    <s v="E045"/>
    <s v="AX511123661"/>
    <d v="2026-05-09T00:00:00"/>
    <d v="2026-05-15T00:00:00"/>
    <s v="HOOTSUITE INC"/>
    <s v="5734"/>
    <s v="Software"/>
    <n v="194.74"/>
    <s v="Corporate Amex"/>
    <m/>
    <s v="Y"/>
    <s v="Software"/>
    <s v="MATCH"/>
    <x v="0"/>
  </r>
  <r>
    <s v="EXP102473"/>
    <s v="E130"/>
    <s v="AX245035320"/>
    <d v="2026-05-10T00:00:00"/>
    <d v="2026-05-15T00:00:00"/>
    <s v="SQ *JOES COFFEE"/>
    <s v="5812"/>
    <s v="Meals"/>
    <n v="9.98"/>
    <s v="Corporate Amex"/>
    <m/>
    <s v="Y"/>
    <s v="Meals"/>
    <s v="MATCH"/>
    <x v="7"/>
  </r>
  <r>
    <s v="EXP102474"/>
    <s v="E036"/>
    <s v="ax483600096"/>
    <d v="2026-05-13T00:00:00"/>
    <d v="2026-05-15T00:00:00"/>
    <s v="SOUTHWEST AIR 5261823"/>
    <s v="4511"/>
    <s v="Travel"/>
    <n v="383.53"/>
    <s v="Corporate Amex"/>
    <m/>
    <s v="Y"/>
    <s v="Travel"/>
    <s v="MATCH"/>
    <x v="0"/>
  </r>
  <r>
    <s v="EXP102475"/>
    <s v="E036"/>
    <s v="ax392043503"/>
    <d v="2026-05-14T00:00:00"/>
    <d v="2026-05-15T00:00:00"/>
    <s v="HILTON GARDEN INN 2231"/>
    <s v="7011"/>
    <s v="Lodging"/>
    <n v="162.75"/>
    <s v="Corporate Amex"/>
    <m/>
    <s v="Y"/>
    <s v="Lodging"/>
    <s v="MATCH"/>
    <x v="0"/>
  </r>
  <r>
    <s v="EXP102476"/>
    <s v="E018"/>
    <s v="AX586991148"/>
    <d v="2026-05-07T00:00:00"/>
    <d v="2026-05-15T00:00:00"/>
    <s v="HILTON GARDEN INN 2231"/>
    <s v="7011"/>
    <s v="Lodging"/>
    <n v="143.88"/>
    <s v="Corporate Amex"/>
    <m/>
    <s v="Y"/>
    <s v="Lodging"/>
    <s v="MATCH"/>
    <x v="0"/>
  </r>
  <r>
    <s v="EXP102477"/>
    <s v="E116"/>
    <s v="AX422039822"/>
    <d v="2026-05-10T00:00:00"/>
    <d v="2026-05-16T00:00:00"/>
    <s v="EVENTBRITE"/>
    <s v="7999"/>
    <s v="Events"/>
    <n v="39.659999999999997"/>
    <s v="Corporate Amex"/>
    <m/>
    <s v="Y"/>
    <s v="Events"/>
    <s v="MATCH"/>
    <x v="7"/>
  </r>
  <r>
    <s v="EXP102478"/>
    <s v="E175"/>
    <s v="ax879396231"/>
    <d v="2026-05-11T00:00:00"/>
    <d v="2026-05-16T00:00:00"/>
    <s v="UNITED AIRLINES 0162233"/>
    <s v="4511"/>
    <s v="Travel"/>
    <n v="310.57"/>
    <s v="Corporate Amex"/>
    <m/>
    <s v="Y"/>
    <s v="Travel"/>
    <s v="MATCH"/>
    <x v="6"/>
  </r>
  <r>
    <s v="EXP102479"/>
    <s v="E037"/>
    <s v="AX278801209"/>
    <d v="2026-05-11T00:00:00"/>
    <d v="2026-05-16T00:00:00"/>
    <s v="AMAZON MKTPLACE PMTS"/>
    <s v="5942"/>
    <s v="Office Supplies"/>
    <n v="50.89"/>
    <s v="Corporate Amex"/>
    <m/>
    <s v="Y"/>
    <s v="Office Supplies"/>
    <s v="MATCH"/>
    <x v="0"/>
  </r>
  <r>
    <s v="EXP102480"/>
    <s v="E215"/>
    <s v="AX502786728"/>
    <d v="2026-05-16T00:00:00"/>
    <d v="2026-05-16T00:00:00"/>
    <s v="SOUTHWEST AIR 5261823"/>
    <s v="4511"/>
    <m/>
    <n v="325.44"/>
    <s v="Corporate Amex"/>
    <m/>
    <s v="Y"/>
    <s v="Travel"/>
    <s v="BLANK"/>
    <x v="4"/>
  </r>
  <r>
    <s v="EXP102481"/>
    <s v="E027"/>
    <m/>
    <d v="2026-05-16T00:00:00"/>
    <d v="2026-05-16T00:00:00"/>
    <s v="CHIPOTLE 2214"/>
    <s v="5812"/>
    <s v="Meals"/>
    <n v="18.05"/>
    <s v="Personal (Reimbursement)"/>
    <s v="Forgot corporate card"/>
    <s v="Y"/>
    <s v="Meals"/>
    <s v="MATCH"/>
    <x v="0"/>
  </r>
  <r>
    <s v="EXP102482"/>
    <s v="E018"/>
    <m/>
    <d v="2026-05-11T00:00:00"/>
    <d v="2026-05-16T00:00:00"/>
    <s v="LYFT RIDE THU"/>
    <s v="4121"/>
    <s v="Transportation"/>
    <n v="43.05"/>
    <s v="Personal (Reimbursement)"/>
    <s v="Forgot corporate card"/>
    <s v="Y"/>
    <s v="Transportation"/>
    <s v="MATCH"/>
    <x v="0"/>
  </r>
  <r>
    <s v="EXP102483"/>
    <s v="E165"/>
    <m/>
    <d v="2026-05-16T00:00:00"/>
    <d v="2026-05-16T00:00:00"/>
    <s v="HILTON GARDEN INN 2231"/>
    <s v="7011"/>
    <s v="Lodging"/>
    <n v="349.52"/>
    <s v="Personal (Reimbursement)"/>
    <s v="Amex declined - vendor doesn't accept Amex"/>
    <s v="Y"/>
    <s v="Lodging"/>
    <s v="MATCH"/>
    <x v="6"/>
  </r>
  <r>
    <s v="EXP102484"/>
    <s v="E239"/>
    <s v="AX 619210075"/>
    <d v="2026-05-07T00:00:00"/>
    <d v="2026-05-16T00:00:00"/>
    <s v="STARBUCKS #4471"/>
    <s v="5812"/>
    <m/>
    <n v="13.7"/>
    <s v="Corporate Amex"/>
    <m/>
    <s v="Y"/>
    <s v="Meals"/>
    <s v="BLANK"/>
    <x v="1"/>
  </r>
  <r>
    <s v="EXP102485"/>
    <s v="E102"/>
    <s v="AX309888980"/>
    <d v="2026-05-11T00:00:00"/>
    <d v="2026-05-16T00:00:00"/>
    <s v="AMC THEATRES 0021"/>
    <s v="7832"/>
    <s v="Entertainment"/>
    <n v="59.69"/>
    <s v="Corporate Amex"/>
    <m/>
    <s v="Y"/>
    <s v="Entertainment"/>
    <s v="MATCH"/>
    <x v="2"/>
  </r>
  <r>
    <s v="EXP102486"/>
    <s v="E070"/>
    <m/>
    <d v="2026-05-09T00:00:00"/>
    <d v="2026-05-16T00:00:00"/>
    <s v="AMC THEATRES 0021"/>
    <s v="7832"/>
    <m/>
    <n v="39.869999999999997"/>
    <s v="Corporate Amex"/>
    <m/>
    <s v="N"/>
    <s v="Entertainment"/>
    <s v="BLANK"/>
    <x v="0"/>
  </r>
  <r>
    <s v="EXP102487"/>
    <s v="E274"/>
    <s v="AX508929099"/>
    <d v="2026-05-06T00:00:00"/>
    <d v="2026-05-16T00:00:00"/>
    <s v=" SOUTHWEST AIR 5261823"/>
    <s v="4511"/>
    <s v="Travel"/>
    <n v="332.56"/>
    <s v="Corporate Amex"/>
    <m/>
    <s v="N"/>
    <s v="Travel"/>
    <s v="MATCH"/>
    <x v="3"/>
  </r>
  <r>
    <s v="EXP102488"/>
    <s v="E098"/>
    <s v="AX-976311022"/>
    <d v="2026-05-13T00:00:00"/>
    <d v="2026-05-16T00:00:00"/>
    <s v="BRANDWATCH LTD"/>
    <s v="5734"/>
    <s v="Software"/>
    <n v="512.17999999999995"/>
    <s v="Corporate Amex"/>
    <m/>
    <s v="Y"/>
    <s v="Software"/>
    <s v="MATCH"/>
    <x v="2"/>
  </r>
  <r>
    <s v="EXP102489"/>
    <s v="E031"/>
    <s v="AX564999128"/>
    <d v="2026-05-07T00:00:00"/>
    <d v="2026-05-16T00:00:00"/>
    <s v="REGION CATERING CO"/>
    <s v="5811"/>
    <s v="Events"/>
    <n v="53.78"/>
    <s v="Corporate Amex"/>
    <m/>
    <s v="Y"/>
    <s v="Events"/>
    <s v="MATCH"/>
    <x v="0"/>
  </r>
  <r>
    <s v="EXP102490"/>
    <s v="E228"/>
    <m/>
    <d v="2026-05-13T00:00:00"/>
    <d v="2026-05-16T00:00:00"/>
    <s v="TOPGOLF #442"/>
    <s v="7997"/>
    <s v="Entertainment"/>
    <n v="133.58000000000001"/>
    <s v="Personal (Reimbursement)"/>
    <s v="Card not yet issued"/>
    <s v="Y"/>
    <s v="Entertainment"/>
    <s v="MATCH"/>
    <x v="4"/>
  </r>
  <r>
    <s v="EXP102491"/>
    <s v="E100"/>
    <m/>
    <d v="2026-05-11T00:00:00"/>
    <d v="2026-05-16T00:00:00"/>
    <s v="HOOTSUITE INC"/>
    <s v="5734"/>
    <s v="Software"/>
    <n v="182.94"/>
    <s v="Corporate Amex"/>
    <m/>
    <s v="Y"/>
    <s v="Software"/>
    <s v="MATCH"/>
    <x v="2"/>
  </r>
  <r>
    <s v="EXP102492"/>
    <s v="E202"/>
    <s v="AX346733591"/>
    <d v="2026-05-16T00:00:00"/>
    <d v="2026-05-16T00:00:00"/>
    <s v="LYFT RIDE THU"/>
    <s v="4121"/>
    <s v="Transportation"/>
    <n v="36.590000000000003"/>
    <s v="Corporate Amex"/>
    <m/>
    <s v="Y"/>
    <s v="Transportation"/>
    <s v="MATCH"/>
    <x v="5"/>
  </r>
  <r>
    <s v="EXP102493"/>
    <s v="E257"/>
    <s v="AX638469677"/>
    <d v="2026-05-07T00:00:00"/>
    <d v="2026-05-16T00:00:00"/>
    <s v="BRANDWATCH LTD"/>
    <s v="5734"/>
    <s v="Software"/>
    <n v="221.24"/>
    <s v="Corporate Amex"/>
    <m/>
    <s v="Y"/>
    <s v="Software"/>
    <s v="MATCH"/>
    <x v="8"/>
  </r>
  <r>
    <s v="EXP102494"/>
    <s v="E025"/>
    <s v="ax980216901"/>
    <d v="2026-05-13T00:00:00"/>
    <d v="2026-05-16T00:00:00"/>
    <s v="SQ *THE CORNER BISTRO"/>
    <s v="5812"/>
    <s v="  Meals "/>
    <n v="66.55"/>
    <s v="Corporate Amex"/>
    <m/>
    <s v="Y"/>
    <s v="Meals"/>
    <s v="MATCH"/>
    <x v="0"/>
  </r>
  <r>
    <s v="EXP102495"/>
    <s v="E251"/>
    <s v="AX-177153031"/>
    <d v="2026-05-14T00:00:00"/>
    <d v="2026-05-16T00:00:00"/>
    <s v="YELLOW CAB CO"/>
    <s v="4121"/>
    <s v="Transportation"/>
    <n v="42.71"/>
    <s v="Corporate Amex"/>
    <m/>
    <s v="Y"/>
    <s v="Transportation"/>
    <s v="MATCH"/>
    <x v="1"/>
  </r>
  <r>
    <s v="EXP102496"/>
    <s v="E016"/>
    <m/>
    <d v="2026-05-11T00:00:00"/>
    <d v="2026-05-16T00:00:00"/>
    <s v="HILTON GARDEN INN 2231"/>
    <s v="7011"/>
    <m/>
    <n v="165.32"/>
    <s v="Personal (Reimbursement)"/>
    <s v="Card not yet issued"/>
    <s v="Y"/>
    <s v="Lodging"/>
    <s v="BLANK"/>
    <x v="0"/>
  </r>
  <r>
    <s v="EXP102497"/>
    <s v="E260"/>
    <s v="AX920186261"/>
    <d v="2026-05-14T00:00:00"/>
    <d v="2026-05-16T00:00:00"/>
    <s v="AMAZON MKTPLACE PMTS"/>
    <s v="5942"/>
    <s v="Office Supplies"/>
    <n v="326.99"/>
    <s v="Corporate Amex"/>
    <m/>
    <s v="Y"/>
    <s v="Office Supplies"/>
    <s v="MATCH"/>
    <x v="8"/>
  </r>
  <r>
    <s v="EXP102498"/>
    <s v="E223"/>
    <s v="AX 760094099"/>
    <d v="2026-05-17T00:00:00"/>
    <d v="2026-05-17T00:00:00"/>
    <s v="SQ *THE CORNER BISTRO"/>
    <s v="5812"/>
    <m/>
    <n v="76.53"/>
    <s v="Corporate Amex"/>
    <m/>
    <s v="Y"/>
    <s v="Meals"/>
    <s v="BLANK"/>
    <x v="4"/>
  </r>
  <r>
    <s v="EXP102499"/>
    <s v="E066"/>
    <s v="AX 964067241"/>
    <d v="2026-05-10T00:00:00"/>
    <d v="2026-05-17T00:00:00"/>
    <s v="SPROUT SOCIAL"/>
    <s v="5734"/>
    <s v="Software"/>
    <n v="215.56"/>
    <s v="Corporate Amex"/>
    <m/>
    <s v="Y"/>
    <s v="Software"/>
    <s v="MATCH"/>
    <x v="0"/>
  </r>
  <r>
    <s v="EXP102500"/>
    <s v="E048"/>
    <s v="AX 315146875"/>
    <d v="2026-05-10T00:00:00"/>
    <d v="2026-05-17T00:00:00"/>
    <s v="ZOOM.US"/>
    <s v="5734"/>
    <s v="Software"/>
    <n v="19.45"/>
    <s v="Corporate Amex"/>
    <m/>
    <s v="N"/>
    <s v="Software"/>
    <s v="MATCH"/>
    <x v="0"/>
  </r>
  <r>
    <s v="EXP102501"/>
    <s v="E052"/>
    <s v="AX-259749344"/>
    <d v="2026-05-14T00:00:00"/>
    <d v="2026-05-17T00:00:00"/>
    <s v="MICROSOFT*365"/>
    <s v="5734"/>
    <s v="Software"/>
    <n v="44.28"/>
    <s v="Corporate Amex"/>
    <m/>
    <s v="N"/>
    <s v="Software"/>
    <s v="MATCH"/>
    <x v="0"/>
  </r>
  <r>
    <s v="EXP102502"/>
    <s v="E041"/>
    <s v="AX323510872"/>
    <d v="2026-05-12T00:00:00"/>
    <d v="2026-05-17T00:00:00"/>
    <s v="UBER TRIP HELP.UBER"/>
    <s v="4121"/>
    <s v="Transportation"/>
    <n v="10.95"/>
    <s v="Corporate Amex"/>
    <m/>
    <s v="Y"/>
    <s v="Transportation"/>
    <s v="MATCH"/>
    <x v="0"/>
  </r>
  <r>
    <s v="EXP102503"/>
    <s v="E219"/>
    <s v="AX420468576"/>
    <d v="2026-05-10T00:00:00"/>
    <d v="2026-05-17T00:00:00"/>
    <s v="STARBUCKS #4471"/>
    <s v="5812"/>
    <s v="Meals"/>
    <n v="10.86"/>
    <s v="Corporate Amex"/>
    <m/>
    <s v="Y"/>
    <s v="Meals"/>
    <s v="MATCH"/>
    <x v="4"/>
  </r>
  <r>
    <s v="EXP102504"/>
    <s v="E265"/>
    <s v="AX-399561152"/>
    <d v="2026-05-13T00:00:00"/>
    <d v="2026-05-17T00:00:00"/>
    <s v=" AMC THEATRES 0021"/>
    <s v="7832"/>
    <s v="Entertainment"/>
    <n v="31.36"/>
    <s v="Corporate Amex"/>
    <m/>
    <s v="Y"/>
    <s v="Entertainment"/>
    <s v="MATCH"/>
    <x v="3"/>
  </r>
  <r>
    <s v="EXP102505"/>
    <s v="E035"/>
    <s v="AX 149608170"/>
    <d v="2026-05-08T00:00:00"/>
    <d v="2026-05-17T00:00:00"/>
    <s v="MARRIOTT #4471"/>
    <s v="7011"/>
    <s v="Lodging"/>
    <n v="250.84"/>
    <s v="Corporate Amex"/>
    <m/>
    <s v="Y"/>
    <s v="Lodging"/>
    <s v="MATCH"/>
    <x v="0"/>
  </r>
  <r>
    <s v="EXP102506"/>
    <s v="E015"/>
    <s v="AX 755636480"/>
    <d v="2026-05-10T00:00:00"/>
    <d v="2026-05-17T00:00:00"/>
    <s v="OLIVE GARDEN 00456"/>
    <s v="5812"/>
    <s v="Meals"/>
    <n v="36.049999999999997"/>
    <s v="Corporate Amex"/>
    <m/>
    <s v="Y"/>
    <s v="Meals"/>
    <s v="MATCH"/>
    <x v="0"/>
  </r>
  <r>
    <s v="EXP102507"/>
    <s v="E143"/>
    <s v="AX180518945"/>
    <d v="2026-05-12T00:00:00"/>
    <d v="2026-05-17T00:00:00"/>
    <s v="PANERA BREAD #0231"/>
    <s v="5812"/>
    <s v="Meals"/>
    <n v="15.77"/>
    <s v="Corporate Amex"/>
    <m/>
    <s v="Y"/>
    <s v="Meals"/>
    <s v="MATCH"/>
    <x v="7"/>
  </r>
  <r>
    <s v="EXP102508"/>
    <s v="E046"/>
    <s v="AX992723695"/>
    <d v="2026-05-17T00:00:00"/>
    <d v="2026-05-17T00:00:00"/>
    <s v="AMAZON MKTPLACE PMTS"/>
    <s v="5942"/>
    <s v="Office Supplies"/>
    <n v="101.18"/>
    <s v="Corporate Amex"/>
    <m/>
    <s v="Y"/>
    <s v="Office Supplies"/>
    <s v="MATCH"/>
    <x v="0"/>
  </r>
  <r>
    <s v="EXP102509"/>
    <s v="E079"/>
    <s v="AX464859837"/>
    <d v="2026-05-15T00:00:00"/>
    <d v="2026-05-17T00:00:00"/>
    <s v="DELTA AIR 00623891045"/>
    <s v="4511"/>
    <s v="Travel"/>
    <n v="610.59"/>
    <s v="Corporate Amex"/>
    <m/>
    <s v="Y"/>
    <s v="Travel"/>
    <s v="MATCH"/>
    <x v="2"/>
  </r>
  <r>
    <s v="EXP102510"/>
    <s v="E273"/>
    <s v="AX 264762598"/>
    <d v="2026-05-07T00:00:00"/>
    <d v="2026-05-17T00:00:00"/>
    <s v="PANERA BREAD #0231"/>
    <s v="5812"/>
    <s v="Meals"/>
    <n v="19.71"/>
    <s v="Corporate Amex"/>
    <m/>
    <s v="Y"/>
    <s v="Meals"/>
    <s v="MATCH"/>
    <x v="3"/>
  </r>
  <r>
    <s v="EXP102511"/>
    <s v="E001"/>
    <s v="AX-942749427"/>
    <d v="2026-05-09T00:00:00"/>
    <d v="2026-05-17T00:00:00"/>
    <s v="AMAZON MKTPLACE PMTS"/>
    <s v="5942"/>
    <s v="Office Supplies"/>
    <n v="155.94999999999999"/>
    <s v="Corporate Amex"/>
    <m/>
    <s v="Y"/>
    <s v="Office Supplies"/>
    <s v="MATCH"/>
    <x v="0"/>
  </r>
  <r>
    <s v="EXP102512"/>
    <s v="E137"/>
    <m/>
    <d v="2026-05-08T00:00:00"/>
    <d v="2026-05-18T00:00:00"/>
    <s v="UNITED AIRLINES 0162233"/>
    <s v="4511"/>
    <s v="Travel"/>
    <n v="389.11"/>
    <s v="Corporate Amex"/>
    <m/>
    <s v="Y"/>
    <s v="Travel"/>
    <s v="MATCH"/>
    <x v="7"/>
  </r>
  <r>
    <s v="EXP102513"/>
    <s v="E011"/>
    <m/>
    <d v="2026-05-17T00:00:00"/>
    <d v="2026-05-18T00:00:00"/>
    <s v="DELTA AIR 00623891045"/>
    <s v="4511"/>
    <s v="Travel"/>
    <n v="437.33"/>
    <s v="Corporate Amex"/>
    <m/>
    <s v="Y"/>
    <s v="Travel"/>
    <s v="MATCH"/>
    <x v="0"/>
  </r>
  <r>
    <s v="EXP102514"/>
    <s v="E257"/>
    <m/>
    <d v="2026-05-16T00:00:00"/>
    <d v="2026-05-18T00:00:00"/>
    <s v="ZOOM.US"/>
    <s v="5734"/>
    <m/>
    <n v="47.88"/>
    <s v="Corporate Amex"/>
    <m/>
    <s v="Y"/>
    <s v="Software"/>
    <s v="BLANK"/>
    <x v="8"/>
  </r>
  <r>
    <s v="EXP102515"/>
    <s v="E119"/>
    <s v="AX959770436"/>
    <d v="2026-05-15T00:00:00"/>
    <d v="2026-05-18T00:00:00"/>
    <s v="EVENTBRITE"/>
    <s v="7999"/>
    <s v="Events"/>
    <n v="128.72"/>
    <s v="Corporate Amex"/>
    <m/>
    <s v="Y"/>
    <s v="Events"/>
    <s v="MATCH"/>
    <x v="7"/>
  </r>
  <r>
    <s v="EXP102516"/>
    <s v="E263"/>
    <s v="AX497861629"/>
    <d v="2026-05-16T00:00:00"/>
    <d v="2026-05-18T00:00:00"/>
    <s v="TOPGOLF #442"/>
    <s v="7997"/>
    <s v="Entertainment"/>
    <n v="184.47"/>
    <s v="Corporate Amex"/>
    <m/>
    <s v="Y"/>
    <s v="Entertainment"/>
    <s v="MATCH"/>
    <x v="3"/>
  </r>
  <r>
    <s v="EXP102517"/>
    <s v="E003"/>
    <s v="AX 298057273"/>
    <d v="2026-05-08T00:00:00"/>
    <d v="2026-05-18T00:00:00"/>
    <s v="DELTA AIR 00623891045"/>
    <s v="4511"/>
    <s v="Travel"/>
    <n v="522.25"/>
    <s v="Corporate Amex"/>
    <m/>
    <s v="Y"/>
    <s v="Travel"/>
    <s v="MATCH"/>
    <x v="0"/>
  </r>
  <r>
    <s v="EXP102518"/>
    <s v="E044"/>
    <s v="ax571033814"/>
    <d v="2026-05-18T00:00:00"/>
    <d v="2026-05-18T00:00:00"/>
    <s v="STAPLES #0231"/>
    <s v="5943"/>
    <s v="Office Supplies"/>
    <n v="38.700000000000003"/>
    <s v="Corporate Amex"/>
    <m/>
    <s v="Y"/>
    <s v="Office Supplies"/>
    <s v="MATCH"/>
    <x v="0"/>
  </r>
  <r>
    <s v="EXP102519"/>
    <s v="E051"/>
    <s v="AX-579414301"/>
    <d v="2026-05-17T00:00:00"/>
    <d v="2026-05-18T00:00:00"/>
    <s v="CHIPOTLE 2214"/>
    <s v="5812"/>
    <s v="Lodging"/>
    <n v="9.7200000000000006"/>
    <s v="Corporate Amex"/>
    <m/>
    <s v="Y"/>
    <s v="Meals"/>
    <s v="MISMATCH"/>
    <x v="0"/>
  </r>
  <r>
    <s v="EXP102520"/>
    <s v="E015"/>
    <s v="AX997188244"/>
    <d v="2026-05-17T00:00:00"/>
    <d v="2026-05-18T00:00:00"/>
    <s v="HILTON GARDEN INN 2231"/>
    <s v="7011"/>
    <s v="Lodging"/>
    <n v="289.82"/>
    <s v="Corporate Amex"/>
    <m/>
    <s v="Y"/>
    <s v="Lodging"/>
    <s v="MATCH"/>
    <x v="0"/>
  </r>
  <r>
    <s v="EXP102521"/>
    <s v="E015"/>
    <s v="AX416300415"/>
    <d v="2026-05-18T00:00:00"/>
    <d v="2026-05-18T00:00:00"/>
    <s v="SOUTHWEST AIR 5261823"/>
    <s v="4511"/>
    <s v="Travel"/>
    <n v="346.18"/>
    <s v="Corporate Amex"/>
    <m/>
    <s v="Y"/>
    <s v="Travel"/>
    <s v="MATCH"/>
    <x v="0"/>
  </r>
  <r>
    <s v="EXP102522"/>
    <s v="E015"/>
    <s v="AX131862984"/>
    <d v="2026-05-09T00:00:00"/>
    <d v="2026-05-18T00:00:00"/>
    <s v="PANERA BREAD #0231"/>
    <s v="5812"/>
    <s v="Meals"/>
    <n v="25.43"/>
    <s v="Corporate Amex"/>
    <m/>
    <s v="Y"/>
    <s v="Meals"/>
    <s v="MATCH"/>
    <x v="0"/>
  </r>
  <r>
    <s v="EXP102523"/>
    <s v="E006"/>
    <s v="AX548561380"/>
    <d v="2026-05-14T00:00:00"/>
    <d v="2026-05-18T00:00:00"/>
    <s v="REGION CATERING CO"/>
    <s v="5811"/>
    <s v="Events"/>
    <n v="226.14"/>
    <s v="Corporate Amex"/>
    <m/>
    <s v="Y"/>
    <s v="Events"/>
    <s v="MATCH"/>
    <x v="0"/>
  </r>
  <r>
    <s v="EXP102524"/>
    <s v="E270"/>
    <s v="ax496797660"/>
    <d v="2026-05-17T00:00:00"/>
    <d v="2026-05-18T00:00:00"/>
    <s v="SPROUT SOCIAL"/>
    <s v="5734"/>
    <s v="Software"/>
    <n v="132.55000000000001"/>
    <s v="Corporate Amex"/>
    <m/>
    <s v="Y"/>
    <s v="Software"/>
    <s v="MATCH"/>
    <x v="3"/>
  </r>
  <r>
    <s v="EXP102525"/>
    <s v="E046"/>
    <s v="AX-563815316"/>
    <d v="2026-05-10T00:00:00"/>
    <d v="2026-05-18T00:00:00"/>
    <s v="AMC THEATRES 0021"/>
    <s v="7832"/>
    <s v="Entertainment"/>
    <n v="30.22"/>
    <s v="Corporate Amex"/>
    <m/>
    <s v="N"/>
    <s v="Entertainment"/>
    <s v="MATCH"/>
    <x v="0"/>
  </r>
  <r>
    <s v="EXP102526"/>
    <s v="E069"/>
    <s v="AX 354347421"/>
    <d v="2026-05-18T00:00:00"/>
    <d v="2026-05-19T00:00:00"/>
    <s v="SQ *THE CORNER BISTRO"/>
    <s v="5812"/>
    <s v="  Meals "/>
    <n v="55.39"/>
    <s v="Corporate Amex"/>
    <m/>
    <s v="Y"/>
    <s v="Meals"/>
    <s v="MATCH"/>
    <x v="0"/>
  </r>
  <r>
    <s v="EXP102527"/>
    <s v="E022"/>
    <m/>
    <d v="2026-05-15T00:00:00"/>
    <d v="2026-05-19T00:00:00"/>
    <s v="MARRIOTT #4471"/>
    <s v="7011"/>
    <s v="Lodging"/>
    <n v="299.69"/>
    <s v="Personal (Reimbursement)"/>
    <s v="Card not yet issued"/>
    <s v="N"/>
    <s v="Lodging"/>
    <s v="MATCH"/>
    <x v="0"/>
  </r>
  <r>
    <s v="EXP102528"/>
    <s v="E022"/>
    <m/>
    <d v="2026-05-14T00:00:00"/>
    <d v="2026-05-19T00:00:00"/>
    <s v="SPROUT SOCIAL"/>
    <s v="5734"/>
    <s v="Software"/>
    <n v="245.69"/>
    <s v="Personal (Reimbursement)"/>
    <s v="Card not yet issued"/>
    <s v="Y"/>
    <s v="Software"/>
    <s v="MATCH"/>
    <x v="0"/>
  </r>
  <r>
    <s v="EXP102529"/>
    <s v="E073"/>
    <s v="AX 958364732"/>
    <d v="2026-05-11T00:00:00"/>
    <d v="2026-05-19T00:00:00"/>
    <s v="PANERA BREAD #0231"/>
    <s v="5812"/>
    <s v="Meals"/>
    <n v="13.54"/>
    <s v="Corporate Amex"/>
    <m/>
    <s v="Y"/>
    <s v="Meals"/>
    <s v="MATCH"/>
    <x v="2"/>
  </r>
  <r>
    <s v="EXP102530"/>
    <s v="E027"/>
    <s v="AX443778502"/>
    <d v="2026-05-16T00:00:00"/>
    <d v="2026-05-19T00:00:00"/>
    <s v="AMAZON MKTPLACE PMTS"/>
    <s v="5942"/>
    <m/>
    <n v="195.34"/>
    <s v="Corporate Amex"/>
    <m/>
    <s v="N"/>
    <s v="Office Supplies"/>
    <s v="BLANK"/>
    <x v="0"/>
  </r>
  <r>
    <s v="EXP102531"/>
    <s v="E272"/>
    <s v="AX 713316956"/>
    <d v="2026-05-09T00:00:00"/>
    <d v="2026-05-19T00:00:00"/>
    <s v="SOUTHWEST AIR 5261823"/>
    <s v="4511"/>
    <s v="Travel"/>
    <n v="420.04"/>
    <s v="Corporate Amex"/>
    <m/>
    <s v="Y"/>
    <s v="Travel"/>
    <s v="MATCH"/>
    <x v="3"/>
  </r>
  <r>
    <s v="EXP102532"/>
    <s v="E036"/>
    <s v="AX949352169"/>
    <d v="2026-05-18T00:00:00"/>
    <d v="2026-05-19T00:00:00"/>
    <s v="HOOTSUITE INC"/>
    <s v="5734"/>
    <s v="  Software "/>
    <n v="223.34"/>
    <s v="Corporate Amex"/>
    <m/>
    <s v="Y"/>
    <s v="Software"/>
    <s v="MATCH"/>
    <x v="0"/>
  </r>
  <r>
    <s v="EXP102533"/>
    <s v="E051"/>
    <s v="AX938496340"/>
    <d v="2026-05-17T00:00:00"/>
    <d v="2026-05-19T00:00:00"/>
    <s v="SQ *JOES COFFEE"/>
    <s v="5812"/>
    <s v="Meals"/>
    <n v="22.77"/>
    <s v="Corporate Amex"/>
    <m/>
    <s v="Y"/>
    <s v="Meals"/>
    <s v="MATCH"/>
    <x v="0"/>
  </r>
  <r>
    <s v="EXP102534"/>
    <s v="E240"/>
    <s v="ax421135685"/>
    <d v="2026-05-17T00:00:00"/>
    <d v="2026-05-19T00:00:00"/>
    <s v="CHIPOTLE 2214"/>
    <s v="5812"/>
    <s v="Meals"/>
    <n v="15.39"/>
    <s v="Corporate Amex"/>
    <m/>
    <s v="Y"/>
    <s v="Meals"/>
    <s v="MATCH"/>
    <x v="1"/>
  </r>
  <r>
    <s v="EXP102535"/>
    <s v="E001"/>
    <s v="ax556791494"/>
    <d v="2026-05-09T00:00:00"/>
    <d v="2026-05-19T00:00:00"/>
    <s v="SQ *THE CORNER BISTRO"/>
    <s v="5812"/>
    <s v="Meals"/>
    <n v="21.63"/>
    <s v="Corporate Amex"/>
    <m/>
    <s v="N"/>
    <s v="Meals"/>
    <s v="MATCH"/>
    <x v="0"/>
  </r>
  <r>
    <s v="EXP102536"/>
    <s v="E062"/>
    <s v="AX 395137659"/>
    <d v="2026-05-11T00:00:00"/>
    <d v="2026-05-19T00:00:00"/>
    <s v="MICROSOFT*365"/>
    <s v="5734"/>
    <s v="Software"/>
    <n v="37.9"/>
    <s v="Corporate Amex"/>
    <m/>
    <s v="N"/>
    <s v="Software"/>
    <s v="MATCH"/>
    <x v="0"/>
  </r>
  <r>
    <s v="EXP102537"/>
    <s v="E005"/>
    <m/>
    <d v="2026-05-14T00:00:00"/>
    <d v="2026-05-19T00:00:00"/>
    <s v="HYATT REGENCY BOS"/>
    <s v="7011"/>
    <s v="Lodging"/>
    <n v="406.15"/>
    <s v="Corporate Amex"/>
    <m/>
    <s v="Y"/>
    <s v="Lodging"/>
    <s v="MATCH"/>
    <x v="0"/>
  </r>
  <r>
    <s v="EXP102538"/>
    <s v="E025"/>
    <s v="AX 261057245"/>
    <d v="2026-05-14T00:00:00"/>
    <d v="2026-05-19T00:00:00"/>
    <s v="DELTA AIR 00623891045"/>
    <s v="4511"/>
    <s v="Travel"/>
    <n v="297.99"/>
    <s v="Corporate Amex"/>
    <m/>
    <s v="Y"/>
    <s v="Travel"/>
    <s v="MATCH"/>
    <x v="0"/>
  </r>
  <r>
    <s v="EXP102539"/>
    <s v="E168"/>
    <s v="AX853433972"/>
    <d v="2026-05-13T00:00:00"/>
    <d v="2026-05-19T00:00:00"/>
    <s v="MICROSOFT*365"/>
    <s v="5734"/>
    <s v="Software"/>
    <n v="26.46"/>
    <s v="Corporate Amex"/>
    <m/>
    <s v="Y"/>
    <s v="Software"/>
    <s v="MATCH"/>
    <x v="6"/>
  </r>
  <r>
    <s v="EXP102540"/>
    <s v="E002"/>
    <s v="AX989492758"/>
    <d v="2026-05-15T00:00:00"/>
    <d v="2026-05-19T00:00:00"/>
    <s v="AMC THEATRES 0021"/>
    <s v="7832"/>
    <s v="Entertainment"/>
    <n v="22.12"/>
    <s v="Corporate Amex"/>
    <m/>
    <s v="Y"/>
    <s v="Entertainment"/>
    <s v="MATCH"/>
    <x v="0"/>
  </r>
  <r>
    <s v="EXP102541"/>
    <s v="E058"/>
    <s v="AX706577912"/>
    <d v="2026-05-15T00:00:00"/>
    <d v="2026-05-19T00:00:00"/>
    <s v="EVENTBRITE"/>
    <s v="7999"/>
    <s v="Events"/>
    <n v="228.77"/>
    <s v="Corporate Amex"/>
    <m/>
    <s v="Y"/>
    <s v="Events"/>
    <s v="MATCH"/>
    <x v="0"/>
  </r>
  <r>
    <s v="EXP102542"/>
    <s v="E249"/>
    <s v="AX-857033442"/>
    <d v="2026-05-10T00:00:00"/>
    <d v="2026-05-19T00:00:00"/>
    <s v="SOUTHWEST AIR 5261823"/>
    <s v="4511"/>
    <s v="Travel"/>
    <n v="182.36"/>
    <s v="Corporate Amex"/>
    <m/>
    <s v="Y"/>
    <s v="Travel"/>
    <s v="MATCH"/>
    <x v="1"/>
  </r>
  <r>
    <s v="EXP102543"/>
    <s v="E012"/>
    <s v="ax250664815"/>
    <d v="2026-05-10T00:00:00"/>
    <d v="2026-05-19T00:00:00"/>
    <s v="UNITED AIRLINES 0162233"/>
    <s v="4511"/>
    <s v="Travel"/>
    <n v="641.79"/>
    <s v="Corporate Amex"/>
    <m/>
    <s v="Y"/>
    <s v="Travel"/>
    <s v="MATCH"/>
    <x v="0"/>
  </r>
  <r>
    <s v="EXP102544"/>
    <s v="E066"/>
    <s v="ax586502377"/>
    <d v="2026-05-10T00:00:00"/>
    <d v="2026-05-19T00:00:00"/>
    <s v="BRANDWATCH LTD"/>
    <s v="5734"/>
    <s v="Software"/>
    <n v="324.14"/>
    <s v="Corporate Amex"/>
    <m/>
    <s v="Y"/>
    <s v="Software"/>
    <s v="MATCH"/>
    <x v="0"/>
  </r>
  <r>
    <s v="EXP102545"/>
    <s v="E021"/>
    <s v="AX499305020"/>
    <d v="2026-05-15T00:00:00"/>
    <d v="2026-05-19T00:00:00"/>
    <s v="HYATT REGENCY BOS"/>
    <s v="7011"/>
    <s v="Lodging"/>
    <n v="422.19"/>
    <s v="Corporate Amex"/>
    <m/>
    <s v="Y"/>
    <s v="Lodging"/>
    <s v="MATCH"/>
    <x v="0"/>
  </r>
  <r>
    <s v="EXP102546"/>
    <s v="E086"/>
    <s v="AX251382599"/>
    <d v="2026-05-19T00:00:00"/>
    <d v="2026-05-19T00:00:00"/>
    <s v="UNITED AIRLINES 0162233"/>
    <s v="4511"/>
    <s v="Travel"/>
    <n v="334.07"/>
    <s v="Corporate Amex"/>
    <m/>
    <s v="Y"/>
    <s v="Travel"/>
    <s v="MATCH"/>
    <x v="2"/>
  </r>
  <r>
    <s v="EXP102547"/>
    <s v="E020"/>
    <s v="AX471094429"/>
    <d v="2026-05-15T00:00:00"/>
    <d v="2026-05-20T00:00:00"/>
    <s v="HILTON GARDEN INN 2231"/>
    <s v="7011"/>
    <s v="Lodging"/>
    <n v="382.1"/>
    <s v="Corporate Amex"/>
    <m/>
    <s v="Y"/>
    <s v="Lodging"/>
    <s v="MATCH"/>
    <x v="0"/>
  </r>
  <r>
    <s v="EXP102548"/>
    <s v="E128"/>
    <s v="AX245653897"/>
    <d v="2026-05-20T00:00:00"/>
    <d v="2026-05-20T00:00:00"/>
    <s v="PANERA BREAD #0231"/>
    <s v="5812"/>
    <s v="Meals"/>
    <n v="15.67"/>
    <s v="Corporate Amex"/>
    <m/>
    <s v="Y"/>
    <s v="Meals"/>
    <s v="MATCH"/>
    <x v="7"/>
  </r>
  <r>
    <s v="EXP102549"/>
    <s v="E044"/>
    <s v="ax485954470"/>
    <d v="2026-05-11T00:00:00"/>
    <d v="2026-05-20T00:00:00"/>
    <s v="ZOOM.US"/>
    <s v="5734"/>
    <s v="Software"/>
    <n v="45.77"/>
    <s v="Corporate Amex"/>
    <m/>
    <s v="Y"/>
    <s v="Software"/>
    <s v="MATCH"/>
    <x v="0"/>
  </r>
  <r>
    <s v="EXP102550"/>
    <s v="E033"/>
    <s v="AX480672232"/>
    <d v="2026-05-13T00:00:00"/>
    <d v="2026-05-20T00:00:00"/>
    <s v="OLIVE GARDEN 00456"/>
    <s v="5812"/>
    <s v="Meals"/>
    <n v="86.46"/>
    <s v="Corporate Amex"/>
    <m/>
    <s v="Y"/>
    <s v="Meals"/>
    <s v="MATCH"/>
    <x v="0"/>
  </r>
  <r>
    <s v="EXP102551"/>
    <s v="E112"/>
    <s v="AX 172679381"/>
    <d v="2026-05-19T00:00:00"/>
    <d v="2026-05-20T00:00:00"/>
    <s v="PANERA BREAD #0231"/>
    <s v="5812"/>
    <s v="Meals"/>
    <n v="20.9"/>
    <s v="Corporate Amex"/>
    <m/>
    <s v="N"/>
    <s v="Meals"/>
    <s v="MATCH"/>
    <x v="2"/>
  </r>
  <r>
    <s v="EXP102552"/>
    <s v="E006"/>
    <s v="AX414322793"/>
    <d v="2026-05-11T00:00:00"/>
    <d v="2026-05-20T00:00:00"/>
    <s v="MARRIOTT #4471"/>
    <s v="7011"/>
    <s v="Lodging"/>
    <n v="380.17"/>
    <s v="Corporate Amex"/>
    <m/>
    <s v="Y"/>
    <s v="Lodging"/>
    <s v="MATCH"/>
    <x v="0"/>
  </r>
  <r>
    <s v="EXP102553"/>
    <s v="E120"/>
    <s v="AX302407994"/>
    <d v="2026-05-16T00:00:00"/>
    <d v="2026-05-20T00:00:00"/>
    <s v="HOOTSUITE INC"/>
    <s v="5734"/>
    <s v="Software"/>
    <n v="204.73"/>
    <s v="Corporate Amex"/>
    <m/>
    <s v="Y"/>
    <s v="Software"/>
    <s v="MATCH"/>
    <x v="7"/>
  </r>
  <r>
    <s v="EXP102554"/>
    <s v="E009"/>
    <s v="AX545774510"/>
    <d v="2026-05-14T00:00:00"/>
    <d v="2026-05-20T00:00:00"/>
    <s v="OLIVE GARDEN 00456"/>
    <s v="5812"/>
    <m/>
    <n v="59.26"/>
    <s v="Corporate Amex"/>
    <m/>
    <s v="N"/>
    <s v="Meals"/>
    <s v="BLANK"/>
    <x v="0"/>
  </r>
  <r>
    <s v="EXP102555"/>
    <s v="E039"/>
    <m/>
    <d v="2026-05-17T00:00:00"/>
    <d v="2026-05-20T00:00:00"/>
    <s v="ZOOM.US"/>
    <s v="5734"/>
    <s v="Software"/>
    <n v="47.47"/>
    <s v="Corporate Amex"/>
    <m/>
    <s v="Y"/>
    <s v="Software"/>
    <s v="MATCH"/>
    <x v="0"/>
  </r>
  <r>
    <s v="EXP102556"/>
    <s v="E021"/>
    <s v="AX468961187"/>
    <d v="2026-05-15T00:00:00"/>
    <d v="2026-05-20T00:00:00"/>
    <s v="SOUTHWEST AIR 5261823"/>
    <s v="4511"/>
    <s v="Travel"/>
    <n v="275.81"/>
    <s v="Corporate Amex"/>
    <m/>
    <s v="Y"/>
    <s v="Travel"/>
    <s v="MATCH"/>
    <x v="0"/>
  </r>
  <r>
    <s v="EXP102557"/>
    <s v="E093"/>
    <s v="AX 363026095"/>
    <d v="2026-05-14T00:00:00"/>
    <d v="2026-05-20T00:00:00"/>
    <s v="SOUTHWEST AIR 5261823"/>
    <s v="4511"/>
    <s v="Travel"/>
    <n v="223.07"/>
    <s v="Corporate Amex"/>
    <m/>
    <s v="Y"/>
    <s v="Travel"/>
    <s v="MATCH"/>
    <x v="2"/>
  </r>
  <r>
    <s v="EXP102558"/>
    <s v="E059"/>
    <s v="AX-748788974"/>
    <d v="2026-05-13T00:00:00"/>
    <d v="2026-05-20T00:00:00"/>
    <s v="ADOBE *CREATIVE CLOUD"/>
    <s v="5734"/>
    <s v="Software"/>
    <n v="80.319999999999993"/>
    <s v="Corporate Amex"/>
    <m/>
    <s v="Y"/>
    <s v="Software"/>
    <s v="MATCH"/>
    <x v="0"/>
  </r>
  <r>
    <s v="EXP102559"/>
    <s v="E012"/>
    <m/>
    <d v="2026-05-12T00:00:00"/>
    <d v="2026-05-20T00:00:00"/>
    <s v="SQ *THE CORNER BISTRO"/>
    <s v="5812"/>
    <s v="Meals"/>
    <n v="20.59"/>
    <s v="Personal (Reimbursement)"/>
    <s v="International merchant - Amex not accepted"/>
    <s v="Y"/>
    <s v="Meals"/>
    <s v="MATCH"/>
    <x v="0"/>
  </r>
  <r>
    <s v="EXP102561"/>
    <s v="E060"/>
    <s v="AX279489411"/>
    <d v="2026-05-19T00:00:00"/>
    <d v="2026-05-20T00:00:00"/>
    <s v="SOUTHWEST AIR 5261823"/>
    <s v="4511"/>
    <s v="Travel"/>
    <n v="464.92"/>
    <s v="Corporate Amex"/>
    <m/>
    <s v="Y"/>
    <s v="Travel"/>
    <s v="MATCH"/>
    <x v="0"/>
  </r>
  <r>
    <s v="EXP102562"/>
    <s v="E147"/>
    <s v="AX 566277780"/>
    <d v="2026-05-17T00:00:00"/>
    <d v="2026-05-20T00:00:00"/>
    <s v="OLIVE GARDEN 00456"/>
    <s v="5812"/>
    <m/>
    <n v="104.86"/>
    <s v="Corporate Amex"/>
    <m/>
    <s v="Y"/>
    <s v="Meals"/>
    <s v="BLANK"/>
    <x v="7"/>
  </r>
  <r>
    <s v="EXP102563"/>
    <s v="E058"/>
    <s v="AX481056752"/>
    <d v="2026-05-11T00:00:00"/>
    <d v="2026-05-21T00:00:00"/>
    <s v="TOTAL PARTY RENTAL"/>
    <s v="7999"/>
    <s v="Events"/>
    <n v="256.55"/>
    <s v="Corporate Amex"/>
    <m/>
    <s v="N"/>
    <s v="Events"/>
    <s v="MATCH"/>
    <x v="0"/>
  </r>
  <r>
    <s v="EXP102564"/>
    <s v="E058"/>
    <s v="AX146644334"/>
    <d v="2026-05-17T00:00:00"/>
    <d v="2026-05-21T00:00:00"/>
    <s v="SPROUT SOCIAL"/>
    <s v="5734"/>
    <s v="  Software "/>
    <n v="221.48"/>
    <s v="Corporate Amex"/>
    <m/>
    <s v="Y"/>
    <s v="Software"/>
    <s v="MATCH"/>
    <x v="0"/>
  </r>
  <r>
    <s v="EXP102565"/>
    <s v="E005"/>
    <s v="AX512120149"/>
    <d v="2026-05-16T00:00:00"/>
    <d v="2026-05-21T00:00:00"/>
    <s v="UBER TRIP HELP.UBER"/>
    <s v="4121"/>
    <s v="  Transportation "/>
    <n v="60.03"/>
    <s v="Corporate Amex"/>
    <m/>
    <s v="Y"/>
    <s v="Transportation"/>
    <s v="MATCH"/>
    <x v="0"/>
  </r>
  <r>
    <s v="EXP102566"/>
    <s v="E208"/>
    <m/>
    <d v="2026-05-15T00:00:00"/>
    <d v="2026-05-21T00:00:00"/>
    <s v="MARRIOTT #4471"/>
    <s v="7011"/>
    <m/>
    <n v="267.52999999999997"/>
    <s v="Corporate Amex"/>
    <m/>
    <s v="Y"/>
    <s v="Lodging"/>
    <s v="BLANK"/>
    <x v="4"/>
  </r>
  <r>
    <s v="EXP102567"/>
    <s v="E267"/>
    <s v="AX169748988"/>
    <d v="2026-05-11T00:00:00"/>
    <d v="2026-05-21T00:00:00"/>
    <s v="BRANDWATCH LTD"/>
    <s v="5734"/>
    <s v="Software"/>
    <n v="551.91999999999996"/>
    <s v="Corporate Amex"/>
    <m/>
    <s v="Y"/>
    <s v="Software"/>
    <s v="MATCH"/>
    <x v="3"/>
  </r>
  <r>
    <s v="EXP102568"/>
    <s v="E257"/>
    <m/>
    <d v="2026-05-11T00:00:00"/>
    <d v="2026-05-21T00:00:00"/>
    <s v="TOTAL PARTY RENTAL"/>
    <s v="7999"/>
    <s v="Events"/>
    <n v="129.11000000000001"/>
    <s v="Corporate Amex"/>
    <m/>
    <s v="Y"/>
    <s v="Events"/>
    <s v="MATCH"/>
    <x v="8"/>
  </r>
  <r>
    <s v="EXP102569"/>
    <s v="E065"/>
    <s v="AX393667191"/>
    <d v="2026-05-15T00:00:00"/>
    <d v="2026-05-21T00:00:00"/>
    <s v="AMC THEATRES 0021"/>
    <s v="7832"/>
    <s v="Entertainment"/>
    <n v="38.909999999999997"/>
    <s v="Corporate Amex"/>
    <m/>
    <s v="Y"/>
    <s v="Entertainment"/>
    <s v="MATCH"/>
    <x v="0"/>
  </r>
  <r>
    <s v="EXP102570"/>
    <s v="E022"/>
    <m/>
    <d v="2026-05-15T00:00:00"/>
    <d v="2026-05-21T00:00:00"/>
    <s v="AMAZON MKTPLACE PMTS"/>
    <s v="5942"/>
    <s v="Office Supplies"/>
    <n v="321.10000000000002"/>
    <s v="Personal (Reimbursement)"/>
    <s v="Card not yet issued"/>
    <s v="Y"/>
    <s v="Office Supplies"/>
    <s v="MATCH"/>
    <x v="0"/>
  </r>
  <r>
    <s v="EXP102571"/>
    <s v="E172"/>
    <s v="AX318911695"/>
    <d v="2026-05-18T00:00:00"/>
    <d v="2026-05-21T00:00:00"/>
    <s v="DELTA AIR 00623891045"/>
    <s v="4511"/>
    <s v="Travel"/>
    <n v="270.58999999999997"/>
    <s v="Corporate Amex"/>
    <m/>
    <s v="Y"/>
    <s v="Travel"/>
    <s v="MATCH"/>
    <x v="6"/>
  </r>
  <r>
    <s v="EXP102572"/>
    <s v="E121"/>
    <s v="AX 838947559"/>
    <d v="2026-05-20T00:00:00"/>
    <d v="2026-05-21T00:00:00"/>
    <s v="PANERA BREAD #0231"/>
    <s v="5812"/>
    <s v="Meals"/>
    <n v="23.9"/>
    <s v="Corporate Amex"/>
    <m/>
    <s v="Y"/>
    <s v="Meals"/>
    <s v="MATCH"/>
    <x v="7"/>
  </r>
  <r>
    <s v="EXP102573"/>
    <s v="E196"/>
    <s v="ax532545029"/>
    <d v="2026-05-13T00:00:00"/>
    <d v="2026-05-21T00:00:00"/>
    <s v="SQ *THE CORNER BISTRO"/>
    <s v="5812"/>
    <s v="Meals"/>
    <n v="81.72"/>
    <s v="Corporate Amex"/>
    <m/>
    <s v="Y"/>
    <s v="Meals"/>
    <s v="MATCH"/>
    <x v="5"/>
  </r>
  <r>
    <s v="EXP102574"/>
    <s v="E227"/>
    <s v="AX-900928902"/>
    <d v="2026-05-21T00:00:00"/>
    <d v="2026-05-21T00:00:00"/>
    <s v="SOUTHWEST AIR 5261823"/>
    <s v="4511"/>
    <s v="Travel"/>
    <n v="468.61"/>
    <s v="Corporate Amex"/>
    <m/>
    <s v="Y"/>
    <s v="Travel"/>
    <s v="MATCH"/>
    <x v="4"/>
  </r>
  <r>
    <s v="EXP102575"/>
    <s v="E258"/>
    <s v="AX216561020"/>
    <d v="2026-05-15T00:00:00"/>
    <d v="2026-05-21T00:00:00"/>
    <s v="OLIVE GARDEN 00456"/>
    <s v="5812"/>
    <s v="Meals"/>
    <n v="33.49"/>
    <s v="Corporate Amex"/>
    <m/>
    <s v="Y"/>
    <s v="Meals"/>
    <s v="MATCH"/>
    <x v="8"/>
  </r>
  <r>
    <s v="EXP102576"/>
    <s v="E130"/>
    <s v="AX782838364"/>
    <d v="2026-05-20T00:00:00"/>
    <d v="2026-05-21T00:00:00"/>
    <s v="AMAZON MKTPLACE PMTS"/>
    <s v="5942"/>
    <m/>
    <n v="158.93"/>
    <s v="Corporate Amex"/>
    <m/>
    <s v="Y"/>
    <s v="Office Supplies"/>
    <s v="BLANK"/>
    <x v="7"/>
  </r>
  <r>
    <s v="EXP102577"/>
    <s v="E130"/>
    <m/>
    <d v="2026-05-18T00:00:00"/>
    <d v="2026-05-21T00:00:00"/>
    <s v="STARBUCKS #4471"/>
    <s v="5812"/>
    <s v="Meals"/>
    <n v="16.23"/>
    <s v="Corporate Amex"/>
    <m/>
    <s v="Y"/>
    <s v="Meals"/>
    <s v="MATCH"/>
    <x v="7"/>
  </r>
  <r>
    <s v="EXP102578"/>
    <s v="E010"/>
    <s v="AX-828124193"/>
    <d v="2026-05-19T00:00:00"/>
    <d v="2026-05-21T00:00:00"/>
    <s v="SOUTHWEST AIR 5261823"/>
    <s v="4511"/>
    <s v="Travel"/>
    <n v="361.47"/>
    <s v="Corporate Amex"/>
    <m/>
    <s v="N"/>
    <s v="Travel"/>
    <s v="MATCH"/>
    <x v="0"/>
  </r>
  <r>
    <s v="EXP102579"/>
    <s v="E233"/>
    <s v="AX286185892"/>
    <d v="2026-05-15T00:00:00"/>
    <d v="2026-05-22T00:00:00"/>
    <s v="CHIPOTLE 2214"/>
    <s v="5812"/>
    <s v="Meals"/>
    <n v="9.67"/>
    <s v="Corporate Amex"/>
    <m/>
    <s v="Y"/>
    <s v="Meals"/>
    <s v="MATCH"/>
    <x v="1"/>
  </r>
  <r>
    <s v="EXP102580"/>
    <s v="E006"/>
    <s v="AX515065375"/>
    <d v="2026-05-15T00:00:00"/>
    <d v="2026-05-22T00:00:00"/>
    <s v="OLIVE GARDEN 00456"/>
    <s v="5812"/>
    <s v="Lodging"/>
    <n v="128.6"/>
    <s v="Corporate Amex"/>
    <m/>
    <s v="Y"/>
    <s v="Meals"/>
    <s v="MISMATCH"/>
    <x v="0"/>
  </r>
  <r>
    <s v="EXP102581"/>
    <s v="E042"/>
    <s v="AX-331408892"/>
    <d v="2026-05-21T00:00:00"/>
    <d v="2026-05-22T00:00:00"/>
    <s v=" EVENTBRITE"/>
    <s v="7999"/>
    <s v="Events"/>
    <n v="39.32"/>
    <s v="Corporate Amex"/>
    <m/>
    <s v="N"/>
    <s v="Events"/>
    <s v="MATCH"/>
    <x v="0"/>
  </r>
  <r>
    <s v="EXP102582"/>
    <s v="E152"/>
    <s v="AX-250790267"/>
    <d v="2026-05-21T00:00:00"/>
    <d v="2026-05-22T00:00:00"/>
    <s v="REGION CATERING CO"/>
    <s v="5811"/>
    <s v="Events"/>
    <n v="528.11"/>
    <s v="Corporate Amex"/>
    <m/>
    <s v="Y"/>
    <s v="Events"/>
    <s v="MATCH"/>
    <x v="6"/>
  </r>
  <r>
    <s v="EXP102583"/>
    <s v="E097"/>
    <s v="AX224672483"/>
    <d v="2026-05-20T00:00:00"/>
    <d v="2026-05-22T00:00:00"/>
    <s v="EVENTBRITE"/>
    <s v="7999"/>
    <s v="Events"/>
    <n v="210.16"/>
    <s v="Corporate Amex"/>
    <m/>
    <s v="Y"/>
    <s v="Events"/>
    <s v="MATCH"/>
    <x v="2"/>
  </r>
  <r>
    <s v="EXP102584"/>
    <s v="E051"/>
    <s v="AX134180620"/>
    <d v="2026-05-19T00:00:00"/>
    <d v="2026-05-22T00:00:00"/>
    <s v="HYATT REGENCY BOS"/>
    <s v="7011"/>
    <s v="Lodging"/>
    <n v="201.77"/>
    <s v="Corporate Amex"/>
    <m/>
    <s v="Y"/>
    <s v="Lodging"/>
    <s v="MATCH"/>
    <x v="0"/>
  </r>
  <r>
    <s v="EXP102586"/>
    <s v="E011"/>
    <s v="AX 358688159"/>
    <d v="2026-05-15T00:00:00"/>
    <d v="2026-05-22T00:00:00"/>
    <s v="HYATT REGENCY BOS"/>
    <s v="7011"/>
    <s v="Lodging"/>
    <n v="186.21"/>
    <s v="Corporate Amex"/>
    <m/>
    <s v="Y"/>
    <s v="Lodging"/>
    <s v="MATCH"/>
    <x v="0"/>
  </r>
  <r>
    <s v="EXP102587"/>
    <s v="E011"/>
    <s v="ax375137472"/>
    <d v="2026-05-21T00:00:00"/>
    <d v="2026-05-22T00:00:00"/>
    <s v="TOPGOLF #442"/>
    <s v="7997"/>
    <s v="Entertainment"/>
    <n v="207.56"/>
    <s v="Corporate Amex"/>
    <m/>
    <s v="Y"/>
    <s v="Entertainment"/>
    <s v="MATCH"/>
    <x v="0"/>
  </r>
  <r>
    <s v="EXP102588"/>
    <s v="E056"/>
    <s v="AX-470448639"/>
    <d v="2026-05-20T00:00:00"/>
    <d v="2026-05-22T00:00:00"/>
    <s v="STARBUCKS #4471"/>
    <s v="5812"/>
    <s v="Meals"/>
    <n v="17.27"/>
    <s v="Corporate Amex"/>
    <m/>
    <s v="Y"/>
    <s v="Meals"/>
    <s v="MATCH"/>
    <x v="0"/>
  </r>
  <r>
    <s v="EXP102589"/>
    <s v="E259"/>
    <s v="AX917529757"/>
    <d v="2026-05-14T00:00:00"/>
    <d v="2026-05-22T00:00:00"/>
    <s v="UNITED AIRLINES 0162233"/>
    <s v="4511"/>
    <s v="Travel"/>
    <n v="626.72"/>
    <s v="Corporate Amex"/>
    <m/>
    <s v="Y"/>
    <s v="Travel"/>
    <s v="MATCH"/>
    <x v="8"/>
  </r>
  <r>
    <s v="EXP102590"/>
    <s v="E014"/>
    <s v="AX 153107305"/>
    <d v="2026-05-14T00:00:00"/>
    <d v="2026-05-22T00:00:00"/>
    <s v="EVENTBRITE"/>
    <s v="7999"/>
    <s v="Events"/>
    <n v="119.07"/>
    <s v="Corporate Amex"/>
    <m/>
    <s v="Y"/>
    <s v="Events"/>
    <s v="MATCH"/>
    <x v="0"/>
  </r>
  <r>
    <s v="EXP102591"/>
    <s v="E210"/>
    <s v="AX998409900"/>
    <d v="2026-05-13T00:00:00"/>
    <d v="2026-05-22T00:00:00"/>
    <s v="YELLOW CAB CO"/>
    <s v="4121"/>
    <s v="Software"/>
    <n v="46.93"/>
    <s v="Corporate Amex"/>
    <m/>
    <s v="Y"/>
    <s v="Transportation"/>
    <s v="MISMATCH"/>
    <x v="4"/>
  </r>
  <r>
    <s v="EXP102592"/>
    <s v="E132"/>
    <s v="AX 358739116"/>
    <d v="2026-05-14T00:00:00"/>
    <d v="2026-05-22T00:00:00"/>
    <s v="AMAZON MKTPLACE PMTS"/>
    <s v="5942"/>
    <s v="Office Supplies"/>
    <n v="127.49"/>
    <s v="Corporate Amex"/>
    <m/>
    <s v="Y"/>
    <s v="Office Supplies"/>
    <s v="MATCH"/>
    <x v="7"/>
  </r>
  <r>
    <s v="EXP102593"/>
    <s v="E021"/>
    <s v="ax993405145"/>
    <d v="2026-05-13T00:00:00"/>
    <d v="2026-05-22T00:00:00"/>
    <s v="SQ *JOES COFFEE"/>
    <s v="5812"/>
    <s v="Meals"/>
    <n v="10.79"/>
    <s v="Corporate Amex"/>
    <m/>
    <s v="Y"/>
    <s v="Meals"/>
    <s v="MATCH"/>
    <x v="0"/>
  </r>
  <r>
    <s v="EXP102594"/>
    <s v="E021"/>
    <m/>
    <d v="2026-05-17T00:00:00"/>
    <d v="2026-05-22T00:00:00"/>
    <s v="CHIPOTLE 2214"/>
    <s v="5812"/>
    <s v="Meals"/>
    <n v="15.18"/>
    <s v="Corporate Amex"/>
    <m/>
    <s v="Y"/>
    <s v="Meals"/>
    <s v="MATCH"/>
    <x v="0"/>
  </r>
  <r>
    <s v="EXP102595"/>
    <s v="E188"/>
    <s v="AX872980772"/>
    <d v="2026-05-18T00:00:00"/>
    <d v="2026-05-22T00:00:00"/>
    <s v="EVENTBRITE"/>
    <s v="7999"/>
    <s v="Events"/>
    <n v="188.65"/>
    <s v="Corporate Amex"/>
    <m/>
    <s v="Y"/>
    <s v="Events"/>
    <s v="MATCH"/>
    <x v="5"/>
  </r>
  <r>
    <s v="EXP102596"/>
    <s v="E218"/>
    <s v="AX892344365"/>
    <d v="2026-05-16T00:00:00"/>
    <d v="2026-05-22T00:00:00"/>
    <s v="UNITED AIRLINES 0162233"/>
    <s v="4511"/>
    <s v="Travel"/>
    <n v="641.82000000000005"/>
    <s v="Corporate Amex"/>
    <m/>
    <s v="Y"/>
    <s v="Travel"/>
    <s v="MATCH"/>
    <x v="4"/>
  </r>
  <r>
    <s v="EXP102597"/>
    <s v="E115"/>
    <s v="AX930131016"/>
    <d v="2026-05-14T00:00:00"/>
    <d v="2026-05-22T00:00:00"/>
    <s v="ZOOM.US"/>
    <s v="5734"/>
    <s v="Software"/>
    <n v="56.8"/>
    <s v="Corporate Amex"/>
    <m/>
    <s v="Y"/>
    <s v="Software"/>
    <s v="MATCH"/>
    <x v="2"/>
  </r>
  <r>
    <s v="EXP102598"/>
    <s v="E192"/>
    <s v="AX-344181815"/>
    <d v="2026-05-16T00:00:00"/>
    <d v="2026-05-22T00:00:00"/>
    <s v="STAPLES #0231"/>
    <s v="5943"/>
    <s v="Office Supplies"/>
    <n v="177.57"/>
    <s v="Corporate Amex"/>
    <m/>
    <s v="Y"/>
    <s v="Office Supplies"/>
    <s v="MATCH"/>
    <x v="5"/>
  </r>
  <r>
    <s v="EXP102599"/>
    <s v="E055"/>
    <s v="AX124817779"/>
    <d v="2026-05-22T00:00:00"/>
    <d v="2026-05-22T00:00:00"/>
    <s v="SQ *JOES COFFEE"/>
    <s v="5812"/>
    <s v="Meals"/>
    <n v="16.510000000000002"/>
    <s v="Corporate Amex"/>
    <m/>
    <s v="Y"/>
    <s v="Meals"/>
    <s v="MATCH"/>
    <x v="0"/>
  </r>
  <r>
    <s v="EXP102600"/>
    <s v="E041"/>
    <m/>
    <d v="2026-05-21T00:00:00"/>
    <d v="2026-05-22T00:00:00"/>
    <s v="TOTAL PARTY RENTAL"/>
    <s v="7999"/>
    <s v="  Events "/>
    <n v="123.53"/>
    <s v="Corporate Amex"/>
    <m/>
    <s v="Y"/>
    <s v="Events"/>
    <s v="MATCH"/>
    <x v="0"/>
  </r>
  <r>
    <s v="EXP102601"/>
    <s v="E060"/>
    <s v="AX490004790"/>
    <d v="2026-05-20T00:00:00"/>
    <d v="2026-05-22T00:00:00"/>
    <s v="TOPGOLF #442"/>
    <s v="7997"/>
    <m/>
    <n v="180.5"/>
    <s v="Corporate Amex"/>
    <m/>
    <s v="Y"/>
    <s v="Entertainment"/>
    <s v="BLANK"/>
    <x v="0"/>
  </r>
  <r>
    <s v="EXP102602"/>
    <s v="E020"/>
    <s v="AX-277109095"/>
    <d v="2026-05-12T00:00:00"/>
    <d v="2026-05-22T00:00:00"/>
    <s v="STARBUCKS #4471"/>
    <s v="5812"/>
    <s v="  Meals "/>
    <n v="15.64"/>
    <s v="Corporate Amex"/>
    <m/>
    <s v="Y"/>
    <s v="Meals"/>
    <s v="MATCH"/>
    <x v="0"/>
  </r>
  <r>
    <s v="EXP102603"/>
    <s v="E204"/>
    <s v="AX726747970"/>
    <d v="2026-05-21T00:00:00"/>
    <d v="2026-05-22T00:00:00"/>
    <s v="CHIPOTLE 2214"/>
    <s v="5812"/>
    <s v="Meals"/>
    <n v="21.61"/>
    <s v="Corporate Amex"/>
    <m/>
    <s v="Y"/>
    <s v="Meals"/>
    <s v="MATCH"/>
    <x v="5"/>
  </r>
  <r>
    <s v="EXP102604"/>
    <s v="E186"/>
    <m/>
    <d v="2026-05-17T00:00:00"/>
    <d v="2026-05-23T00:00:00"/>
    <s v="UNITED AIRLINES 0162233"/>
    <s v="4511"/>
    <s v="Travel"/>
    <n v="595.04999999999995"/>
    <s v="Personal (Reimbursement)"/>
    <s v="International merchant - Amex not accepted"/>
    <s v="Y"/>
    <s v="Travel"/>
    <s v="MATCH"/>
    <x v="5"/>
  </r>
  <r>
    <s v="EXP102605"/>
    <s v="E223"/>
    <s v="AX-363192245"/>
    <d v="2026-05-17T00:00:00"/>
    <d v="2026-05-23T00:00:00"/>
    <s v="TOTAL PARTY RENTAL"/>
    <s v="7999"/>
    <s v="Events"/>
    <n v="551.66999999999996"/>
    <s v="Corporate Amex"/>
    <m/>
    <s v="Y"/>
    <s v="Events"/>
    <s v="MATCH"/>
    <x v="4"/>
  </r>
  <r>
    <s v="EXP102606"/>
    <s v="E027"/>
    <s v="AX821079344"/>
    <d v="2026-05-20T00:00:00"/>
    <d v="2026-05-23T00:00:00"/>
    <s v="AMAZON MKTPLACE PMTS"/>
    <s v="5942"/>
    <s v="Office Supplies"/>
    <n v="50.98"/>
    <s v="Corporate Amex"/>
    <m/>
    <s v="Y"/>
    <s v="Office Supplies"/>
    <s v="MATCH"/>
    <x v="0"/>
  </r>
  <r>
    <s v="EXP102607"/>
    <s v="E260"/>
    <s v="AX831440396"/>
    <d v="2026-05-22T00:00:00"/>
    <d v="2026-05-23T00:00:00"/>
    <s v="ADOBE *CREATIVE CLOUD"/>
    <s v="5734"/>
    <s v="Software"/>
    <n v="55.61"/>
    <s v="Corporate Amex"/>
    <m/>
    <s v="Y"/>
    <s v="Software"/>
    <s v="MATCH"/>
    <x v="8"/>
  </r>
  <r>
    <s v="EXP102608"/>
    <s v="E006"/>
    <s v="AX530093452"/>
    <d v="2026-05-13T00:00:00"/>
    <d v="2026-05-23T00:00:00"/>
    <s v="REGION CATERING CO"/>
    <s v="5811"/>
    <s v="Events"/>
    <n v="501.89"/>
    <s v="Corporate Amex"/>
    <m/>
    <s v="Y"/>
    <s v="Events"/>
    <s v="MATCH"/>
    <x v="0"/>
  </r>
  <r>
    <s v="EXP102609"/>
    <s v="E265"/>
    <s v="AX412590629"/>
    <d v="2026-05-20T00:00:00"/>
    <d v="2026-05-23T00:00:00"/>
    <s v="DELTA AIR 00623891045"/>
    <s v="4511"/>
    <s v="Travel"/>
    <n v="438.28"/>
    <s v="Corporate Amex"/>
    <m/>
    <s v="Y"/>
    <s v="Travel"/>
    <s v="MATCH"/>
    <x v="3"/>
  </r>
  <r>
    <s v="EXP102610"/>
    <s v="E015"/>
    <s v="AX392369755"/>
    <d v="2026-05-19T00:00:00"/>
    <d v="2026-05-23T00:00:00"/>
    <s v="DELTA AIR 00623891045"/>
    <s v="4511"/>
    <s v="Travel"/>
    <n v="383.83"/>
    <s v="Corporate Amex"/>
    <m/>
    <s v="N"/>
    <s v="Travel"/>
    <s v="MATCH"/>
    <x v="0"/>
  </r>
  <r>
    <s v="EXP102611"/>
    <s v="E094"/>
    <m/>
    <d v="2026-05-19T00:00:00"/>
    <d v="2026-05-23T00:00:00"/>
    <s v="SPROUT SOCIAL"/>
    <s v="5734"/>
    <s v="Software"/>
    <n v="121.04"/>
    <s v="Personal (Reimbursement)"/>
    <s v="International merchant - Amex not accepted"/>
    <s v="Y"/>
    <s v="Software"/>
    <s v="MATCH"/>
    <x v="2"/>
  </r>
  <r>
    <s v="EXP102612"/>
    <s v="E019"/>
    <s v="AX-768639760"/>
    <d v="2026-05-20T00:00:00"/>
    <d v="2026-05-23T00:00:00"/>
    <s v="UNITED AIRLINES 0162233"/>
    <s v="4511"/>
    <s v="  Travel "/>
    <n v="551.23"/>
    <s v="Corporate Amex"/>
    <m/>
    <s v="Y"/>
    <s v="Travel"/>
    <s v="MATCH"/>
    <x v="0"/>
  </r>
  <r>
    <s v="EXP102613"/>
    <s v="E095"/>
    <m/>
    <d v="2026-05-23T00:00:00"/>
    <d v="2026-05-23T00:00:00"/>
    <s v=" STAPLES #0231"/>
    <s v="5943"/>
    <m/>
    <n v="85.3"/>
    <s v="Corporate Amex"/>
    <m/>
    <s v="Y"/>
    <s v="Office Supplies"/>
    <s v="BLANK"/>
    <x v="2"/>
  </r>
  <r>
    <s v="EXP102614"/>
    <s v="E144"/>
    <s v="AX-667517204"/>
    <d v="2026-05-18T00:00:00"/>
    <d v="2026-05-23T00:00:00"/>
    <s v="HOOTSUITE INC"/>
    <s v="5734"/>
    <s v="Software"/>
    <n v="180.37"/>
    <s v="Corporate Amex"/>
    <m/>
    <s v="Y"/>
    <s v="Software"/>
    <s v="MATCH"/>
    <x v="7"/>
  </r>
  <r>
    <s v="EXP102616"/>
    <s v="E024"/>
    <s v="AX666907041"/>
    <d v="2026-05-13T00:00:00"/>
    <d v="2026-05-23T00:00:00"/>
    <s v="STARBUCKS #4471"/>
    <s v="5812"/>
    <s v="Meals"/>
    <n v="17.16"/>
    <s v="Corporate Amex"/>
    <m/>
    <s v="Y"/>
    <s v="Meals"/>
    <s v="MATCH"/>
    <x v="0"/>
  </r>
  <r>
    <s v="EXP102617"/>
    <s v="E035"/>
    <s v="AX 238481131"/>
    <d v="2026-05-17T00:00:00"/>
    <d v="2026-05-23T00:00:00"/>
    <s v=" SQ *THE CORNER BISTRO"/>
    <s v="5812"/>
    <s v="Meals"/>
    <n v="58.84"/>
    <s v="Corporate Amex"/>
    <m/>
    <s v="Y"/>
    <s v="Meals"/>
    <s v="MATCH"/>
    <x v="0"/>
  </r>
  <r>
    <s v="EXP102618"/>
    <s v="E048"/>
    <s v="AX612346206"/>
    <d v="2026-05-14T00:00:00"/>
    <d v="2026-05-23T00:00:00"/>
    <s v="TOPGOLF #442"/>
    <s v="7997"/>
    <s v="Entertainment"/>
    <n v="144.18"/>
    <s v="Corporate Amex"/>
    <m/>
    <s v="Y"/>
    <s v="Entertainment"/>
    <s v="MATCH"/>
    <x v="0"/>
  </r>
  <r>
    <s v="EXP102619"/>
    <s v="E018"/>
    <s v="ax213388367"/>
    <d v="2026-05-15T00:00:00"/>
    <d v="2026-05-23T00:00:00"/>
    <s v="OLIVE GARDEN 00456"/>
    <s v="5812"/>
    <s v="Meals"/>
    <n v="35.159999999999997"/>
    <s v="Corporate Amex"/>
    <m/>
    <s v="Y"/>
    <s v="Meals"/>
    <s v="MATCH"/>
    <x v="0"/>
  </r>
  <r>
    <s v="EXP102620"/>
    <s v="E149"/>
    <s v="AX377451375"/>
    <d v="2026-05-13T00:00:00"/>
    <d v="2026-05-23T00:00:00"/>
    <s v="HOOTSUITE INC"/>
    <s v="5734"/>
    <s v="Software"/>
    <n v="131.71"/>
    <s v="Corporate Amex"/>
    <m/>
    <s v="Y"/>
    <s v="Software"/>
    <s v="MATCH"/>
    <x v="7"/>
  </r>
  <r>
    <s v="EXP102621"/>
    <s v="E064"/>
    <s v="AX560208460"/>
    <d v="2026-05-13T00:00:00"/>
    <d v="2026-05-23T00:00:00"/>
    <s v="MARRIOTT #4471"/>
    <s v="7011"/>
    <s v="Lodging"/>
    <n v="259.32"/>
    <s v="Corporate Amex"/>
    <m/>
    <s v="Y"/>
    <s v="Lodging"/>
    <s v="MATCH"/>
    <x v="0"/>
  </r>
  <r>
    <s v="EXP102622"/>
    <s v="E080"/>
    <s v="AX 949157735"/>
    <d v="2026-05-20T00:00:00"/>
    <d v="2026-05-23T00:00:00"/>
    <s v="STAPLES #0231"/>
    <s v="5943"/>
    <s v="Office Supplies"/>
    <n v="102.56"/>
    <s v="Corporate Amex"/>
    <m/>
    <s v="N"/>
    <s v="Office Supplies"/>
    <s v="MATCH"/>
    <x v="2"/>
  </r>
  <r>
    <s v="EXP102623"/>
    <s v="E242"/>
    <s v="AX358491030"/>
    <d v="2026-05-20T00:00:00"/>
    <d v="2026-05-23T00:00:00"/>
    <s v="SOUTHWEST AIR 5261823"/>
    <s v="4511"/>
    <s v="Travel"/>
    <n v="229.59"/>
    <s v="Corporate Amex"/>
    <m/>
    <s v="Y"/>
    <s v="Travel"/>
    <s v="MATCH"/>
    <x v="1"/>
  </r>
  <r>
    <s v="EXP102624"/>
    <s v="E185"/>
    <s v="AX-550141444"/>
    <d v="2026-05-21T00:00:00"/>
    <d v="2026-05-23T00:00:00"/>
    <s v="TOPGOLF #442"/>
    <s v="7997"/>
    <s v="Entertainment"/>
    <n v="160.84"/>
    <s v="Corporate Amex"/>
    <m/>
    <s v="Y"/>
    <s v="Entertainment"/>
    <s v="MATCH"/>
    <x v="5"/>
  </r>
  <r>
    <s v="EXP102625"/>
    <s v="E056"/>
    <s v="AX977962273"/>
    <d v="2026-05-23T00:00:00"/>
    <d v="2026-05-24T00:00:00"/>
    <s v="TOTAL PARTY RENTAL"/>
    <s v="7999"/>
    <s v="Events"/>
    <n v="181.47"/>
    <s v="Corporate Amex"/>
    <m/>
    <s v="Y"/>
    <s v="Events"/>
    <s v="MATCH"/>
    <x v="0"/>
  </r>
  <r>
    <s v="EXP102626"/>
    <s v="E056"/>
    <s v="AX146169950"/>
    <d v="2026-05-15T00:00:00"/>
    <d v="2026-05-24T00:00:00"/>
    <s v="UBER TRIP HELP.UBER"/>
    <s v="4121"/>
    <s v="Transportation"/>
    <n v="20.09"/>
    <s v="Corporate Amex"/>
    <m/>
    <s v="Y"/>
    <s v="Transportation"/>
    <s v="MATCH"/>
    <x v="0"/>
  </r>
  <r>
    <s v="EXP102627"/>
    <s v="E058"/>
    <s v="ax190204883"/>
    <d v="2026-05-16T00:00:00"/>
    <d v="2026-05-24T00:00:00"/>
    <s v="SQ *THE CORNER BISTRO"/>
    <s v="5812"/>
    <s v="Meals"/>
    <n v="34.880000000000003"/>
    <s v="Corporate Amex"/>
    <m/>
    <s v="N"/>
    <s v="Meals"/>
    <s v="MATCH"/>
    <x v="0"/>
  </r>
  <r>
    <s v="EXP102628"/>
    <s v="E138"/>
    <m/>
    <d v="2026-05-24T00:00:00"/>
    <d v="2026-05-24T00:00:00"/>
    <s v="MARRIOTT #4471"/>
    <s v="7011"/>
    <s v="Lodging"/>
    <n v="247.88"/>
    <s v="Corporate Amex"/>
    <m/>
    <s v="Y"/>
    <s v="Lodging"/>
    <s v="MATCH"/>
    <x v="7"/>
  </r>
  <r>
    <s v="EXP102629"/>
    <s v="E045"/>
    <s v="ax906442188"/>
    <d v="2026-05-21T00:00:00"/>
    <d v="2026-05-24T00:00:00"/>
    <s v="HOOTSUITE INC"/>
    <s v="5734"/>
    <s v="Software"/>
    <n v="233.12"/>
    <s v="Corporate Amex"/>
    <m/>
    <s v="Y"/>
    <s v="Software"/>
    <s v="MATCH"/>
    <x v="0"/>
  </r>
  <r>
    <s v="EXP102630"/>
    <s v="E041"/>
    <s v="ax496970195"/>
    <d v="2026-05-15T00:00:00"/>
    <d v="2026-05-24T00:00:00"/>
    <s v="DELTA AIR 00623891045"/>
    <s v="4511"/>
    <s v="Travel"/>
    <n v="555.11"/>
    <s v="Corporate Amex"/>
    <m/>
    <s v="N"/>
    <s v="Travel"/>
    <s v="MATCH"/>
    <x v="0"/>
  </r>
  <r>
    <s v="EXP102631"/>
    <s v="E119"/>
    <s v="ax144126903"/>
    <d v="2026-05-19T00:00:00"/>
    <d v="2026-05-24T00:00:00"/>
    <s v="SPROUT SOCIAL"/>
    <s v="5734"/>
    <s v="Software"/>
    <n v="186.57"/>
    <s v="Corporate Amex"/>
    <m/>
    <s v="Y"/>
    <s v="Software"/>
    <s v="MATCH"/>
    <x v="7"/>
  </r>
  <r>
    <s v="EXP102632"/>
    <s v="E025"/>
    <s v="ax255142793"/>
    <d v="2026-05-15T00:00:00"/>
    <d v="2026-05-24T00:00:00"/>
    <s v="ZOOM.US"/>
    <s v="5734"/>
    <s v="Software"/>
    <n v="30.73"/>
    <s v="Corporate Amex"/>
    <m/>
    <s v="Y"/>
    <s v="Software"/>
    <s v="MATCH"/>
    <x v="0"/>
  </r>
  <r>
    <s v="EXP102633"/>
    <s v="E013"/>
    <s v="AX-657947828"/>
    <d v="2026-05-22T00:00:00"/>
    <d v="2026-05-24T00:00:00"/>
    <s v="SPROUT SOCIAL"/>
    <s v="5734"/>
    <s v="Software"/>
    <n v="234.54"/>
    <s v="Corporate Amex"/>
    <m/>
    <s v="Y"/>
    <s v="Software"/>
    <s v="MATCH"/>
    <x v="0"/>
  </r>
  <r>
    <s v="EXP102634"/>
    <s v="E097"/>
    <s v="ax358396925"/>
    <d v="2026-05-18T00:00:00"/>
    <d v="2026-05-24T00:00:00"/>
    <s v="HOOTSUITE INC"/>
    <s v="5734"/>
    <s v="Software"/>
    <n v="199.17"/>
    <s v="Corporate Amex"/>
    <m/>
    <s v="Y"/>
    <s v="Software"/>
    <s v="MATCH"/>
    <x v="2"/>
  </r>
  <r>
    <s v="EXP102635"/>
    <s v="E270"/>
    <s v="AX286287088"/>
    <d v="2026-05-18T00:00:00"/>
    <d v="2026-05-24T00:00:00"/>
    <s v="YELLOW CAB CO"/>
    <s v="4121"/>
    <m/>
    <n v="55.96"/>
    <s v="Corporate Amex"/>
    <m/>
    <s v="Y"/>
    <s v="Transportation"/>
    <s v="BLANK"/>
    <x v="3"/>
  </r>
  <r>
    <s v="EXP102636"/>
    <s v="E046"/>
    <s v="AX308245166"/>
    <d v="2026-05-18T00:00:00"/>
    <d v="2026-05-24T00:00:00"/>
    <s v="DELTA AIR 00623891045"/>
    <s v="4511"/>
    <s v="Travel"/>
    <n v="459.47"/>
    <s v="Corporate Amex"/>
    <m/>
    <s v="Y"/>
    <s v="Travel"/>
    <s v="MATCH"/>
    <x v="0"/>
  </r>
  <r>
    <s v="EXP102637"/>
    <s v="E033"/>
    <m/>
    <d v="2026-05-15T00:00:00"/>
    <d v="2026-05-24T00:00:00"/>
    <s v="BRANDWATCH LTD"/>
    <s v="5734"/>
    <s v="Software"/>
    <n v="497.6"/>
    <s v="Corporate Amex"/>
    <m/>
    <s v="Y"/>
    <s v="Software"/>
    <s v="MATCH"/>
    <x v="0"/>
  </r>
  <r>
    <s v="EXP102638"/>
    <s v="E057"/>
    <s v="AX819245356"/>
    <d v="2026-05-15T00:00:00"/>
    <d v="2026-05-24T00:00:00"/>
    <s v="STAPLES #0231"/>
    <s v="5943"/>
    <s v="Office Supplies"/>
    <n v="157.1"/>
    <s v="Corporate Amex"/>
    <m/>
    <s v="Y"/>
    <s v="Office Supplies"/>
    <s v="MATCH"/>
    <x v="0"/>
  </r>
  <r>
    <s v="EXP102639"/>
    <s v="E150"/>
    <s v="AX551286919"/>
    <d v="2026-05-22T00:00:00"/>
    <d v="2026-05-24T00:00:00"/>
    <s v="PANERA BREAD #0231"/>
    <s v="5812"/>
    <s v="Meals"/>
    <n v="16.43"/>
    <s v="Corporate Amex"/>
    <m/>
    <s v="Y"/>
    <s v="Meals"/>
    <s v="MATCH"/>
    <x v="7"/>
  </r>
  <r>
    <s v="EXP102640"/>
    <s v="E051"/>
    <s v="AX968800068"/>
    <d v="2026-05-18T00:00:00"/>
    <d v="2026-05-24T00:00:00"/>
    <s v="YELLOW CAB CO"/>
    <s v="4121"/>
    <s v="Events"/>
    <n v="37.729999999999997"/>
    <s v="Corporate Amex"/>
    <m/>
    <s v="N"/>
    <s v="Transportation"/>
    <s v="MISMATCH"/>
    <x v="0"/>
  </r>
  <r>
    <s v="EXP102641"/>
    <s v="E016"/>
    <m/>
    <d v="2026-05-18T00:00:00"/>
    <d v="2026-05-24T00:00:00"/>
    <s v="AMAZON MKTPLACE PMTS"/>
    <s v="5942"/>
    <s v="Office Supplies"/>
    <n v="52.78"/>
    <s v="Personal (Reimbursement)"/>
    <s v="Card not yet issued"/>
    <s v="Y"/>
    <s v="Office Supplies"/>
    <s v="MATCH"/>
    <x v="0"/>
  </r>
  <r>
    <s v="EXP102642"/>
    <s v="E004"/>
    <s v="AX742509670"/>
    <d v="2026-05-15T00:00:00"/>
    <d v="2026-05-24T00:00:00"/>
    <s v="SPROUT SOCIAL"/>
    <s v="5734"/>
    <s v="Software"/>
    <n v="135.57"/>
    <s v="Corporate Amex"/>
    <m/>
    <s v="Y"/>
    <s v="Software"/>
    <s v="MATCH"/>
    <x v="0"/>
  </r>
  <r>
    <s v="EXP102643"/>
    <s v="E007"/>
    <s v="AX956112264"/>
    <d v="2026-05-20T00:00:00"/>
    <d v="2026-05-24T00:00:00"/>
    <s v="DELTA AIR 00623891045"/>
    <s v="4511"/>
    <s v="Travel"/>
    <n v="557.14"/>
    <s v="Corporate Amex"/>
    <m/>
    <s v="Y"/>
    <s v="Travel"/>
    <s v="MATCH"/>
    <x v="0"/>
  </r>
  <r>
    <s v="EXP102644"/>
    <s v="E249"/>
    <s v="ax826812195"/>
    <d v="2026-05-23T00:00:00"/>
    <d v="2026-05-24T00:00:00"/>
    <s v="TOTAL PARTY RENTAL"/>
    <s v="7999"/>
    <s v="Events"/>
    <n v="256.88"/>
    <s v="Corporate Amex"/>
    <m/>
    <s v="Y"/>
    <s v="Events"/>
    <s v="MATCH"/>
    <x v="1"/>
  </r>
  <r>
    <s v="EXP102645"/>
    <s v="E161"/>
    <m/>
    <d v="2026-05-15T00:00:00"/>
    <d v="2026-05-24T00:00:00"/>
    <s v="PANERA BREAD #0231"/>
    <s v="5812"/>
    <s v="Meals"/>
    <n v="25.55"/>
    <s v="Corporate Amex"/>
    <m/>
    <s v="N"/>
    <s v="Meals"/>
    <s v="MATCH"/>
    <x v="6"/>
  </r>
  <r>
    <s v="EXP102646"/>
    <s v="E044"/>
    <s v="AX617641551"/>
    <d v="2026-05-15T00:00:00"/>
    <d v="2026-05-24T00:00:00"/>
    <s v=" STARBUCKS #4471"/>
    <s v="5812"/>
    <s v="Other"/>
    <n v="8.15"/>
    <s v="Corporate Amex"/>
    <m/>
    <s v="Y"/>
    <s v="Meals"/>
    <s v="MISMATCH"/>
    <x v="0"/>
  </r>
  <r>
    <s v="EXP102647"/>
    <s v="E142"/>
    <s v="ax725697195"/>
    <d v="2026-05-14T00:00:00"/>
    <d v="2026-05-24T00:00:00"/>
    <s v="TOTAL PARTY RENTAL"/>
    <s v="7999"/>
    <s v="Office Supplies"/>
    <n v="369.72"/>
    <s v="Corporate Amex"/>
    <m/>
    <s v="Y"/>
    <s v="Events"/>
    <s v="MISMATCH"/>
    <x v="7"/>
  </r>
  <r>
    <s v="EXP102648"/>
    <s v="E005"/>
    <s v="AX470271249"/>
    <d v="2026-05-22T00:00:00"/>
    <d v="2026-05-25T00:00:00"/>
    <s v="SQ *JOES COFFEE"/>
    <s v="5812"/>
    <s v="Meals"/>
    <n v="8.77"/>
    <s v="Corporate Amex"/>
    <m/>
    <s v="Y"/>
    <s v="Meals"/>
    <s v="MATCH"/>
    <x v="0"/>
  </r>
  <r>
    <s v="EXP102650"/>
    <s v="E002"/>
    <s v="AX 131782942"/>
    <d v="2026-05-24T00:00:00"/>
    <d v="2026-05-25T00:00:00"/>
    <s v="HILTON GARDEN INN 2231"/>
    <s v="7011"/>
    <s v="Lodging"/>
    <n v="337.12"/>
    <s v="Corporate Amex"/>
    <m/>
    <s v="N"/>
    <s v="Lodging"/>
    <s v="MATCH"/>
    <x v="0"/>
  </r>
  <r>
    <s v="EXP102651"/>
    <s v="E027"/>
    <m/>
    <d v="2026-05-18T00:00:00"/>
    <d v="2026-05-25T00:00:00"/>
    <s v="LYFT RIDE THU"/>
    <s v="4121"/>
    <s v="Transportation"/>
    <n v="48.69"/>
    <s v="Corporate Amex"/>
    <m/>
    <s v="Y"/>
    <s v="Transportation"/>
    <s v="MATCH"/>
    <x v="0"/>
  </r>
  <r>
    <s v="EXP102652"/>
    <s v="E270"/>
    <s v="AX307265310"/>
    <d v="2026-05-19T00:00:00"/>
    <d v="2026-05-25T00:00:00"/>
    <s v="ZOOM.US"/>
    <s v="5734"/>
    <s v="Software"/>
    <n v="52.6"/>
    <s v="Corporate Amex"/>
    <m/>
    <s v="N"/>
    <s v="Software"/>
    <s v="MATCH"/>
    <x v="3"/>
  </r>
  <r>
    <s v="EXP102653"/>
    <s v="E135"/>
    <s v="AX710329680"/>
    <d v="2026-05-22T00:00:00"/>
    <d v="2026-05-25T00:00:00"/>
    <s v="HYATT REGENCY BOS"/>
    <s v="7011"/>
    <s v="Lodging"/>
    <n v="319.74"/>
    <s v="Corporate Amex"/>
    <m/>
    <s v="Y"/>
    <s v="Lodging"/>
    <s v="MATCH"/>
    <x v="7"/>
  </r>
  <r>
    <s v="EXP102654"/>
    <s v="E164"/>
    <s v="ax923298547"/>
    <d v="2026-05-20T00:00:00"/>
    <d v="2026-05-25T00:00:00"/>
    <s v="UNITED AIRLINES 0162233"/>
    <s v="4511"/>
    <s v="Travel"/>
    <n v="457.27"/>
    <s v="Corporate Amex"/>
    <m/>
    <s v="Y"/>
    <s v="Travel"/>
    <s v="MATCH"/>
    <x v="6"/>
  </r>
  <r>
    <s v="EXP102655"/>
    <s v="E025"/>
    <s v="AX860237368"/>
    <d v="2026-05-21T00:00:00"/>
    <d v="2026-05-25T00:00:00"/>
    <s v="OLIVE GARDEN 00456"/>
    <s v="5812"/>
    <s v="Meals"/>
    <n v="129.31"/>
    <s v="Corporate Amex"/>
    <m/>
    <s v="Y"/>
    <s v="Meals"/>
    <s v="MATCH"/>
    <x v="0"/>
  </r>
  <r>
    <s v="EXP102656"/>
    <s v="E274"/>
    <s v="ax835888300"/>
    <d v="2026-05-15T00:00:00"/>
    <d v="2026-05-25T00:00:00"/>
    <s v="BRANDWATCH LTD"/>
    <s v="5734"/>
    <s v="Software"/>
    <n v="594.95000000000005"/>
    <s v="Corporate Amex"/>
    <m/>
    <s v="Y"/>
    <s v="Software"/>
    <s v="MATCH"/>
    <x v="3"/>
  </r>
  <r>
    <s v="EXP102657"/>
    <s v="E063"/>
    <m/>
    <d v="2026-05-15T00:00:00"/>
    <d v="2026-05-25T00:00:00"/>
    <s v="STAPLES #0231"/>
    <s v="5943"/>
    <s v="Office Supplies"/>
    <n v="30.3"/>
    <s v="Corporate Amex"/>
    <m/>
    <s v="Y"/>
    <s v="Office Supplies"/>
    <s v="MATCH"/>
    <x v="0"/>
  </r>
  <r>
    <s v="EXP102658"/>
    <s v="E050"/>
    <s v="AX788784618"/>
    <d v="2026-05-20T00:00:00"/>
    <d v="2026-05-25T00:00:00"/>
    <s v="BRANDWATCH LTD"/>
    <s v="5734"/>
    <s v="Software"/>
    <n v="570.88"/>
    <s v="Corporate Amex"/>
    <m/>
    <s v="Y"/>
    <s v="Software"/>
    <s v="MATCH"/>
    <x v="0"/>
  </r>
  <r>
    <s v="EXP102659"/>
    <s v="E091"/>
    <s v="AX-733998638"/>
    <d v="2026-05-19T00:00:00"/>
    <d v="2026-05-25T00:00:00"/>
    <s v="REGION CATERING CO"/>
    <s v="5811"/>
    <s v="Events"/>
    <n v="667.67"/>
    <s v="Corporate Amex"/>
    <m/>
    <s v="Y"/>
    <s v="Events"/>
    <s v="MATCH"/>
    <x v="2"/>
  </r>
  <r>
    <s v="EXP102660"/>
    <s v="E134"/>
    <s v="ax578380672"/>
    <d v="2026-05-25T00:00:00"/>
    <d v="2026-05-25T00:00:00"/>
    <s v="HOOTSUITE INC"/>
    <s v="5734"/>
    <s v="Transportation"/>
    <n v="144.38"/>
    <s v="Corporate Amex"/>
    <m/>
    <s v="Y"/>
    <s v="Software"/>
    <s v="MISMATCH"/>
    <x v="7"/>
  </r>
  <r>
    <s v="EXP102661"/>
    <s v="E254"/>
    <s v="AX795915225"/>
    <d v="2026-05-23T00:00:00"/>
    <d v="2026-05-25T00:00:00"/>
    <s v="SQ *THE CORNER BISTRO"/>
    <s v="5812"/>
    <s v="Meals"/>
    <n v="80.05"/>
    <s v="Corporate Amex"/>
    <m/>
    <s v="Y"/>
    <s v="Meals"/>
    <s v="MATCH"/>
    <x v="8"/>
  </r>
  <r>
    <s v="EXP102662"/>
    <s v="E161"/>
    <s v="AX720297841"/>
    <d v="2026-05-17T00:00:00"/>
    <d v="2026-05-25T00:00:00"/>
    <s v="AMAZON MKTPLACE PMTS"/>
    <s v="5942"/>
    <s v="Office Supplies"/>
    <n v="246.56"/>
    <s v="Corporate Amex"/>
    <m/>
    <s v="Y"/>
    <s v="Office Supplies"/>
    <s v="MATCH"/>
    <x v="6"/>
  </r>
  <r>
    <s v="EXP102663"/>
    <s v="E065"/>
    <m/>
    <d v="2026-05-16T00:00:00"/>
    <d v="2026-05-25T00:00:00"/>
    <s v="DELTA AIR 00623891045"/>
    <s v="4511"/>
    <s v="Travel"/>
    <n v="626.59"/>
    <s v="Corporate Amex"/>
    <m/>
    <s v="Y"/>
    <s v="Travel"/>
    <s v="MATCH"/>
    <x v="0"/>
  </r>
  <r>
    <s v="EXP102664"/>
    <s v="E115"/>
    <s v="AX931975673"/>
    <d v="2026-05-20T00:00:00"/>
    <d v="2026-05-25T00:00:00"/>
    <s v="MICROSOFT*365"/>
    <s v="5734"/>
    <s v="Software"/>
    <n v="23.43"/>
    <s v="Corporate Amex"/>
    <m/>
    <s v="Y"/>
    <s v="Software"/>
    <s v="MATCH"/>
    <x v="2"/>
  </r>
  <r>
    <s v="EXP102665"/>
    <s v="E004"/>
    <s v="AX-267585945"/>
    <d v="2026-05-24T00:00:00"/>
    <d v="2026-05-25T00:00:00"/>
    <s v="TOPGOLF #442"/>
    <s v="7997"/>
    <s v="Entertainment"/>
    <n v="152.36000000000001"/>
    <s v="Corporate Amex"/>
    <m/>
    <s v="Y"/>
    <s v="Entertainment"/>
    <s v="MATCH"/>
    <x v="0"/>
  </r>
  <r>
    <s v="EXP102666"/>
    <s v="E020"/>
    <m/>
    <d v="2026-05-22T00:00:00"/>
    <d v="2026-05-26T00:00:00"/>
    <s v="HILTON GARDEN INN 2231"/>
    <s v="7011"/>
    <s v="Lodging"/>
    <n v="137.93"/>
    <s v="Corporate Amex"/>
    <m/>
    <s v="Y"/>
    <s v="Lodging"/>
    <s v="MATCH"/>
    <x v="0"/>
  </r>
  <r>
    <s v="EXP102667"/>
    <s v="E044"/>
    <s v="AX240728988"/>
    <d v="2026-05-24T00:00:00"/>
    <d v="2026-05-26T00:00:00"/>
    <s v=" TOTAL PARTY RENTAL"/>
    <s v="7999"/>
    <s v="Events"/>
    <n v="283.77"/>
    <s v="Corporate Amex"/>
    <m/>
    <s v="Y"/>
    <s v="Events"/>
    <s v="MATCH"/>
    <x v="0"/>
  </r>
  <r>
    <s v="EXP102668"/>
    <s v="E056"/>
    <m/>
    <d v="2026-05-17T00:00:00"/>
    <d v="2026-05-26T00:00:00"/>
    <s v="MARRIOTT #4471"/>
    <s v="7011"/>
    <s v="Lodging"/>
    <n v="330.23"/>
    <s v="Personal (Reimbursement)"/>
    <s v="Forgot corporate card"/>
    <s v="Y"/>
    <s v="Lodging"/>
    <s v="MATCH"/>
    <x v="0"/>
  </r>
  <r>
    <s v="EXP102669"/>
    <s v="E052"/>
    <s v="AX889129871"/>
    <d v="2026-05-21T00:00:00"/>
    <d v="2026-05-26T00:00:00"/>
    <s v="ZOOM.US"/>
    <s v="5734"/>
    <s v="Other"/>
    <n v="56.6"/>
    <s v="Corporate Amex"/>
    <m/>
    <s v="Y"/>
    <s v="Software"/>
    <s v="MISMATCH"/>
    <x v="0"/>
  </r>
  <r>
    <s v="EXP102670"/>
    <s v="E096"/>
    <s v="AX814012660"/>
    <d v="2026-05-17T00:00:00"/>
    <d v="2026-05-26T00:00:00"/>
    <s v="CHIPOTLE 2214"/>
    <s v="5812"/>
    <s v="Meals"/>
    <n v="21.37"/>
    <s v="Corporate Amex"/>
    <m/>
    <s v="Y"/>
    <s v="Meals"/>
    <s v="MATCH"/>
    <x v="2"/>
  </r>
  <r>
    <s v="EXP102671"/>
    <s v="E068"/>
    <s v="ax694167152"/>
    <d v="2026-05-24T00:00:00"/>
    <d v="2026-05-26T00:00:00"/>
    <s v="PANERA BREAD #0231"/>
    <s v="5812"/>
    <s v="Meals"/>
    <n v="17.45"/>
    <s v="Corporate Amex"/>
    <m/>
    <s v="Y"/>
    <s v="Meals"/>
    <s v="MATCH"/>
    <x v="0"/>
  </r>
  <r>
    <s v="EXP102672"/>
    <s v="E027"/>
    <s v="AX871717572"/>
    <d v="2026-05-24T00:00:00"/>
    <d v="2026-05-26T00:00:00"/>
    <s v="PANERA BREAD #0231"/>
    <s v="5812"/>
    <s v="Meals"/>
    <n v="27.96"/>
    <s v="Corporate Amex"/>
    <m/>
    <s v="Y"/>
    <s v="Meals"/>
    <s v="MATCH"/>
    <x v="0"/>
  </r>
  <r>
    <s v="EXP102673"/>
    <s v="E054"/>
    <s v="AX416464724"/>
    <d v="2026-05-26T00:00:00"/>
    <d v="2026-05-26T00:00:00"/>
    <s v="PANERA BREAD #0231"/>
    <s v="5812"/>
    <s v="Meals"/>
    <n v="11.33"/>
    <s v="Corporate Amex"/>
    <m/>
    <s v="Y"/>
    <s v="Meals"/>
    <s v="MATCH"/>
    <x v="0"/>
  </r>
  <r>
    <s v="EXP102674"/>
    <s v="E066"/>
    <s v="AX583534249"/>
    <d v="2026-05-24T00:00:00"/>
    <d v="2026-05-26T00:00:00"/>
    <s v="HYATT REGENCY BOS"/>
    <s v="7011"/>
    <s v="Lodging"/>
    <n v="227.53"/>
    <s v="Corporate Amex"/>
    <m/>
    <s v="Y"/>
    <s v="Lodging"/>
    <s v="MATCH"/>
    <x v="0"/>
  </r>
  <r>
    <s v="EXP102675"/>
    <s v="E243"/>
    <s v="AX373619452"/>
    <d v="2026-05-22T00:00:00"/>
    <d v="2026-05-26T00:00:00"/>
    <s v="SQ *THE CORNER BISTRO"/>
    <s v="5812"/>
    <s v="Meals"/>
    <n v="63.65"/>
    <s v="Corporate Amex"/>
    <m/>
    <s v="Y"/>
    <s v="Meals"/>
    <s v="MATCH"/>
    <x v="1"/>
  </r>
  <r>
    <s v="EXP102676"/>
    <s v="E013"/>
    <s v="AX 357355515"/>
    <d v="2026-05-16T00:00:00"/>
    <d v="2026-05-26T00:00:00"/>
    <s v="ADOBE *CREATIVE CLOUD"/>
    <s v="5734"/>
    <s v="Software"/>
    <n v="80.3"/>
    <s v="Corporate Amex"/>
    <m/>
    <s v="Y"/>
    <s v="Software"/>
    <s v="MATCH"/>
    <x v="0"/>
  </r>
  <r>
    <s v="EXP102677"/>
    <s v="E035"/>
    <s v="ax558041892"/>
    <d v="2026-05-18T00:00:00"/>
    <d v="2026-05-26T00:00:00"/>
    <s v="EVENTBRITE"/>
    <s v="7999"/>
    <m/>
    <n v="253.95"/>
    <s v="Corporate Amex"/>
    <m/>
    <s v="Y"/>
    <s v="Events"/>
    <s v="BLANK"/>
    <x v="0"/>
  </r>
  <r>
    <s v="EXP102678"/>
    <s v="E031"/>
    <s v="AX-652107426"/>
    <d v="2026-05-19T00:00:00"/>
    <d v="2026-05-26T00:00:00"/>
    <s v="SQ *JOES COFFEE"/>
    <s v="5812"/>
    <s v="Meals"/>
    <n v="14.02"/>
    <s v="Corporate Amex"/>
    <m/>
    <s v="Y"/>
    <s v="Meals"/>
    <s v="MATCH"/>
    <x v="0"/>
  </r>
  <r>
    <s v="EXP102679"/>
    <s v="E031"/>
    <s v="AX311308511"/>
    <d v="2026-05-16T00:00:00"/>
    <d v="2026-05-26T00:00:00"/>
    <s v=" BRANDWATCH LTD"/>
    <s v="5734"/>
    <s v="Software"/>
    <n v="303.76"/>
    <s v="Corporate Amex"/>
    <m/>
    <s v="Y"/>
    <s v="Software"/>
    <s v="MATCH"/>
    <x v="0"/>
  </r>
  <r>
    <s v="EXP102680"/>
    <s v="E048"/>
    <s v="AX-550317535"/>
    <d v="2026-05-17T00:00:00"/>
    <d v="2026-05-26T00:00:00"/>
    <s v="DELTA AIR 00623891045"/>
    <s v="4511"/>
    <s v="Travel"/>
    <n v="317.7"/>
    <s v="Corporate Amex"/>
    <m/>
    <s v="N"/>
    <s v="Travel"/>
    <s v="MATCH"/>
    <x v="0"/>
  </r>
  <r>
    <s v="EXP102681"/>
    <s v="E167"/>
    <s v="ax852137975"/>
    <d v="2026-05-24T00:00:00"/>
    <d v="2026-05-26T00:00:00"/>
    <s v="STAPLES #0231"/>
    <s v="5943"/>
    <s v="Office Supplies"/>
    <n v="27.34"/>
    <s v="Corporate Amex"/>
    <m/>
    <s v="N"/>
    <s v="Office Supplies"/>
    <s v="MATCH"/>
    <x v="6"/>
  </r>
  <r>
    <s v="EXP102682"/>
    <s v="E009"/>
    <s v="AX 523309218"/>
    <d v="2026-05-20T00:00:00"/>
    <d v="2026-05-26T00:00:00"/>
    <s v="REGION CATERING CO"/>
    <s v="5811"/>
    <m/>
    <n v="489.7"/>
    <s v="Corporate Amex"/>
    <m/>
    <s v="Y"/>
    <s v="Events"/>
    <s v="BLANK"/>
    <x v="0"/>
  </r>
  <r>
    <s v="EXP102683"/>
    <s v="E036"/>
    <s v="ax936592771"/>
    <d v="2026-05-21T00:00:00"/>
    <d v="2026-05-26T00:00:00"/>
    <s v="TOTAL PARTY RENTAL"/>
    <s v="7999"/>
    <s v="Events"/>
    <n v="176.52"/>
    <s v="Corporate Amex"/>
    <m/>
    <s v="Y"/>
    <s v="Events"/>
    <s v="MATCH"/>
    <x v="0"/>
  </r>
  <r>
    <s v="EXP102684"/>
    <s v="E015"/>
    <s v="ax745894593"/>
    <d v="2026-05-25T00:00:00"/>
    <d v="2026-05-26T00:00:00"/>
    <s v="DELTA AIR 00623891045"/>
    <s v="4511"/>
    <s v="Travel"/>
    <n v="236.15"/>
    <s v="Corporate Amex"/>
    <m/>
    <s v="Y"/>
    <s v="Travel"/>
    <s v="MATCH"/>
    <x v="0"/>
  </r>
  <r>
    <s v="EXP102685"/>
    <s v="E024"/>
    <s v="ax652294422"/>
    <d v="2026-05-23T00:00:00"/>
    <d v="2026-05-26T00:00:00"/>
    <s v="UBER TRIP HELP.UBER"/>
    <s v="4121"/>
    <s v="  Transportation "/>
    <n v="53.32"/>
    <s v="Corporate Amex"/>
    <m/>
    <s v="Y"/>
    <s v="Transportation"/>
    <s v="MATCH"/>
    <x v="0"/>
  </r>
  <r>
    <s v="EXP102686"/>
    <s v="E023"/>
    <m/>
    <d v="2026-05-25T00:00:00"/>
    <d v="2026-05-26T00:00:00"/>
    <s v="STAPLES #0231"/>
    <s v="5943"/>
    <m/>
    <n v="27.94"/>
    <s v="Personal (Reimbursement)"/>
    <s v="International merchant - Amex not accepted"/>
    <s v="Y"/>
    <s v="Office Supplies"/>
    <s v="BLANK"/>
    <x v="0"/>
  </r>
  <r>
    <s v="EXP102687"/>
    <s v="E126"/>
    <m/>
    <d v="2026-05-22T00:00:00"/>
    <d v="2026-05-26T00:00:00"/>
    <s v="MARRIOTT #4471"/>
    <s v="7011"/>
    <s v="Lodging"/>
    <n v="393.26"/>
    <s v="Personal (Reimbursement)"/>
    <s v="International merchant - Amex not accepted"/>
    <s v="Y"/>
    <s v="Lodging"/>
    <s v="MATCH"/>
    <x v="7"/>
  </r>
  <r>
    <s v="EXP102688"/>
    <s v="E260"/>
    <s v="AX-798009432"/>
    <d v="2026-05-25T00:00:00"/>
    <d v="2026-05-26T00:00:00"/>
    <s v="TOTAL PARTY RENTAL"/>
    <s v="7999"/>
    <s v="Events"/>
    <n v="184.11"/>
    <s v="Corporate Amex"/>
    <m/>
    <s v="Y"/>
    <s v="Events"/>
    <s v="MATCH"/>
    <x v="8"/>
  </r>
  <r>
    <s v="EXP102689"/>
    <s v="E023"/>
    <m/>
    <d v="2026-05-23T00:00:00"/>
    <d v="2026-05-27T00:00:00"/>
    <s v="AMC THEATRES 0021"/>
    <s v="7832"/>
    <s v="Entertainment"/>
    <n v="57.72"/>
    <s v="Personal (Reimbursement)"/>
    <s v="International merchant - Amex not accepted"/>
    <s v="Y"/>
    <s v="Entertainment"/>
    <s v="MATCH"/>
    <x v="0"/>
  </r>
  <r>
    <s v="EXP102690"/>
    <s v="E027"/>
    <s v="AX918356703"/>
    <d v="2026-05-19T00:00:00"/>
    <d v="2026-05-27T00:00:00"/>
    <s v="SQ *THE CORNER BISTRO"/>
    <s v="5812"/>
    <s v="Meals"/>
    <n v="34.65"/>
    <s v="Corporate Amex"/>
    <m/>
    <s v="Y"/>
    <s v="Meals"/>
    <s v="MATCH"/>
    <x v="0"/>
  </r>
  <r>
    <s v="EXP102691"/>
    <s v="E027"/>
    <s v="AX-335038616"/>
    <d v="2026-05-21T00:00:00"/>
    <d v="2026-05-27T00:00:00"/>
    <s v="PANERA BREAD #0231"/>
    <s v="5812"/>
    <s v="Meals"/>
    <n v="26.9"/>
    <s v="Corporate Amex"/>
    <m/>
    <s v="Y"/>
    <s v="Meals"/>
    <s v="MATCH"/>
    <x v="0"/>
  </r>
  <r>
    <s v="EXP102692"/>
    <s v="E027"/>
    <s v="AX-638730723"/>
    <d v="2026-05-22T00:00:00"/>
    <d v="2026-05-27T00:00:00"/>
    <s v="HYATT REGENCY BOS"/>
    <s v="7011"/>
    <s v="Lodging"/>
    <n v="432.76"/>
    <s v="Corporate Amex"/>
    <m/>
    <s v="Y"/>
    <s v="Lodging"/>
    <s v="MATCH"/>
    <x v="0"/>
  </r>
  <r>
    <s v="EXP102693"/>
    <s v="E018"/>
    <m/>
    <d v="2026-05-23T00:00:00"/>
    <d v="2026-05-27T00:00:00"/>
    <s v="HILTON GARDEN INN 2231"/>
    <s v="7011"/>
    <s v="Lodging"/>
    <n v="203.2"/>
    <s v="Personal (Reimbursement)"/>
    <s v="Amex declined - vendor doesn't accept Amex"/>
    <s v="N"/>
    <s v="Lodging"/>
    <s v="MATCH"/>
    <x v="0"/>
  </r>
  <r>
    <s v="EXP102694"/>
    <s v="E018"/>
    <s v="AX-387083560"/>
    <d v="2026-05-26T00:00:00"/>
    <d v="2026-05-27T00:00:00"/>
    <s v="UNITED AIRLINES 0162233"/>
    <s v="4511"/>
    <s v="Travel"/>
    <n v="334.59"/>
    <s v="Corporate Amex"/>
    <m/>
    <s v="Y"/>
    <s v="Travel"/>
    <s v="MATCH"/>
    <x v="0"/>
  </r>
  <r>
    <s v="EXP102695"/>
    <s v="E018"/>
    <s v="AX742952284"/>
    <d v="2026-05-26T00:00:00"/>
    <d v="2026-05-27T00:00:00"/>
    <s v="AMC THEATRES 0021"/>
    <s v="7832"/>
    <s v="Entertainment"/>
    <n v="22.92"/>
    <s v="Corporate Amex"/>
    <m/>
    <s v="Y"/>
    <s v="Entertainment"/>
    <s v="MATCH"/>
    <x v="0"/>
  </r>
  <r>
    <s v="EXP102696"/>
    <s v="E180"/>
    <s v="AX704623357"/>
    <d v="2026-05-22T00:00:00"/>
    <d v="2026-05-27T00:00:00"/>
    <s v="PANERA BREAD #0231"/>
    <s v="5812"/>
    <s v="Meals"/>
    <n v="15.92"/>
    <s v="Corporate Amex"/>
    <m/>
    <s v="Y"/>
    <s v="Meals"/>
    <s v="MATCH"/>
    <x v="6"/>
  </r>
  <r>
    <s v="EXP102697"/>
    <s v="E003"/>
    <s v="AX326956188"/>
    <d v="2026-05-22T00:00:00"/>
    <d v="2026-05-27T00:00:00"/>
    <s v="UNITED AIRLINES 0162233"/>
    <s v="4511"/>
    <s v="Travel"/>
    <n v="502.24"/>
    <s v="Corporate Amex"/>
    <m/>
    <s v="Y"/>
    <s v="Travel"/>
    <s v="MATCH"/>
    <x v="0"/>
  </r>
  <r>
    <s v="EXP102698"/>
    <s v="E050"/>
    <m/>
    <d v="2026-05-27T00:00:00"/>
    <d v="2026-05-27T00:00:00"/>
    <s v="TOTAL PARTY RENTAL"/>
    <s v="7999"/>
    <s v="Events"/>
    <n v="81.489999999999995"/>
    <s v="Personal (Reimbursement)"/>
    <s v="International merchant - Amex not accepted"/>
    <s v="Y"/>
    <s v="Events"/>
    <s v="MATCH"/>
    <x v="0"/>
  </r>
  <r>
    <s v="EXP102699"/>
    <s v="E054"/>
    <s v="AX109879150"/>
    <d v="2026-05-23T00:00:00"/>
    <d v="2026-05-27T00:00:00"/>
    <s v="CHIPOTLE 2214"/>
    <s v="5812"/>
    <s v="Meals"/>
    <n v="12.31"/>
    <s v="Corporate Amex"/>
    <m/>
    <s v="Y"/>
    <s v="Meals"/>
    <s v="MATCH"/>
    <x v="0"/>
  </r>
  <r>
    <s v="EXP102700"/>
    <s v="E102"/>
    <m/>
    <d v="2026-05-18T00:00:00"/>
    <d v="2026-05-27T00:00:00"/>
    <s v=" AMAZON MKTPLACE PMTS"/>
    <s v="5942"/>
    <s v="Office Supplies"/>
    <n v="399.48"/>
    <s v="Corporate Amex"/>
    <m/>
    <s v="N"/>
    <s v="Office Supplies"/>
    <s v="MATCH"/>
    <x v="2"/>
  </r>
  <r>
    <s v="EXP102701"/>
    <s v="E173"/>
    <s v="AX354536475"/>
    <d v="2026-05-19T00:00:00"/>
    <d v="2026-05-27T00:00:00"/>
    <s v="BRANDWATCH LTD"/>
    <s v="5734"/>
    <s v="Software"/>
    <n v="266.42"/>
    <s v="Corporate Amex"/>
    <m/>
    <s v="Y"/>
    <s v="Software"/>
    <s v="MATCH"/>
    <x v="6"/>
  </r>
  <r>
    <s v="EXP102702"/>
    <s v="E163"/>
    <s v="AX 513871657"/>
    <d v="2026-05-25T00:00:00"/>
    <d v="2026-05-27T00:00:00"/>
    <s v="HOOTSUITE INC"/>
    <s v="5734"/>
    <s v="Software"/>
    <n v="74.790000000000006"/>
    <s v="Corporate Amex"/>
    <m/>
    <s v="Y"/>
    <s v="Software"/>
    <s v="MATCH"/>
    <x v="6"/>
  </r>
  <r>
    <s v="EXP102703"/>
    <s v="E065"/>
    <s v="AX-627416472"/>
    <d v="2026-05-17T00:00:00"/>
    <d v="2026-05-27T00:00:00"/>
    <s v="CHIPOTLE 2214"/>
    <s v="5812"/>
    <s v="Office Supplies"/>
    <n v="10.67"/>
    <s v="Corporate Amex"/>
    <m/>
    <s v="Y"/>
    <s v="Meals"/>
    <s v="MISMATCH"/>
    <x v="0"/>
  </r>
  <r>
    <s v="EXP102704"/>
    <s v="E051"/>
    <s v="ax877048113"/>
    <d v="2026-05-24T00:00:00"/>
    <d v="2026-05-27T00:00:00"/>
    <s v="TOPGOLF #442"/>
    <s v="7997"/>
    <s v="Entertainment"/>
    <n v="239.65"/>
    <s v="Corporate Amex"/>
    <m/>
    <s v="Y"/>
    <s v="Entertainment"/>
    <s v="MATCH"/>
    <x v="0"/>
  </r>
  <r>
    <s v="EXP102705"/>
    <s v="E260"/>
    <s v="AX107290317"/>
    <d v="2026-05-25T00:00:00"/>
    <d v="2026-05-27T00:00:00"/>
    <s v="TOPGOLF #442"/>
    <s v="7997"/>
    <s v="Entertainment"/>
    <n v="160.30000000000001"/>
    <s v="Corporate Amex"/>
    <m/>
    <s v="Y"/>
    <s v="Entertainment"/>
    <s v="MATCH"/>
    <x v="8"/>
  </r>
  <r>
    <s v="EXP102706"/>
    <s v="E260"/>
    <s v="AX-298386196"/>
    <d v="2026-05-20T00:00:00"/>
    <d v="2026-05-27T00:00:00"/>
    <s v="HYATT REGENCY BOS"/>
    <s v="7011"/>
    <s v="Lodging"/>
    <n v="437.01"/>
    <s v="Corporate Amex"/>
    <m/>
    <s v="N"/>
    <s v="Lodging"/>
    <s v="MATCH"/>
    <x v="8"/>
  </r>
  <r>
    <s v="EXP102707"/>
    <s v="E078"/>
    <m/>
    <d v="2026-05-20T00:00:00"/>
    <d v="2026-05-27T00:00:00"/>
    <s v="MICROSOFT*365"/>
    <s v="5734"/>
    <s v="Software"/>
    <n v="12.31"/>
    <s v="Corporate Amex"/>
    <m/>
    <s v="Y"/>
    <s v="Software"/>
    <s v="MATCH"/>
    <x v="2"/>
  </r>
  <r>
    <s v="EXP102708"/>
    <s v="E040"/>
    <s v="ax942640102"/>
    <d v="2026-05-19T00:00:00"/>
    <d v="2026-05-28T00:00:00"/>
    <s v="REGION CATERING CO"/>
    <s v="5811"/>
    <s v="Events"/>
    <n v="504.48"/>
    <s v="Corporate Amex"/>
    <m/>
    <s v="N"/>
    <s v="Events"/>
    <s v="MATCH"/>
    <x v="0"/>
  </r>
  <r>
    <s v="EXP102709"/>
    <s v="E070"/>
    <s v="ax437801131"/>
    <d v="2026-05-28T00:00:00"/>
    <d v="2026-05-28T00:00:00"/>
    <s v="DELTA AIR 00623891045"/>
    <s v="4511"/>
    <s v="Travel"/>
    <n v="634.54"/>
    <s v="Corporate Amex"/>
    <m/>
    <s v="Y"/>
    <s v="Travel"/>
    <s v="MATCH"/>
    <x v="0"/>
  </r>
  <r>
    <s v="EXP102710"/>
    <s v="E130"/>
    <s v="AX368803176"/>
    <d v="2026-05-22T00:00:00"/>
    <d v="2026-05-28T00:00:00"/>
    <s v="MICROSOFT*365"/>
    <s v="5734"/>
    <s v="Lodging"/>
    <n v="17.95"/>
    <s v="Corporate Amex"/>
    <m/>
    <s v="Y"/>
    <s v="Software"/>
    <s v="MISMATCH"/>
    <x v="7"/>
  </r>
  <r>
    <s v="EXP102711"/>
    <s v="E055"/>
    <s v="ax561348072"/>
    <d v="2026-05-21T00:00:00"/>
    <d v="2026-05-28T00:00:00"/>
    <s v="ZOOM.US"/>
    <s v="5734"/>
    <s v="Software"/>
    <n v="56.94"/>
    <s v="Corporate Amex"/>
    <m/>
    <s v="Y"/>
    <s v="Software"/>
    <s v="MATCH"/>
    <x v="0"/>
  </r>
  <r>
    <s v="EXP102712"/>
    <s v="E008"/>
    <s v="AX445003684"/>
    <d v="2026-05-22T00:00:00"/>
    <d v="2026-05-28T00:00:00"/>
    <s v="SQ *JOES COFFEE"/>
    <s v="5812"/>
    <s v="Meals"/>
    <n v="6.5"/>
    <s v="Corporate Amex"/>
    <m/>
    <s v="Y"/>
    <s v="Meals"/>
    <s v="MATCH"/>
    <x v="0"/>
  </r>
  <r>
    <s v="EXP102713"/>
    <s v="E021"/>
    <s v="AX-126551878"/>
    <d v="2026-05-28T00:00:00"/>
    <d v="2026-05-28T00:00:00"/>
    <s v="BRANDWATCH LTD"/>
    <s v="5734"/>
    <s v="Software"/>
    <n v="598.15"/>
    <s v="Corporate Amex"/>
    <m/>
    <s v="Y"/>
    <s v="Software"/>
    <s v="MATCH"/>
    <x v="0"/>
  </r>
  <r>
    <s v="EXP102714"/>
    <s v="E027"/>
    <s v="AX 235157905"/>
    <d v="2026-05-29T00:00:00"/>
    <d v="2026-05-29T00:00:00"/>
    <s v="AMC THEATRES 0021"/>
    <s v="7832"/>
    <s v="Entertainment"/>
    <n v="18.170000000000002"/>
    <s v="Corporate Amex"/>
    <m/>
    <s v="N"/>
    <s v="Entertainment"/>
    <s v="MATCH"/>
    <x v="0"/>
  </r>
  <r>
    <s v="EXP102715"/>
    <s v="E008"/>
    <s v="AX-666576362"/>
    <d v="2026-05-20T00:00:00"/>
    <d v="2026-05-29T00:00:00"/>
    <s v="SQ *JOES COFFEE"/>
    <s v="5812"/>
    <s v="Meals"/>
    <n v="15.11"/>
    <s v="Corporate Amex"/>
    <m/>
    <s v="Y"/>
    <s v="Meals"/>
    <s v="MATCH"/>
    <x v="0"/>
  </r>
  <r>
    <s v="EXP102716"/>
    <s v="E014"/>
    <s v="AX-136681010"/>
    <d v="2026-05-23T00:00:00"/>
    <d v="2026-05-29T00:00:00"/>
    <s v="HILTON GARDEN INN 2231"/>
    <s v="7011"/>
    <s v="Lodging"/>
    <n v="241.93"/>
    <s v="Corporate Amex"/>
    <m/>
    <s v="Y"/>
    <s v="Lodging"/>
    <s v="MATCH"/>
    <x v="0"/>
  </r>
  <r>
    <s v="EXP102717"/>
    <s v="E029"/>
    <s v="AX-963155931"/>
    <d v="2026-05-23T00:00:00"/>
    <d v="2026-05-29T00:00:00"/>
    <s v="TOTAL PARTY RENTAL"/>
    <s v="7999"/>
    <s v="Events"/>
    <n v="151.05000000000001"/>
    <s v="Corporate Amex"/>
    <m/>
    <s v="N"/>
    <s v="Events"/>
    <s v="MATCH"/>
    <x v="0"/>
  </r>
  <r>
    <s v="EXP102718"/>
    <s v="E039"/>
    <s v="AX156269476"/>
    <d v="2026-05-27T00:00:00"/>
    <d v="2026-05-29T00:00:00"/>
    <s v="HOOTSUITE INC"/>
    <s v="5734"/>
    <s v="Software"/>
    <n v="241.08"/>
    <s v="Corporate Amex"/>
    <m/>
    <s v="Y"/>
    <s v="Software"/>
    <s v="MATCH"/>
    <x v="0"/>
  </r>
  <r>
    <s v="EXP102719"/>
    <s v="E141"/>
    <s v="AX-910751569"/>
    <d v="2026-05-20T00:00:00"/>
    <d v="2026-05-29T00:00:00"/>
    <s v="TOTAL PARTY RENTAL"/>
    <s v="7999"/>
    <s v="Events"/>
    <n v="554.74"/>
    <s v="Corporate Amex"/>
    <m/>
    <s v="Y"/>
    <s v="Events"/>
    <s v="MATCH"/>
    <x v="7"/>
  </r>
  <r>
    <s v="EXP102720"/>
    <s v="E258"/>
    <s v="ax799085002"/>
    <d v="2026-05-19T00:00:00"/>
    <d v="2026-05-29T00:00:00"/>
    <s v="ADOBE *CREATIVE CLOUD"/>
    <s v="5734"/>
    <s v="Software"/>
    <n v="75.78"/>
    <s v="Corporate Amex"/>
    <m/>
    <s v="Y"/>
    <s v="Software"/>
    <s v="MATCH"/>
    <x v="8"/>
  </r>
  <r>
    <s v="EXP102721"/>
    <s v="E035"/>
    <s v="AX475267932"/>
    <d v="2026-05-29T00:00:00"/>
    <d v="2026-05-29T00:00:00"/>
    <s v="ADOBE *CREATIVE CLOUD"/>
    <s v="5734"/>
    <s v="  Software "/>
    <n v="76.42"/>
    <s v="Corporate Amex"/>
    <m/>
    <s v="Y"/>
    <s v="Software"/>
    <s v="MATCH"/>
    <x v="0"/>
  </r>
  <r>
    <s v="EXP102722"/>
    <s v="E105"/>
    <s v="AX400475258"/>
    <d v="2026-05-26T00:00:00"/>
    <d v="2026-05-29T00:00:00"/>
    <s v="REGION CATERING CO"/>
    <s v="5811"/>
    <s v="Events"/>
    <n v="625.57000000000005"/>
    <s v="Corporate Amex"/>
    <m/>
    <s v="Y"/>
    <s v="Events"/>
    <s v="MATCH"/>
    <x v="2"/>
  </r>
  <r>
    <s v="EXP102724"/>
    <s v="E121"/>
    <s v="AX979374179"/>
    <d v="2026-05-22T00:00:00"/>
    <d v="2026-05-29T00:00:00"/>
    <s v="OLIVE GARDEN 00456"/>
    <s v="5812"/>
    <s v="Meals"/>
    <n v="35.729999999999997"/>
    <s v="Corporate Amex"/>
    <m/>
    <s v="Y"/>
    <s v="Meals"/>
    <s v="MATCH"/>
    <x v="7"/>
  </r>
  <r>
    <s v="EXP102725"/>
    <s v="E182"/>
    <s v="AX243285157"/>
    <d v="2026-05-24T00:00:00"/>
    <d v="2026-05-29T00:00:00"/>
    <s v="HYATT REGENCY BOS"/>
    <s v="7011"/>
    <m/>
    <n v="183.76"/>
    <s v="Corporate Amex"/>
    <m/>
    <s v="Y"/>
    <s v="Lodging"/>
    <s v="BLANK"/>
    <x v="5"/>
  </r>
  <r>
    <s v="EXP102726"/>
    <s v="E043"/>
    <s v="AX532098714"/>
    <d v="2026-05-29T00:00:00"/>
    <d v="2026-05-29T00:00:00"/>
    <s v="LYFT RIDE THU"/>
    <s v="4121"/>
    <s v="Transportation"/>
    <n v="50.77"/>
    <s v="Corporate Amex"/>
    <m/>
    <s v="Y"/>
    <s v="Transportation"/>
    <s v="MATCH"/>
    <x v="0"/>
  </r>
  <r>
    <s v="EXP102727"/>
    <s v="E175"/>
    <s v="AX 950535148"/>
    <d v="2026-05-25T00:00:00"/>
    <d v="2026-05-29T00:00:00"/>
    <s v="UBER TRIP HELP.UBER"/>
    <s v="4121"/>
    <s v="Transportation"/>
    <n v="44.61"/>
    <s v="Corporate Amex"/>
    <m/>
    <s v="Y"/>
    <s v="Transportation"/>
    <s v="MATCH"/>
    <x v="6"/>
  </r>
  <r>
    <s v="EXP102728"/>
    <s v="E120"/>
    <s v="AX 275368474"/>
    <d v="2026-05-28T00:00:00"/>
    <d v="2026-05-29T00:00:00"/>
    <s v="HILTON GARDEN INN 2231"/>
    <s v="7011"/>
    <s v="Entertainment"/>
    <n v="143.11000000000001"/>
    <s v="Corporate Amex"/>
    <m/>
    <s v="Y"/>
    <s v="Lodging"/>
    <s v="MISMATCH"/>
    <x v="7"/>
  </r>
  <r>
    <s v="EXP102729"/>
    <s v="E022"/>
    <m/>
    <d v="2026-05-27T00:00:00"/>
    <d v="2026-05-29T00:00:00"/>
    <s v="EVENTBRITE"/>
    <s v="7999"/>
    <s v="Events"/>
    <n v="79.599999999999994"/>
    <s v="Personal (Reimbursement)"/>
    <s v="Card not yet issued"/>
    <s v="Y"/>
    <s v="Events"/>
    <s v="MATCH"/>
    <x v="0"/>
  </r>
  <r>
    <s v="EXP102730"/>
    <s v="E035"/>
    <s v="AX591494078"/>
    <d v="2026-05-29T00:00:00"/>
    <d v="2026-05-30T00:00:00"/>
    <s v="SOUTHWEST AIR 5261823"/>
    <s v="4511"/>
    <s v="Travel"/>
    <n v="381.39"/>
    <s v="Corporate Amex"/>
    <m/>
    <s v="Y"/>
    <s v="Travel"/>
    <s v="MATCH"/>
    <x v="0"/>
  </r>
  <r>
    <s v="EXP102731"/>
    <s v="E022"/>
    <m/>
    <d v="2026-05-23T00:00:00"/>
    <d v="2026-05-30T00:00:00"/>
    <s v="REGION CATERING CO"/>
    <s v="5811"/>
    <s v="Events"/>
    <n v="409.92"/>
    <s v="Personal (Reimbursement)"/>
    <s v="Card not yet issued"/>
    <s v="Y"/>
    <s v="Events"/>
    <s v="MATCH"/>
    <x v="0"/>
  </r>
  <r>
    <s v="EXP102732"/>
    <s v="E010"/>
    <s v="AX-505403827"/>
    <d v="2026-05-24T00:00:00"/>
    <d v="2026-05-30T00:00:00"/>
    <s v="BRANDWATCH LTD"/>
    <s v="5734"/>
    <s v="Software"/>
    <n v="344.24"/>
    <s v="Corporate Amex"/>
    <m/>
    <s v="Y"/>
    <s v="Software"/>
    <s v="MATCH"/>
    <x v="0"/>
  </r>
  <r>
    <s v="EXP102733"/>
    <s v="E250"/>
    <s v="AX-628646181"/>
    <d v="2026-05-29T00:00:00"/>
    <d v="2026-05-30T00:00:00"/>
    <s v="SQ *JOES COFFEE"/>
    <s v="5812"/>
    <s v="Meals"/>
    <n v="20.149999999999999"/>
    <s v="Corporate Amex"/>
    <m/>
    <s v="Y"/>
    <s v="Meals"/>
    <s v="MATCH"/>
    <x v="1"/>
  </r>
  <r>
    <s v="EXP102734"/>
    <s v="E141"/>
    <m/>
    <d v="2026-05-27T00:00:00"/>
    <d v="2026-05-30T00:00:00"/>
    <s v="MICROSOFT*365"/>
    <s v="5734"/>
    <s v="Software"/>
    <n v="41.56"/>
    <s v="Corporate Amex"/>
    <m/>
    <s v="Y"/>
    <s v="Software"/>
    <s v="MATCH"/>
    <x v="7"/>
  </r>
  <r>
    <s v="EXP102735"/>
    <s v="E178"/>
    <s v="AX837646366"/>
    <d v="2026-05-28T00:00:00"/>
    <d v="2026-05-30T00:00:00"/>
    <s v="LYFT RIDE THU"/>
    <s v="4121"/>
    <s v="Transportation"/>
    <n v="28.55"/>
    <s v="Corporate Amex"/>
    <m/>
    <s v="N"/>
    <s v="Transportation"/>
    <s v="MATCH"/>
    <x v="6"/>
  </r>
  <r>
    <s v="EXP102736"/>
    <s v="E261"/>
    <s v="AX 923840231"/>
    <d v="2026-05-25T00:00:00"/>
    <d v="2026-05-30T00:00:00"/>
    <s v="SQ *JOES COFFEE"/>
    <s v="5812"/>
    <s v="Meals"/>
    <n v="23.5"/>
    <s v="Corporate Amex"/>
    <m/>
    <s v="Y"/>
    <s v="Meals"/>
    <s v="MATCH"/>
    <x v="3"/>
  </r>
  <r>
    <s v="EXP102737"/>
    <s v="E132"/>
    <s v="AX592724979"/>
    <d v="2026-05-24T00:00:00"/>
    <d v="2026-05-30T00:00:00"/>
    <s v="YELLOW CAB CO"/>
    <s v="4121"/>
    <s v="Transportation"/>
    <n v="16.989999999999998"/>
    <s v="Corporate Amex"/>
    <m/>
    <s v="Y"/>
    <s v="Transportation"/>
    <s v="MATCH"/>
    <x v="7"/>
  </r>
  <r>
    <s v="EXP102738"/>
    <s v="E034"/>
    <s v="AX763440734"/>
    <d v="2026-05-23T00:00:00"/>
    <d v="2026-05-30T00:00:00"/>
    <s v="SQ *JOES COFFEE"/>
    <s v="5812"/>
    <s v="Meals"/>
    <n v="8.3699999999999992"/>
    <s v="Corporate Amex"/>
    <m/>
    <s v="Y"/>
    <s v="Meals"/>
    <s v="MATCH"/>
    <x v="0"/>
  </r>
  <r>
    <s v="EXP102739"/>
    <s v="E143"/>
    <s v="ax780677149"/>
    <d v="2026-05-27T00:00:00"/>
    <d v="2026-05-30T00:00:00"/>
    <s v="TOTAL PARTY RENTAL"/>
    <s v="7999"/>
    <s v="Events"/>
    <n v="216.56"/>
    <s v="Corporate Amex"/>
    <m/>
    <s v="N"/>
    <s v="Events"/>
    <s v="MATCH"/>
    <x v="7"/>
  </r>
  <r>
    <s v="EXP102740"/>
    <s v="E095"/>
    <s v="AX212121466"/>
    <d v="2026-05-27T00:00:00"/>
    <d v="2026-05-30T00:00:00"/>
    <s v="STARBUCKS #4471"/>
    <s v="5812"/>
    <s v="Meals"/>
    <n v="7"/>
    <s v="Corporate Amex"/>
    <m/>
    <s v="Y"/>
    <s v="Meals"/>
    <s v="MATCH"/>
    <x v="2"/>
  </r>
  <r>
    <s v="EXP102741"/>
    <s v="E032"/>
    <s v="AX286969563"/>
    <d v="2026-05-22T00:00:00"/>
    <d v="2026-05-30T00:00:00"/>
    <s v="LYFT RIDE THU"/>
    <s v="4121"/>
    <s v="Transportation"/>
    <n v="32.57"/>
    <s v="Corporate Amex"/>
    <m/>
    <s v="Y"/>
    <s v="Transportation"/>
    <s v="MATCH"/>
    <x v="0"/>
  </r>
  <r>
    <s v="EXP102742"/>
    <s v="E014"/>
    <m/>
    <d v="2026-05-21T00:00:00"/>
    <d v="2026-05-30T00:00:00"/>
    <s v="AMAZON MKTPLACE PMTS"/>
    <s v="5942"/>
    <s v="Office Supplies"/>
    <n v="334.71"/>
    <s v="Corporate Amex"/>
    <m/>
    <s v="Y"/>
    <s v="Office Supplies"/>
    <s v="MATCH"/>
    <x v="0"/>
  </r>
  <r>
    <s v="EXP102743"/>
    <s v="E061"/>
    <s v="AX-658383034"/>
    <d v="2026-05-27T00:00:00"/>
    <d v="2026-05-30T00:00:00"/>
    <s v="HYATT REGENCY BOS"/>
    <s v="7011"/>
    <s v="Lodging"/>
    <n v="385.25"/>
    <s v="Corporate Amex"/>
    <m/>
    <s v="Y"/>
    <s v="Lodging"/>
    <s v="MATCH"/>
    <x v="0"/>
  </r>
  <r>
    <s v="EXP102744"/>
    <s v="E237"/>
    <s v="AX836531806"/>
    <d v="2026-05-23T00:00:00"/>
    <d v="2026-05-30T00:00:00"/>
    <s v="SPROUT SOCIAL"/>
    <s v="5734"/>
    <s v="Software"/>
    <n v="140.01"/>
    <s v="Corporate Amex"/>
    <m/>
    <s v="N"/>
    <s v="Software"/>
    <s v="MATCH"/>
    <x v="1"/>
  </r>
  <r>
    <s v="EXP102745"/>
    <s v="E004"/>
    <s v="ax343494343"/>
    <d v="2026-05-26T00:00:00"/>
    <d v="2026-05-30T00:00:00"/>
    <s v="STAPLES #0231"/>
    <s v="5943"/>
    <s v="Office Supplies"/>
    <n v="163.65"/>
    <s v="Corporate Amex"/>
    <m/>
    <s v="Y"/>
    <s v="Office Supplies"/>
    <s v="MATCH"/>
    <x v="0"/>
  </r>
  <r>
    <s v="EXP102746"/>
    <s v="E036"/>
    <m/>
    <d v="2026-05-31T00:00:00"/>
    <d v="2026-05-31T00:00:00"/>
    <s v="MICROSOFT*365"/>
    <s v="5734"/>
    <s v="Software"/>
    <n v="22.31"/>
    <s v="Corporate Amex"/>
    <m/>
    <s v="N"/>
    <s v="Software"/>
    <s v="MATCH"/>
    <x v="0"/>
  </r>
  <r>
    <s v="EXP102747"/>
    <s v="E168"/>
    <s v="AX560232255"/>
    <d v="2026-05-30T00:00:00"/>
    <d v="2026-05-31T00:00:00"/>
    <s v=" OLIVE GARDEN 00456"/>
    <s v="5812"/>
    <s v="Meals"/>
    <n v="62.35"/>
    <s v="Corporate Amex"/>
    <m/>
    <s v="Y"/>
    <s v="Meals"/>
    <s v="MATCH"/>
    <x v="6"/>
  </r>
  <r>
    <s v="EXP102748"/>
    <s v="E024"/>
    <s v="AX 343073527"/>
    <d v="2026-05-24T00:00:00"/>
    <d v="2026-05-31T00:00:00"/>
    <s v="UBER TRIP HELP.UBER"/>
    <s v="4121"/>
    <s v="Transportation"/>
    <n v="20.95"/>
    <s v="Corporate Amex"/>
    <m/>
    <s v="N"/>
    <s v="Transportation"/>
    <s v="MATCH"/>
    <x v="0"/>
  </r>
  <r>
    <s v="EXP102749"/>
    <s v="E141"/>
    <s v="AX-305152183"/>
    <d v="2026-05-29T00:00:00"/>
    <d v="2026-05-31T00:00:00"/>
    <s v="HYATT REGENCY BOS"/>
    <s v="7011"/>
    <s v="Lodging"/>
    <n v="383.84"/>
    <s v="Corporate Amex"/>
    <m/>
    <s v="Y"/>
    <s v="Lodging"/>
    <s v="MATCH"/>
    <x v="7"/>
  </r>
  <r>
    <s v="EXP102750"/>
    <s v="E055"/>
    <s v="AX978749809"/>
    <d v="2026-05-24T00:00:00"/>
    <d v="2026-05-31T00:00:00"/>
    <s v="SOUTHWEST AIR 5261823"/>
    <s v="4511"/>
    <s v="Travel"/>
    <n v="379.21"/>
    <s v="Corporate Amex"/>
    <m/>
    <s v="Y"/>
    <s v="Travel"/>
    <s v="MATCH"/>
    <x v="0"/>
  </r>
  <r>
    <s v="EXP102751"/>
    <s v="E047"/>
    <m/>
    <d v="2026-05-30T00:00:00"/>
    <d v="2026-05-31T00:00:00"/>
    <s v="HYATT REGENCY BOS"/>
    <s v="7011"/>
    <s v="Lodging"/>
    <n v="345.73"/>
    <s v="Personal (Reimbursement)"/>
    <s v="Forgot corporate card"/>
    <s v="Y"/>
    <s v="Lodging"/>
    <s v="MATCH"/>
    <x v="0"/>
  </r>
  <r>
    <s v="EXP102752"/>
    <s v="E031"/>
    <s v="AX-146388433"/>
    <d v="2026-05-23T00:00:00"/>
    <d v="2026-05-31T00:00:00"/>
    <s v="TOPGOLF #442"/>
    <s v="7997"/>
    <s v="Entertainment"/>
    <n v="126.56"/>
    <s v="Corporate Amex"/>
    <m/>
    <s v="N"/>
    <s v="Entertainment"/>
    <s v="MATCH"/>
    <x v="0"/>
  </r>
  <r>
    <s v="EXP102753"/>
    <s v="E020"/>
    <s v="AX530214478"/>
    <d v="2026-05-28T00:00:00"/>
    <d v="2026-05-31T00:00:00"/>
    <s v="STARBUCKS #4471"/>
    <s v="5812"/>
    <m/>
    <n v="9.01"/>
    <s v="Corporate Amex"/>
    <m/>
    <s v="Y"/>
    <s v="Meals"/>
    <s v="BLANK"/>
    <x v="0"/>
  </r>
  <r>
    <s v="EXP102754"/>
    <s v="E057"/>
    <m/>
    <d v="2026-05-29T00:00:00"/>
    <d v="2026-05-31T00:00:00"/>
    <s v="HYATT REGENCY BOS"/>
    <s v="7011"/>
    <s v="Lodging"/>
    <n v="312.48"/>
    <s v="Personal (Reimbursement)"/>
    <s v="International merchant - Amex not accepted"/>
    <s v="Y"/>
    <s v="Lodging"/>
    <s v="MATCH"/>
    <x v="0"/>
  </r>
  <r>
    <s v="EXP102755"/>
    <s v="E034"/>
    <s v="ax371793737"/>
    <d v="2026-05-30T00:00:00"/>
    <d v="2026-05-31T00:00:00"/>
    <s v="YELLOW CAB CO"/>
    <s v="4121"/>
    <s v="Transportation"/>
    <n v="30.69"/>
    <s v="Corporate Amex"/>
    <m/>
    <s v="Y"/>
    <s v="Transportation"/>
    <s v="MATCH"/>
    <x v="0"/>
  </r>
  <r>
    <s v="EXP102756"/>
    <s v="E125"/>
    <s v="AX808296881"/>
    <d v="2026-05-21T00:00:00"/>
    <d v="2026-05-31T00:00:00"/>
    <s v="YELLOW CAB CO"/>
    <s v="4121"/>
    <s v="Transportation"/>
    <n v="46.36"/>
    <s v="Corporate Amex"/>
    <m/>
    <s v="Y"/>
    <s v="Transportation"/>
    <s v="MATCH"/>
    <x v="7"/>
  </r>
  <r>
    <s v="EXP102757"/>
    <s v="E040"/>
    <m/>
    <d v="2026-05-31T00:00:00"/>
    <d v="2026-05-31T00:00:00"/>
    <s v="MICROSOFT*365"/>
    <s v="5734"/>
    <s v="Software"/>
    <n v="16.07"/>
    <s v="Corporate Amex"/>
    <m/>
    <s v="N"/>
    <s v="Software"/>
    <s v="MATCH"/>
    <x v="0"/>
  </r>
  <r>
    <s v="EXP102758"/>
    <s v="E204"/>
    <m/>
    <d v="2026-05-30T00:00:00"/>
    <d v="2026-05-31T00:00:00"/>
    <s v="CHIPOTLE 2214"/>
    <s v="5812"/>
    <s v="Meals"/>
    <n v="10.75"/>
    <s v="Corporate Amex"/>
    <m/>
    <s v="N"/>
    <s v="Meals"/>
    <s v="MATCH"/>
    <x v="5"/>
  </r>
  <r>
    <s v="EXP102759"/>
    <s v="E146"/>
    <s v="AX108182126"/>
    <d v="2026-05-25T00:00:00"/>
    <d v="2026-05-31T00:00:00"/>
    <s v="DELTA AIR 00623891045"/>
    <s v="4511"/>
    <s v="Travel"/>
    <n v="632.91999999999996"/>
    <s v="Corporate Amex"/>
    <m/>
    <s v="Y"/>
    <s v="Travel"/>
    <s v="MATCH"/>
    <x v="7"/>
  </r>
  <r>
    <s v="EXP102760"/>
    <s v="E133"/>
    <s v="AX980570675"/>
    <d v="2026-05-31T00:00:00"/>
    <d v="2026-05-31T00:00:00"/>
    <s v="TOTAL PARTY RENTAL"/>
    <s v="7999"/>
    <s v="Events"/>
    <n v="79.42"/>
    <s v="Corporate Amex"/>
    <m/>
    <s v="N"/>
    <s v="Events"/>
    <s v="MATCH"/>
    <x v="7"/>
  </r>
  <r>
    <s v="EXP102761"/>
    <s v="E067"/>
    <s v="AX716436309"/>
    <d v="2026-05-30T00:00:00"/>
    <d v="2026-05-31T00:00:00"/>
    <s v="MICROSOFT*365"/>
    <s v="5734"/>
    <s v="Software"/>
    <n v="45.65"/>
    <s v="Corporate Amex"/>
    <m/>
    <s v="Y"/>
    <s v="Software"/>
    <s v="MATCH"/>
    <x v="0"/>
  </r>
  <r>
    <s v="EXP102762"/>
    <s v="E229"/>
    <s v="AX781762484"/>
    <d v="2026-05-29T00:00:00"/>
    <d v="2026-05-31T00:00:00"/>
    <s v="DELTA AIR 00623891045"/>
    <s v="4511"/>
    <s v="Travel"/>
    <n v="207.71"/>
    <s v="Corporate Amex"/>
    <m/>
    <s v="Y"/>
    <s v="Travel"/>
    <s v="MATCH"/>
    <x v="4"/>
  </r>
  <r>
    <s v="EXP102763"/>
    <s v="E010"/>
    <s v="AX667579968"/>
    <d v="2026-05-21T00:00:00"/>
    <d v="2026-05-31T00:00:00"/>
    <s v="STAPLES #0231"/>
    <s v="5943"/>
    <s v="Office Supplies"/>
    <n v="60.41"/>
    <s v="Corporate Amex"/>
    <m/>
    <s v="Y"/>
    <s v="Office Supplies"/>
    <s v="MATCH"/>
    <x v="0"/>
  </r>
  <r>
    <s v="EXP102764"/>
    <s v="E109"/>
    <s v="AX490105261"/>
    <d v="2026-05-26T00:00:00"/>
    <d v="2026-05-31T00:00:00"/>
    <s v="OLIVE GARDEN 00456"/>
    <s v="5812"/>
    <s v="Meals"/>
    <n v="83"/>
    <s v="Corporate Amex"/>
    <m/>
    <s v="Y"/>
    <s v="Meals"/>
    <s v="MATCH"/>
    <x v="2"/>
  </r>
  <r>
    <s v="EXP102765"/>
    <s v="E048"/>
    <s v="ax192664948"/>
    <d v="2026-05-26T00:00:00"/>
    <d v="2026-06-01T00:00:00"/>
    <s v="HOOTSUITE INC"/>
    <s v="5734"/>
    <s v="Software"/>
    <n v="63.55"/>
    <s v="Corporate Amex"/>
    <m/>
    <s v="Y"/>
    <s v="Software"/>
    <s v="MATCH"/>
    <x v="0"/>
  </r>
  <r>
    <s v="EXP102766"/>
    <s v="E058"/>
    <s v="AX 270517653"/>
    <d v="2026-05-22T00:00:00"/>
    <d v="2026-06-01T00:00:00"/>
    <s v="EVENTBRITE"/>
    <s v="7999"/>
    <s v="Events"/>
    <n v="69.040000000000006"/>
    <s v="Corporate Amex"/>
    <m/>
    <s v="Y"/>
    <s v="Events"/>
    <s v="MATCH"/>
    <x v="0"/>
  </r>
  <r>
    <s v="EXP102767"/>
    <s v="E026"/>
    <m/>
    <d v="2026-05-31T00:00:00"/>
    <d v="2026-06-01T00:00:00"/>
    <s v="AMC THEATRES 0021"/>
    <s v="7832"/>
    <s v="Entertainment"/>
    <n v="15.4"/>
    <s v="Corporate Amex"/>
    <m/>
    <s v="Y"/>
    <s v="Entertainment"/>
    <s v="MATCH"/>
    <x v="0"/>
  </r>
  <r>
    <s v="EXP102768"/>
    <s v="E096"/>
    <s v="AX 512950697"/>
    <d v="2026-05-22T00:00:00"/>
    <d v="2026-06-01T00:00:00"/>
    <s v="TOTAL PARTY RENTAL"/>
    <s v="7999"/>
    <s v="Events"/>
    <n v="351.57"/>
    <s v="Corporate Amex"/>
    <m/>
    <s v="Y"/>
    <s v="Events"/>
    <s v="MATCH"/>
    <x v="2"/>
  </r>
  <r>
    <s v="EXP102769"/>
    <s v="E220"/>
    <s v="ax173751095"/>
    <d v="2026-05-26T00:00:00"/>
    <d v="2026-06-01T00:00:00"/>
    <s v="SQ *JOES COFFEE"/>
    <s v="5812"/>
    <s v="Meals"/>
    <n v="8.64"/>
    <s v="Corporate Amex"/>
    <m/>
    <s v="Y"/>
    <s v="Meals"/>
    <s v="MATCH"/>
    <x v="4"/>
  </r>
  <r>
    <s v="EXP102770"/>
    <s v="E076"/>
    <s v="AX649566333"/>
    <d v="2026-05-27T00:00:00"/>
    <d v="2026-06-01T00:00:00"/>
    <s v="HOOTSUITE INC"/>
    <s v="5734"/>
    <s v="Software"/>
    <n v="248.97"/>
    <s v="Corporate Amex"/>
    <m/>
    <s v="N"/>
    <s v="Software"/>
    <s v="MATCH"/>
    <x v="2"/>
  </r>
  <r>
    <s v="EXP102771"/>
    <s v="E130"/>
    <s v="AX 959844437"/>
    <d v="2026-05-24T00:00:00"/>
    <d v="2026-06-01T00:00:00"/>
    <s v="HILTON GARDEN INN 2231"/>
    <s v="7011"/>
    <s v="Lodging"/>
    <n v="338.13"/>
    <s v="Corporate Amex"/>
    <m/>
    <s v="Y"/>
    <s v="Lodging"/>
    <s v="MATCH"/>
    <x v="7"/>
  </r>
  <r>
    <s v="EXP102772"/>
    <s v="E041"/>
    <s v="AX312550177"/>
    <d v="2026-06-01T00:00:00"/>
    <d v="2026-06-01T00:00:00"/>
    <s v="ZOOM.US"/>
    <s v="5734"/>
    <s v="Software"/>
    <n v="56.17"/>
    <s v="Corporate Amex"/>
    <m/>
    <s v="Y"/>
    <s v="Software"/>
    <s v="MATCH"/>
    <x v="0"/>
  </r>
  <r>
    <s v="EXP102773"/>
    <s v="E041"/>
    <m/>
    <d v="2026-05-30T00:00:00"/>
    <d v="2026-06-01T00:00:00"/>
    <s v="TOTAL PARTY RENTAL"/>
    <s v="7999"/>
    <m/>
    <n v="176.86"/>
    <s v="Corporate Amex"/>
    <m/>
    <s v="N"/>
    <s v="Events"/>
    <s v="BLANK"/>
    <x v="0"/>
  </r>
  <r>
    <s v="EXP102774"/>
    <s v="E271"/>
    <s v="AX 167038147"/>
    <d v="2026-05-29T00:00:00"/>
    <d v="2026-06-01T00:00:00"/>
    <s v="EVENTBRITE"/>
    <s v="7999"/>
    <s v="Events"/>
    <n v="165.3"/>
    <s v="Corporate Amex"/>
    <m/>
    <s v="Y"/>
    <s v="Events"/>
    <s v="MATCH"/>
    <x v="3"/>
  </r>
  <r>
    <s v="EXP102775"/>
    <s v="E023"/>
    <s v="AX494287269"/>
    <d v="2026-05-27T00:00:00"/>
    <d v="2026-06-01T00:00:00"/>
    <s v="UNITED AIRLINES 0162233"/>
    <s v="4511"/>
    <s v="Travel"/>
    <n v="620.78"/>
    <s v="Corporate Amex"/>
    <m/>
    <s v="Y"/>
    <s v="Travel"/>
    <s v="MATCH"/>
    <x v="0"/>
  </r>
  <r>
    <s v="EXP102776"/>
    <s v="E018"/>
    <s v="AX-962235317"/>
    <d v="2026-05-23T00:00:00"/>
    <d v="2026-06-01T00:00:00"/>
    <s v="ADOBE *CREATIVE CLOUD"/>
    <s v="5734"/>
    <s v="Software"/>
    <n v="56.98"/>
    <s v="Corporate Amex"/>
    <m/>
    <s v="Y"/>
    <s v="Software"/>
    <s v="MATCH"/>
    <x v="0"/>
  </r>
  <r>
    <s v="EXP102777"/>
    <s v="E018"/>
    <s v="AX154488361"/>
    <d v="2026-05-22T00:00:00"/>
    <d v="2026-06-01T00:00:00"/>
    <s v=" STAPLES #0231"/>
    <s v="5943"/>
    <s v="Office Supplies"/>
    <n v="146.4"/>
    <s v="Corporate Amex"/>
    <m/>
    <s v="Y"/>
    <s v="Office Supplies"/>
    <s v="MATCH"/>
    <x v="0"/>
  </r>
  <r>
    <s v="EXP102778"/>
    <s v="E126"/>
    <s v="AX 829304948"/>
    <d v="2026-05-30T00:00:00"/>
    <d v="2026-06-01T00:00:00"/>
    <s v="ZOOM.US"/>
    <s v="5734"/>
    <s v="Software"/>
    <n v="39.020000000000003"/>
    <s v="Corporate Amex"/>
    <m/>
    <s v="Y"/>
    <s v="Software"/>
    <s v="MATCH"/>
    <x v="7"/>
  </r>
  <r>
    <s v="EXP102779"/>
    <s v="E051"/>
    <s v="AX 658725775"/>
    <d v="2026-05-28T00:00:00"/>
    <d v="2026-06-02T00:00:00"/>
    <s v="STARBUCKS #4471"/>
    <s v="5812"/>
    <s v="Meals"/>
    <n v="7.14"/>
    <s v="Corporate Amex"/>
    <m/>
    <s v="Y"/>
    <s v="Meals"/>
    <s v="MATCH"/>
    <x v="0"/>
  </r>
  <r>
    <s v="EXP102780"/>
    <s v="E053"/>
    <s v="AX-231524336"/>
    <d v="2026-05-29T00:00:00"/>
    <d v="2026-06-02T00:00:00"/>
    <s v="YELLOW CAB CO"/>
    <s v="4121"/>
    <s v="Transportation"/>
    <n v="22.61"/>
    <s v="Corporate Amex"/>
    <m/>
    <s v="Y"/>
    <s v="Transportation"/>
    <s v="MATCH"/>
    <x v="0"/>
  </r>
  <r>
    <s v="EXP102781"/>
    <s v="E033"/>
    <s v="AX629093916"/>
    <d v="2026-06-02T00:00:00"/>
    <d v="2026-06-02T00:00:00"/>
    <s v="AMC THEATRES 0021"/>
    <s v="7832"/>
    <s v="Entertainment"/>
    <n v="47.36"/>
    <s v="Corporate Amex"/>
    <m/>
    <s v="Y"/>
    <s v="Entertainment"/>
    <s v="MATCH"/>
    <x v="0"/>
  </r>
  <r>
    <s v="EXP102782"/>
    <s v="E089"/>
    <m/>
    <d v="2026-05-30T00:00:00"/>
    <d v="2026-06-02T00:00:00"/>
    <s v="PANERA BREAD #0231"/>
    <s v="5812"/>
    <s v="  Meals "/>
    <n v="23.01"/>
    <s v="Personal (Reimbursement)"/>
    <s v="International merchant - Amex not accepted"/>
    <s v="Y"/>
    <s v="Meals"/>
    <s v="MATCH"/>
    <x v="2"/>
  </r>
  <r>
    <s v="EXP102783"/>
    <s v="E271"/>
    <s v="AX 430373957"/>
    <d v="2026-06-01T00:00:00"/>
    <d v="2026-06-02T00:00:00"/>
    <s v="AMC THEATRES 0021"/>
    <s v="7832"/>
    <s v="Entertainment"/>
    <n v="55.29"/>
    <s v="Corporate Amex"/>
    <m/>
    <s v="Y"/>
    <s v="Entertainment"/>
    <s v="MATCH"/>
    <x v="3"/>
  </r>
  <r>
    <s v="EXP102784"/>
    <s v="E140"/>
    <s v="AX402117848"/>
    <d v="2026-05-28T00:00:00"/>
    <d v="2026-06-02T00:00:00"/>
    <s v="STAPLES #0231"/>
    <s v="5943"/>
    <s v="Office Supplies"/>
    <n v="162.81"/>
    <s v="Corporate Amex"/>
    <m/>
    <s v="N"/>
    <s v="Office Supplies"/>
    <s v="MATCH"/>
    <x v="7"/>
  </r>
  <r>
    <s v="EXP102785"/>
    <s v="E269"/>
    <s v="AX427556363"/>
    <d v="2026-05-30T00:00:00"/>
    <d v="2026-06-02T00:00:00"/>
    <s v="REGION CATERING CO"/>
    <s v="5811"/>
    <s v="Events"/>
    <n v="166.04"/>
    <s v="Corporate Amex"/>
    <m/>
    <s v="Y"/>
    <s v="Events"/>
    <s v="MATCH"/>
    <x v="3"/>
  </r>
  <r>
    <s v="EXP102786"/>
    <s v="E257"/>
    <s v="AX230857196"/>
    <d v="2026-05-29T00:00:00"/>
    <d v="2026-06-02T00:00:00"/>
    <s v="SPROUT SOCIAL"/>
    <s v="5734"/>
    <s v="Software"/>
    <n v="243.8"/>
    <s v="Corporate Amex"/>
    <m/>
    <s v="Y"/>
    <s v="Software"/>
    <s v="MATCH"/>
    <x v="8"/>
  </r>
  <r>
    <s v="EXP102787"/>
    <s v="E112"/>
    <s v="AX236287424"/>
    <d v="2026-05-28T00:00:00"/>
    <d v="2026-06-02T00:00:00"/>
    <s v="TOPGOLF #442"/>
    <s v="7997"/>
    <s v="Entertainment"/>
    <n v="144.91999999999999"/>
    <s v="Corporate Amex"/>
    <m/>
    <s v="Y"/>
    <s v="Entertainment"/>
    <s v="MATCH"/>
    <x v="2"/>
  </r>
  <r>
    <s v="EXP102788"/>
    <s v="E207"/>
    <m/>
    <d v="2026-05-23T00:00:00"/>
    <d v="2026-06-02T00:00:00"/>
    <s v="ADOBE *CREATIVE CLOUD"/>
    <s v="5734"/>
    <s v="Software"/>
    <n v="86.41"/>
    <s v="Corporate Amex"/>
    <m/>
    <s v="Y"/>
    <s v="Software"/>
    <s v="MATCH"/>
    <x v="5"/>
  </r>
  <r>
    <s v="EXP102789"/>
    <s v="E010"/>
    <s v="ax820085220"/>
    <d v="2026-05-31T00:00:00"/>
    <d v="2026-06-02T00:00:00"/>
    <s v="SOUTHWEST AIR 5261823"/>
    <s v="4511"/>
    <s v="Travel"/>
    <n v="227.43"/>
    <s v="Corporate Amex"/>
    <m/>
    <s v="Y"/>
    <s v="Travel"/>
    <s v="MATCH"/>
    <x v="0"/>
  </r>
  <r>
    <s v="EXP102790"/>
    <s v="E031"/>
    <m/>
    <d v="2026-05-25T00:00:00"/>
    <d v="2026-06-02T00:00:00"/>
    <s v="TOTAL PARTY RENTAL"/>
    <s v="7999"/>
    <s v="Events"/>
    <n v="380.92"/>
    <s v="Personal (Reimbursement)"/>
    <s v="Forgot corporate card"/>
    <s v="Y"/>
    <s v="Events"/>
    <s v="MATCH"/>
    <x v="0"/>
  </r>
  <r>
    <s v="EXP102791"/>
    <s v="E077"/>
    <s v="AX 326112122"/>
    <d v="2026-05-24T00:00:00"/>
    <d v="2026-06-02T00:00:00"/>
    <s v="ZOOM.US"/>
    <s v="5734"/>
    <s v="Transportation"/>
    <n v="27.65"/>
    <s v="Corporate Amex"/>
    <m/>
    <s v="N"/>
    <s v="Software"/>
    <s v="MISMATCH"/>
    <x v="2"/>
  </r>
  <r>
    <s v="EXP102792"/>
    <s v="E226"/>
    <s v="ax436469761"/>
    <d v="2026-05-23T00:00:00"/>
    <d v="2026-06-02T00:00:00"/>
    <s v="BRANDWATCH LTD"/>
    <s v="5734"/>
    <s v="Software"/>
    <n v="449.87"/>
    <s v="Corporate Amex"/>
    <m/>
    <s v="Y"/>
    <s v="Software"/>
    <s v="MATCH"/>
    <x v="4"/>
  </r>
  <r>
    <s v="EXP102793"/>
    <s v="E256"/>
    <m/>
    <d v="2026-05-28T00:00:00"/>
    <d v="2026-06-02T00:00:00"/>
    <s v="AMC THEATRES 0021"/>
    <s v="7832"/>
    <s v="Entertainment"/>
    <n v="20.86"/>
    <s v="Corporate Amex"/>
    <m/>
    <s v="Y"/>
    <s v="Entertainment"/>
    <s v="MATCH"/>
    <x v="8"/>
  </r>
  <r>
    <s v="EXP102794"/>
    <s v="E101"/>
    <s v="AX409863567"/>
    <d v="2026-06-03T00:00:00"/>
    <d v="2026-06-03T00:00:00"/>
    <s v="DELTA AIR 00623891045"/>
    <s v="4511"/>
    <s v="Travel"/>
    <n v="632.87"/>
    <s v="Corporate Amex"/>
    <m/>
    <s v="Y"/>
    <s v="Travel"/>
    <s v="MATCH"/>
    <x v="2"/>
  </r>
  <r>
    <s v="EXP102795"/>
    <s v="E236"/>
    <m/>
    <d v="2026-06-01T00:00:00"/>
    <d v="2026-06-03T00:00:00"/>
    <s v="SQ *JOES COFFEE"/>
    <s v="5812"/>
    <s v="Events"/>
    <n v="18.93"/>
    <s v="Personal (Reimbursement)"/>
    <s v="Amex declined - vendor doesn't accept Amex"/>
    <s v="Y"/>
    <s v="Meals"/>
    <s v="MISMATCH"/>
    <x v="1"/>
  </r>
  <r>
    <s v="EXP102796"/>
    <s v="E049"/>
    <s v="AX449843494"/>
    <d v="2026-05-27T00:00:00"/>
    <d v="2026-06-03T00:00:00"/>
    <s v="UBER TRIP HELP.UBER"/>
    <s v="4121"/>
    <s v="Transportation"/>
    <n v="38.89"/>
    <s v="Corporate Amex"/>
    <m/>
    <s v="Y"/>
    <s v="Transportation"/>
    <s v="MATCH"/>
    <x v="0"/>
  </r>
  <r>
    <s v="EXP102797"/>
    <s v="E025"/>
    <m/>
    <d v="2026-06-03T00:00:00"/>
    <d v="2026-06-03T00:00:00"/>
    <s v="MICROSOFT*365"/>
    <s v="5734"/>
    <s v="Software"/>
    <n v="40.22"/>
    <s v="Personal (Reimbursement)"/>
    <s v="International merchant - Amex not accepted"/>
    <s v="Y"/>
    <s v="Software"/>
    <s v="MATCH"/>
    <x v="0"/>
  </r>
  <r>
    <s v="EXP102798"/>
    <s v="E129"/>
    <s v="AX932542934"/>
    <d v="2026-06-02T00:00:00"/>
    <d v="2026-06-03T00:00:00"/>
    <s v="AMC THEATRES 0021"/>
    <s v="7832"/>
    <s v="Entertainment"/>
    <n v="45.68"/>
    <s v="Corporate Amex"/>
    <m/>
    <s v="N"/>
    <s v="Entertainment"/>
    <s v="MATCH"/>
    <x v="7"/>
  </r>
  <r>
    <s v="EXP102799"/>
    <s v="E213"/>
    <s v="AX 849095300"/>
    <d v="2026-05-27T00:00:00"/>
    <d v="2026-06-03T00:00:00"/>
    <s v="SOUTHWEST AIR 5261823"/>
    <s v="4511"/>
    <s v="Travel"/>
    <n v="471.73"/>
    <s v="Corporate Amex"/>
    <m/>
    <s v="Y"/>
    <s v="Travel"/>
    <s v="MATCH"/>
    <x v="4"/>
  </r>
  <r>
    <s v="EXP102800"/>
    <s v="E251"/>
    <s v="AX235650581"/>
    <d v="2026-05-31T00:00:00"/>
    <d v="2026-06-03T00:00:00"/>
    <s v="SQ *THE CORNER BISTRO"/>
    <s v="5812"/>
    <s v="Meals"/>
    <n v="44.12"/>
    <s v="Corporate Amex"/>
    <m/>
    <s v="Y"/>
    <s v="Meals"/>
    <s v="MATCH"/>
    <x v="1"/>
  </r>
  <r>
    <s v="EXP102801"/>
    <s v="E030"/>
    <s v="ax876984782"/>
    <d v="2026-05-28T00:00:00"/>
    <d v="2026-06-03T00:00:00"/>
    <s v="UNITED AIRLINES 0162233"/>
    <s v="4511"/>
    <s v="Travel"/>
    <n v="676.82"/>
    <s v="Corporate Amex"/>
    <m/>
    <s v="Y"/>
    <s v="Travel"/>
    <s v="MATCH"/>
    <x v="0"/>
  </r>
  <r>
    <s v="EXP102802"/>
    <s v="E159"/>
    <s v="AX-806196063"/>
    <d v="2026-05-29T00:00:00"/>
    <d v="2026-06-03T00:00:00"/>
    <s v=" HOOTSUITE INC"/>
    <s v="5734"/>
    <m/>
    <n v="107.84"/>
    <s v="Corporate Amex"/>
    <m/>
    <s v="Y"/>
    <s v="Software"/>
    <s v="BLANK"/>
    <x v="6"/>
  </r>
  <r>
    <s v="EXP102803"/>
    <s v="E002"/>
    <s v="ax887734108"/>
    <d v="2026-05-31T00:00:00"/>
    <d v="2026-06-03T00:00:00"/>
    <s v="CHIPOTLE 2214"/>
    <s v="5812"/>
    <s v="Meals"/>
    <n v="15.22"/>
    <s v="Corporate Amex"/>
    <m/>
    <s v="Y"/>
    <s v="Meals"/>
    <s v="MATCH"/>
    <x v="0"/>
  </r>
  <r>
    <s v="EXP102804"/>
    <s v="E002"/>
    <s v="ax811901202"/>
    <d v="2026-06-02T00:00:00"/>
    <d v="2026-06-03T00:00:00"/>
    <s v="STARBUCKS #4471"/>
    <s v="5812"/>
    <s v="Meals"/>
    <n v="12.32"/>
    <s v="Corporate Amex"/>
    <m/>
    <s v="N"/>
    <s v="Meals"/>
    <s v="MATCH"/>
    <x v="0"/>
  </r>
  <r>
    <s v="EXP102805"/>
    <s v="E039"/>
    <s v="AX 596713700"/>
    <d v="2026-05-27T00:00:00"/>
    <d v="2026-06-03T00:00:00"/>
    <s v="EVENTBRITE"/>
    <s v="7999"/>
    <s v="Events"/>
    <n v="111.28"/>
    <s v="Corporate Amex"/>
    <m/>
    <s v="Y"/>
    <s v="Events"/>
    <s v="MATCH"/>
    <x v="0"/>
  </r>
  <r>
    <s v="EXP102806"/>
    <s v="E035"/>
    <s v="AX240222131"/>
    <d v="2026-06-03T00:00:00"/>
    <d v="2026-06-03T00:00:00"/>
    <s v="LYFT RIDE THU"/>
    <s v="4121"/>
    <s v="Transportation"/>
    <n v="12.83"/>
    <s v="Corporate Amex"/>
    <m/>
    <s v="Y"/>
    <s v="Transportation"/>
    <s v="MATCH"/>
    <x v="0"/>
  </r>
  <r>
    <s v="EXP102807"/>
    <s v="E068"/>
    <s v="AX670391831"/>
    <d v="2026-05-27T00:00:00"/>
    <d v="2026-06-03T00:00:00"/>
    <s v="SOUTHWEST AIR 5261823"/>
    <s v="4511"/>
    <s v="Travel"/>
    <n v="253.51"/>
    <s v="Corporate Amex"/>
    <m/>
    <s v="Y"/>
    <s v="Travel"/>
    <s v="MATCH"/>
    <x v="0"/>
  </r>
  <r>
    <s v="EXP102808"/>
    <s v="E149"/>
    <s v="AX296364101"/>
    <d v="2026-05-30T00:00:00"/>
    <d v="2026-06-03T00:00:00"/>
    <s v="SQ *THE CORNER BISTRO"/>
    <s v="5812"/>
    <s v="Meals"/>
    <n v="59.24"/>
    <s v="Corporate Amex"/>
    <m/>
    <s v="Y"/>
    <s v="Meals"/>
    <s v="MATCH"/>
    <x v="7"/>
  </r>
  <r>
    <s v="EXP102809"/>
    <s v="E148"/>
    <s v="AX585184324"/>
    <d v="2026-06-02T00:00:00"/>
    <d v="2026-06-03T00:00:00"/>
    <s v="HOOTSUITE INC"/>
    <s v="5734"/>
    <s v="Software"/>
    <n v="243"/>
    <s v="Corporate Amex"/>
    <m/>
    <s v="N"/>
    <s v="Software"/>
    <s v="MATCH"/>
    <x v="7"/>
  </r>
  <r>
    <s v="EXP102810"/>
    <s v="E015"/>
    <m/>
    <d v="2026-05-29T00:00:00"/>
    <d v="2026-06-03T00:00:00"/>
    <s v="ADOBE *CREATIVE CLOUD"/>
    <s v="5734"/>
    <s v="Software"/>
    <n v="42.3"/>
    <s v="Corporate Amex"/>
    <m/>
    <s v="N"/>
    <s v="Software"/>
    <s v="MATCH"/>
    <x v="0"/>
  </r>
  <r>
    <s v="EXP102811"/>
    <s v="E195"/>
    <m/>
    <d v="2026-05-27T00:00:00"/>
    <d v="2026-06-03T00:00:00"/>
    <s v="ZOOM.US"/>
    <s v="5734"/>
    <s v="Software"/>
    <n v="36.22"/>
    <s v="Personal (Reimbursement)"/>
    <s v="International merchant - Amex not accepted"/>
    <s v="Y"/>
    <s v="Software"/>
    <s v="MATCH"/>
    <x v="5"/>
  </r>
  <r>
    <s v="EXP102812"/>
    <s v="E054"/>
    <s v="AX 262871424"/>
    <d v="2026-05-25T00:00:00"/>
    <d v="2026-06-03T00:00:00"/>
    <s v="AMC THEATRES 0021"/>
    <s v="7832"/>
    <s v="Entertainment"/>
    <n v="36.99"/>
    <s v="Corporate Amex"/>
    <m/>
    <s v="N"/>
    <s v="Entertainment"/>
    <s v="MATCH"/>
    <x v="0"/>
  </r>
  <r>
    <s v="EXP102813"/>
    <s v="E057"/>
    <s v="AX-478581558"/>
    <d v="2026-06-03T00:00:00"/>
    <d v="2026-06-03T00:00:00"/>
    <s v="BRANDWATCH LTD"/>
    <s v="5734"/>
    <s v="Software"/>
    <n v="154.38"/>
    <s v="Corporate Amex"/>
    <m/>
    <s v="Y"/>
    <s v="Software"/>
    <s v="MATCH"/>
    <x v="0"/>
  </r>
  <r>
    <s v="EXP102814"/>
    <s v="E260"/>
    <s v="ax993930862"/>
    <d v="2026-05-26T00:00:00"/>
    <d v="2026-06-03T00:00:00"/>
    <s v="PANERA BREAD #0231"/>
    <s v="5812"/>
    <s v="Meals"/>
    <n v="18.79"/>
    <s v="Corporate Amex"/>
    <m/>
    <s v="Y"/>
    <s v="Meals"/>
    <s v="MATCH"/>
    <x v="8"/>
  </r>
  <r>
    <s v="EXP102815"/>
    <s v="E098"/>
    <m/>
    <d v="2026-05-26T00:00:00"/>
    <d v="2026-06-04T00:00:00"/>
    <s v="HYATT REGENCY BOS"/>
    <s v="7011"/>
    <s v="Lodging"/>
    <n v="325.86"/>
    <s v="Personal (Reimbursement)"/>
    <s v="International merchant - Amex not accepted"/>
    <s v="Y"/>
    <s v="Lodging"/>
    <s v="MATCH"/>
    <x v="2"/>
  </r>
  <r>
    <s v="EXP102816"/>
    <s v="E003"/>
    <s v="AX486372507"/>
    <d v="2026-06-03T00:00:00"/>
    <d v="2026-06-04T00:00:00"/>
    <s v="OLIVE GARDEN 00456"/>
    <s v="5812"/>
    <s v="Meals"/>
    <n v="25.12"/>
    <s v="Corporate Amex"/>
    <m/>
    <s v="Y"/>
    <s v="Meals"/>
    <s v="MATCH"/>
    <x v="0"/>
  </r>
  <r>
    <s v="EXP102817"/>
    <s v="E070"/>
    <m/>
    <d v="2026-06-04T00:00:00"/>
    <d v="2026-06-04T00:00:00"/>
    <s v="UBER TRIP HELP.UBER"/>
    <s v="4121"/>
    <s v="Transportation"/>
    <n v="9.83"/>
    <s v="Personal (Reimbursement)"/>
    <s v="Forgot corporate card"/>
    <s v="Y"/>
    <s v="Transportation"/>
    <s v="MATCH"/>
    <x v="0"/>
  </r>
  <r>
    <s v="EXP102818"/>
    <s v="E048"/>
    <m/>
    <d v="2026-05-26T00:00:00"/>
    <d v="2026-06-04T00:00:00"/>
    <s v="ADOBE *CREATIVE CLOUD"/>
    <s v="5734"/>
    <s v="Software"/>
    <n v="77.64"/>
    <s v="Corporate Amex"/>
    <m/>
    <s v="Y"/>
    <s v="Software"/>
    <s v="MATCH"/>
    <x v="0"/>
  </r>
  <r>
    <s v="EXP102819"/>
    <s v="E195"/>
    <s v="ax121345312"/>
    <d v="2026-05-31T00:00:00"/>
    <d v="2026-06-04T00:00:00"/>
    <s v="UBER TRIP HELP.UBER"/>
    <s v="4121"/>
    <s v="Transportation"/>
    <n v="64.23"/>
    <s v="Corporate Amex"/>
    <m/>
    <s v="Y"/>
    <s v="Transportation"/>
    <s v="MATCH"/>
    <x v="5"/>
  </r>
  <r>
    <s v="EXP102820"/>
    <s v="E129"/>
    <s v="AX473573248"/>
    <d v="2026-05-29T00:00:00"/>
    <d v="2026-06-04T00:00:00"/>
    <s v="YELLOW CAB CO"/>
    <s v="4121"/>
    <s v="Transportation"/>
    <n v="15.09"/>
    <s v="Corporate Amex"/>
    <m/>
    <s v="N"/>
    <s v="Transportation"/>
    <s v="MATCH"/>
    <x v="7"/>
  </r>
  <r>
    <s v="EXP102821"/>
    <s v="E143"/>
    <s v="ax540090193"/>
    <d v="2026-05-26T00:00:00"/>
    <d v="2026-06-04T00:00:00"/>
    <s v="TOPGOLF #442"/>
    <s v="7997"/>
    <s v="Entertainment"/>
    <n v="168.54"/>
    <s v="Corporate Amex"/>
    <m/>
    <s v="Y"/>
    <s v="Entertainment"/>
    <s v="MATCH"/>
    <x v="7"/>
  </r>
  <r>
    <s v="EXP102822"/>
    <s v="E067"/>
    <s v="AX737760661"/>
    <d v="2026-06-04T00:00:00"/>
    <d v="2026-06-04T00:00:00"/>
    <s v="ZOOM.US"/>
    <s v="5734"/>
    <s v="Software"/>
    <n v="52.86"/>
    <s v="Corporate Amex"/>
    <m/>
    <s v="Y"/>
    <s v="Software"/>
    <s v="MATCH"/>
    <x v="0"/>
  </r>
  <r>
    <s v="EXP102823"/>
    <s v="E067"/>
    <s v="ax345079593"/>
    <d v="2026-05-30T00:00:00"/>
    <d v="2026-06-04T00:00:00"/>
    <s v="SOUTHWEST AIR 5261823"/>
    <s v="4511"/>
    <s v="Travel"/>
    <n v="355.13"/>
    <s v="Corporate Amex"/>
    <m/>
    <s v="Y"/>
    <s v="Travel"/>
    <s v="MATCH"/>
    <x v="0"/>
  </r>
  <r>
    <s v="EXP102824"/>
    <s v="E034"/>
    <s v="AX121781069"/>
    <d v="2026-05-28T00:00:00"/>
    <d v="2026-06-04T00:00:00"/>
    <s v="REGION CATERING CO"/>
    <s v="5811"/>
    <s v="Events"/>
    <n v="442.42"/>
    <s v="Corporate Amex"/>
    <m/>
    <s v="Y"/>
    <s v="Events"/>
    <s v="MATCH"/>
    <x v="0"/>
  </r>
  <r>
    <s v="EXP102825"/>
    <s v="E260"/>
    <s v="AX875915847"/>
    <d v="2026-05-26T00:00:00"/>
    <d v="2026-06-04T00:00:00"/>
    <s v="DELTA AIR 00623891045"/>
    <s v="4511"/>
    <s v="Travel"/>
    <n v="388.75"/>
    <s v="Corporate Amex"/>
    <m/>
    <s v="Y"/>
    <s v="Travel"/>
    <s v="MATCH"/>
    <x v="8"/>
  </r>
  <r>
    <s v="EXP102826"/>
    <s v="E069"/>
    <s v="AX-255388445"/>
    <d v="2026-05-30T00:00:00"/>
    <d v="2026-06-04T00:00:00"/>
    <s v="DELTA AIR 00623891045"/>
    <s v="4511"/>
    <s v="Travel"/>
    <n v="369.31"/>
    <s v="Corporate Amex"/>
    <m/>
    <s v="Y"/>
    <s v="Travel"/>
    <s v="MATCH"/>
    <x v="0"/>
  </r>
  <r>
    <s v="EXP102827"/>
    <s v="E052"/>
    <m/>
    <d v="2026-06-03T00:00:00"/>
    <d v="2026-06-04T00:00:00"/>
    <s v="ZOOM.US"/>
    <s v="5734"/>
    <s v="Software"/>
    <n v="48.93"/>
    <s v="Corporate Amex"/>
    <m/>
    <s v="Y"/>
    <s v="Software"/>
    <s v="MATCH"/>
    <x v="0"/>
  </r>
  <r>
    <s v="EXP102828"/>
    <s v="E173"/>
    <s v="AX-588947631"/>
    <d v="2026-05-26T00:00:00"/>
    <d v="2026-06-05T00:00:00"/>
    <s v="STARBUCKS #4471"/>
    <s v="5812"/>
    <s v="Meals"/>
    <n v="8.5500000000000007"/>
    <s v="Corporate Amex"/>
    <m/>
    <s v="Y"/>
    <s v="Meals"/>
    <s v="MATCH"/>
    <x v="6"/>
  </r>
  <r>
    <s v="EXP102829"/>
    <s v="E066"/>
    <s v="AX484964933"/>
    <d v="2026-06-02T00:00:00"/>
    <d v="2026-06-05T00:00:00"/>
    <s v="MARRIOTT #4471"/>
    <s v="7011"/>
    <s v="Lodging"/>
    <n v="255.22"/>
    <s v="Corporate Amex"/>
    <m/>
    <s v="Y"/>
    <s v="Lodging"/>
    <s v="MATCH"/>
    <x v="0"/>
  </r>
  <r>
    <s v="EXP102830"/>
    <s v="E119"/>
    <s v="AX555991949"/>
    <d v="2026-05-28T00:00:00"/>
    <d v="2026-06-05T00:00:00"/>
    <s v="UBER TRIP HELP.UBER"/>
    <s v="4121"/>
    <s v="Transportation"/>
    <n v="46.49"/>
    <s v="Corporate Amex"/>
    <m/>
    <s v="Y"/>
    <s v="Transportation"/>
    <s v="MATCH"/>
    <x v="7"/>
  </r>
  <r>
    <s v="EXP102831"/>
    <s v="E001"/>
    <s v="AX678348630"/>
    <d v="2026-06-03T00:00:00"/>
    <d v="2026-06-05T00:00:00"/>
    <s v="CHIPOTLE 2214"/>
    <s v="5812"/>
    <s v="Meals"/>
    <n v="18.88"/>
    <s v="Corporate Amex"/>
    <m/>
    <s v="Y"/>
    <s v="Meals"/>
    <s v="MATCH"/>
    <x v="0"/>
  </r>
  <r>
    <s v="EXP102832"/>
    <s v="E199"/>
    <s v="AX414740251"/>
    <d v="2026-06-03T00:00:00"/>
    <d v="2026-06-05T00:00:00"/>
    <s v="HILTON GARDEN INN 2231"/>
    <s v="7011"/>
    <s v="Lodging"/>
    <n v="252.57"/>
    <s v="Corporate Amex"/>
    <m/>
    <s v="Y"/>
    <s v="Lodging"/>
    <s v="MATCH"/>
    <x v="5"/>
  </r>
  <r>
    <s v="EXP102833"/>
    <s v="E024"/>
    <m/>
    <d v="2026-05-27T00:00:00"/>
    <d v="2026-06-05T00:00:00"/>
    <s v="EVENTBRITE"/>
    <s v="7999"/>
    <s v="Events"/>
    <n v="78.77"/>
    <s v="Corporate Amex"/>
    <m/>
    <s v="Y"/>
    <s v="Events"/>
    <s v="MATCH"/>
    <x v="0"/>
  </r>
  <r>
    <s v="EXP102834"/>
    <s v="E006"/>
    <m/>
    <d v="2026-06-03T00:00:00"/>
    <d v="2026-06-05T00:00:00"/>
    <s v="SQ *JOES COFFEE"/>
    <s v="5812"/>
    <s v="Meals"/>
    <n v="16.329999999999998"/>
    <s v="Corporate Amex"/>
    <m/>
    <s v="Y"/>
    <s v="Meals"/>
    <s v="MATCH"/>
    <x v="0"/>
  </r>
  <r>
    <s v="EXP102835"/>
    <s v="E150"/>
    <s v="AX912521834"/>
    <d v="2026-05-29T00:00:00"/>
    <d v="2026-06-05T00:00:00"/>
    <s v="HYATT REGENCY BOS"/>
    <s v="7011"/>
    <s v="Lodging"/>
    <n v="279.37"/>
    <s v="Corporate Amex"/>
    <m/>
    <s v="Y"/>
    <s v="Lodging"/>
    <s v="MATCH"/>
    <x v="7"/>
  </r>
  <r>
    <s v="EXP102836"/>
    <s v="E254"/>
    <s v="AX-222867613"/>
    <d v="2026-06-04T00:00:00"/>
    <d v="2026-06-05T00:00:00"/>
    <s v="UBER TRIP HELP.UBER"/>
    <s v="4121"/>
    <s v="Transportation"/>
    <n v="40.97"/>
    <s v="Corporate Amex"/>
    <m/>
    <s v="Y"/>
    <s v="Transportation"/>
    <s v="MATCH"/>
    <x v="8"/>
  </r>
  <r>
    <s v="EXP102837"/>
    <s v="E141"/>
    <m/>
    <d v="2026-06-02T00:00:00"/>
    <d v="2026-06-05T00:00:00"/>
    <s v="SQ *JOES COFFEE"/>
    <s v="5812"/>
    <s v="Meals"/>
    <n v="10.95"/>
    <s v="Corporate Amex"/>
    <m/>
    <s v="Y"/>
    <s v="Meals"/>
    <s v="MATCH"/>
    <x v="7"/>
  </r>
  <r>
    <s v="EXP102838"/>
    <s v="E057"/>
    <s v="AX-522805075"/>
    <d v="2026-05-27T00:00:00"/>
    <d v="2026-06-05T00:00:00"/>
    <s v=" AMAZON MKTPLACE PMTS"/>
    <s v="5942"/>
    <s v="Office Supplies"/>
    <n v="387.29"/>
    <s v="Corporate Amex"/>
    <m/>
    <s v="Y"/>
    <s v="Office Supplies"/>
    <s v="MATCH"/>
    <x v="0"/>
  </r>
  <r>
    <s v="EXP102839"/>
    <s v="E127"/>
    <s v="AX-783632287"/>
    <d v="2026-06-04T00:00:00"/>
    <d v="2026-06-05T00:00:00"/>
    <s v="MICROSOFT*365"/>
    <s v="5734"/>
    <s v="Software"/>
    <n v="41.59"/>
    <s v="Corporate Amex"/>
    <m/>
    <s v="Y"/>
    <s v="Software"/>
    <s v="MATCH"/>
    <x v="7"/>
  </r>
  <r>
    <s v="EXP102840"/>
    <s v="E044"/>
    <s v="AX545906488"/>
    <d v="2026-06-02T00:00:00"/>
    <d v="2026-06-05T00:00:00"/>
    <s v="EVENTBRITE"/>
    <s v="7999"/>
    <s v="Events"/>
    <n v="267.14999999999998"/>
    <s v="Corporate Amex"/>
    <m/>
    <s v="Y"/>
    <s v="Events"/>
    <s v="MATCH"/>
    <x v="0"/>
  </r>
  <r>
    <s v="EXP102841"/>
    <s v="E120"/>
    <s v="AX 880870437"/>
    <d v="2026-06-01T00:00:00"/>
    <d v="2026-06-06T00:00:00"/>
    <s v="REGION CATERING CO"/>
    <s v="5811"/>
    <s v="Events"/>
    <n v="156.44999999999999"/>
    <s v="Corporate Amex"/>
    <m/>
    <s v="Y"/>
    <s v="Events"/>
    <s v="MATCH"/>
    <x v="7"/>
  </r>
  <r>
    <s v="EXP102842"/>
    <s v="E009"/>
    <s v="AX389140696"/>
    <d v="2026-06-01T00:00:00"/>
    <d v="2026-06-06T00:00:00"/>
    <s v="CHIPOTLE 2214"/>
    <s v="5812"/>
    <s v="Meals"/>
    <n v="14.83"/>
    <s v="Corporate Amex"/>
    <m/>
    <s v="Y"/>
    <s v="Meals"/>
    <s v="MATCH"/>
    <x v="0"/>
  </r>
  <r>
    <s v="EXP102843"/>
    <s v="E044"/>
    <s v="AX863155533"/>
    <d v="2026-06-05T00:00:00"/>
    <d v="2026-06-06T00:00:00"/>
    <s v="SQ *JOES COFFEE"/>
    <s v="5812"/>
    <s v="Meals"/>
    <n v="15.78"/>
    <s v="Corporate Amex"/>
    <m/>
    <s v="Y"/>
    <s v="Meals"/>
    <s v="MATCH"/>
    <x v="0"/>
  </r>
  <r>
    <s v="EXP102844"/>
    <s v="E053"/>
    <s v="AX689195730"/>
    <d v="2026-05-30T00:00:00"/>
    <d v="2026-06-06T00:00:00"/>
    <s v="TOPGOLF #442"/>
    <s v="7997"/>
    <m/>
    <n v="145.71"/>
    <s v="Corporate Amex"/>
    <m/>
    <s v="Y"/>
    <s v="Entertainment"/>
    <s v="BLANK"/>
    <x v="0"/>
  </r>
  <r>
    <s v="EXP102846"/>
    <s v="E256"/>
    <s v="AX477831366"/>
    <d v="2026-05-30T00:00:00"/>
    <d v="2026-06-06T00:00:00"/>
    <s v="STAPLES #0231"/>
    <s v="5943"/>
    <s v="Office Supplies"/>
    <n v="41.86"/>
    <s v="Corporate Amex"/>
    <m/>
    <s v="Y"/>
    <s v="Office Supplies"/>
    <s v="MATCH"/>
    <x v="8"/>
  </r>
  <r>
    <s v="EXP102847"/>
    <s v="E006"/>
    <s v="AX770594578"/>
    <d v="2026-06-04T00:00:00"/>
    <d v="2026-06-06T00:00:00"/>
    <s v=" YELLOW CAB CO"/>
    <s v="4121"/>
    <s v="Transportation"/>
    <n v="49.94"/>
    <s v="Corporate Amex"/>
    <m/>
    <s v="Y"/>
    <s v="Transportation"/>
    <s v="MATCH"/>
    <x v="0"/>
  </r>
  <r>
    <s v="EXP102848"/>
    <s v="E094"/>
    <m/>
    <d v="2026-05-31T00:00:00"/>
    <d v="2026-06-06T00:00:00"/>
    <s v="HOOTSUITE INC"/>
    <s v="5734"/>
    <s v="Other"/>
    <n v="118.59"/>
    <s v="Corporate Amex"/>
    <m/>
    <s v="Y"/>
    <s v="Software"/>
    <s v="MISMATCH"/>
    <x v="2"/>
  </r>
  <r>
    <s v="EXP102849"/>
    <s v="E005"/>
    <s v="AX127010582"/>
    <d v="2026-05-28T00:00:00"/>
    <d v="2026-06-06T00:00:00"/>
    <s v="HOOTSUITE INC"/>
    <s v="5734"/>
    <m/>
    <n v="112.19"/>
    <s v="Corporate Amex"/>
    <m/>
    <s v="Y"/>
    <s v="Software"/>
    <s v="BLANK"/>
    <x v="0"/>
  </r>
  <r>
    <s v="EXP102850"/>
    <s v="E210"/>
    <s v="ax410235030"/>
    <d v="2026-06-03T00:00:00"/>
    <d v="2026-06-06T00:00:00"/>
    <s v="SQ *JOES COFFEE"/>
    <s v="5812"/>
    <s v="Meals"/>
    <n v="12.37"/>
    <s v="Corporate Amex"/>
    <m/>
    <s v="Y"/>
    <s v="Meals"/>
    <s v="MATCH"/>
    <x v="4"/>
  </r>
  <r>
    <s v="EXP102851"/>
    <s v="E080"/>
    <s v="AX-400562398"/>
    <d v="2026-05-29T00:00:00"/>
    <d v="2026-06-06T00:00:00"/>
    <s v="OLIVE GARDEN 00456"/>
    <s v="5812"/>
    <s v="Meals"/>
    <n v="131.57"/>
    <s v="Corporate Amex"/>
    <m/>
    <s v="Y"/>
    <s v="Meals"/>
    <s v="MATCH"/>
    <x v="2"/>
  </r>
  <r>
    <s v="EXP102852"/>
    <s v="E058"/>
    <s v="AX788778322"/>
    <d v="2026-06-02T00:00:00"/>
    <d v="2026-06-06T00:00:00"/>
    <s v="DELTA AIR 00623891045"/>
    <s v="4511"/>
    <s v="Travel"/>
    <n v="287.70999999999998"/>
    <s v="Corporate Amex"/>
    <m/>
    <s v="Y"/>
    <s v="Travel"/>
    <s v="MATCH"/>
    <x v="0"/>
  </r>
  <r>
    <s v="EXP102853"/>
    <s v="E058"/>
    <s v="ax791166948"/>
    <d v="2026-06-04T00:00:00"/>
    <d v="2026-06-06T00:00:00"/>
    <s v="SQ *JOES COFFEE"/>
    <s v="5812"/>
    <s v="Meals"/>
    <n v="17.47"/>
    <s v="Corporate Amex"/>
    <m/>
    <s v="Y"/>
    <s v="Meals"/>
    <s v="MATCH"/>
    <x v="0"/>
  </r>
  <r>
    <s v="EXP102854"/>
    <s v="E149"/>
    <s v="AX665839952"/>
    <d v="2026-06-02T00:00:00"/>
    <d v="2026-06-06T00:00:00"/>
    <s v="ZOOM.US"/>
    <s v="5734"/>
    <s v="Software"/>
    <n v="15.3"/>
    <s v="Corporate Amex"/>
    <m/>
    <s v="Y"/>
    <s v="Software"/>
    <s v="MATCH"/>
    <x v="7"/>
  </r>
  <r>
    <s v="EXP102855"/>
    <s v="E012"/>
    <s v="AX599149975"/>
    <d v="2026-06-02T00:00:00"/>
    <d v="2026-06-06T00:00:00"/>
    <s v="HOOTSUITE INC"/>
    <s v="5734"/>
    <s v="Software"/>
    <n v="192.54"/>
    <s v="Corporate Amex"/>
    <m/>
    <s v="Y"/>
    <s v="Software"/>
    <s v="MATCH"/>
    <x v="0"/>
  </r>
  <r>
    <s v="EXP102856"/>
    <s v="E054"/>
    <s v="AX-919551176"/>
    <d v="2026-06-04T00:00:00"/>
    <d v="2026-06-06T00:00:00"/>
    <s v="AMC THEATRES 0021"/>
    <s v="7832"/>
    <m/>
    <n v="48.78"/>
    <s v="Corporate Amex"/>
    <m/>
    <s v="Y"/>
    <s v="Entertainment"/>
    <s v="BLANK"/>
    <x v="0"/>
  </r>
  <r>
    <s v="EXP102857"/>
    <s v="E039"/>
    <s v="ax821093048"/>
    <d v="2026-05-30T00:00:00"/>
    <d v="2026-06-06T00:00:00"/>
    <s v="REGION CATERING CO"/>
    <s v="5811"/>
    <s v="Events"/>
    <n v="549.64"/>
    <s v="Corporate Amex"/>
    <m/>
    <s v="Y"/>
    <s v="Events"/>
    <s v="MATCH"/>
    <x v="0"/>
  </r>
  <r>
    <s v="EXP102858"/>
    <s v="E121"/>
    <s v="AX-497878954"/>
    <d v="2026-06-05T00:00:00"/>
    <d v="2026-06-06T00:00:00"/>
    <s v="ZOOM.US"/>
    <s v="5734"/>
    <s v="Software"/>
    <n v="43.96"/>
    <s v="Corporate Amex"/>
    <m/>
    <s v="Y"/>
    <s v="Software"/>
    <s v="MATCH"/>
    <x v="7"/>
  </r>
  <r>
    <s v="EXP102859"/>
    <s v="E017"/>
    <s v="AX421428978"/>
    <d v="2026-06-03T00:00:00"/>
    <d v="2026-06-06T00:00:00"/>
    <s v="REGION CATERING CO"/>
    <s v="5811"/>
    <s v="Events"/>
    <n v="98.58"/>
    <s v="Corporate Amex"/>
    <m/>
    <s v="Y"/>
    <s v="Events"/>
    <s v="MATCH"/>
    <x v="0"/>
  </r>
  <r>
    <s v="EXP102860"/>
    <s v="E043"/>
    <m/>
    <d v="2026-05-29T00:00:00"/>
    <d v="2026-06-07T00:00:00"/>
    <s v="SQ *JOES COFFEE"/>
    <s v="5812"/>
    <s v="Meals"/>
    <n v="9.2200000000000006"/>
    <s v="Personal (Reimbursement)"/>
    <s v="Forgot corporate card"/>
    <s v="Y"/>
    <s v="Meals"/>
    <s v="MATCH"/>
    <x v="0"/>
  </r>
  <r>
    <s v="EXP102861"/>
    <s v="E057"/>
    <s v="ax103345970"/>
    <d v="2026-06-04T00:00:00"/>
    <d v="2026-06-07T00:00:00"/>
    <s v="SOUTHWEST AIR 5261823"/>
    <s v="4511"/>
    <s v="Travel"/>
    <n v="125.06"/>
    <s v="Corporate Amex"/>
    <m/>
    <s v="Y"/>
    <s v="Travel"/>
    <s v="MATCH"/>
    <x v="0"/>
  </r>
  <r>
    <s v="EXP102862"/>
    <s v="E117"/>
    <s v="ax144234252"/>
    <d v="2026-06-07T00:00:00"/>
    <d v="2026-06-07T00:00:00"/>
    <s v="HOOTSUITE INC"/>
    <s v="5734"/>
    <s v="Software"/>
    <n v="179.13"/>
    <s v="Corporate Amex"/>
    <m/>
    <s v="Y"/>
    <s v="Software"/>
    <s v="MATCH"/>
    <x v="7"/>
  </r>
  <r>
    <s v="EXP102863"/>
    <s v="E055"/>
    <s v="AX496466542"/>
    <d v="2026-06-01T00:00:00"/>
    <d v="2026-06-07T00:00:00"/>
    <s v="UNITED AIRLINES 0162233"/>
    <s v="4511"/>
    <s v="Travel"/>
    <n v="650.72"/>
    <s v="Corporate Amex"/>
    <m/>
    <s v="Y"/>
    <s v="Travel"/>
    <s v="MATCH"/>
    <x v="0"/>
  </r>
  <r>
    <s v="EXP102864"/>
    <s v="E192"/>
    <s v="AX502714660"/>
    <d v="2026-05-30T00:00:00"/>
    <d v="2026-06-07T00:00:00"/>
    <s v="AMC THEATRES 0021"/>
    <s v="7832"/>
    <s v="Entertainment"/>
    <n v="33.04"/>
    <s v="Corporate Amex"/>
    <m/>
    <s v="Y"/>
    <s v="Entertainment"/>
    <s v="MATCH"/>
    <x v="5"/>
  </r>
  <r>
    <s v="EXP102865"/>
    <s v="E064"/>
    <m/>
    <d v="2026-06-06T00:00:00"/>
    <d v="2026-06-07T00:00:00"/>
    <s v="TOTAL PARTY RENTAL"/>
    <s v="7999"/>
    <s v="Events"/>
    <n v="529.01"/>
    <s v="Corporate Amex"/>
    <m/>
    <s v="Y"/>
    <s v="Events"/>
    <s v="MATCH"/>
    <x v="0"/>
  </r>
  <r>
    <s v="EXP102866"/>
    <s v="E066"/>
    <s v="AX353363786"/>
    <d v="2026-05-28T00:00:00"/>
    <d v="2026-06-07T00:00:00"/>
    <s v="TOTAL PARTY RENTAL"/>
    <s v="7999"/>
    <s v="  Events "/>
    <n v="71.83"/>
    <s v="Corporate Amex"/>
    <m/>
    <s v="Y"/>
    <s v="Events"/>
    <s v="MATCH"/>
    <x v="0"/>
  </r>
  <r>
    <s v="EXP102867"/>
    <s v="E052"/>
    <m/>
    <d v="2026-06-02T00:00:00"/>
    <d v="2026-06-07T00:00:00"/>
    <s v="BRANDWATCH LTD"/>
    <s v="5734"/>
    <s v="Software"/>
    <n v="557.51"/>
    <s v="Corporate Amex"/>
    <m/>
    <s v="Y"/>
    <s v="Software"/>
    <s v="MATCH"/>
    <x v="0"/>
  </r>
  <r>
    <s v="EXP102868"/>
    <s v="E157"/>
    <s v="ax935892352"/>
    <d v="2026-06-04T00:00:00"/>
    <d v="2026-06-07T00:00:00"/>
    <s v="CHIPOTLE 2214"/>
    <s v="5812"/>
    <s v="Meals"/>
    <n v="10.98"/>
    <s v="Corporate Amex"/>
    <m/>
    <s v="Y"/>
    <s v="Meals"/>
    <s v="MATCH"/>
    <x v="6"/>
  </r>
  <r>
    <s v="EXP102869"/>
    <s v="E100"/>
    <s v="AX-851584721"/>
    <d v="2026-05-29T00:00:00"/>
    <d v="2026-06-07T00:00:00"/>
    <s v="HOOTSUITE INC"/>
    <s v="5734"/>
    <s v="Software"/>
    <n v="52.25"/>
    <s v="Corporate Amex"/>
    <m/>
    <s v="Y"/>
    <s v="Software"/>
    <s v="MATCH"/>
    <x v="2"/>
  </r>
  <r>
    <s v="EXP102870"/>
    <s v="E257"/>
    <s v="ax296931123"/>
    <d v="2026-06-07T00:00:00"/>
    <d v="2026-06-07T00:00:00"/>
    <s v="BRANDWATCH LTD"/>
    <s v="5734"/>
    <s v="Software"/>
    <n v="527.64"/>
    <s v="Corporate Amex"/>
    <m/>
    <s v="Y"/>
    <s v="Software"/>
    <s v="MATCH"/>
    <x v="8"/>
  </r>
  <r>
    <s v="EXP102871"/>
    <s v="E051"/>
    <s v="AX-314605531"/>
    <d v="2026-06-01T00:00:00"/>
    <d v="2026-06-07T00:00:00"/>
    <s v="SOUTHWEST AIR 5261823"/>
    <s v="4511"/>
    <s v="Travel"/>
    <n v="134.88"/>
    <s v="Corporate Amex"/>
    <m/>
    <s v="Y"/>
    <s v="Travel"/>
    <s v="MATCH"/>
    <x v="0"/>
  </r>
  <r>
    <s v="EXP102872"/>
    <s v="E102"/>
    <s v="AX339920617"/>
    <d v="2026-05-30T00:00:00"/>
    <d v="2026-06-07T00:00:00"/>
    <s v="STARBUCKS #4471"/>
    <s v="5812"/>
    <s v="Meals"/>
    <n v="8.68"/>
    <s v="Corporate Amex"/>
    <m/>
    <s v="Y"/>
    <s v="Meals"/>
    <s v="MATCH"/>
    <x v="2"/>
  </r>
  <r>
    <s v="EXP102873"/>
    <s v="E014"/>
    <m/>
    <d v="2026-06-02T00:00:00"/>
    <d v="2026-06-07T00:00:00"/>
    <s v="CHIPOTLE 2214"/>
    <s v="5812"/>
    <s v="Meals"/>
    <n v="13.34"/>
    <s v="Personal (Reimbursement)"/>
    <s v="Forgot corporate card"/>
    <s v="Y"/>
    <s v="Meals"/>
    <s v="MATCH"/>
    <x v="0"/>
  </r>
  <r>
    <s v="EXP102874"/>
    <s v="E048"/>
    <s v="AX602290474"/>
    <d v="2026-06-05T00:00:00"/>
    <d v="2026-06-08T00:00:00"/>
    <s v="PANERA BREAD #0231"/>
    <s v="5812"/>
    <s v="Meals"/>
    <n v="24.52"/>
    <s v="Corporate Amex"/>
    <m/>
    <s v="Y"/>
    <s v="Meals"/>
    <s v="MATCH"/>
    <x v="0"/>
  </r>
  <r>
    <s v="EXP102875"/>
    <s v="E015"/>
    <s v="AX 712781891"/>
    <d v="2026-06-04T00:00:00"/>
    <d v="2026-06-08T00:00:00"/>
    <s v="UNITED AIRLINES 0162233"/>
    <s v="4511"/>
    <m/>
    <n v="649.19000000000005"/>
    <s v="Corporate Amex"/>
    <m/>
    <s v="Y"/>
    <s v="Travel"/>
    <s v="BLANK"/>
    <x v="0"/>
  </r>
  <r>
    <s v="EXP102876"/>
    <s v="E239"/>
    <s v="AX924305563"/>
    <d v="2026-05-30T00:00:00"/>
    <d v="2026-06-08T00:00:00"/>
    <s v="BRANDWATCH LTD"/>
    <s v="5734"/>
    <s v="Software"/>
    <n v="451.33"/>
    <s v="Corporate Amex"/>
    <m/>
    <s v="N"/>
    <s v="Software"/>
    <s v="MATCH"/>
    <x v="1"/>
  </r>
  <r>
    <s v="EXP102877"/>
    <s v="E125"/>
    <s v="ax687929316"/>
    <d v="2026-05-30T00:00:00"/>
    <d v="2026-06-08T00:00:00"/>
    <s v="REGION CATERING CO"/>
    <s v="5811"/>
    <s v="Events"/>
    <n v="111.17"/>
    <s v="Corporate Amex"/>
    <m/>
    <s v="Y"/>
    <s v="Events"/>
    <s v="MATCH"/>
    <x v="7"/>
  </r>
  <r>
    <s v="EXP102878"/>
    <s v="E261"/>
    <s v="AX399496999"/>
    <d v="2026-05-29T00:00:00"/>
    <d v="2026-06-08T00:00:00"/>
    <s v="BRANDWATCH LTD"/>
    <s v="5734"/>
    <s v="Software"/>
    <n v="348.45"/>
    <s v="Corporate Amex"/>
    <m/>
    <s v="Y"/>
    <s v="Software"/>
    <s v="MATCH"/>
    <x v="3"/>
  </r>
  <r>
    <s v="EXP102879"/>
    <s v="E006"/>
    <s v="ax597203007"/>
    <d v="2026-06-06T00:00:00"/>
    <d v="2026-06-08T00:00:00"/>
    <s v="ADOBE *CREATIVE CLOUD"/>
    <s v="5734"/>
    <s v="Software"/>
    <n v="82.15"/>
    <s v="Corporate Amex"/>
    <m/>
    <s v="Y"/>
    <s v="Software"/>
    <s v="MATCH"/>
    <x v="0"/>
  </r>
  <r>
    <s v="EXP102880"/>
    <s v="E074"/>
    <m/>
    <d v="2026-06-01T00:00:00"/>
    <d v="2026-06-08T00:00:00"/>
    <s v="STARBUCKS #4471"/>
    <s v="5812"/>
    <m/>
    <n v="10.84"/>
    <s v="Corporate Amex"/>
    <m/>
    <s v="Y"/>
    <s v="Meals"/>
    <s v="BLANK"/>
    <x v="2"/>
  </r>
  <r>
    <s v="EXP102881"/>
    <s v="E215"/>
    <s v="AX575376286"/>
    <d v="2026-06-02T00:00:00"/>
    <d v="2026-06-08T00:00:00"/>
    <s v="REGION CATERING CO"/>
    <s v="5811"/>
    <s v="Events"/>
    <n v="74.290000000000006"/>
    <s v="Corporate Amex"/>
    <m/>
    <s v="Y"/>
    <s v="Events"/>
    <s v="MATCH"/>
    <x v="4"/>
  </r>
  <r>
    <s v="EXP102882"/>
    <s v="E210"/>
    <s v="AX546191034"/>
    <d v="2026-05-29T00:00:00"/>
    <d v="2026-06-08T00:00:00"/>
    <s v="HYATT REGENCY BOS"/>
    <s v="7011"/>
    <s v="Lodging"/>
    <n v="299.72000000000003"/>
    <s v="Corporate Amex"/>
    <m/>
    <s v="Y"/>
    <s v="Lodging"/>
    <s v="MATCH"/>
    <x v="4"/>
  </r>
  <r>
    <s v="EXP102883"/>
    <s v="E022"/>
    <m/>
    <d v="2026-06-03T00:00:00"/>
    <d v="2026-06-08T00:00:00"/>
    <s v="UBER TRIP HELP.UBER"/>
    <s v="4121"/>
    <s v="Transportation"/>
    <n v="45.73"/>
    <s v="Personal (Reimbursement)"/>
    <s v="Card not yet issued"/>
    <s v="Y"/>
    <s v="Transportation"/>
    <s v="MATCH"/>
    <x v="0"/>
  </r>
  <r>
    <s v="EXP102884"/>
    <s v="E258"/>
    <s v="AX465235814"/>
    <d v="2026-06-03T00:00:00"/>
    <d v="2026-06-08T00:00:00"/>
    <s v="ZOOM.US"/>
    <s v="5734"/>
    <s v="Software"/>
    <n v="51.14"/>
    <s v="Corporate Amex"/>
    <m/>
    <s v="Y"/>
    <s v="Software"/>
    <s v="MATCH"/>
    <x v="8"/>
  </r>
  <r>
    <s v="EXP102885"/>
    <s v="E153"/>
    <s v="ax443984560"/>
    <d v="2026-05-30T00:00:00"/>
    <d v="2026-06-08T00:00:00"/>
    <s v="AMAZON MKTPLACE PMTS"/>
    <s v="5942"/>
    <s v="  Office Supplies "/>
    <n v="357.29"/>
    <s v="Corporate Amex"/>
    <m/>
    <s v="Y"/>
    <s v="Office Supplies"/>
    <s v="MATCH"/>
    <x v="6"/>
  </r>
  <r>
    <s v="EXP102886"/>
    <s v="E069"/>
    <m/>
    <d v="2026-05-31T00:00:00"/>
    <d v="2026-06-08T00:00:00"/>
    <s v="TOTAL PARTY RENTAL"/>
    <s v="7999"/>
    <s v="Events"/>
    <n v="377.96"/>
    <s v="Corporate Amex"/>
    <m/>
    <s v="N"/>
    <s v="Events"/>
    <s v="MATCH"/>
    <x v="0"/>
  </r>
  <r>
    <s v="EXP102887"/>
    <s v="E069"/>
    <s v="ax548309667"/>
    <d v="2026-06-01T00:00:00"/>
    <d v="2026-06-08T00:00:00"/>
    <s v="EVENTBRITE"/>
    <s v="7999"/>
    <s v="Events"/>
    <n v="29.56"/>
    <s v="Corporate Amex"/>
    <m/>
    <s v="Y"/>
    <s v="Events"/>
    <s v="MATCH"/>
    <x v="0"/>
  </r>
  <r>
    <s v="EXP102888"/>
    <s v="E019"/>
    <s v="AX695062794"/>
    <d v="2026-06-05T00:00:00"/>
    <d v="2026-06-08T00:00:00"/>
    <s v="MARRIOTT #4471"/>
    <s v="7011"/>
    <s v="Lodging"/>
    <n v="244.05"/>
    <s v="Corporate Amex"/>
    <m/>
    <s v="Y"/>
    <s v="Lodging"/>
    <s v="MATCH"/>
    <x v="0"/>
  </r>
  <r>
    <s v="EXP102889"/>
    <s v="E037"/>
    <s v="AX 504476124"/>
    <d v="2026-06-08T00:00:00"/>
    <d v="2026-06-08T00:00:00"/>
    <s v="AMC THEATRES 0021"/>
    <s v="7832"/>
    <s v="Entertainment"/>
    <n v="33.08"/>
    <s v="Corporate Amex"/>
    <m/>
    <s v="Y"/>
    <s v="Entertainment"/>
    <s v="MATCH"/>
    <x v="0"/>
  </r>
  <r>
    <s v="EXP102890"/>
    <s v="E014"/>
    <s v="AX701253259"/>
    <d v="2026-06-01T00:00:00"/>
    <d v="2026-06-08T00:00:00"/>
    <s v="PANERA BREAD #0231"/>
    <s v="5812"/>
    <s v="Meals"/>
    <n v="29.79"/>
    <s v="Corporate Amex"/>
    <m/>
    <s v="Y"/>
    <s v="Meals"/>
    <s v="MATCH"/>
    <x v="0"/>
  </r>
  <r>
    <s v="EXP102891"/>
    <s v="E147"/>
    <s v="AX744170354"/>
    <d v="2026-06-03T00:00:00"/>
    <d v="2026-06-08T00:00:00"/>
    <s v="ZOOM.US"/>
    <s v="5734"/>
    <s v="Software"/>
    <n v="18.760000000000002"/>
    <s v="Corporate Amex"/>
    <m/>
    <s v="Y"/>
    <s v="Software"/>
    <s v="MATCH"/>
    <x v="7"/>
  </r>
  <r>
    <s v="EXP102892"/>
    <s v="E054"/>
    <s v="AX183802511"/>
    <d v="2026-06-01T00:00:00"/>
    <d v="2026-06-08T00:00:00"/>
    <s v="SQ *THE CORNER BISTRO"/>
    <s v="5812"/>
    <s v="Meals"/>
    <n v="66.819999999999993"/>
    <s v="Corporate Amex"/>
    <m/>
    <s v="Y"/>
    <s v="Meals"/>
    <s v="MATCH"/>
    <x v="0"/>
  </r>
  <r>
    <s v="EXP102893"/>
    <s v="E198"/>
    <s v="AX630196943"/>
    <d v="2026-06-02T00:00:00"/>
    <d v="2026-06-08T00:00:00"/>
    <s v="TOPGOLF #442"/>
    <s v="7997"/>
    <m/>
    <n v="66.17"/>
    <s v="Corporate Amex"/>
    <m/>
    <s v="Y"/>
    <s v="Entertainment"/>
    <s v="BLANK"/>
    <x v="5"/>
  </r>
  <r>
    <s v="EXP102894"/>
    <s v="E020"/>
    <s v="ax887526970"/>
    <d v="2026-06-06T00:00:00"/>
    <d v="2026-06-08T00:00:00"/>
    <s v="CHIPOTLE 2214"/>
    <s v="5812"/>
    <s v="Meals"/>
    <n v="18.37"/>
    <s v="Corporate Amex"/>
    <m/>
    <s v="Y"/>
    <s v="Meals"/>
    <s v="MATCH"/>
    <x v="0"/>
  </r>
  <r>
    <s v="EXP102895"/>
    <s v="E020"/>
    <s v="AX 631235415"/>
    <d v="2026-06-02T00:00:00"/>
    <d v="2026-06-08T00:00:00"/>
    <s v="REGION CATERING CO"/>
    <s v="5811"/>
    <s v="Events"/>
    <n v="360.19"/>
    <s v="Corporate Amex"/>
    <m/>
    <s v="Y"/>
    <s v="Events"/>
    <s v="MATCH"/>
    <x v="0"/>
  </r>
  <r>
    <s v="EXP102896"/>
    <s v="E012"/>
    <s v="ax440576982"/>
    <d v="2026-06-03T00:00:00"/>
    <d v="2026-06-09T00:00:00"/>
    <s v="DELTA AIR 00623891045"/>
    <s v="4511"/>
    <s v="Entertainment"/>
    <n v="241.73"/>
    <s v="Corporate Amex"/>
    <m/>
    <s v="N"/>
    <s v="Travel"/>
    <s v="MISMATCH"/>
    <x v="0"/>
  </r>
  <r>
    <s v="EXP102897"/>
    <s v="E084"/>
    <s v="AX585751682"/>
    <d v="2026-06-02T00:00:00"/>
    <d v="2026-06-09T00:00:00"/>
    <s v="SQ *JOES COFFEE"/>
    <s v="5812"/>
    <s v="Meals"/>
    <n v="19.3"/>
    <s v="Corporate Amex"/>
    <m/>
    <s v="Y"/>
    <s v="Meals"/>
    <s v="MATCH"/>
    <x v="2"/>
  </r>
  <r>
    <s v="EXP102898"/>
    <s v="E122"/>
    <m/>
    <d v="2026-06-03T00:00:00"/>
    <d v="2026-06-09T00:00:00"/>
    <s v="SQ *JOES COFFEE"/>
    <s v="5812"/>
    <s v="Meals"/>
    <n v="9.66"/>
    <s v="Personal (Reimbursement)"/>
    <s v="International merchant - Amex not accepted"/>
    <s v="Y"/>
    <s v="Meals"/>
    <s v="MATCH"/>
    <x v="7"/>
  </r>
  <r>
    <s v="EXP102899"/>
    <s v="E195"/>
    <s v="AX899500020"/>
    <d v="2026-05-31T00:00:00"/>
    <d v="2026-06-09T00:00:00"/>
    <s v="PANERA BREAD #0231"/>
    <s v="5812"/>
    <s v="Meals"/>
    <n v="21.7"/>
    <s v="Corporate Amex"/>
    <m/>
    <s v="N"/>
    <s v="Meals"/>
    <s v="MATCH"/>
    <x v="5"/>
  </r>
  <r>
    <s v="EXP102900"/>
    <s v="E048"/>
    <s v="AX 611682790"/>
    <d v="2026-05-30T00:00:00"/>
    <d v="2026-06-09T00:00:00"/>
    <s v="DELTA AIR 00623891045"/>
    <s v="4511"/>
    <s v="Travel"/>
    <n v="361.79"/>
    <s v="Corporate Amex"/>
    <m/>
    <s v="Y"/>
    <s v="Travel"/>
    <s v="MATCH"/>
    <x v="0"/>
  </r>
  <r>
    <s v="EXP102901"/>
    <s v="E048"/>
    <s v="ax952466280"/>
    <d v="2026-06-09T00:00:00"/>
    <d v="2026-06-09T00:00:00"/>
    <s v="SQ *THE CORNER BISTRO"/>
    <s v="5812"/>
    <s v="Meals"/>
    <n v="40.93"/>
    <s v="Corporate Amex"/>
    <m/>
    <s v="Y"/>
    <s v="Meals"/>
    <s v="MATCH"/>
    <x v="0"/>
  </r>
  <r>
    <s v="EXP102902"/>
    <s v="E097"/>
    <s v="AX897231300"/>
    <d v="2026-06-09T00:00:00"/>
    <d v="2026-06-09T00:00:00"/>
    <s v="BRANDWATCH LTD"/>
    <s v="5734"/>
    <s v="Software"/>
    <n v="352.22"/>
    <s v="Corporate Amex"/>
    <m/>
    <s v="Y"/>
    <s v="Software"/>
    <s v="MATCH"/>
    <x v="2"/>
  </r>
  <r>
    <s v="EXP102903"/>
    <s v="E186"/>
    <s v="ax672774353"/>
    <d v="2026-06-04T00:00:00"/>
    <d v="2026-06-09T00:00:00"/>
    <s v="CHIPOTLE 2214"/>
    <s v="5812"/>
    <s v="Meals"/>
    <n v="9.74"/>
    <s v="Corporate Amex"/>
    <m/>
    <s v="Y"/>
    <s v="Meals"/>
    <s v="MATCH"/>
    <x v="5"/>
  </r>
  <r>
    <s v="EXP102904"/>
    <s v="E024"/>
    <s v="AX222574972"/>
    <d v="2026-06-07T00:00:00"/>
    <d v="2026-06-09T00:00:00"/>
    <s v="MARRIOTT #4471"/>
    <s v="7011"/>
    <s v="Lodging"/>
    <n v="294.64"/>
    <s v="Corporate Amex"/>
    <m/>
    <s v="Y"/>
    <s v="Lodging"/>
    <s v="MATCH"/>
    <x v="0"/>
  </r>
  <r>
    <s v="EXP102905"/>
    <s v="E062"/>
    <m/>
    <d v="2026-06-07T00:00:00"/>
    <d v="2026-06-09T00:00:00"/>
    <s v="BRANDWATCH LTD"/>
    <s v="5734"/>
    <s v="Software"/>
    <n v="501.25"/>
    <s v="Corporate Amex"/>
    <m/>
    <s v="Y"/>
    <s v="Software"/>
    <s v="MATCH"/>
    <x v="0"/>
  </r>
  <r>
    <s v="EXP102906"/>
    <s v="E027"/>
    <s v="ax197695393"/>
    <d v="2026-06-03T00:00:00"/>
    <d v="2026-06-09T00:00:00"/>
    <s v="ZOOM.US"/>
    <s v="5734"/>
    <s v="Software"/>
    <n v="27.22"/>
    <s v="Corporate Amex"/>
    <m/>
    <s v="Y"/>
    <s v="Software"/>
    <s v="MATCH"/>
    <x v="0"/>
  </r>
  <r>
    <s v="EXP102907"/>
    <s v="E258"/>
    <s v="ax538874372"/>
    <d v="2026-06-08T00:00:00"/>
    <d v="2026-06-09T00:00:00"/>
    <s v="TOPGOLF #442"/>
    <s v="7997"/>
    <s v="Entertainment"/>
    <n v="217.62"/>
    <s v="Corporate Amex"/>
    <m/>
    <s v="Y"/>
    <s v="Entertainment"/>
    <s v="MATCH"/>
    <x v="8"/>
  </r>
  <r>
    <s v="EXP102908"/>
    <s v="E052"/>
    <s v="AX232407674"/>
    <d v="2026-06-09T00:00:00"/>
    <d v="2026-06-09T00:00:00"/>
    <s v="AMAZON MKTPLACE PMTS"/>
    <s v="5942"/>
    <s v="Office Supplies"/>
    <n v="348.99"/>
    <s v="Corporate Amex"/>
    <m/>
    <s v="Y"/>
    <s v="Office Supplies"/>
    <s v="MATCH"/>
    <x v="0"/>
  </r>
  <r>
    <s v="EXP102909"/>
    <s v="E014"/>
    <m/>
    <d v="2026-06-03T00:00:00"/>
    <d v="2026-06-10T00:00:00"/>
    <s v="TOTAL PARTY RENTAL"/>
    <s v="7999"/>
    <s v="Events"/>
    <n v="494.24"/>
    <s v="Personal (Reimbursement)"/>
    <s v="Forgot corporate card"/>
    <s v="Y"/>
    <s v="Events"/>
    <s v="MATCH"/>
    <x v="0"/>
  </r>
  <r>
    <s v="EXP102910"/>
    <s v="E111"/>
    <s v="ax262042072"/>
    <d v="2026-06-02T00:00:00"/>
    <d v="2026-06-10T00:00:00"/>
    <s v="TOPGOLF #442"/>
    <s v="7997"/>
    <s v="Entertainment"/>
    <n v="120.8"/>
    <s v="Corporate Amex"/>
    <m/>
    <s v="Y"/>
    <s v="Entertainment"/>
    <s v="MATCH"/>
    <x v="2"/>
  </r>
  <r>
    <s v="EXP102911"/>
    <s v="E019"/>
    <s v="AX456087634"/>
    <d v="2026-06-04T00:00:00"/>
    <d v="2026-06-10T00:00:00"/>
    <s v=" UBER TRIP HELP.UBER"/>
    <s v="4121"/>
    <s v="Transportation"/>
    <n v="51.04"/>
    <s v="Corporate Amex"/>
    <m/>
    <s v="Y"/>
    <s v="Transportation"/>
    <s v="MATCH"/>
    <x v="0"/>
  </r>
  <r>
    <s v="EXP102912"/>
    <s v="E048"/>
    <s v="AX642895627"/>
    <d v="2026-06-08T00:00:00"/>
    <d v="2026-06-10T00:00:00"/>
    <s v="BRANDWATCH LTD"/>
    <s v="5734"/>
    <s v="Software"/>
    <n v="240.05"/>
    <s v="Corporate Amex"/>
    <m/>
    <s v="N"/>
    <s v="Software"/>
    <s v="MATCH"/>
    <x v="0"/>
  </r>
  <r>
    <s v="EXP102913"/>
    <s v="E039"/>
    <s v="AX-715824737"/>
    <d v="2026-06-06T00:00:00"/>
    <d v="2026-06-10T00:00:00"/>
    <s v="HYATT REGENCY BOS"/>
    <s v="7011"/>
    <s v="Lodging"/>
    <n v="253.48"/>
    <s v="Corporate Amex"/>
    <m/>
    <s v="Y"/>
    <s v="Lodging"/>
    <s v="MATCH"/>
    <x v="0"/>
  </r>
  <r>
    <s v="EXP102914"/>
    <s v="E254"/>
    <s v="AX756860952"/>
    <d v="2026-06-05T00:00:00"/>
    <d v="2026-06-10T00:00:00"/>
    <s v="UNITED AIRLINES 0162233"/>
    <s v="4511"/>
    <s v="Travel"/>
    <n v="666.89"/>
    <s v="Corporate Amex"/>
    <m/>
    <s v="Y"/>
    <s v="Travel"/>
    <s v="MATCH"/>
    <x v="8"/>
  </r>
  <r>
    <s v="EXP102915"/>
    <s v="E129"/>
    <s v="ax631831580"/>
    <d v="2026-06-05T00:00:00"/>
    <d v="2026-06-10T00:00:00"/>
    <s v="STAPLES #0231"/>
    <s v="5943"/>
    <s v="Office Supplies"/>
    <n v="12.06"/>
    <s v="Corporate Amex"/>
    <m/>
    <s v="Y"/>
    <s v="Office Supplies"/>
    <s v="MATCH"/>
    <x v="7"/>
  </r>
  <r>
    <s v="EXP102916"/>
    <s v="E076"/>
    <s v="AX996559584"/>
    <d v="2026-06-10T00:00:00"/>
    <d v="2026-06-10T00:00:00"/>
    <s v="MICROSOFT*365"/>
    <s v="5734"/>
    <s v="Software"/>
    <n v="66.78"/>
    <s v="Corporate Amex"/>
    <m/>
    <s v="Y"/>
    <s v="Software"/>
    <s v="MATCH"/>
    <x v="2"/>
  </r>
  <r>
    <s v="EXP102917"/>
    <s v="E257"/>
    <s v="AX675968352"/>
    <d v="2026-06-07T00:00:00"/>
    <d v="2026-06-10T00:00:00"/>
    <s v="EVENTBRITE"/>
    <s v="7999"/>
    <s v="Events"/>
    <n v="244.39"/>
    <s v="Corporate Amex"/>
    <m/>
    <s v="Y"/>
    <s v="Events"/>
    <s v="MATCH"/>
    <x v="8"/>
  </r>
  <r>
    <s v="EXP102918"/>
    <s v="E031"/>
    <s v="AX-394515919"/>
    <d v="2026-06-01T00:00:00"/>
    <d v="2026-06-10T00:00:00"/>
    <s v="ZOOM.US"/>
    <s v="5734"/>
    <s v="Software"/>
    <n v="39.82"/>
    <s v="Corporate Amex"/>
    <m/>
    <s v="Y"/>
    <s v="Software"/>
    <s v="MATCH"/>
    <x v="0"/>
  </r>
  <r>
    <s v="EXP102919"/>
    <s v="E237"/>
    <s v="AX-480479488"/>
    <d v="2026-06-08T00:00:00"/>
    <d v="2026-06-10T00:00:00"/>
    <s v="OLIVE GARDEN 00456"/>
    <s v="5812"/>
    <s v="Meals"/>
    <n v="101.16"/>
    <s v="Corporate Amex"/>
    <m/>
    <s v="Y"/>
    <s v="Meals"/>
    <s v="MATCH"/>
    <x v="1"/>
  </r>
  <r>
    <s v="EXP102920"/>
    <s v="E022"/>
    <m/>
    <d v="2026-05-31T00:00:00"/>
    <d v="2026-06-10T00:00:00"/>
    <s v="OLIVE GARDEN 00456"/>
    <s v="5812"/>
    <s v="Entertainment"/>
    <n v="87.52"/>
    <s v="Personal (Reimbursement)"/>
    <s v="Card not yet issued"/>
    <s v="Y"/>
    <s v="Meals"/>
    <s v="MISMATCH"/>
    <x v="0"/>
  </r>
  <r>
    <s v="EXP102921"/>
    <s v="E166"/>
    <s v="AX786722677"/>
    <d v="2026-06-09T00:00:00"/>
    <d v="2026-06-10T00:00:00"/>
    <s v="TOPGOLF #442"/>
    <s v="7997"/>
    <s v="Entertainment"/>
    <n v="73.19"/>
    <s v="Corporate Amex"/>
    <m/>
    <s v="Y"/>
    <s v="Entertainment"/>
    <s v="MATCH"/>
    <x v="6"/>
  </r>
  <r>
    <s v="EXP102922"/>
    <s v="E258"/>
    <s v="AX593397485"/>
    <d v="2026-06-09T00:00:00"/>
    <d v="2026-06-10T00:00:00"/>
    <s v="BRANDWATCH LTD"/>
    <s v="5734"/>
    <s v="Software"/>
    <n v="189.03"/>
    <s v="Corporate Amex"/>
    <m/>
    <s v="Y"/>
    <s v="Software"/>
    <s v="MATCH"/>
    <x v="8"/>
  </r>
  <r>
    <s v="EXP102923"/>
    <s v="E211"/>
    <m/>
    <d v="2026-06-04T00:00:00"/>
    <d v="2026-06-10T00:00:00"/>
    <s v="HYATT REGENCY BOS"/>
    <s v="7011"/>
    <s v="Lodging"/>
    <n v="308.58"/>
    <s v="Corporate Amex"/>
    <m/>
    <s v="Y"/>
    <s v="Lodging"/>
    <s v="MATCH"/>
    <x v="4"/>
  </r>
  <r>
    <s v="EXP102924"/>
    <s v="E271"/>
    <s v="AX223627597"/>
    <d v="2026-06-10T00:00:00"/>
    <d v="2026-06-10T00:00:00"/>
    <s v="SQ *JOES COFFEE"/>
    <s v="5812"/>
    <s v="Meals"/>
    <n v="8.11"/>
    <s v="Corporate Amex"/>
    <m/>
    <s v="Y"/>
    <s v="Meals"/>
    <s v="MATCH"/>
    <x v="3"/>
  </r>
  <r>
    <s v="EXP102925"/>
    <s v="E163"/>
    <s v="AX133865646"/>
    <d v="2026-06-06T00:00:00"/>
    <d v="2026-06-10T00:00:00"/>
    <s v="HYATT REGENCY BOS"/>
    <s v="7011"/>
    <s v="Lodging"/>
    <n v="338.18"/>
    <s v="Corporate Amex"/>
    <m/>
    <s v="Y"/>
    <s v="Lodging"/>
    <s v="MATCH"/>
    <x v="6"/>
  </r>
  <r>
    <s v="EXP102926"/>
    <s v="E248"/>
    <s v="AX 231170721"/>
    <d v="2026-06-02T00:00:00"/>
    <d v="2026-06-10T00:00:00"/>
    <s v="ADOBE *CREATIVE CLOUD"/>
    <s v="5734"/>
    <s v="Software"/>
    <n v="86.18"/>
    <s v="Corporate Amex"/>
    <m/>
    <s v="Y"/>
    <s v="Software"/>
    <s v="MATCH"/>
    <x v="1"/>
  </r>
  <r>
    <s v="EXP102927"/>
    <s v="E268"/>
    <m/>
    <d v="2026-06-10T00:00:00"/>
    <d v="2026-06-11T00:00:00"/>
    <s v="SQ *JOES COFFEE"/>
    <s v="5812"/>
    <s v="  Meals "/>
    <n v="8.82"/>
    <s v="Personal (Reimbursement)"/>
    <s v="International merchant - Amex not accepted"/>
    <s v="Y"/>
    <s v="Meals"/>
    <s v="MATCH"/>
    <x v="3"/>
  </r>
  <r>
    <s v="EXP102928"/>
    <s v="E067"/>
    <s v="AX 188713158"/>
    <d v="2026-06-03T00:00:00"/>
    <d v="2026-06-11T00:00:00"/>
    <s v="EVENTBRITE"/>
    <s v="7999"/>
    <s v="Events"/>
    <n v="229.07"/>
    <s v="Corporate Amex"/>
    <m/>
    <s v="Y"/>
    <s v="Events"/>
    <s v="MATCH"/>
    <x v="0"/>
  </r>
  <r>
    <s v="EXP102929"/>
    <s v="E008"/>
    <s v="AX356896418"/>
    <d v="2026-06-10T00:00:00"/>
    <d v="2026-06-11T00:00:00"/>
    <s v="TOPGOLF #442"/>
    <s v="7997"/>
    <s v="Entertainment"/>
    <n v="104.33"/>
    <s v="Corporate Amex"/>
    <m/>
    <s v="Y"/>
    <s v="Entertainment"/>
    <s v="MATCH"/>
    <x v="0"/>
  </r>
  <r>
    <s v="EXP102930"/>
    <s v="E056"/>
    <s v="AX510629112"/>
    <d v="2026-06-06T00:00:00"/>
    <d v="2026-06-11T00:00:00"/>
    <s v="CHIPOTLE 2214"/>
    <s v="5812"/>
    <s v="Meals"/>
    <n v="13.28"/>
    <s v="Corporate Amex"/>
    <m/>
    <s v="Y"/>
    <s v="Meals"/>
    <s v="MATCH"/>
    <x v="0"/>
  </r>
  <r>
    <s v="EXP102931"/>
    <s v="E016"/>
    <m/>
    <d v="2026-06-06T00:00:00"/>
    <d v="2026-06-11T00:00:00"/>
    <s v=" UNITED AIRLINES 0162233"/>
    <s v="4511"/>
    <s v="Travel"/>
    <n v="415.85"/>
    <s v="Personal (Reimbursement)"/>
    <s v="Card not yet issued"/>
    <s v="N"/>
    <s v="Travel"/>
    <s v="MATCH"/>
    <x v="0"/>
  </r>
  <r>
    <s v="EXP102932"/>
    <s v="E055"/>
    <m/>
    <d v="2026-06-10T00:00:00"/>
    <d v="2026-06-11T00:00:00"/>
    <s v="OLIVE GARDEN 00456"/>
    <s v="5812"/>
    <s v="Meals"/>
    <n v="82.67"/>
    <s v="Personal (Reimbursement)"/>
    <s v="Amex declined - vendor doesn't accept Amex"/>
    <s v="Y"/>
    <s v="Meals"/>
    <s v="MATCH"/>
    <x v="0"/>
  </r>
  <r>
    <s v="EXP102933"/>
    <s v="E262"/>
    <s v="ax893600189"/>
    <d v="2026-06-06T00:00:00"/>
    <d v="2026-06-11T00:00:00"/>
    <s v="SPROUT SOCIAL"/>
    <s v="5734"/>
    <m/>
    <n v="208.7"/>
    <s v="Corporate Amex"/>
    <m/>
    <s v="Y"/>
    <s v="Software"/>
    <s v="BLANK"/>
    <x v="3"/>
  </r>
  <r>
    <s v="EXP102934"/>
    <s v="E147"/>
    <m/>
    <d v="2026-06-06T00:00:00"/>
    <d v="2026-06-11T00:00:00"/>
    <s v="BRANDWATCH LTD"/>
    <s v="5734"/>
    <s v="Software"/>
    <n v="151.11000000000001"/>
    <s v="Corporate Amex"/>
    <m/>
    <s v="Y"/>
    <s v="Software"/>
    <s v="MATCH"/>
    <x v="7"/>
  </r>
  <r>
    <s v="EXP102935"/>
    <s v="E147"/>
    <s v="ax807810892"/>
    <d v="2026-06-02T00:00:00"/>
    <d v="2026-06-11T00:00:00"/>
    <s v="YELLOW CAB CO"/>
    <s v="4121"/>
    <s v="Software"/>
    <n v="59.15"/>
    <s v="Corporate Amex"/>
    <m/>
    <s v="Y"/>
    <s v="Transportation"/>
    <s v="MISMATCH"/>
    <x v="7"/>
  </r>
  <r>
    <s v="EXP102936"/>
    <s v="E061"/>
    <s v="AX268207785"/>
    <d v="2026-06-05T00:00:00"/>
    <d v="2026-06-11T00:00:00"/>
    <s v="HILTON GARDEN INN 2231"/>
    <s v="7011"/>
    <s v="Lodging"/>
    <n v="214.59"/>
    <s v="Corporate Amex"/>
    <m/>
    <s v="Y"/>
    <s v="Lodging"/>
    <s v="MATCH"/>
    <x v="0"/>
  </r>
  <r>
    <s v="EXP102937"/>
    <s v="E125"/>
    <s v="ax341563755"/>
    <d v="2026-06-02T00:00:00"/>
    <d v="2026-06-11T00:00:00"/>
    <s v="UBER TRIP HELP.UBER"/>
    <s v="4121"/>
    <s v="Transportation"/>
    <n v="44.25"/>
    <s v="Corporate Amex"/>
    <m/>
    <s v="Y"/>
    <s v="Transportation"/>
    <s v="MATCH"/>
    <x v="7"/>
  </r>
  <r>
    <s v="EXP102938"/>
    <s v="E232"/>
    <s v="AX501923384"/>
    <d v="2026-06-08T00:00:00"/>
    <d v="2026-06-11T00:00:00"/>
    <s v="UNITED AIRLINES 0162233"/>
    <s v="4511"/>
    <s v="Travel"/>
    <n v="242.76"/>
    <s v="Corporate Amex"/>
    <m/>
    <s v="Y"/>
    <s v="Travel"/>
    <s v="MATCH"/>
    <x v="4"/>
  </r>
  <r>
    <s v="EXP102939"/>
    <s v="E232"/>
    <m/>
    <d v="2026-06-08T00:00:00"/>
    <d v="2026-06-11T00:00:00"/>
    <s v="SQ *JOES COFFEE"/>
    <s v="5812"/>
    <s v="Meals"/>
    <n v="7.06"/>
    <s v="Personal (Reimbursement)"/>
    <s v="Amex declined - vendor doesn't accept Amex"/>
    <s v="Y"/>
    <s v="Meals"/>
    <s v="MATCH"/>
    <x v="4"/>
  </r>
  <r>
    <s v="EXP102940"/>
    <s v="E051"/>
    <s v="AX871096191"/>
    <d v="2026-06-11T00:00:00"/>
    <d v="2026-06-11T00:00:00"/>
    <s v="HOOTSUITE INC"/>
    <s v="5734"/>
    <s v="Software"/>
    <n v="74.77"/>
    <s v="Corporate Amex"/>
    <m/>
    <s v="N"/>
    <s v="Software"/>
    <s v="MATCH"/>
    <x v="0"/>
  </r>
  <r>
    <s v="EXP102941"/>
    <s v="E007"/>
    <s v="AX813747171"/>
    <d v="2026-06-03T00:00:00"/>
    <d v="2026-06-11T00:00:00"/>
    <s v="ZOOM.US"/>
    <s v="5734"/>
    <m/>
    <n v="24.08"/>
    <s v="Corporate Amex"/>
    <m/>
    <s v="Y"/>
    <s v="Software"/>
    <s v="BLANK"/>
    <x v="0"/>
  </r>
  <r>
    <s v="EXP102942"/>
    <s v="E026"/>
    <s v="ax220758451"/>
    <d v="2026-06-04T00:00:00"/>
    <d v="2026-06-11T00:00:00"/>
    <s v="TOPGOLF #442"/>
    <s v="7997"/>
    <s v="  Entertainment "/>
    <n v="173.03"/>
    <s v="Corporate Amex"/>
    <m/>
    <s v="Y"/>
    <s v="Entertainment"/>
    <s v="MATCH"/>
    <x v="0"/>
  </r>
  <r>
    <s v="EXP102943"/>
    <s v="E043"/>
    <s v="ax427421003"/>
    <d v="2026-06-11T00:00:00"/>
    <d v="2026-06-11T00:00:00"/>
    <s v="ADOBE *CREATIVE CLOUD"/>
    <s v="5734"/>
    <s v="Software"/>
    <n v="49.54"/>
    <s v="Corporate Amex"/>
    <m/>
    <s v="Y"/>
    <s v="Software"/>
    <s v="MATCH"/>
    <x v="0"/>
  </r>
  <r>
    <s v="EXP102944"/>
    <s v="E203"/>
    <s v="AX868690995"/>
    <d v="2026-06-03T00:00:00"/>
    <d v="2026-06-11T00:00:00"/>
    <s v="SQ *JOES COFFEE"/>
    <s v="5812"/>
    <s v="Meals"/>
    <n v="15.78"/>
    <s v="Corporate Amex"/>
    <m/>
    <s v="Y"/>
    <s v="Meals"/>
    <s v="MATCH"/>
    <x v="5"/>
  </r>
  <r>
    <s v="EXP102945"/>
    <s v="E098"/>
    <s v="AX787805607"/>
    <d v="2026-06-03T00:00:00"/>
    <d v="2026-06-11T00:00:00"/>
    <s v="OLIVE GARDEN 00456"/>
    <s v="5812"/>
    <s v="Events"/>
    <n v="33.39"/>
    <s v="Corporate Amex"/>
    <m/>
    <s v="Y"/>
    <s v="Meals"/>
    <s v="MISMATCH"/>
    <x v="2"/>
  </r>
  <r>
    <s v="EXP102946"/>
    <s v="E031"/>
    <m/>
    <d v="2026-06-10T00:00:00"/>
    <d v="2026-06-11T00:00:00"/>
    <s v="HYATT REGENCY BOS"/>
    <s v="7011"/>
    <s v="Lodging"/>
    <n v="295.93"/>
    <s v="Corporate Amex"/>
    <m/>
    <s v="Y"/>
    <s v="Lodging"/>
    <s v="MATCH"/>
    <x v="0"/>
  </r>
  <r>
    <s v="EXP102947"/>
    <s v="E084"/>
    <s v="ax872745292"/>
    <d v="2026-06-09T00:00:00"/>
    <d v="2026-06-11T00:00:00"/>
    <s v="MARRIOTT #4471"/>
    <s v="7011"/>
    <s v="Lodging"/>
    <n v="378.92"/>
    <s v="Corporate Amex"/>
    <m/>
    <s v="Y"/>
    <s v="Lodging"/>
    <s v="MATCH"/>
    <x v="2"/>
  </r>
  <r>
    <s v="EXP102948"/>
    <s v="E260"/>
    <m/>
    <d v="2026-06-07T00:00:00"/>
    <d v="2026-06-11T00:00:00"/>
    <s v="STAPLES #0231"/>
    <s v="5943"/>
    <s v="Office Supplies"/>
    <n v="117.87"/>
    <s v="Corporate Amex"/>
    <m/>
    <s v="Y"/>
    <s v="Office Supplies"/>
    <s v="MATCH"/>
    <x v="8"/>
  </r>
  <r>
    <s v="EXP102949"/>
    <s v="E048"/>
    <s v="AX468196674"/>
    <d v="2026-06-08T00:00:00"/>
    <d v="2026-06-11T00:00:00"/>
    <s v="STARBUCKS #4471"/>
    <s v="5812"/>
    <s v="Meals"/>
    <n v="6.17"/>
    <s v="Corporate Amex"/>
    <m/>
    <s v="N"/>
    <s v="Meals"/>
    <s v="MATCH"/>
    <x v="0"/>
  </r>
  <r>
    <s v="EXP102950"/>
    <s v="E275"/>
    <s v="AX-748746223"/>
    <d v="2026-06-06T00:00:00"/>
    <d v="2026-06-11T00:00:00"/>
    <s v="HILTON GARDEN INN 2231"/>
    <s v="7011"/>
    <s v="Lodging"/>
    <n v="374.17"/>
    <s v="Corporate Amex"/>
    <m/>
    <s v="Y"/>
    <s v="Lodging"/>
    <s v="MATCH"/>
    <x v="3"/>
  </r>
  <r>
    <s v="EXP102951"/>
    <s v="E050"/>
    <m/>
    <d v="2026-06-12T00:00:00"/>
    <d v="2026-06-12T00:00:00"/>
    <s v="SPROUT SOCIAL"/>
    <s v="5734"/>
    <s v="Software"/>
    <n v="188.66"/>
    <s v="Personal (Reimbursement)"/>
    <s v="Amex declined - vendor doesn't accept Amex"/>
    <s v="Y"/>
    <s v="Software"/>
    <s v="MATCH"/>
    <x v="0"/>
  </r>
  <r>
    <s v="EXP102952"/>
    <s v="E050"/>
    <s v="AX 201283307"/>
    <d v="2026-06-09T00:00:00"/>
    <d v="2026-06-12T00:00:00"/>
    <s v="HOOTSUITE INC"/>
    <s v="5734"/>
    <s v="Software"/>
    <n v="159.69"/>
    <s v="Corporate Amex"/>
    <m/>
    <s v="Y"/>
    <s v="Software"/>
    <s v="MATCH"/>
    <x v="0"/>
  </r>
  <r>
    <s v="EXP102953"/>
    <s v="E139"/>
    <s v="ax841724734"/>
    <d v="2026-06-12T00:00:00"/>
    <d v="2026-06-12T00:00:00"/>
    <s v="MARRIOTT #4471"/>
    <s v="7011"/>
    <m/>
    <n v="313.58999999999997"/>
    <s v="Corporate Amex"/>
    <m/>
    <s v="Y"/>
    <s v="Lodging"/>
    <s v="BLANK"/>
    <x v="7"/>
  </r>
  <r>
    <s v="EXP102954"/>
    <s v="E103"/>
    <s v="AX 205482426"/>
    <d v="2026-06-08T00:00:00"/>
    <d v="2026-06-12T00:00:00"/>
    <s v="MARRIOTT #4471"/>
    <s v="7011"/>
    <s v="Lodging"/>
    <n v="377.83"/>
    <s v="Corporate Amex"/>
    <m/>
    <s v="N"/>
    <s v="Lodging"/>
    <s v="MATCH"/>
    <x v="2"/>
  </r>
  <r>
    <s v="EXP102955"/>
    <s v="E035"/>
    <m/>
    <d v="2026-06-02T00:00:00"/>
    <d v="2026-06-12T00:00:00"/>
    <s v="SPROUT SOCIAL"/>
    <s v="5734"/>
    <s v="Office Supplies"/>
    <n v="90.63"/>
    <s v="Corporate Amex"/>
    <m/>
    <s v="Y"/>
    <s v="Software"/>
    <s v="MISMATCH"/>
    <x v="0"/>
  </r>
  <r>
    <s v="EXP102956"/>
    <s v="E004"/>
    <s v="AX664226910"/>
    <d v="2026-06-11T00:00:00"/>
    <d v="2026-06-12T00:00:00"/>
    <s v="OLIVE GARDEN 00456"/>
    <s v="5812"/>
    <s v="Meals"/>
    <n v="94.7"/>
    <s v="Corporate Amex"/>
    <m/>
    <s v="Y"/>
    <s v="Meals"/>
    <s v="MATCH"/>
    <x v="0"/>
  </r>
  <r>
    <s v="EXP102957"/>
    <s v="E258"/>
    <m/>
    <d v="2026-06-09T00:00:00"/>
    <d v="2026-06-12T00:00:00"/>
    <s v="HYATT REGENCY BOS"/>
    <s v="7011"/>
    <s v="Lodging"/>
    <n v="386.9"/>
    <s v="Corporate Amex"/>
    <m/>
    <s v="Y"/>
    <s v="Lodging"/>
    <s v="MATCH"/>
    <x v="8"/>
  </r>
  <r>
    <s v="EXP102958"/>
    <s v="E008"/>
    <s v="ax282533414"/>
    <d v="2026-06-03T00:00:00"/>
    <d v="2026-06-12T00:00:00"/>
    <s v="SOUTHWEST AIR 5261823"/>
    <s v="4511"/>
    <s v="Travel"/>
    <n v="158.11000000000001"/>
    <s v="Corporate Amex"/>
    <m/>
    <s v="Y"/>
    <s v="Travel"/>
    <s v="MATCH"/>
    <x v="0"/>
  </r>
  <r>
    <s v="EXP102959"/>
    <s v="E191"/>
    <m/>
    <d v="2026-06-02T00:00:00"/>
    <d v="2026-06-12T00:00:00"/>
    <s v="TOTAL PARTY RENTAL"/>
    <s v="7999"/>
    <s v="Events"/>
    <n v="320.63"/>
    <s v="Personal (Reimbursement)"/>
    <s v="Amex declined - vendor doesn't accept Amex"/>
    <s v="Y"/>
    <s v="Events"/>
    <s v="MATCH"/>
    <x v="5"/>
  </r>
  <r>
    <s v="EXP102960"/>
    <s v="E017"/>
    <s v="AX425469968"/>
    <d v="2026-06-02T00:00:00"/>
    <d v="2026-06-12T00:00:00"/>
    <s v="UBER TRIP HELP.UBER"/>
    <s v="4121"/>
    <s v="Transportation"/>
    <n v="48.55"/>
    <s v="Corporate Amex"/>
    <m/>
    <s v="Y"/>
    <s v="Transportation"/>
    <s v="MATCH"/>
    <x v="0"/>
  </r>
  <r>
    <s v="EXP102961"/>
    <s v="E167"/>
    <m/>
    <d v="2026-06-10T00:00:00"/>
    <d v="2026-06-12T00:00:00"/>
    <s v="STAPLES #0231"/>
    <s v="5943"/>
    <s v="Office Supplies"/>
    <n v="107.07"/>
    <s v="Personal (Reimbursement)"/>
    <s v="Amex declined - vendor doesn't accept Amex"/>
    <s v="Y"/>
    <s v="Office Supplies"/>
    <s v="MATCH"/>
    <x v="6"/>
  </r>
  <r>
    <s v="EXP102962"/>
    <s v="E095"/>
    <s v="AX-111665514"/>
    <d v="2026-06-05T00:00:00"/>
    <d v="2026-06-12T00:00:00"/>
    <s v="ADOBE *CREATIVE CLOUD"/>
    <s v="5734"/>
    <s v="Software"/>
    <n v="66.22"/>
    <s v="Corporate Amex"/>
    <m/>
    <s v="Y"/>
    <s v="Software"/>
    <s v="MATCH"/>
    <x v="2"/>
  </r>
  <r>
    <s v="EXP102963"/>
    <s v="E032"/>
    <s v="AX479636060"/>
    <d v="2026-06-09T00:00:00"/>
    <d v="2026-06-12T00:00:00"/>
    <s v="SPROUT SOCIAL"/>
    <s v="5734"/>
    <s v="Software"/>
    <n v="223.68"/>
    <s v="Corporate Amex"/>
    <m/>
    <s v="Y"/>
    <s v="Software"/>
    <s v="MATCH"/>
    <x v="0"/>
  </r>
  <r>
    <s v="EXP102964"/>
    <s v="E263"/>
    <s v="AX-968719404"/>
    <d v="2026-06-03T00:00:00"/>
    <d v="2026-06-12T00:00:00"/>
    <s v="UNITED AIRLINES 0162233"/>
    <s v="4511"/>
    <s v="Travel"/>
    <n v="396.31"/>
    <s v="Corporate Amex"/>
    <m/>
    <s v="Y"/>
    <s v="Travel"/>
    <s v="MATCH"/>
    <x v="3"/>
  </r>
  <r>
    <s v="EXP102965"/>
    <s v="E253"/>
    <s v="AX 422143171"/>
    <d v="2026-06-12T00:00:00"/>
    <d v="2026-06-12T00:00:00"/>
    <s v="LYFT RIDE THU"/>
    <s v="4121"/>
    <s v="Transportation"/>
    <n v="47.79"/>
    <s v="Corporate Amex"/>
    <m/>
    <s v="Y"/>
    <s v="Transportation"/>
    <s v="MATCH"/>
    <x v="1"/>
  </r>
  <r>
    <s v="EXP102966"/>
    <s v="E201"/>
    <s v="AX554529901"/>
    <d v="2026-06-12T00:00:00"/>
    <d v="2026-06-12T00:00:00"/>
    <s v="STAPLES #0231"/>
    <s v="5943"/>
    <m/>
    <n v="92.35"/>
    <s v="Corporate Amex"/>
    <m/>
    <s v="Y"/>
    <s v="Office Supplies"/>
    <s v="BLANK"/>
    <x v="5"/>
  </r>
  <r>
    <s v="EXP102967"/>
    <s v="E044"/>
    <s v="AX286550193"/>
    <d v="2026-06-04T00:00:00"/>
    <d v="2026-06-12T00:00:00"/>
    <s v="SQ *THE CORNER BISTRO"/>
    <s v="5812"/>
    <m/>
    <n v="20.85"/>
    <s v="Corporate Amex"/>
    <m/>
    <s v="Y"/>
    <s v="Meals"/>
    <s v="BLANK"/>
    <x v="0"/>
  </r>
  <r>
    <s v="EXP102968"/>
    <s v="E071"/>
    <m/>
    <d v="2026-06-11T00:00:00"/>
    <d v="2026-06-12T00:00:00"/>
    <s v="CHIPOTLE 2214"/>
    <s v="5812"/>
    <s v="Meals"/>
    <n v="9.6300000000000008"/>
    <s v="Corporate Amex"/>
    <m/>
    <s v="Y"/>
    <s v="Meals"/>
    <s v="MATCH"/>
    <x v="2"/>
  </r>
  <r>
    <s v="EXP102969"/>
    <s v="E144"/>
    <s v="ax734592789"/>
    <d v="2026-06-07T00:00:00"/>
    <d v="2026-06-12T00:00:00"/>
    <s v="HOOTSUITE INC"/>
    <s v="5734"/>
    <s v="Software"/>
    <n v="65.849999999999994"/>
    <s v="Corporate Amex"/>
    <m/>
    <s v="Y"/>
    <s v="Software"/>
    <s v="MATCH"/>
    <x v="7"/>
  </r>
  <r>
    <s v="EXP102970"/>
    <s v="E054"/>
    <s v="AX-524734805"/>
    <d v="2026-06-12T00:00:00"/>
    <d v="2026-06-13T00:00:00"/>
    <s v="ZOOM.US"/>
    <s v="5734"/>
    <m/>
    <n v="52.49"/>
    <s v="Corporate Amex"/>
    <m/>
    <s v="N"/>
    <s v="Software"/>
    <s v="BLANK"/>
    <x v="0"/>
  </r>
  <r>
    <s v="EXP102971"/>
    <s v="E191"/>
    <s v="AX159991576"/>
    <d v="2026-06-08T00:00:00"/>
    <d v="2026-06-13T00:00:00"/>
    <s v="SQ *JOES COFFEE"/>
    <s v="5812"/>
    <s v="Meals"/>
    <n v="10.53"/>
    <s v="Corporate Amex"/>
    <m/>
    <s v="Y"/>
    <s v="Meals"/>
    <s v="MATCH"/>
    <x v="5"/>
  </r>
  <r>
    <s v="EXP102972"/>
    <s v="E072"/>
    <s v="AX-927763632"/>
    <d v="2026-06-05T00:00:00"/>
    <d v="2026-06-13T00:00:00"/>
    <s v="TOTAL PARTY RENTAL"/>
    <s v="7999"/>
    <s v="Software"/>
    <n v="201.33"/>
    <s v="Corporate Amex"/>
    <m/>
    <s v="Y"/>
    <s v="Events"/>
    <s v="MISMATCH"/>
    <x v="2"/>
  </r>
  <r>
    <s v="EXP102973"/>
    <s v="E045"/>
    <s v="AX-911106089"/>
    <d v="2026-06-12T00:00:00"/>
    <d v="2026-06-13T00:00:00"/>
    <s v="BRANDWATCH LTD"/>
    <s v="5734"/>
    <s v="Software"/>
    <n v="528.92999999999995"/>
    <s v="Corporate Amex"/>
    <m/>
    <s v="Y"/>
    <s v="Software"/>
    <s v="MATCH"/>
    <x v="0"/>
  </r>
  <r>
    <s v="EXP102974"/>
    <s v="E045"/>
    <s v="ax363302025"/>
    <d v="2026-06-12T00:00:00"/>
    <d v="2026-06-13T00:00:00"/>
    <s v="SPROUT SOCIAL"/>
    <s v="5734"/>
    <s v="Software"/>
    <n v="103.65"/>
    <s v="Corporate Amex"/>
    <m/>
    <s v="Y"/>
    <s v="Software"/>
    <s v="MATCH"/>
    <x v="0"/>
  </r>
  <r>
    <s v="EXP102975"/>
    <s v="E046"/>
    <m/>
    <d v="2026-06-03T00:00:00"/>
    <d v="2026-06-13T00:00:00"/>
    <s v="CHIPOTLE 2214"/>
    <s v="5812"/>
    <s v="Meals"/>
    <n v="19.440000000000001"/>
    <s v="Corporate Amex"/>
    <m/>
    <s v="Y"/>
    <s v="Meals"/>
    <s v="MATCH"/>
    <x v="0"/>
  </r>
  <r>
    <s v="EXP102976"/>
    <s v="E005"/>
    <s v="ax792557267"/>
    <d v="2026-06-03T00:00:00"/>
    <d v="2026-06-13T00:00:00"/>
    <s v="LYFT RIDE THU"/>
    <s v="4121"/>
    <s v="Transportation"/>
    <n v="38.72"/>
    <s v="Corporate Amex"/>
    <m/>
    <s v="Y"/>
    <s v="Transportation"/>
    <s v="MATCH"/>
    <x v="0"/>
  </r>
  <r>
    <s v="EXP102977"/>
    <s v="E147"/>
    <s v="AX164000330"/>
    <d v="2026-06-11T00:00:00"/>
    <d v="2026-06-13T00:00:00"/>
    <s v="AMAZON MKTPLACE PMTS"/>
    <s v="5942"/>
    <s v="Office Supplies"/>
    <n v="105.34"/>
    <s v="Corporate Amex"/>
    <m/>
    <s v="Y"/>
    <s v="Office Supplies"/>
    <s v="MATCH"/>
    <x v="7"/>
  </r>
  <r>
    <s v="EXP102978"/>
    <s v="E003"/>
    <m/>
    <d v="2026-06-10T00:00:00"/>
    <d v="2026-06-13T00:00:00"/>
    <s v="UBER TRIP HELP.UBER"/>
    <s v="4121"/>
    <s v="Transportation"/>
    <n v="16.93"/>
    <s v="Corporate Amex"/>
    <m/>
    <s v="Y"/>
    <s v="Transportation"/>
    <s v="MATCH"/>
    <x v="0"/>
  </r>
  <r>
    <s v="EXP102979"/>
    <s v="E063"/>
    <m/>
    <d v="2026-06-13T00:00:00"/>
    <d v="2026-06-13T00:00:00"/>
    <s v="YELLOW CAB CO"/>
    <s v="4121"/>
    <s v="Transportation"/>
    <n v="36.96"/>
    <s v="Corporate Amex"/>
    <m/>
    <s v="Y"/>
    <s v="Transportation"/>
    <s v="MATCH"/>
    <x v="0"/>
  </r>
  <r>
    <s v="EXP102980"/>
    <s v="E023"/>
    <m/>
    <d v="2026-06-07T00:00:00"/>
    <d v="2026-06-13T00:00:00"/>
    <s v="ZOOM.US"/>
    <s v="5734"/>
    <m/>
    <n v="38.200000000000003"/>
    <s v="Corporate Amex"/>
    <m/>
    <s v="Y"/>
    <s v="Software"/>
    <s v="BLANK"/>
    <x v="0"/>
  </r>
  <r>
    <s v="EXP102981"/>
    <s v="E225"/>
    <s v="ax624630988"/>
    <d v="2026-06-10T00:00:00"/>
    <d v="2026-06-13T00:00:00"/>
    <s v="ADOBE *CREATIVE CLOUD"/>
    <s v="5734"/>
    <m/>
    <n v="84.69"/>
    <s v="Corporate Amex"/>
    <m/>
    <s v="Y"/>
    <s v="Software"/>
    <s v="BLANK"/>
    <x v="4"/>
  </r>
  <r>
    <s v="EXP102982"/>
    <s v="E068"/>
    <m/>
    <d v="2026-06-08T00:00:00"/>
    <d v="2026-06-13T00:00:00"/>
    <s v="HOOTSUITE INC"/>
    <s v="5734"/>
    <s v="Software"/>
    <n v="243.63"/>
    <s v="Corporate Amex"/>
    <m/>
    <s v="Y"/>
    <s v="Software"/>
    <s v="MATCH"/>
    <x v="0"/>
  </r>
  <r>
    <s v="EXP102983"/>
    <s v="E136"/>
    <s v="AX 723598930"/>
    <d v="2026-06-13T00:00:00"/>
    <d v="2026-06-13T00:00:00"/>
    <s v="AMAZON MKTPLACE PMTS"/>
    <s v="5942"/>
    <s v="Office Supplies"/>
    <n v="330.19"/>
    <s v="Corporate Amex"/>
    <m/>
    <s v="N"/>
    <s v="Office Supplies"/>
    <s v="MATCH"/>
    <x v="7"/>
  </r>
  <r>
    <s v="EXP102984"/>
    <s v="E047"/>
    <s v="AX993850556"/>
    <d v="2026-06-10T00:00:00"/>
    <d v="2026-06-13T00:00:00"/>
    <s v="CHIPOTLE 2214"/>
    <s v="5812"/>
    <s v="Meals"/>
    <n v="9.73"/>
    <s v="Corporate Amex"/>
    <m/>
    <s v="Y"/>
    <s v="Meals"/>
    <s v="MATCH"/>
    <x v="0"/>
  </r>
  <r>
    <s v="EXP102985"/>
    <s v="E118"/>
    <s v="AX 655777590"/>
    <d v="2026-06-03T00:00:00"/>
    <d v="2026-06-13T00:00:00"/>
    <s v="BRANDWATCH LTD"/>
    <s v="5734"/>
    <s v="Software"/>
    <n v="543.05999999999995"/>
    <s v="Corporate Amex"/>
    <m/>
    <s v="Y"/>
    <s v="Software"/>
    <s v="MATCH"/>
    <x v="7"/>
  </r>
  <r>
    <s v="EXP102986"/>
    <s v="E135"/>
    <m/>
    <d v="2026-06-13T00:00:00"/>
    <d v="2026-06-13T00:00:00"/>
    <s v="HOOTSUITE INC"/>
    <s v="5734"/>
    <s v="Software"/>
    <n v="190.63"/>
    <s v="Personal (Reimbursement)"/>
    <s v="Amex declined - vendor doesn't accept Amex"/>
    <s v="Y"/>
    <s v="Software"/>
    <s v="MATCH"/>
    <x v="7"/>
  </r>
  <r>
    <s v="EXP102987"/>
    <s v="E035"/>
    <s v="AX 334075053"/>
    <d v="2026-06-09T00:00:00"/>
    <d v="2026-06-14T00:00:00"/>
    <s v="BRANDWATCH LTD"/>
    <s v="5734"/>
    <s v="Software"/>
    <n v="520.42999999999995"/>
    <s v="Corporate Amex"/>
    <m/>
    <s v="Y"/>
    <s v="Software"/>
    <s v="MATCH"/>
    <x v="0"/>
  </r>
  <r>
    <s v="EXP102988"/>
    <s v="E071"/>
    <s v="AX844682817"/>
    <d v="2026-06-07T00:00:00"/>
    <d v="2026-06-14T00:00:00"/>
    <s v="SOUTHWEST AIR 5261823"/>
    <s v="4511"/>
    <s v="Travel"/>
    <n v="452.52"/>
    <s v="Corporate Amex"/>
    <m/>
    <s v="Y"/>
    <s v="Travel"/>
    <s v="MATCH"/>
    <x v="2"/>
  </r>
  <r>
    <s v="EXP102989"/>
    <s v="E005"/>
    <s v="AX921753269"/>
    <d v="2026-06-09T00:00:00"/>
    <d v="2026-06-14T00:00:00"/>
    <s v="MICROSOFT*365"/>
    <s v="5734"/>
    <s v="Software"/>
    <n v="12.58"/>
    <s v="Corporate Amex"/>
    <m/>
    <s v="Y"/>
    <s v="Software"/>
    <s v="MATCH"/>
    <x v="0"/>
  </r>
  <r>
    <s v="EXP102990"/>
    <s v="E208"/>
    <s v="AX101097194"/>
    <d v="2026-06-14T00:00:00"/>
    <d v="2026-06-14T00:00:00"/>
    <s v="BRANDWATCH LTD"/>
    <s v="5734"/>
    <s v="Software"/>
    <n v="494.7"/>
    <s v="Corporate Amex"/>
    <m/>
    <s v="Y"/>
    <s v="Software"/>
    <s v="MATCH"/>
    <x v="4"/>
  </r>
  <r>
    <s v="EXP102991"/>
    <s v="E273"/>
    <s v="AX 383710382"/>
    <d v="2026-06-14T00:00:00"/>
    <d v="2026-06-14T00:00:00"/>
    <s v="PANERA BREAD #0231"/>
    <s v="5812"/>
    <s v="Meals"/>
    <n v="25.81"/>
    <s v="Corporate Amex"/>
    <m/>
    <s v="Y"/>
    <s v="Meals"/>
    <s v="MATCH"/>
    <x v="3"/>
  </r>
  <r>
    <s v="EXP102992"/>
    <s v="E206"/>
    <s v="ax510897825"/>
    <d v="2026-06-07T00:00:00"/>
    <d v="2026-06-14T00:00:00"/>
    <s v="TOTAL PARTY RENTAL"/>
    <s v="7999"/>
    <s v="Events"/>
    <n v="399.92"/>
    <s v="Corporate Amex"/>
    <m/>
    <s v="Y"/>
    <s v="Events"/>
    <s v="MATCH"/>
    <x v="5"/>
  </r>
  <r>
    <s v="EXP102993"/>
    <s v="E204"/>
    <s v="AX-744429920"/>
    <d v="2026-06-08T00:00:00"/>
    <d v="2026-06-14T00:00:00"/>
    <s v="MICROSOFT*365"/>
    <s v="5734"/>
    <s v="Software"/>
    <n v="20.05"/>
    <s v="Corporate Amex"/>
    <m/>
    <s v="Y"/>
    <s v="Software"/>
    <s v="MATCH"/>
    <x v="5"/>
  </r>
  <r>
    <s v="EXP102994"/>
    <s v="E193"/>
    <s v="AX519250700"/>
    <d v="2026-06-05T00:00:00"/>
    <d v="2026-06-14T00:00:00"/>
    <s v="ADOBE *CREATIVE CLOUD"/>
    <s v="5734"/>
    <s v="Software"/>
    <n v="37.4"/>
    <s v="Corporate Amex"/>
    <m/>
    <s v="N"/>
    <s v="Software"/>
    <s v="MATCH"/>
    <x v="5"/>
  </r>
  <r>
    <s v="EXP102995"/>
    <s v="E126"/>
    <s v="AX288979443"/>
    <d v="2026-06-12T00:00:00"/>
    <d v="2026-06-14T00:00:00"/>
    <s v="STARBUCKS #4471"/>
    <s v="5812"/>
    <s v="Meals"/>
    <n v="8.65"/>
    <s v="Corporate Amex"/>
    <m/>
    <s v="Y"/>
    <s v="Meals"/>
    <s v="MATCH"/>
    <x v="7"/>
  </r>
  <r>
    <s v="EXP102996"/>
    <s v="E118"/>
    <s v="AX867502806"/>
    <d v="2026-06-11T00:00:00"/>
    <d v="2026-06-14T00:00:00"/>
    <s v="OLIVE GARDEN 00456"/>
    <s v="5812"/>
    <s v="Meals"/>
    <n v="95.76"/>
    <s v="Corporate Amex"/>
    <m/>
    <s v="Y"/>
    <s v="Meals"/>
    <s v="MATCH"/>
    <x v="7"/>
  </r>
  <r>
    <s v="EXP102997"/>
    <s v="E130"/>
    <s v="ax337855565"/>
    <d v="2026-06-13T00:00:00"/>
    <d v="2026-06-14T00:00:00"/>
    <s v="CHIPOTLE 2214"/>
    <s v="5812"/>
    <s v="Meals"/>
    <n v="13.03"/>
    <s v="Corporate Amex"/>
    <m/>
    <s v="Y"/>
    <s v="Meals"/>
    <s v="MATCH"/>
    <x v="7"/>
  </r>
  <r>
    <s v="EXP102998"/>
    <s v="E109"/>
    <s v="AX959298227"/>
    <d v="2026-06-11T00:00:00"/>
    <d v="2026-06-14T00:00:00"/>
    <s v="UNITED AIRLINES 0162233"/>
    <s v="4511"/>
    <s v="Travel"/>
    <n v="571.41999999999996"/>
    <s v="Corporate Amex"/>
    <m/>
    <s v="N"/>
    <s v="Travel"/>
    <s v="MATCH"/>
    <x v="2"/>
  </r>
  <r>
    <s v="EXP102999"/>
    <s v="E025"/>
    <s v="ax684047696"/>
    <d v="2026-06-09T00:00:00"/>
    <d v="2026-06-14T00:00:00"/>
    <s v="PANERA BREAD #0231"/>
    <s v="5812"/>
    <s v="Meals"/>
    <n v="20.82"/>
    <s v="Corporate Amex"/>
    <m/>
    <s v="N"/>
    <s v="Meals"/>
    <s v="MATCH"/>
    <x v="0"/>
  </r>
  <r>
    <s v="EXP103000"/>
    <s v="E048"/>
    <s v="AX885450577"/>
    <d v="2026-06-04T00:00:00"/>
    <d v="2026-06-14T00:00:00"/>
    <s v="HYATT REGENCY BOS"/>
    <s v="7011"/>
    <s v="Lodging"/>
    <n v="189.41"/>
    <s v="Corporate Amex"/>
    <m/>
    <s v="Y"/>
    <s v="Lodging"/>
    <s v="MATCH"/>
    <x v="0"/>
  </r>
  <r>
    <s v="EXP103001"/>
    <s v="E257"/>
    <s v="AX 849421480"/>
    <d v="2026-06-05T00:00:00"/>
    <d v="2026-06-14T00:00:00"/>
    <s v="DELTA AIR 00623891045"/>
    <s v="4511"/>
    <s v="  Travel "/>
    <n v="632.79"/>
    <s v="Corporate Amex"/>
    <m/>
    <s v="Y"/>
    <s v="Travel"/>
    <s v="MATCH"/>
    <x v="8"/>
  </r>
  <r>
    <s v="EXP103002"/>
    <s v="E119"/>
    <s v="ax115840774"/>
    <d v="2026-06-07T00:00:00"/>
    <d v="2026-06-14T00:00:00"/>
    <s v="EVENTBRITE"/>
    <s v="7999"/>
    <s v="Events"/>
    <n v="225.27"/>
    <s v="Corporate Amex"/>
    <m/>
    <s v="N"/>
    <s v="Events"/>
    <s v="MATCH"/>
    <x v="7"/>
  </r>
  <r>
    <s v="EXP103003"/>
    <s v="E252"/>
    <s v="AX 979982519"/>
    <d v="2026-06-08T00:00:00"/>
    <d v="2026-06-14T00:00:00"/>
    <s v="ADOBE *CREATIVE CLOUD"/>
    <s v="5734"/>
    <s v="Software"/>
    <n v="84.7"/>
    <s v="Corporate Amex"/>
    <m/>
    <s v="Y"/>
    <s v="Software"/>
    <s v="MATCH"/>
    <x v="1"/>
  </r>
  <r>
    <s v="EXP103004"/>
    <s v="E085"/>
    <s v="AX734853664"/>
    <d v="2026-06-15T00:00:00"/>
    <d v="2026-06-15T00:00:00"/>
    <s v="UNITED AIRLINES 0162233"/>
    <s v="4511"/>
    <s v="Travel"/>
    <n v="306.24"/>
    <s v="Corporate Amex"/>
    <m/>
    <s v="Y"/>
    <s v="Travel"/>
    <s v="MATCH"/>
    <x v="2"/>
  </r>
  <r>
    <s v="EXP103005"/>
    <s v="E119"/>
    <s v="AX-676085679"/>
    <d v="2026-06-10T00:00:00"/>
    <d v="2026-06-15T00:00:00"/>
    <s v="SQ *JOES COFFEE"/>
    <s v="5812"/>
    <s v="Meals"/>
    <n v="11.2"/>
    <s v="Corporate Amex"/>
    <m/>
    <s v="Y"/>
    <s v="Meals"/>
    <s v="MATCH"/>
    <x v="7"/>
  </r>
  <r>
    <s v="EXP103006"/>
    <s v="E016"/>
    <m/>
    <d v="2026-06-06T00:00:00"/>
    <d v="2026-06-15T00:00:00"/>
    <s v="AMC THEATRES 0021"/>
    <s v="7832"/>
    <s v="Entertainment"/>
    <n v="22.7"/>
    <s v="Personal (Reimbursement)"/>
    <s v="Card not yet issued"/>
    <s v="Y"/>
    <s v="Entertainment"/>
    <s v="MATCH"/>
    <x v="0"/>
  </r>
  <r>
    <s v="EXP103007"/>
    <s v="E257"/>
    <s v="AX 231849973"/>
    <d v="2026-06-05T00:00:00"/>
    <d v="2026-06-15T00:00:00"/>
    <s v="SQ *JOES COFFEE"/>
    <s v="5812"/>
    <s v="Meals"/>
    <n v="9.23"/>
    <s v="Corporate Amex"/>
    <m/>
    <s v="Y"/>
    <s v="Meals"/>
    <s v="MATCH"/>
    <x v="8"/>
  </r>
  <r>
    <s v="EXP103008"/>
    <s v="E013"/>
    <m/>
    <d v="2026-06-13T00:00:00"/>
    <d v="2026-06-15T00:00:00"/>
    <s v="OLIVE GARDEN 00456"/>
    <s v="5812"/>
    <s v="Meals"/>
    <n v="45.84"/>
    <s v="Corporate Amex"/>
    <m/>
    <s v="Y"/>
    <s v="Meals"/>
    <s v="MATCH"/>
    <x v="0"/>
  </r>
  <r>
    <s v="EXP103009"/>
    <s v="E231"/>
    <s v="AX280301045"/>
    <d v="2026-06-09T00:00:00"/>
    <d v="2026-06-15T00:00:00"/>
    <s v="SQ *JOES COFFEE"/>
    <s v="5812"/>
    <s v="Meals"/>
    <n v="7.01"/>
    <s v="Corporate Amex"/>
    <m/>
    <s v="Y"/>
    <s v="Meals"/>
    <s v="MATCH"/>
    <x v="4"/>
  </r>
  <r>
    <s v="EXP103010"/>
    <s v="E073"/>
    <s v="AX708352191"/>
    <d v="2026-06-11T00:00:00"/>
    <d v="2026-06-15T00:00:00"/>
    <s v="SQ *THE CORNER BISTRO"/>
    <s v="5812"/>
    <s v="Meals"/>
    <n v="76.790000000000006"/>
    <s v="Corporate Amex"/>
    <m/>
    <s v="Y"/>
    <s v="Meals"/>
    <s v="MATCH"/>
    <x v="2"/>
  </r>
  <r>
    <s v="EXP103011"/>
    <s v="E005"/>
    <s v="AX 563839274"/>
    <d v="2026-06-14T00:00:00"/>
    <d v="2026-06-15T00:00:00"/>
    <s v="HYATT REGENCY BOS"/>
    <s v="7011"/>
    <s v="Lodging"/>
    <n v="347.29"/>
    <s v="Corporate Amex"/>
    <m/>
    <s v="Y"/>
    <s v="Lodging"/>
    <s v="MATCH"/>
    <x v="0"/>
  </r>
  <r>
    <s v="EXP103012"/>
    <s v="E058"/>
    <s v="ax274197305"/>
    <d v="2026-06-08T00:00:00"/>
    <d v="2026-06-15T00:00:00"/>
    <s v="SPROUT SOCIAL"/>
    <s v="5734"/>
    <s v="Software"/>
    <n v="197"/>
    <s v="Corporate Amex"/>
    <m/>
    <s v="Y"/>
    <s v="Software"/>
    <s v="MATCH"/>
    <x v="0"/>
  </r>
  <r>
    <s v="EXP103013"/>
    <s v="E067"/>
    <s v="AX-701160370"/>
    <d v="2026-06-09T00:00:00"/>
    <d v="2026-06-15T00:00:00"/>
    <s v="UNITED AIRLINES 0162233"/>
    <s v="4511"/>
    <s v="Travel"/>
    <n v="292.29000000000002"/>
    <s v="Corporate Amex"/>
    <m/>
    <s v="Y"/>
    <s v="Travel"/>
    <s v="MATCH"/>
    <x v="0"/>
  </r>
  <r>
    <s v="EXP103014"/>
    <s v="E251"/>
    <s v="ax577354106"/>
    <d v="2026-06-07T00:00:00"/>
    <d v="2026-06-15T00:00:00"/>
    <s v="UBER TRIP HELP.UBER"/>
    <s v="4121"/>
    <s v="Transportation"/>
    <n v="36.33"/>
    <s v="Corporate Amex"/>
    <m/>
    <s v="Y"/>
    <s v="Transportation"/>
    <s v="MATCH"/>
    <x v="1"/>
  </r>
  <r>
    <s v="EXP103015"/>
    <s v="E046"/>
    <s v="AX-690811142"/>
    <d v="2026-06-10T00:00:00"/>
    <d v="2026-06-15T00:00:00"/>
    <s v="SPROUT SOCIAL"/>
    <s v="5734"/>
    <s v="Software"/>
    <n v="248.71"/>
    <s v="Corporate Amex"/>
    <m/>
    <s v="Y"/>
    <s v="Software"/>
    <s v="MATCH"/>
    <x v="0"/>
  </r>
  <r>
    <s v="EXP103016"/>
    <s v="E025"/>
    <m/>
    <d v="2026-06-13T00:00:00"/>
    <d v="2026-06-15T00:00:00"/>
    <s v="BRANDWATCH LTD"/>
    <s v="5734"/>
    <s v="Software"/>
    <n v="235.05"/>
    <s v="Personal (Reimbursement)"/>
    <s v="Forgot corporate card"/>
    <s v="Y"/>
    <s v="Software"/>
    <s v="MATCH"/>
    <x v="0"/>
  </r>
  <r>
    <s v="EXP103017"/>
    <s v="E274"/>
    <s v="ax488904547"/>
    <d v="2026-06-10T00:00:00"/>
    <d v="2026-06-15T00:00:00"/>
    <s v="DELTA AIR 00623891045"/>
    <s v="4511"/>
    <s v="Travel"/>
    <n v="483.77"/>
    <s v="Corporate Amex"/>
    <m/>
    <s v="Y"/>
    <s v="Travel"/>
    <s v="MATCH"/>
    <x v="3"/>
  </r>
  <r>
    <s v="EXP103018"/>
    <s v="E111"/>
    <s v="AX-510716785"/>
    <d v="2026-06-14T00:00:00"/>
    <d v="2026-06-15T00:00:00"/>
    <s v="HILTON GARDEN INN 2231"/>
    <s v="7011"/>
    <s v="Lodging"/>
    <n v="224.14"/>
    <s v="Corporate Amex"/>
    <m/>
    <s v="Y"/>
    <s v="Lodging"/>
    <s v="MATCH"/>
    <x v="2"/>
  </r>
  <r>
    <s v="EXP103019"/>
    <s v="E070"/>
    <s v="AX446844237"/>
    <d v="2026-06-15T00:00:00"/>
    <d v="2026-06-15T00:00:00"/>
    <s v="SQ *JOES COFFEE"/>
    <s v="5812"/>
    <s v="Meals"/>
    <n v="19.91"/>
    <s v="Corporate Amex"/>
    <m/>
    <s v="Y"/>
    <s v="Meals"/>
    <s v="MATCH"/>
    <x v="0"/>
  </r>
  <r>
    <s v="EXP103020"/>
    <s v="E213"/>
    <s v="ax538393558"/>
    <d v="2026-06-14T00:00:00"/>
    <d v="2026-06-15T00:00:00"/>
    <s v="BRANDWATCH LTD"/>
    <s v="5734"/>
    <s v="Software"/>
    <n v="592.11"/>
    <s v="Corporate Amex"/>
    <m/>
    <s v="Y"/>
    <s v="Software"/>
    <s v="MATCH"/>
    <x v="4"/>
  </r>
  <r>
    <s v="EXP103021"/>
    <s v="E260"/>
    <m/>
    <d v="2026-06-10T00:00:00"/>
    <d v="2026-06-16T00:00:00"/>
    <s v="SQ *THE CORNER BISTRO"/>
    <s v="5812"/>
    <s v="Meals"/>
    <n v="22"/>
    <s v="Personal (Reimbursement)"/>
    <s v="International merchant - Amex not accepted"/>
    <s v="Y"/>
    <s v="Meals"/>
    <s v="MATCH"/>
    <x v="8"/>
  </r>
  <r>
    <s v="EXP103022"/>
    <s v="E062"/>
    <s v="AX 530457815"/>
    <d v="2026-06-12T00:00:00"/>
    <d v="2026-06-16T00:00:00"/>
    <s v="STARBUCKS #4471"/>
    <s v="5812"/>
    <s v="Meals"/>
    <n v="16.489999999999998"/>
    <s v="Corporate Amex"/>
    <m/>
    <s v="Y"/>
    <s v="Meals"/>
    <s v="MATCH"/>
    <x v="0"/>
  </r>
  <r>
    <s v="EXP103023"/>
    <s v="E065"/>
    <s v="AX 331411885"/>
    <d v="2026-06-09T00:00:00"/>
    <d v="2026-06-16T00:00:00"/>
    <s v="MICROSOFT*365"/>
    <s v="5734"/>
    <s v="Software"/>
    <n v="52.63"/>
    <s v="Corporate Amex"/>
    <m/>
    <s v="Y"/>
    <s v="Software"/>
    <s v="MATCH"/>
    <x v="0"/>
  </r>
  <r>
    <s v="EXP103024"/>
    <s v="E048"/>
    <s v="AX435618898"/>
    <d v="2026-06-12T00:00:00"/>
    <d v="2026-06-16T00:00:00"/>
    <s v="TOTAL PARTY RENTAL"/>
    <s v="7999"/>
    <s v="Events"/>
    <n v="375.57"/>
    <s v="Corporate Amex"/>
    <m/>
    <s v="Y"/>
    <s v="Events"/>
    <s v="MATCH"/>
    <x v="0"/>
  </r>
  <r>
    <s v="EXP103025"/>
    <s v="E008"/>
    <s v="AX473646184"/>
    <d v="2026-06-10T00:00:00"/>
    <d v="2026-06-16T00:00:00"/>
    <s v="STAPLES #0231"/>
    <s v="5943"/>
    <s v="Office Supplies"/>
    <n v="145.66"/>
    <s v="Corporate Amex"/>
    <m/>
    <s v="Y"/>
    <s v="Office Supplies"/>
    <s v="MATCH"/>
    <x v="0"/>
  </r>
  <r>
    <s v="EXP103026"/>
    <s v="E068"/>
    <s v="ax648318501"/>
    <d v="2026-06-13T00:00:00"/>
    <d v="2026-06-16T00:00:00"/>
    <s v="HYATT REGENCY BOS"/>
    <s v="7011"/>
    <s v="Lodging"/>
    <n v="239.09"/>
    <s v="Corporate Amex"/>
    <m/>
    <s v="Y"/>
    <s v="Lodging"/>
    <s v="MATCH"/>
    <x v="0"/>
  </r>
  <r>
    <s v="EXP103027"/>
    <s v="E019"/>
    <s v="AX615331089"/>
    <d v="2026-06-13T00:00:00"/>
    <d v="2026-06-16T00:00:00"/>
    <s v="STAPLES #0231"/>
    <s v="5943"/>
    <s v="Office Supplies"/>
    <n v="54.81"/>
    <s v="Corporate Amex"/>
    <m/>
    <s v="Y"/>
    <s v="Office Supplies"/>
    <s v="MATCH"/>
    <x v="0"/>
  </r>
  <r>
    <s v="EXP103028"/>
    <s v="E056"/>
    <s v="AX-329453987"/>
    <d v="2026-06-12T00:00:00"/>
    <d v="2026-06-16T00:00:00"/>
    <s v="UNITED AIRLINES 0162233"/>
    <s v="4511"/>
    <s v="Travel"/>
    <n v="606.04"/>
    <s v="Corporate Amex"/>
    <m/>
    <s v="Y"/>
    <s v="Travel"/>
    <s v="MATCH"/>
    <x v="0"/>
  </r>
  <r>
    <s v="EXP103029"/>
    <s v="E010"/>
    <s v="AX643034113"/>
    <d v="2026-06-10T00:00:00"/>
    <d v="2026-06-16T00:00:00"/>
    <s v="SQ *THE CORNER BISTRO"/>
    <s v="5812"/>
    <s v="Meals"/>
    <n v="34.74"/>
    <s v="Corporate Amex"/>
    <m/>
    <s v="Y"/>
    <s v="Meals"/>
    <s v="MATCH"/>
    <x v="0"/>
  </r>
  <r>
    <s v="EXP103030"/>
    <s v="E127"/>
    <s v="AX-218276702"/>
    <d v="2026-06-06T00:00:00"/>
    <d v="2026-06-16T00:00:00"/>
    <s v="PANERA BREAD #0231"/>
    <s v="5812"/>
    <s v="Meals"/>
    <n v="16.18"/>
    <s v="Corporate Amex"/>
    <m/>
    <s v="Y"/>
    <s v="Meals"/>
    <s v="MATCH"/>
    <x v="7"/>
  </r>
  <r>
    <s v="EXP103031"/>
    <s v="E176"/>
    <s v="AX878955900"/>
    <d v="2026-06-07T00:00:00"/>
    <d v="2026-06-16T00:00:00"/>
    <s v="ZOOM.US"/>
    <s v="5734"/>
    <s v="Software"/>
    <n v="21.47"/>
    <s v="Corporate Amex"/>
    <m/>
    <s v="Y"/>
    <s v="Software"/>
    <s v="MATCH"/>
    <x v="6"/>
  </r>
  <r>
    <s v="EXP103032"/>
    <s v="E226"/>
    <s v="AX467282718"/>
    <d v="2026-06-16T00:00:00"/>
    <d v="2026-06-16T00:00:00"/>
    <s v="PANERA BREAD #0231"/>
    <s v="5812"/>
    <s v="Meals"/>
    <n v="20.65"/>
    <s v="Corporate Amex"/>
    <m/>
    <s v="N"/>
    <s v="Meals"/>
    <s v="MATCH"/>
    <x v="4"/>
  </r>
  <r>
    <s v="EXP103033"/>
    <s v="E026"/>
    <m/>
    <d v="2026-06-08T00:00:00"/>
    <d v="2026-06-16T00:00:00"/>
    <s v="YELLOW CAB CO"/>
    <s v="4121"/>
    <s v="Travel"/>
    <n v="18.28"/>
    <s v="Personal (Reimbursement)"/>
    <s v="International merchant - Amex not accepted"/>
    <s v="Y"/>
    <s v="Transportation"/>
    <s v="MISMATCH"/>
    <x v="0"/>
  </r>
  <r>
    <s v="EXP103034"/>
    <s v="E064"/>
    <s v="ax453110050"/>
    <d v="2026-06-16T00:00:00"/>
    <d v="2026-06-16T00:00:00"/>
    <s v="UBER TRIP HELP.UBER"/>
    <s v="4121"/>
    <s v="Transportation"/>
    <n v="25.36"/>
    <s v="Corporate Amex"/>
    <m/>
    <s v="Y"/>
    <s v="Transportation"/>
    <s v="MATCH"/>
    <x v="0"/>
  </r>
  <r>
    <s v="EXP103035"/>
    <s v="E037"/>
    <s v="AX 636418103"/>
    <d v="2026-06-07T00:00:00"/>
    <d v="2026-06-16T00:00:00"/>
    <s v="DELTA AIR 00623891045"/>
    <s v="4511"/>
    <s v="Travel"/>
    <n v="551.62"/>
    <s v="Corporate Amex"/>
    <m/>
    <s v="N"/>
    <s v="Travel"/>
    <s v="MATCH"/>
    <x v="0"/>
  </r>
  <r>
    <s v="EXP103036"/>
    <s v="E030"/>
    <s v="AX-501553329"/>
    <d v="2026-06-15T00:00:00"/>
    <d v="2026-06-16T00:00:00"/>
    <s v="SOUTHWEST AIR 5261823"/>
    <s v="4511"/>
    <s v="Travel"/>
    <n v="263.89"/>
    <s v="Corporate Amex"/>
    <m/>
    <s v="Y"/>
    <s v="Travel"/>
    <s v="MATCH"/>
    <x v="0"/>
  </r>
  <r>
    <s v="EXP103037"/>
    <s v="E050"/>
    <s v="ax886778036"/>
    <d v="2026-06-09T00:00:00"/>
    <d v="2026-06-16T00:00:00"/>
    <s v="HYATT REGENCY BOS"/>
    <s v="7011"/>
    <s v="Lodging"/>
    <n v="344.8"/>
    <s v="Corporate Amex"/>
    <m/>
    <s v="Y"/>
    <s v="Lodging"/>
    <s v="MATCH"/>
    <x v="0"/>
  </r>
  <r>
    <s v="EXP103038"/>
    <s v="E018"/>
    <s v="AX-366497511"/>
    <d v="2026-06-14T00:00:00"/>
    <d v="2026-06-16T00:00:00"/>
    <s v="CHIPOTLE 2214"/>
    <s v="5812"/>
    <m/>
    <n v="12.85"/>
    <s v="Corporate Amex"/>
    <m/>
    <s v="Y"/>
    <s v="Meals"/>
    <s v="BLANK"/>
    <x v="0"/>
  </r>
  <r>
    <s v="EXP103039"/>
    <s v="E190"/>
    <s v="AX433297981"/>
    <d v="2026-06-17T00:00:00"/>
    <d v="2026-06-17T00:00:00"/>
    <s v="HYATT REGENCY BOS"/>
    <s v="7011"/>
    <s v="Lodging"/>
    <n v="235.52"/>
    <s v="Corporate Amex"/>
    <m/>
    <s v="N"/>
    <s v="Lodging"/>
    <s v="MATCH"/>
    <x v="5"/>
  </r>
  <r>
    <s v="EXP103040"/>
    <s v="E056"/>
    <s v="AX805036862"/>
    <d v="2026-06-11T00:00:00"/>
    <d v="2026-06-17T00:00:00"/>
    <s v="MARRIOTT #4471"/>
    <s v="7011"/>
    <s v="Lodging"/>
    <n v="159.38"/>
    <s v="Corporate Amex"/>
    <m/>
    <s v="Y"/>
    <s v="Lodging"/>
    <s v="MATCH"/>
    <x v="0"/>
  </r>
  <r>
    <s v="EXP103041"/>
    <s v="E016"/>
    <m/>
    <d v="2026-06-09T00:00:00"/>
    <d v="2026-06-17T00:00:00"/>
    <s v="YELLOW CAB CO"/>
    <s v="4121"/>
    <s v="  Transportation "/>
    <n v="12.57"/>
    <s v="Personal (Reimbursement)"/>
    <s v="Card not yet issued"/>
    <s v="Y"/>
    <s v="Transportation"/>
    <s v="MATCH"/>
    <x v="0"/>
  </r>
  <r>
    <s v="EXP103042"/>
    <s v="E150"/>
    <s v="AX772515874"/>
    <d v="2026-06-12T00:00:00"/>
    <d v="2026-06-17T00:00:00"/>
    <s v="SOUTHWEST AIR 5261823"/>
    <s v="4511"/>
    <s v="Travel"/>
    <n v="429.95"/>
    <s v="Corporate Amex"/>
    <m/>
    <s v="N"/>
    <s v="Travel"/>
    <s v="MATCH"/>
    <x v="7"/>
  </r>
  <r>
    <s v="EXP103043"/>
    <s v="E027"/>
    <s v="AX749521909"/>
    <d v="2026-06-13T00:00:00"/>
    <d v="2026-06-17T00:00:00"/>
    <s v="STAPLES #0231"/>
    <s v="5943"/>
    <s v="Office Supplies"/>
    <n v="145.22999999999999"/>
    <s v="Corporate Amex"/>
    <m/>
    <s v="Y"/>
    <s v="Office Supplies"/>
    <s v="MATCH"/>
    <x v="0"/>
  </r>
  <r>
    <s v="EXP103044"/>
    <s v="E261"/>
    <s v="AX 443535073"/>
    <d v="2026-06-16T00:00:00"/>
    <d v="2026-06-17T00:00:00"/>
    <s v="MICROSOFT*365"/>
    <s v="5734"/>
    <s v="Software"/>
    <n v="43.18"/>
    <s v="Corporate Amex"/>
    <m/>
    <s v="Y"/>
    <s v="Software"/>
    <s v="MATCH"/>
    <x v="3"/>
  </r>
  <r>
    <s v="EXP103045"/>
    <s v="E106"/>
    <s v="AX611875458"/>
    <d v="2026-06-16T00:00:00"/>
    <d v="2026-06-17T00:00:00"/>
    <s v="YELLOW CAB CO"/>
    <s v="4121"/>
    <s v="Transportation"/>
    <n v="51.32"/>
    <s v="Corporate Amex"/>
    <m/>
    <s v="Y"/>
    <s v="Transportation"/>
    <s v="MATCH"/>
    <x v="2"/>
  </r>
  <r>
    <s v="EXP103046"/>
    <s v="E258"/>
    <m/>
    <d v="2026-06-14T00:00:00"/>
    <d v="2026-06-17T00:00:00"/>
    <s v="BRANDWATCH LTD"/>
    <s v="5734"/>
    <s v="Software"/>
    <n v="490.37"/>
    <s v="Personal (Reimbursement)"/>
    <s v="Amex declined - vendor doesn't accept Amex"/>
    <s v="N"/>
    <s v="Software"/>
    <s v="MATCH"/>
    <x v="8"/>
  </r>
  <r>
    <s v="EXP103047"/>
    <s v="E044"/>
    <s v="AX789195067"/>
    <d v="2026-06-09T00:00:00"/>
    <d v="2026-06-17T00:00:00"/>
    <s v="ZOOM.US"/>
    <s v="5734"/>
    <s v="  Software "/>
    <n v="19.329999999999998"/>
    <s v="Corporate Amex"/>
    <m/>
    <s v="Y"/>
    <s v="Software"/>
    <s v="MATCH"/>
    <x v="0"/>
  </r>
  <r>
    <s v="EXP103048"/>
    <s v="E057"/>
    <s v="ax582949884"/>
    <d v="2026-06-11T00:00:00"/>
    <d v="2026-06-17T00:00:00"/>
    <s v="SPROUT SOCIAL"/>
    <s v="5734"/>
    <s v="Software"/>
    <n v="159.19999999999999"/>
    <s v="Corporate Amex"/>
    <m/>
    <s v="Y"/>
    <s v="Software"/>
    <s v="MATCH"/>
    <x v="0"/>
  </r>
  <r>
    <s v="EXP103049"/>
    <s v="E029"/>
    <m/>
    <d v="2026-06-13T00:00:00"/>
    <d v="2026-06-17T00:00:00"/>
    <s v="HOOTSUITE INC"/>
    <s v="5734"/>
    <s v="Software"/>
    <n v="60.9"/>
    <s v="Corporate Amex"/>
    <m/>
    <s v="Y"/>
    <s v="Software"/>
    <s v="MATCH"/>
    <x v="0"/>
  </r>
  <r>
    <s v="EXP103050"/>
    <s v="E137"/>
    <m/>
    <d v="2026-06-12T00:00:00"/>
    <d v="2026-06-17T00:00:00"/>
    <s v="TOTAL PARTY RENTAL"/>
    <s v="7999"/>
    <s v="Events"/>
    <n v="380.66"/>
    <s v="Personal (Reimbursement)"/>
    <s v="Amex declined - vendor doesn't accept Amex"/>
    <s v="N"/>
    <s v="Events"/>
    <s v="MATCH"/>
    <x v="7"/>
  </r>
  <r>
    <s v="EXP103051"/>
    <s v="E200"/>
    <s v="AX 357518983"/>
    <d v="2026-06-14T00:00:00"/>
    <d v="2026-06-17T00:00:00"/>
    <s v="YELLOW CAB CO"/>
    <s v="4121"/>
    <s v="Transportation"/>
    <n v="25.8"/>
    <s v="Corporate Amex"/>
    <m/>
    <s v="Y"/>
    <s v="Transportation"/>
    <s v="MATCH"/>
    <x v="5"/>
  </r>
  <r>
    <s v="EXP103052"/>
    <s v="E041"/>
    <s v="AX371043291"/>
    <d v="2026-06-17T00:00:00"/>
    <d v="2026-06-17T00:00:00"/>
    <s v="YELLOW CAB CO"/>
    <s v="4121"/>
    <s v="Transportation"/>
    <n v="51.54"/>
    <s v="Corporate Amex"/>
    <m/>
    <s v="Y"/>
    <s v="Transportation"/>
    <s v="MATCH"/>
    <x v="0"/>
  </r>
  <r>
    <s v="EXP103053"/>
    <s v="E211"/>
    <s v="AX334796088"/>
    <d v="2026-06-08T00:00:00"/>
    <d v="2026-06-18T00:00:00"/>
    <s v="STARBUCKS #4471"/>
    <s v="5812"/>
    <m/>
    <n v="6.21"/>
    <s v="Corporate Amex"/>
    <m/>
    <s v="Y"/>
    <s v="Meals"/>
    <s v="BLANK"/>
    <x v="4"/>
  </r>
  <r>
    <s v="EXP103054"/>
    <s v="E136"/>
    <m/>
    <d v="2026-06-12T00:00:00"/>
    <d v="2026-06-18T00:00:00"/>
    <s v="AMAZON MKTPLACE PMTS"/>
    <s v="5942"/>
    <m/>
    <n v="450.62"/>
    <s v="Corporate Amex"/>
    <m/>
    <s v="Y"/>
    <s v="Office Supplies"/>
    <s v="BLANK"/>
    <x v="7"/>
  </r>
  <r>
    <s v="EXP103055"/>
    <s v="E018"/>
    <s v="ax263566869"/>
    <d v="2026-06-17T00:00:00"/>
    <d v="2026-06-18T00:00:00"/>
    <s v="SQ *JOES COFFEE"/>
    <s v="5812"/>
    <s v="  Meals "/>
    <n v="7.87"/>
    <s v="Corporate Amex"/>
    <m/>
    <s v="Y"/>
    <s v="Meals"/>
    <s v="MATCH"/>
    <x v="0"/>
  </r>
  <r>
    <s v="EXP103056"/>
    <s v="E058"/>
    <s v="AX-313950586"/>
    <d v="2026-06-08T00:00:00"/>
    <d v="2026-06-18T00:00:00"/>
    <s v="REGION CATERING CO"/>
    <s v="5811"/>
    <s v="Events"/>
    <n v="206.32"/>
    <s v="Corporate Amex"/>
    <m/>
    <s v="Y"/>
    <s v="Events"/>
    <s v="MATCH"/>
    <x v="0"/>
  </r>
  <r>
    <s v="EXP103057"/>
    <s v="E058"/>
    <s v="AX-645923466"/>
    <d v="2026-06-15T00:00:00"/>
    <d v="2026-06-18T00:00:00"/>
    <s v="UBER TRIP HELP.UBER"/>
    <s v="4121"/>
    <s v="Transportation"/>
    <n v="61.99"/>
    <s v="Corporate Amex"/>
    <m/>
    <s v="Y"/>
    <s v="Transportation"/>
    <s v="MATCH"/>
    <x v="0"/>
  </r>
  <r>
    <s v="EXP103058"/>
    <s v="E075"/>
    <s v="ax658163087"/>
    <d v="2026-06-10T00:00:00"/>
    <d v="2026-06-18T00:00:00"/>
    <s v="UNITED AIRLINES 0162233"/>
    <s v="4511"/>
    <s v="Travel"/>
    <n v="421.44"/>
    <s v="Corporate Amex"/>
    <m/>
    <s v="N"/>
    <s v="Travel"/>
    <s v="MATCH"/>
    <x v="2"/>
  </r>
  <r>
    <s v="EXP103059"/>
    <s v="E101"/>
    <s v="ax724855099"/>
    <d v="2026-06-14T00:00:00"/>
    <d v="2026-06-18T00:00:00"/>
    <s v="MARRIOTT #4471"/>
    <s v="7011"/>
    <s v="Lodging"/>
    <n v="156.94999999999999"/>
    <s v="Corporate Amex"/>
    <m/>
    <s v="Y"/>
    <s v="Lodging"/>
    <s v="MATCH"/>
    <x v="2"/>
  </r>
  <r>
    <s v="EXP103060"/>
    <s v="E126"/>
    <m/>
    <d v="2026-06-14T00:00:00"/>
    <d v="2026-06-18T00:00:00"/>
    <s v="STARBUCKS #4471"/>
    <s v="5812"/>
    <s v="Meals"/>
    <n v="6.13"/>
    <s v="Corporate Amex"/>
    <m/>
    <s v="Y"/>
    <s v="Meals"/>
    <s v="MATCH"/>
    <x v="7"/>
  </r>
  <r>
    <s v="EXP103061"/>
    <s v="E029"/>
    <s v="AX 389742045"/>
    <d v="2026-06-13T00:00:00"/>
    <d v="2026-06-18T00:00:00"/>
    <s v="CHIPOTLE 2214"/>
    <s v="5812"/>
    <s v="Meals"/>
    <n v="16"/>
    <s v="Corporate Amex"/>
    <m/>
    <s v="Y"/>
    <s v="Meals"/>
    <s v="MATCH"/>
    <x v="0"/>
  </r>
  <r>
    <s v="EXP103062"/>
    <s v="E250"/>
    <s v="AX-712415538"/>
    <d v="2026-06-18T00:00:00"/>
    <d v="2026-06-18T00:00:00"/>
    <s v="HOOTSUITE INC"/>
    <s v="5734"/>
    <s v="Software"/>
    <n v="205.81"/>
    <s v="Corporate Amex"/>
    <m/>
    <s v="Y"/>
    <s v="Software"/>
    <s v="MATCH"/>
    <x v="1"/>
  </r>
  <r>
    <s v="EXP103063"/>
    <s v="E026"/>
    <s v="ax372340971"/>
    <d v="2026-06-16T00:00:00"/>
    <d v="2026-06-18T00:00:00"/>
    <s v="OLIVE GARDEN 00456"/>
    <s v="5812"/>
    <s v="Meals"/>
    <n v="87.21"/>
    <s v="Corporate Amex"/>
    <m/>
    <s v="Y"/>
    <s v="Meals"/>
    <s v="MATCH"/>
    <x v="0"/>
  </r>
  <r>
    <s v="EXP103064"/>
    <s v="E046"/>
    <s v="ax975939484"/>
    <d v="2026-06-15T00:00:00"/>
    <d v="2026-06-18T00:00:00"/>
    <s v="REGION CATERING CO"/>
    <s v="5811"/>
    <s v="Events"/>
    <n v="270.54000000000002"/>
    <s v="Corporate Amex"/>
    <m/>
    <s v="Y"/>
    <s v="Events"/>
    <s v="MATCH"/>
    <x v="0"/>
  </r>
  <r>
    <s v="EXP103065"/>
    <s v="E064"/>
    <s v="AX385159291"/>
    <d v="2026-06-12T00:00:00"/>
    <d v="2026-06-18T00:00:00"/>
    <s v="BRANDWATCH LTD"/>
    <s v="5734"/>
    <s v="Software"/>
    <n v="565.82000000000005"/>
    <s v="Corporate Amex"/>
    <m/>
    <s v="Y"/>
    <s v="Software"/>
    <s v="MATCH"/>
    <x v="0"/>
  </r>
  <r>
    <s v="EXP103066"/>
    <s v="E125"/>
    <s v="AX858131825"/>
    <d v="2026-06-16T00:00:00"/>
    <d v="2026-06-18T00:00:00"/>
    <s v="ADOBE *CREATIVE CLOUD"/>
    <s v="5734"/>
    <s v="Software"/>
    <n v="57"/>
    <s v="Corporate Amex"/>
    <m/>
    <s v="Y"/>
    <s v="Software"/>
    <s v="MATCH"/>
    <x v="7"/>
  </r>
  <r>
    <s v="EXP103067"/>
    <s v="E225"/>
    <s v="AX115920477"/>
    <d v="2026-06-08T00:00:00"/>
    <d v="2026-06-18T00:00:00"/>
    <s v="SQ *THE CORNER BISTRO"/>
    <s v="5812"/>
    <s v="Events"/>
    <n v="43.02"/>
    <s v="Corporate Amex"/>
    <m/>
    <s v="Y"/>
    <s v="Meals"/>
    <s v="MISMATCH"/>
    <x v="4"/>
  </r>
  <r>
    <s v="EXP103068"/>
    <s v="E014"/>
    <s v="ax963056904"/>
    <d v="2026-06-18T00:00:00"/>
    <d v="2026-06-18T00:00:00"/>
    <s v="EVENTBRITE"/>
    <s v="7999"/>
    <s v="Events"/>
    <n v="37.880000000000003"/>
    <s v="Corporate Amex"/>
    <m/>
    <s v="Y"/>
    <s v="Events"/>
    <s v="MATCH"/>
    <x v="0"/>
  </r>
  <r>
    <s v="EXP103069"/>
    <s v="E011"/>
    <s v="ax202512161"/>
    <d v="2026-06-10T00:00:00"/>
    <d v="2026-06-18T00:00:00"/>
    <s v="PANERA BREAD #0231"/>
    <s v="5812"/>
    <s v="Meals"/>
    <n v="16.920000000000002"/>
    <s v="Corporate Amex"/>
    <m/>
    <s v="Y"/>
    <s v="Meals"/>
    <s v="MATCH"/>
    <x v="0"/>
  </r>
  <r>
    <s v="EXP103070"/>
    <s v="E045"/>
    <m/>
    <d v="2026-06-08T00:00:00"/>
    <d v="2026-06-18T00:00:00"/>
    <s v="REGION CATERING CO"/>
    <s v="5811"/>
    <s v="Events"/>
    <n v="547.29"/>
    <s v="Personal (Reimbursement)"/>
    <s v="Forgot corporate card"/>
    <s v="Y"/>
    <s v="Events"/>
    <s v="MATCH"/>
    <x v="0"/>
  </r>
  <r>
    <s v="EXP103071"/>
    <s v="E147"/>
    <s v="AX 531459187"/>
    <d v="2026-06-14T00:00:00"/>
    <d v="2026-06-19T00:00:00"/>
    <s v="ADOBE *CREATIVE CLOUD"/>
    <s v="5734"/>
    <s v="Software"/>
    <n v="71.72"/>
    <s v="Corporate Amex"/>
    <m/>
    <s v="Y"/>
    <s v="Software"/>
    <s v="MATCH"/>
    <x v="7"/>
  </r>
  <r>
    <s v="EXP103072"/>
    <s v="E228"/>
    <m/>
    <d v="2026-06-16T00:00:00"/>
    <d v="2026-06-19T00:00:00"/>
    <s v="ZOOM.US"/>
    <s v="5734"/>
    <s v="Software"/>
    <n v="41.78"/>
    <s v="Personal (Reimbursement)"/>
    <s v="Card not yet issued"/>
    <s v="Y"/>
    <s v="Software"/>
    <s v="MATCH"/>
    <x v="4"/>
  </r>
  <r>
    <s v="EXP103073"/>
    <s v="E030"/>
    <s v="AX-953039819"/>
    <d v="2026-06-11T00:00:00"/>
    <d v="2026-06-19T00:00:00"/>
    <s v="AMAZON MKTPLACE PMTS"/>
    <s v="5942"/>
    <s v="Office Supplies"/>
    <n v="323.88"/>
    <s v="Corporate Amex"/>
    <m/>
    <s v="Y"/>
    <s v="Office Supplies"/>
    <s v="MATCH"/>
    <x v="0"/>
  </r>
  <r>
    <s v="EXP103074"/>
    <s v="E048"/>
    <m/>
    <d v="2026-06-11T00:00:00"/>
    <d v="2026-06-19T00:00:00"/>
    <s v="LYFT RIDE THU"/>
    <s v="4121"/>
    <s v="Transportation"/>
    <n v="15.32"/>
    <s v="Corporate Amex"/>
    <m/>
    <s v="Y"/>
    <s v="Transportation"/>
    <s v="MATCH"/>
    <x v="0"/>
  </r>
  <r>
    <s v="EXP103075"/>
    <s v="E136"/>
    <s v="AX-264575446"/>
    <d v="2026-06-14T00:00:00"/>
    <d v="2026-06-19T00:00:00"/>
    <s v="SOUTHWEST AIR 5261823"/>
    <s v="4511"/>
    <s v="Travel"/>
    <n v="353.78"/>
    <s v="Corporate Amex"/>
    <m/>
    <s v="Y"/>
    <s v="Travel"/>
    <s v="MATCH"/>
    <x v="7"/>
  </r>
  <r>
    <s v="EXP103076"/>
    <s v="E070"/>
    <s v="ax157356503"/>
    <d v="2026-06-11T00:00:00"/>
    <d v="2026-06-19T00:00:00"/>
    <s v="SPROUT SOCIAL"/>
    <s v="5734"/>
    <s v="Software"/>
    <n v="123.61"/>
    <s v="Corporate Amex"/>
    <m/>
    <s v="Y"/>
    <s v="Software"/>
    <s v="MATCH"/>
    <x v="0"/>
  </r>
  <r>
    <s v="EXP103077"/>
    <s v="E036"/>
    <s v="AX-436704027"/>
    <d v="2026-06-19T00:00:00"/>
    <d v="2026-06-19T00:00:00"/>
    <s v="MARRIOTT #4471"/>
    <s v="7011"/>
    <s v="Lodging"/>
    <n v="150.57"/>
    <s v="Corporate Amex"/>
    <m/>
    <s v="N"/>
    <s v="Lodging"/>
    <s v="MATCH"/>
    <x v="0"/>
  </r>
  <r>
    <s v="EXP103078"/>
    <s v="E067"/>
    <s v="AX991662890"/>
    <d v="2026-06-09T00:00:00"/>
    <d v="2026-06-19T00:00:00"/>
    <s v="SQ *JOES COFFEE"/>
    <s v="5812"/>
    <s v="Meals"/>
    <n v="17.079999999999998"/>
    <s v="Corporate Amex"/>
    <m/>
    <s v="Y"/>
    <s v="Meals"/>
    <s v="MATCH"/>
    <x v="0"/>
  </r>
  <r>
    <s v="EXP103079"/>
    <s v="E020"/>
    <m/>
    <d v="2026-06-19T00:00:00"/>
    <d v="2026-06-19T00:00:00"/>
    <s v=" HOOTSUITE INC"/>
    <s v="5734"/>
    <s v="Software"/>
    <n v="142.28"/>
    <s v="Corporate Amex"/>
    <m/>
    <s v="Y"/>
    <s v="Software"/>
    <s v="MATCH"/>
    <x v="0"/>
  </r>
  <r>
    <s v="EXP103080"/>
    <s v="E139"/>
    <s v="ax640517975"/>
    <d v="2026-06-17T00:00:00"/>
    <d v="2026-06-19T00:00:00"/>
    <s v=" HILTON GARDEN INN 2231"/>
    <s v="7011"/>
    <s v="  Lodging "/>
    <n v="321.33"/>
    <s v="Corporate Amex"/>
    <m/>
    <s v="Y"/>
    <s v="Lodging"/>
    <s v="MATCH"/>
    <x v="7"/>
  </r>
  <r>
    <s v="EXP103081"/>
    <s v="E032"/>
    <s v="AX490140023"/>
    <d v="2026-06-16T00:00:00"/>
    <d v="2026-06-19T00:00:00"/>
    <s v="LYFT RIDE THU"/>
    <s v="4121"/>
    <m/>
    <n v="19.899999999999999"/>
    <s v="Corporate Amex"/>
    <m/>
    <s v="Y"/>
    <s v="Transportation"/>
    <s v="BLANK"/>
    <x v="0"/>
  </r>
  <r>
    <s v="EXP103082"/>
    <s v="E066"/>
    <s v="AX241032173"/>
    <d v="2026-06-17T00:00:00"/>
    <d v="2026-06-19T00:00:00"/>
    <s v="ZOOM.US"/>
    <s v="5734"/>
    <s v="Software"/>
    <n v="34.25"/>
    <s v="Corporate Amex"/>
    <m/>
    <s v="Y"/>
    <s v="Software"/>
    <s v="MATCH"/>
    <x v="0"/>
  </r>
  <r>
    <s v="EXP103083"/>
    <s v="E028"/>
    <s v="AX676413183"/>
    <d v="2026-06-12T00:00:00"/>
    <d v="2026-06-19T00:00:00"/>
    <s v="STAPLES #0231"/>
    <s v="5943"/>
    <s v="Office Supplies"/>
    <n v="86.38"/>
    <s v="Corporate Amex"/>
    <m/>
    <s v="Y"/>
    <s v="Office Supplies"/>
    <s v="MATCH"/>
    <x v="0"/>
  </r>
  <r>
    <s v="EXP103084"/>
    <s v="E004"/>
    <s v="AX660249214"/>
    <d v="2026-06-15T00:00:00"/>
    <d v="2026-06-19T00:00:00"/>
    <s v=" REGION CATERING CO"/>
    <s v="5811"/>
    <s v="Events"/>
    <n v="618.32000000000005"/>
    <s v="Corporate Amex"/>
    <m/>
    <s v="Y"/>
    <s v="Events"/>
    <s v="MATCH"/>
    <x v="0"/>
  </r>
  <r>
    <s v="EXP103085"/>
    <s v="E131"/>
    <s v="AX626212622"/>
    <d v="2026-06-11T00:00:00"/>
    <d v="2026-06-19T00:00:00"/>
    <s v="PANERA BREAD #0231"/>
    <s v="5812"/>
    <s v="Meals"/>
    <n v="19.010000000000002"/>
    <s v="Corporate Amex"/>
    <m/>
    <s v="Y"/>
    <s v="Meals"/>
    <s v="MATCH"/>
    <x v="7"/>
  </r>
  <r>
    <s v="EXP103086"/>
    <s v="E102"/>
    <s v="AX253956700"/>
    <d v="2026-06-12T00:00:00"/>
    <d v="2026-06-19T00:00:00"/>
    <s v="STARBUCKS #4471"/>
    <s v="5812"/>
    <m/>
    <n v="6.03"/>
    <s v="Corporate Amex"/>
    <m/>
    <s v="N"/>
    <s v="Meals"/>
    <s v="BLANK"/>
    <x v="2"/>
  </r>
  <r>
    <s v="EXP103087"/>
    <s v="E049"/>
    <s v="AX204392509"/>
    <d v="2026-06-10T00:00:00"/>
    <d v="2026-06-19T00:00:00"/>
    <s v="AMAZON MKTPLACE PMTS"/>
    <s v="5942"/>
    <s v="Office Supplies"/>
    <n v="366.66"/>
    <s v="Corporate Amex"/>
    <m/>
    <s v="Y"/>
    <s v="Office Supplies"/>
    <s v="MATCH"/>
    <x v="0"/>
  </r>
  <r>
    <s v="EXP103088"/>
    <s v="E006"/>
    <s v="AX815295496"/>
    <d v="2026-06-17T00:00:00"/>
    <d v="2026-06-19T00:00:00"/>
    <s v="REGION CATERING CO"/>
    <s v="5811"/>
    <s v="Events"/>
    <n v="549.32000000000005"/>
    <s v="Corporate Amex"/>
    <m/>
    <s v="Y"/>
    <s v="Events"/>
    <s v="MATCH"/>
    <x v="0"/>
  </r>
  <r>
    <s v="EXP103089"/>
    <s v="E022"/>
    <m/>
    <d v="2026-06-09T00:00:00"/>
    <d v="2026-06-19T00:00:00"/>
    <s v="ZOOM.US"/>
    <s v="5734"/>
    <s v="Software"/>
    <n v="47.04"/>
    <s v="Personal (Reimbursement)"/>
    <s v="Card not yet issued"/>
    <s v="Y"/>
    <s v="Software"/>
    <s v="MATCH"/>
    <x v="0"/>
  </r>
  <r>
    <s v="EXP103090"/>
    <s v="E154"/>
    <s v="AX941233650"/>
    <d v="2026-06-10T00:00:00"/>
    <d v="2026-06-19T00:00:00"/>
    <s v="UNITED AIRLINES 0162233"/>
    <s v="4511"/>
    <s v="Travel"/>
    <n v="366.58"/>
    <s v="Corporate Amex"/>
    <m/>
    <s v="Y"/>
    <s v="Travel"/>
    <s v="MATCH"/>
    <x v="6"/>
  </r>
  <r>
    <s v="EXP103091"/>
    <s v="E123"/>
    <s v="AX478216485"/>
    <d v="2026-05-22T00:00:00"/>
    <d v="2026-06-20T00:00:00"/>
    <s v="TOTAL PARTY RENTAL"/>
    <s v="7999"/>
    <s v="Events"/>
    <n v="383.98"/>
    <s v="Corporate Amex"/>
    <m/>
    <s v="Y"/>
    <s v="Events"/>
    <s v="MATCH"/>
    <x v="7"/>
  </r>
  <r>
    <s v="EXP103092"/>
    <s v="E250"/>
    <m/>
    <d v="2026-03-15T00:00:00"/>
    <d v="2026-06-20T00:00:00"/>
    <s v="MARRIOTT #4471"/>
    <s v="7011"/>
    <s v="Lodging"/>
    <n v="397.09"/>
    <s v="Personal (Reimbursement)"/>
    <s v="Amex declined - vendor doesn't accept Amex"/>
    <s v="Y"/>
    <s v="Lodging"/>
    <s v="MATCH"/>
    <x v="1"/>
  </r>
  <r>
    <s v="EXP103093"/>
    <s v="E050"/>
    <s v="AX520235074"/>
    <d v="2026-05-09T00:00:00"/>
    <d v="2026-06-20T00:00:00"/>
    <s v="HYATT REGENCY BOS"/>
    <s v="7011"/>
    <s v="Lodging"/>
    <n v="364.51"/>
    <s v="Corporate Amex"/>
    <m/>
    <s v="Y"/>
    <s v="Lodging"/>
    <s v="MATCH"/>
    <x v="0"/>
  </r>
  <r>
    <s v="EXP103094"/>
    <s v="E057"/>
    <s v="AX129995520"/>
    <d v="2026-05-05T00:00:00"/>
    <d v="2026-06-20T00:00:00"/>
    <s v="DELTA AIR 00623891045"/>
    <s v="4511"/>
    <s v="Meals"/>
    <n v="611.59"/>
    <s v="Corporate Amex"/>
    <m/>
    <s v="Y"/>
    <s v="Travel"/>
    <s v="MISMATCH"/>
    <x v="0"/>
  </r>
  <r>
    <s v="EXP103095"/>
    <s v="E258"/>
    <s v="AX715761910"/>
    <d v="2026-02-09T00:00:00"/>
    <d v="2026-06-20T00:00:00"/>
    <s v="HOOTSUITE INC"/>
    <s v="5734"/>
    <s v="Software"/>
    <n v="108.56"/>
    <s v="Corporate Amex"/>
    <m/>
    <s v="Y"/>
    <s v="Software"/>
    <s v="MATCH"/>
    <x v="8"/>
  </r>
  <r>
    <s v="EXP103096"/>
    <s v="E258"/>
    <m/>
    <d v="2026-06-10T00:00:00"/>
    <d v="2026-06-20T00:00:00"/>
    <s v="CHIPOTLE 2214"/>
    <s v="5812"/>
    <s v="Meals"/>
    <n v="10.44"/>
    <s v="Personal (Reimbursement)"/>
    <s v="International merchant - Amex not accepted"/>
    <s v="Y"/>
    <s v="Meals"/>
    <s v="MATCH"/>
    <x v="8"/>
  </r>
  <r>
    <s v="EXP103097"/>
    <s v="E006"/>
    <s v="ax505424488"/>
    <d v="2026-06-18T00:00:00"/>
    <d v="2026-06-20T00:00:00"/>
    <s v="CHIPOTLE 2214"/>
    <s v="5812"/>
    <s v="Meals"/>
    <n v="19.68"/>
    <s v="Corporate Amex"/>
    <m/>
    <s v="Y"/>
    <s v="Meals"/>
    <s v="MATCH"/>
    <x v="0"/>
  </r>
  <r>
    <s v="EXP103098"/>
    <s v="E066"/>
    <s v="ax105080872"/>
    <d v="2026-06-18T00:00:00"/>
    <d v="2026-06-20T00:00:00"/>
    <s v="ZOOM.US"/>
    <s v="5734"/>
    <s v="Software"/>
    <n v="17.61"/>
    <s v="Corporate Amex"/>
    <m/>
    <s v="Y"/>
    <s v="Software"/>
    <s v="MATCH"/>
    <x v="0"/>
  </r>
  <r>
    <s v="EXP103099"/>
    <s v="E027"/>
    <s v="AX759738293"/>
    <d v="2026-06-12T00:00:00"/>
    <d v="2026-06-20T00:00:00"/>
    <s v="DELTA AIR 00623891045"/>
    <s v="4511"/>
    <s v="Travel"/>
    <n v="425.82"/>
    <s v="Corporate Amex"/>
    <m/>
    <s v="Y"/>
    <s v="Travel"/>
    <s v="MATCH"/>
    <x v="0"/>
  </r>
  <r>
    <s v="EXP103100"/>
    <s v="E060"/>
    <s v="ax260022318"/>
    <d v="2026-06-11T00:00:00"/>
    <d v="2026-06-20T00:00:00"/>
    <s v="STAPLES #0231"/>
    <s v="5943"/>
    <s v="Office Supplies"/>
    <n v="54.91"/>
    <s v="Corporate Amex"/>
    <m/>
    <s v="Y"/>
    <s v="Office Supplies"/>
    <s v="MATCH"/>
    <x v="0"/>
  </r>
  <r>
    <s v="EXP103101"/>
    <s v="E071"/>
    <s v="ax336244035"/>
    <d v="2026-05-19T00:00:00"/>
    <d v="2026-06-20T00:00:00"/>
    <s v="STARBUCKS #4471"/>
    <s v="5812"/>
    <s v="Meals"/>
    <n v="14.32"/>
    <s v="Corporate Amex"/>
    <m/>
    <s v="Y"/>
    <s v="Meals"/>
    <s v="MATCH"/>
    <x v="2"/>
  </r>
  <r>
    <s v="EXP103102"/>
    <s v="E003"/>
    <s v="AX920642764"/>
    <d v="2026-01-09T00:00:00"/>
    <d v="2026-06-20T00:00:00"/>
    <s v="SPROUT SOCIAL"/>
    <s v="5734"/>
    <s v="Software"/>
    <n v="128.87"/>
    <s v="Corporate Amex"/>
    <m/>
    <s v="Y"/>
    <s v="Software"/>
    <s v="MATCH"/>
    <x v="0"/>
  </r>
  <r>
    <s v="EXP103103"/>
    <s v="E106"/>
    <s v="AX700238891"/>
    <d v="2026-06-17T00:00:00"/>
    <d v="2026-06-20T00:00:00"/>
    <s v="DELTA AIR 00623891045"/>
    <s v="4511"/>
    <m/>
    <n v="599.91999999999996"/>
    <s v="Corporate Amex"/>
    <m/>
    <s v="Y"/>
    <s v="Travel"/>
    <s v="BLANK"/>
    <x v="2"/>
  </r>
  <r>
    <s v="EXP103104"/>
    <s v="E068"/>
    <s v="AX777879406"/>
    <d v="2026-02-01T00:00:00"/>
    <d v="2026-06-20T00:00:00"/>
    <s v="DELTA AIR 00623891045"/>
    <s v="4511"/>
    <s v="Transportation"/>
    <n v="528.74"/>
    <s v="Corporate Amex"/>
    <m/>
    <s v="Y"/>
    <s v="Travel"/>
    <s v="MISMATCH"/>
    <x v="0"/>
  </r>
  <r>
    <s v="EXP103105"/>
    <s v="E119"/>
    <s v="AX143440876"/>
    <d v="2026-05-27T00:00:00"/>
    <d v="2026-06-20T00:00:00"/>
    <s v="UBER TRIP HELP.UBER"/>
    <s v="4121"/>
    <s v="Transportation"/>
    <n v="51.01"/>
    <s v="Corporate Amex"/>
    <m/>
    <s v="Y"/>
    <s v="Transportation"/>
    <s v="MATCH"/>
    <x v="7"/>
  </r>
  <r>
    <s v="EXP103106"/>
    <s v="E142"/>
    <s v="AX-350223257"/>
    <d v="2026-06-12T00:00:00"/>
    <d v="2026-06-20T00:00:00"/>
    <s v="HYATT REGENCY BOS"/>
    <s v="7011"/>
    <s v="  Lodging "/>
    <n v="224.38"/>
    <s v="Corporate Amex"/>
    <m/>
    <s v="Y"/>
    <s v="Lodging"/>
    <s v="MATCH"/>
    <x v="7"/>
  </r>
  <r>
    <s v="EXP103107"/>
    <s v="E029"/>
    <s v="AX 841145193"/>
    <d v="2026-06-10T00:00:00"/>
    <d v="2026-06-20T00:00:00"/>
    <s v="REGION CATERING CO"/>
    <s v="5811"/>
    <s v="Events"/>
    <n v="446.55"/>
    <s v="Corporate Amex"/>
    <m/>
    <s v="Y"/>
    <s v="Events"/>
    <s v="MATCH"/>
    <x v="0"/>
  </r>
  <r>
    <s v="EXP103108"/>
    <s v="E041"/>
    <s v="ax905673317"/>
    <d v="2026-01-26T00:00:00"/>
    <d v="2026-06-20T00:00:00"/>
    <s v="HYATT REGENCY BOS"/>
    <s v="7011"/>
    <s v="Lodging"/>
    <n v="430.94"/>
    <s v="Corporate Amex"/>
    <m/>
    <s v="Y"/>
    <s v="Lodging"/>
    <s v="MATCH"/>
    <x v="0"/>
  </r>
  <r>
    <s v="EXP103109"/>
    <s v="E041"/>
    <s v="AX 181585809"/>
    <d v="2026-03-01T00:00:00"/>
    <d v="2026-06-20T00:00:00"/>
    <s v="HOOTSUITE INC"/>
    <s v="5734"/>
    <s v="Software"/>
    <n v="222.04"/>
    <s v="Corporate Amex"/>
    <m/>
    <s v="Y"/>
    <s v="Software"/>
    <s v="MATCH"/>
    <x v="0"/>
  </r>
  <r>
    <s v="EXP103110"/>
    <s v="E054"/>
    <s v="AX888002352"/>
    <d v="2026-01-23T00:00:00"/>
    <d v="2026-06-20T00:00:00"/>
    <s v=" CHIPOTLE 2214"/>
    <s v="5812"/>
    <s v="Meals"/>
    <n v="17.8"/>
    <s v="Corporate Amex"/>
    <m/>
    <s v="Y"/>
    <s v="Meals"/>
    <s v="MATCH"/>
    <x v="0"/>
  </r>
  <r>
    <s v="EXP103111"/>
    <s v="E062"/>
    <s v="ax189213255"/>
    <d v="2026-06-16T00:00:00"/>
    <d v="2026-06-20T00:00:00"/>
    <s v="ADOBE *CREATIVE CLOUD"/>
    <s v="5734"/>
    <s v="Software"/>
    <n v="76.48"/>
    <s v="Corporate Amex"/>
    <m/>
    <s v="Y"/>
    <s v="Software"/>
    <s v="MATCH"/>
    <x v="0"/>
  </r>
  <r>
    <s v="EXP103112"/>
    <s v="E275"/>
    <s v="AX-852222375"/>
    <d v="2026-06-16T00:00:00"/>
    <d v="2026-06-20T00:00:00"/>
    <s v="YELLOW CAB CO"/>
    <s v="4121"/>
    <m/>
    <n v="33.21"/>
    <s v="Corporate Amex"/>
    <m/>
    <s v="Y"/>
    <s v="Transportation"/>
    <s v="BLANK"/>
    <x v="3"/>
  </r>
  <r>
    <s v="EXP103113"/>
    <s v="E070"/>
    <m/>
    <d v="2026-06-12T00:00:00"/>
    <d v="2026-06-20T00:00:00"/>
    <s v="HOOTSUITE INC"/>
    <s v="5734"/>
    <s v="Software"/>
    <n v="204.92"/>
    <s v="Corporate Amex"/>
    <m/>
    <s v="Y"/>
    <s v="Software"/>
    <s v="MATCH"/>
    <x v="0"/>
  </r>
  <r>
    <s v="EXP103114"/>
    <s v="E059"/>
    <s v="AX620204370"/>
    <d v="2026-06-19T00:00:00"/>
    <d v="2026-06-20T00:00:00"/>
    <s v="YELLOW CAB CO"/>
    <s v="4121"/>
    <s v="Transportation"/>
    <n v="28.7"/>
    <s v="Corporate Amex"/>
    <m/>
    <s v="Y"/>
    <s v="Transportation"/>
    <s v="MATCH"/>
    <x v="0"/>
  </r>
  <r>
    <s v="EXP103115"/>
    <s v="E063"/>
    <s v="AX-713530304"/>
    <d v="2026-03-29T00:00:00"/>
    <d v="2026-06-20T00:00:00"/>
    <s v="MARRIOTT #4471"/>
    <s v="7011"/>
    <s v="Lodging"/>
    <n v="407.34"/>
    <s v="Corporate Amex"/>
    <m/>
    <s v="Y"/>
    <s v="Lodging"/>
    <s v="MATCH"/>
    <x v="0"/>
  </r>
  <r>
    <s v="EXP103116"/>
    <s v="E127"/>
    <s v="AX390661988"/>
    <d v="2026-06-25T00:00:00"/>
    <d v="2026-06-20T00:00:00"/>
    <s v="LYFT RIDE THU"/>
    <s v="4121"/>
    <s v="Transportation"/>
    <n v="16.21"/>
    <s v="Corporate Amex"/>
    <m/>
    <s v="Y"/>
    <s v="Transportation"/>
    <s v="MATCH"/>
    <x v="7"/>
  </r>
  <r>
    <s v="EXP103117"/>
    <s v="E001"/>
    <s v="AX 134317726"/>
    <d v="2026-06-11T00:00:00"/>
    <d v="2026-06-20T00:00:00"/>
    <s v="DELTA AIR 00623891045"/>
    <s v="4511"/>
    <s v="Travel"/>
    <n v="527.44000000000005"/>
    <s v="Corporate Amex"/>
    <m/>
    <s v="Y"/>
    <s v="Travel"/>
    <s v="MATCH"/>
    <x v="0"/>
  </r>
  <r>
    <s v="EXP103118"/>
    <s v="E058"/>
    <s v="AX 574197125"/>
    <d v="2026-06-20T00:00:00"/>
    <d v="2026-06-20T00:00:00"/>
    <s v="HILTON GARDEN INN 2231"/>
    <s v="7011"/>
    <m/>
    <n v="192.21"/>
    <s v="Corporate Amex"/>
    <m/>
    <s v="Y"/>
    <s v="Lodging"/>
    <s v="BLANK"/>
    <x v="0"/>
  </r>
  <r>
    <s v="EXP103119"/>
    <s v="E058"/>
    <s v="AX-821776493"/>
    <d v="2026-06-10T00:00:00"/>
    <d v="2026-06-20T00:00:00"/>
    <s v="CHIPOTLE 2214"/>
    <s v="5812"/>
    <s v="Meals"/>
    <n v="16.399999999999999"/>
    <s v="Corporate Amex"/>
    <m/>
    <s v="Y"/>
    <s v="Meals"/>
    <s v="MATCH"/>
    <x v="0"/>
  </r>
  <r>
    <s v="EXP103120"/>
    <s v="E058"/>
    <s v="AX513455067"/>
    <d v="2026-06-17T00:00:00"/>
    <d v="2026-06-20T00:00:00"/>
    <s v="ZOOM.US"/>
    <s v="5734"/>
    <s v="Software"/>
    <n v="41.07"/>
    <s v="Corporate Amex"/>
    <m/>
    <s v="Y"/>
    <s v="Software"/>
    <s v="MATCH"/>
    <x v="0"/>
  </r>
  <r>
    <s v="EXP103121"/>
    <s v="E085"/>
    <s v="AX-846610439"/>
    <d v="2026-03-12T00:00:00"/>
    <d v="2026-06-20T00:00:00"/>
    <s v="HILTON GARDEN INN 2231"/>
    <s v="7011"/>
    <s v="Lodging"/>
    <n v="334.38"/>
    <s v="Corporate Amex"/>
    <m/>
    <s v="Y"/>
    <s v="Lodging"/>
    <s v="MATCH"/>
    <x v="2"/>
  </r>
  <r>
    <s v="EXP103122"/>
    <s v="E096"/>
    <s v="ax305711937"/>
    <d v="2026-06-10T00:00:00"/>
    <d v="2026-06-20T00:00:00"/>
    <s v=" TOTAL PARTY RENTAL"/>
    <s v="7999"/>
    <m/>
    <n v="167.12"/>
    <s v="Corporate Amex"/>
    <m/>
    <s v="N"/>
    <s v="Events"/>
    <s v="BLANK"/>
    <x v="2"/>
  </r>
  <r>
    <s v="EXP103123"/>
    <s v="E266"/>
    <s v="AX792101199"/>
    <d v="2026-06-18T00:00:00"/>
    <d v="2026-06-20T00:00:00"/>
    <s v="STARBUCKS #4471"/>
    <s v="5812"/>
    <s v="Meals"/>
    <n v="6.78"/>
    <s v="Corporate Amex"/>
    <m/>
    <s v="Y"/>
    <s v="Meals"/>
    <s v="MATCH"/>
    <x v="3"/>
  </r>
  <r>
    <s v="EXP103124"/>
    <s v="E093"/>
    <s v="AX662973391"/>
    <d v="2026-06-12T00:00:00"/>
    <d v="2026-06-20T00:00:00"/>
    <s v="UNITED AIRLINES 0162233"/>
    <s v="4511"/>
    <s v="Travel"/>
    <n v="199.69"/>
    <s v="Corporate Amex"/>
    <m/>
    <s v="Y"/>
    <s v="Travel"/>
    <s v="MATCH"/>
    <x v="2"/>
  </r>
  <r>
    <s v="EXP103125"/>
    <s v="E264"/>
    <s v="AX 816423329"/>
    <d v="2026-02-25T00:00:00"/>
    <d v="2026-06-20T00:00:00"/>
    <s v="ADOBE *CREATIVE CLOUD"/>
    <s v="5734"/>
    <m/>
    <n v="80.64"/>
    <s v="Corporate Amex"/>
    <m/>
    <s v="Y"/>
    <s v="Software"/>
    <s v="BLANK"/>
    <x v="3"/>
  </r>
  <r>
    <s v="EXP103126"/>
    <s v="E108"/>
    <s v="ax635155742"/>
    <d v="2026-01-01T00:00:00"/>
    <d v="2026-06-21T00:00:00"/>
    <s v=" STAPLES #0231"/>
    <s v="5943"/>
    <s v="Office Supplies"/>
    <n v="31.81"/>
    <s v="Corporate Amex"/>
    <m/>
    <s v="Y"/>
    <s v="Office Supplies"/>
    <s v="MATCH"/>
    <x v="2"/>
  </r>
  <r>
    <s v="EXP103127"/>
    <s v="E046"/>
    <s v="AX-143592180"/>
    <d v="2026-06-18T00:00:00"/>
    <d v="2026-06-21T00:00:00"/>
    <s v="REGION CATERING CO"/>
    <s v="5811"/>
    <s v="Events"/>
    <n v="257.06"/>
    <s v="Corporate Amex"/>
    <m/>
    <s v="N"/>
    <s v="Events"/>
    <s v="MATCH"/>
    <x v="0"/>
  </r>
  <r>
    <s v="EXP103128"/>
    <s v="E046"/>
    <s v="AX732410604"/>
    <d v="2026-06-21T00:00:00"/>
    <d v="2026-06-21T00:00:00"/>
    <s v="EVENTBRITE"/>
    <s v="7999"/>
    <s v="Events"/>
    <n v="115.47"/>
    <s v="Corporate Amex"/>
    <m/>
    <s v="Y"/>
    <s v="Events"/>
    <s v="MATCH"/>
    <x v="0"/>
  </r>
  <r>
    <s v="EXP103129"/>
    <s v="E034"/>
    <s v="AX576357328"/>
    <d v="2026-06-22T00:00:00"/>
    <d v="2026-06-21T00:00:00"/>
    <s v="ADOBE *CREATIVE CLOUD"/>
    <s v="5734"/>
    <s v="Software"/>
    <n v="74.900000000000006"/>
    <s v="Corporate Amex"/>
    <m/>
    <s v="Y"/>
    <s v="Software"/>
    <s v="MATCH"/>
    <x v="0"/>
  </r>
  <r>
    <s v="EXP103130"/>
    <s v="E013"/>
    <s v="AX709450763"/>
    <d v="2026-06-13T00:00:00"/>
    <d v="2026-06-21T00:00:00"/>
    <s v="CHIPOTLE 2214"/>
    <s v="5812"/>
    <s v="Meals"/>
    <n v="11.91"/>
    <s v="Corporate Amex"/>
    <m/>
    <s v="N"/>
    <s v="Meals"/>
    <s v="MATCH"/>
    <x v="0"/>
  </r>
  <r>
    <s v="EXP103131"/>
    <s v="E058"/>
    <s v="AX 894707031"/>
    <d v="2026-06-17T00:00:00"/>
    <d v="2026-06-21T00:00:00"/>
    <s v="PANERA BREAD #0231"/>
    <s v="5812"/>
    <s v="Meals"/>
    <n v="23.87"/>
    <s v="Corporate Amex"/>
    <m/>
    <s v="Y"/>
    <s v="Meals"/>
    <s v="MATCH"/>
    <x v="0"/>
  </r>
  <r>
    <s v="EXP103132"/>
    <s v="E020"/>
    <m/>
    <d v="2026-03-30T00:00:00"/>
    <d v="2026-06-21T00:00:00"/>
    <s v="MICROSOFT*365"/>
    <s v="5734"/>
    <s v="Software"/>
    <n v="18.28"/>
    <s v="Corporate Amex"/>
    <m/>
    <s v="Y"/>
    <s v="Software"/>
    <s v="MATCH"/>
    <x v="0"/>
  </r>
  <r>
    <s v="EXP103133"/>
    <s v="E020"/>
    <s v="AX 169874697"/>
    <d v="2026-06-16T00:00:00"/>
    <d v="2026-06-21T00:00:00"/>
    <s v="LYFT RIDE THU"/>
    <s v="4121"/>
    <s v="  Transportation "/>
    <n v="15.08"/>
    <s v="Corporate Amex"/>
    <m/>
    <s v="Y"/>
    <s v="Transportation"/>
    <s v="MATCH"/>
    <x v="0"/>
  </r>
  <r>
    <s v="EXP103134"/>
    <s v="E020"/>
    <m/>
    <d v="2026-06-12T00:00:00"/>
    <d v="2026-06-21T00:00:00"/>
    <s v="EVENTBRITE"/>
    <s v="7999"/>
    <s v="Events"/>
    <n v="135.07"/>
    <s v="Personal (Reimbursement)"/>
    <s v="Amex declined - vendor doesn't accept Amex"/>
    <s v="Y"/>
    <s v="Events"/>
    <s v="MATCH"/>
    <x v="0"/>
  </r>
  <r>
    <s v="EXP103135"/>
    <s v="E015"/>
    <s v="AX976485996"/>
    <d v="2026-02-05T00:00:00"/>
    <d v="2026-06-21T00:00:00"/>
    <s v="HOOTSUITE INC"/>
    <s v="5734"/>
    <s v="Transportation"/>
    <n v="64.2"/>
    <s v="Corporate Amex"/>
    <m/>
    <s v="Y"/>
    <s v="Software"/>
    <s v="MISMATCH"/>
    <x v="0"/>
  </r>
  <r>
    <s v="EXP103136"/>
    <s v="E015"/>
    <s v="AX-769302863"/>
    <d v="2026-01-25T00:00:00"/>
    <d v="2026-06-21T00:00:00"/>
    <s v="SQ *THE CORNER BISTRO"/>
    <s v="5812"/>
    <s v="Meals"/>
    <n v="84.5"/>
    <s v="Corporate Amex"/>
    <m/>
    <s v="Y"/>
    <s v="Meals"/>
    <s v="MATCH"/>
    <x v="0"/>
  </r>
  <r>
    <s v="EXP103137"/>
    <s v="E135"/>
    <m/>
    <d v="2026-05-26T00:00:00"/>
    <d v="2026-06-21T00:00:00"/>
    <s v="UBER TRIP HELP.UBER"/>
    <s v="4121"/>
    <s v="Transportation"/>
    <n v="36.68"/>
    <s v="Personal (Reimbursement)"/>
    <s v="Forgot corporate card"/>
    <s v="Y"/>
    <s v="Transportation"/>
    <s v="MATCH"/>
    <x v="7"/>
  </r>
  <r>
    <s v="EXP103138"/>
    <s v="E025"/>
    <s v="ax409461045"/>
    <d v="2026-01-22T00:00:00"/>
    <d v="2026-06-21T00:00:00"/>
    <s v="LYFT RIDE THU"/>
    <s v="4121"/>
    <s v="Transportation"/>
    <n v="13.9"/>
    <s v="Corporate Amex"/>
    <m/>
    <s v="N"/>
    <s v="Transportation"/>
    <s v="MATCH"/>
    <x v="0"/>
  </r>
  <r>
    <s v="EXP103139"/>
    <s v="E156"/>
    <s v="AX-772078022"/>
    <d v="2026-03-27T00:00:00"/>
    <d v="2026-06-21T00:00:00"/>
    <s v="CHIPOTLE 2214"/>
    <s v="5812"/>
    <s v="Meals"/>
    <n v="10.97"/>
    <s v="Corporate Amex"/>
    <m/>
    <s v="Y"/>
    <s v="Meals"/>
    <s v="MATCH"/>
    <x v="6"/>
  </r>
  <r>
    <s v="EXP103140"/>
    <s v="E156"/>
    <s v="AX750517812"/>
    <d v="2026-06-20T00:00:00"/>
    <d v="2026-06-21T00:00:00"/>
    <s v="REGION CATERING CO"/>
    <s v="5811"/>
    <s v="Events"/>
    <n v="137.4"/>
    <s v="Corporate Amex"/>
    <m/>
    <s v="Y"/>
    <s v="Events"/>
    <s v="MATCH"/>
    <x v="6"/>
  </r>
  <r>
    <s v="EXP103141"/>
    <s v="E132"/>
    <s v="AX 774909701"/>
    <d v="2026-06-15T00:00:00"/>
    <d v="2026-06-21T00:00:00"/>
    <s v="SQ *THE CORNER BISTRO"/>
    <s v="5812"/>
    <s v="Meals"/>
    <n v="82.86"/>
    <s v="Corporate Amex"/>
    <m/>
    <s v="Y"/>
    <s v="Meals"/>
    <s v="MATCH"/>
    <x v="7"/>
  </r>
  <r>
    <s v="EXP103142"/>
    <s v="E224"/>
    <s v="AX-477439493"/>
    <d v="2026-02-06T00:00:00"/>
    <d v="2026-06-21T00:00:00"/>
    <s v="AMAZON MKTPLACE PMTS"/>
    <s v="5942"/>
    <s v="Office Supplies"/>
    <n v="400.08"/>
    <s v="Corporate Amex"/>
    <m/>
    <s v="Y"/>
    <s v="Office Supplies"/>
    <s v="MATCH"/>
    <x v="4"/>
  </r>
  <r>
    <s v="EXP103143"/>
    <s v="E008"/>
    <s v="AX-941125232"/>
    <d v="2026-06-12T00:00:00"/>
    <d v="2026-06-21T00:00:00"/>
    <s v="SQ *THE CORNER BISTRO"/>
    <s v="5812"/>
    <s v="Meals"/>
    <n v="60.74"/>
    <s v="Corporate Amex"/>
    <m/>
    <s v="Y"/>
    <s v="Meals"/>
    <s v="MATCH"/>
    <x v="0"/>
  </r>
  <r>
    <s v="EXP103144"/>
    <s v="E233"/>
    <s v="AX 539115044"/>
    <d v="2026-03-06T00:00:00"/>
    <d v="2026-06-21T00:00:00"/>
    <s v="HOOTSUITE INC"/>
    <s v="5734"/>
    <m/>
    <n v="128.43"/>
    <s v="Corporate Amex"/>
    <m/>
    <s v="Y"/>
    <s v="Software"/>
    <s v="BLANK"/>
    <x v="1"/>
  </r>
  <r>
    <s v="EXP103145"/>
    <s v="E050"/>
    <s v="AX739121905"/>
    <d v="2026-04-18T00:00:00"/>
    <d v="2026-06-21T00:00:00"/>
    <s v="REGION CATERING CO"/>
    <s v="5811"/>
    <s v="Events"/>
    <n v="665.6"/>
    <s v="Corporate Amex"/>
    <m/>
    <s v="Y"/>
    <s v="Events"/>
    <s v="MATCH"/>
    <x v="0"/>
  </r>
  <r>
    <s v="EXP103146"/>
    <s v="E263"/>
    <s v="AX-483263429"/>
    <d v="2026-06-21T00:00:00"/>
    <d v="2026-06-21T00:00:00"/>
    <s v="PANERA BREAD #0231"/>
    <s v="5812"/>
    <s v="Meals"/>
    <n v="21.83"/>
    <s v="Corporate Amex"/>
    <m/>
    <s v="N"/>
    <s v="Meals"/>
    <s v="MATCH"/>
    <x v="3"/>
  </r>
  <r>
    <s v="EXP103147"/>
    <s v="E057"/>
    <s v="AX681256051"/>
    <d v="2026-06-18T00:00:00"/>
    <d v="2026-06-21T00:00:00"/>
    <s v=" SPROUT SOCIAL"/>
    <s v="5734"/>
    <s v="Software"/>
    <n v="221.74"/>
    <s v="Corporate Amex"/>
    <m/>
    <s v="Y"/>
    <s v="Software"/>
    <s v="MATCH"/>
    <x v="0"/>
  </r>
  <r>
    <s v="EXP103148"/>
    <s v="E149"/>
    <s v="ax407210301"/>
    <d v="2026-01-14T00:00:00"/>
    <d v="2026-06-21T00:00:00"/>
    <s v="LYFT RIDE THU"/>
    <s v="4121"/>
    <s v="Transportation"/>
    <n v="34.72"/>
    <s v="Corporate Amex"/>
    <m/>
    <s v="Y"/>
    <s v="Transportation"/>
    <s v="MATCH"/>
    <x v="7"/>
  </r>
  <r>
    <s v="EXP103149"/>
    <s v="E274"/>
    <m/>
    <d v="2026-04-30T00:00:00"/>
    <d v="2026-06-21T00:00:00"/>
    <s v="STAPLES #0231"/>
    <s v="5943"/>
    <s v="Office Supplies"/>
    <n v="116.9"/>
    <s v="Personal (Reimbursement)"/>
    <s v="Forgot corporate card"/>
    <s v="Y"/>
    <s v="Office Supplies"/>
    <s v="MATCH"/>
    <x v="3"/>
  </r>
  <r>
    <s v="EXP103150"/>
    <s v="E012"/>
    <m/>
    <d v="2026-05-21T00:00:00"/>
    <d v="2026-06-21T00:00:00"/>
    <s v="TOPGOLF #442"/>
    <s v="7997"/>
    <s v="Entertainment"/>
    <n v="213.27"/>
    <s v="Corporate Amex"/>
    <m/>
    <s v="Y"/>
    <s v="Entertainment"/>
    <s v="MATCH"/>
    <x v="0"/>
  </r>
  <r>
    <s v="EXP103151"/>
    <s v="E003"/>
    <s v="ax408817175"/>
    <d v="2026-06-21T00:00:00"/>
    <d v="2026-06-21T00:00:00"/>
    <s v="CHIPOTLE 2214"/>
    <s v="5812"/>
    <s v="Meals"/>
    <n v="9.43"/>
    <s v="Corporate Amex"/>
    <m/>
    <s v="Y"/>
    <s v="Meals"/>
    <s v="MATCH"/>
    <x v="0"/>
  </r>
  <r>
    <s v="EXP103152"/>
    <s v="E061"/>
    <s v="AX 404990219"/>
    <d v="2026-03-05T00:00:00"/>
    <d v="2026-06-21T00:00:00"/>
    <s v="STAPLES #0231"/>
    <s v="5943"/>
    <s v="Office Supplies"/>
    <n v="13.73"/>
    <s v="Corporate Amex"/>
    <m/>
    <s v="N"/>
    <s v="Office Supplies"/>
    <s v="MATCH"/>
    <x v="0"/>
  </r>
  <r>
    <s v="EXP103153"/>
    <s v="E095"/>
    <s v="ax534868491"/>
    <d v="2026-06-11T00:00:00"/>
    <d v="2026-06-21T00:00:00"/>
    <s v="SQ *JOES COFFEE"/>
    <s v="5812"/>
    <s v="Meals"/>
    <n v="13.76"/>
    <s v="Corporate Amex"/>
    <m/>
    <s v="Y"/>
    <s v="Meals"/>
    <s v="MATCH"/>
    <x v="2"/>
  </r>
  <r>
    <s v="EXP103154"/>
    <s v="E269"/>
    <m/>
    <d v="2026-06-13T00:00:00"/>
    <d v="2026-06-21T00:00:00"/>
    <s v="STARBUCKS #4471"/>
    <s v="5812"/>
    <s v="Meals"/>
    <n v="14.22"/>
    <s v="Corporate Amex"/>
    <m/>
    <s v="Y"/>
    <s v="Meals"/>
    <s v="MATCH"/>
    <x v="3"/>
  </r>
  <r>
    <s v="EXP103155"/>
    <s v="E256"/>
    <s v="ax593530870"/>
    <d v="2026-06-16T00:00:00"/>
    <d v="2026-06-21T00:00:00"/>
    <s v="DELTA AIR 00623891045"/>
    <s v="4511"/>
    <s v="Travel"/>
    <n v="596.30999999999995"/>
    <s v="Corporate Amex"/>
    <m/>
    <s v="Y"/>
    <s v="Travel"/>
    <s v="MATCH"/>
    <x v="8"/>
  </r>
  <r>
    <s v="EXP103156"/>
    <s v="E258"/>
    <s v="AX 705806933"/>
    <d v="2026-06-13T00:00:00"/>
    <d v="2026-06-21T00:00:00"/>
    <s v="AMC THEATRES 0021"/>
    <s v="7832"/>
    <s v="Entertainment"/>
    <n v="36.69"/>
    <s v="Corporate Amex"/>
    <m/>
    <s v="Y"/>
    <s v="Entertainment"/>
    <s v="MATCH"/>
    <x v="8"/>
  </r>
  <r>
    <s v="EXP103157"/>
    <s v="E126"/>
    <s v="ax505628891"/>
    <d v="2026-03-11T00:00:00"/>
    <d v="2026-06-21T00:00:00"/>
    <s v="UNITED AIRLINES 0162233"/>
    <s v="4511"/>
    <s v="Travel"/>
    <n v="594.48"/>
    <s v="Corporate Amex"/>
    <m/>
    <s v="Y"/>
    <s v="Travel"/>
    <s v="MATCH"/>
    <x v="7"/>
  </r>
  <r>
    <s v="EXP103158"/>
    <s v="E093"/>
    <m/>
    <d v="2026-04-07T00:00:00"/>
    <d v="2026-06-21T00:00:00"/>
    <s v="HYATT REGENCY BOS"/>
    <s v="7011"/>
    <s v="Lodging"/>
    <n v="438.37"/>
    <s v="Corporate Amex"/>
    <m/>
    <s v="Y"/>
    <s v="Lodging"/>
    <s v="MATCH"/>
    <x v="2"/>
  </r>
  <r>
    <s v="EXP103159"/>
    <s v="E194"/>
    <s v="AX876278860"/>
    <d v="2026-06-15T00:00:00"/>
    <d v="2026-06-21T00:00:00"/>
    <s v="HOOTSUITE INC"/>
    <s v="5734"/>
    <s v="Software"/>
    <n v="63.28"/>
    <s v="Corporate Amex"/>
    <m/>
    <s v="Y"/>
    <s v="Software"/>
    <s v="MATCH"/>
    <x v="5"/>
  </r>
  <r>
    <s v="EXP103160"/>
    <s v="E033"/>
    <s v="AX-887244483"/>
    <d v="2026-06-17T00:00:00"/>
    <d v="2026-06-21T00:00:00"/>
    <s v=" UBER TRIP HELP.UBER"/>
    <s v="4121"/>
    <s v="Transportation"/>
    <n v="21.16"/>
    <s v="Corporate Amex"/>
    <m/>
    <s v="N"/>
    <s v="Transportation"/>
    <s v="MATCH"/>
    <x v="0"/>
  </r>
  <r>
    <s v="EXP103161"/>
    <s v="E011"/>
    <s v="AX487235440"/>
    <d v="2026-06-14T00:00:00"/>
    <d v="2026-06-21T00:00:00"/>
    <s v="SPROUT SOCIAL"/>
    <s v="5734"/>
    <s v="Software"/>
    <n v="218.85"/>
    <s v="Corporate Amex"/>
    <m/>
    <s v="N"/>
    <s v="Software"/>
    <s v="MATCH"/>
    <x v="0"/>
  </r>
  <r>
    <s v="EXP103162"/>
    <s v="E069"/>
    <m/>
    <d v="2026-06-20T00:00:00"/>
    <d v="2026-06-21T00:00:00"/>
    <s v="SOUTHWEST AIR 5261823"/>
    <s v="4511"/>
    <m/>
    <n v="273.26"/>
    <s v="Corporate Amex"/>
    <m/>
    <s v="Y"/>
    <s v="Travel"/>
    <s v="BLANK"/>
    <x v="0"/>
  </r>
  <r>
    <s v="EXP103163"/>
    <s v="E137"/>
    <s v="AX 951253103"/>
    <d v="2026-03-30T00:00:00"/>
    <d v="2026-06-21T00:00:00"/>
    <s v="STARBUCKS #4471"/>
    <s v="5812"/>
    <s v="Meals"/>
    <n v="8.48"/>
    <s v="Corporate Amex"/>
    <m/>
    <s v="Y"/>
    <s v="Meals"/>
    <s v="MATCH"/>
    <x v="7"/>
  </r>
  <r>
    <s v="EXP103164"/>
    <s v="E038"/>
    <s v="AX 869603147"/>
    <d v="2026-06-19T00:00:00"/>
    <d v="2026-06-21T00:00:00"/>
    <s v="SOUTHWEST AIR 5261823"/>
    <s v="4511"/>
    <s v="Travel"/>
    <n v="252.27"/>
    <s v="Corporate Amex"/>
    <m/>
    <s v="Y"/>
    <s v="Travel"/>
    <s v="MATCH"/>
    <x v="0"/>
  </r>
  <r>
    <s v="EXP103165"/>
    <s v="E146"/>
    <s v="AX218931936"/>
    <d v="2026-05-31T00:00:00"/>
    <d v="2026-06-21T00:00:00"/>
    <s v="AMC THEATRES 0021"/>
    <s v="7832"/>
    <s v="Entertainment"/>
    <n v="22.78"/>
    <s v="Corporate Amex"/>
    <m/>
    <s v="Y"/>
    <s v="Entertainment"/>
    <s v="MATCH"/>
    <x v="7"/>
  </r>
  <r>
    <s v="EXP103166"/>
    <s v="E123"/>
    <s v="ax570409764"/>
    <d v="2026-06-16T00:00:00"/>
    <d v="2026-06-21T00:00:00"/>
    <s v="DELTA AIR 00623891045"/>
    <s v="4511"/>
    <s v="Travel"/>
    <n v="481.23"/>
    <s v="Corporate Amex"/>
    <m/>
    <s v="Y"/>
    <s v="Travel"/>
    <s v="MATCH"/>
    <x v="7"/>
  </r>
  <r>
    <s v="EXP103167"/>
    <s v="E011"/>
    <s v="AX 760100541"/>
    <d v="2026-02-25T00:00:00"/>
    <d v="2026-06-22T00:00:00"/>
    <s v="EVENTBRITE"/>
    <s v="7999"/>
    <s v="Events"/>
    <n v="173.5"/>
    <s v="Corporate Amex"/>
    <m/>
    <s v="Y"/>
    <s v="Events"/>
    <s v="MATCH"/>
    <x v="0"/>
  </r>
  <r>
    <s v="EXP103168"/>
    <s v="E050"/>
    <s v="AX936925874"/>
    <d v="2026-05-31T00:00:00"/>
    <d v="2026-06-22T00:00:00"/>
    <s v=" MICROSOFT*365"/>
    <s v="5734"/>
    <s v="Software"/>
    <n v="23.35"/>
    <s v="Corporate Amex"/>
    <m/>
    <s v="Y"/>
    <s v="Software"/>
    <s v="MATCH"/>
    <x v="0"/>
  </r>
  <r>
    <s v="EXP103169"/>
    <s v="E087"/>
    <s v="AX354512524"/>
    <d v="2026-04-10T00:00:00"/>
    <d v="2026-06-22T00:00:00"/>
    <s v="UNITED AIRLINES 0162233"/>
    <s v="4511"/>
    <s v="  Travel "/>
    <n v="463.33"/>
    <s v="Corporate Amex"/>
    <m/>
    <s v="Y"/>
    <s v="Travel"/>
    <s v="MATCH"/>
    <x v="2"/>
  </r>
  <r>
    <s v="EXP103170"/>
    <s v="E041"/>
    <s v="AX-609952263"/>
    <d v="2026-02-04T00:00:00"/>
    <d v="2026-06-22T00:00:00"/>
    <s v="SQ *THE CORNER BISTRO"/>
    <s v="5812"/>
    <s v="Meals"/>
    <n v="65.349999999999994"/>
    <s v="Corporate Amex"/>
    <m/>
    <s v="Y"/>
    <s v="Meals"/>
    <s v="MATCH"/>
    <x v="0"/>
  </r>
  <r>
    <s v="EXP103171"/>
    <s v="E177"/>
    <m/>
    <d v="2026-06-20T00:00:00"/>
    <d v="2026-06-22T00:00:00"/>
    <s v="UBER TRIP HELP.UBER"/>
    <s v="4121"/>
    <s v="Transportation"/>
    <n v="8.7200000000000006"/>
    <s v="Personal (Reimbursement)"/>
    <s v="Forgot corporate card"/>
    <s v="Y"/>
    <s v="Transportation"/>
    <s v="MATCH"/>
    <x v="6"/>
  </r>
  <r>
    <s v="EXP103172"/>
    <s v="E245"/>
    <s v="AX 533039838"/>
    <d v="2026-06-24T00:00:00"/>
    <d v="2026-06-22T00:00:00"/>
    <s v="ADOBE *CREATIVE CLOUD"/>
    <s v="5734"/>
    <s v="Software"/>
    <n v="74.17"/>
    <s v="Corporate Amex"/>
    <m/>
    <s v="Y"/>
    <s v="Software"/>
    <s v="MATCH"/>
    <x v="1"/>
  </r>
  <r>
    <s v="EXP103173"/>
    <s v="E061"/>
    <m/>
    <d v="2026-06-19T00:00:00"/>
    <d v="2026-06-22T00:00:00"/>
    <s v="SQ *JOES COFFEE"/>
    <s v="5812"/>
    <s v="Meals"/>
    <n v="19.02"/>
    <s v="Corporate Amex"/>
    <m/>
    <s v="Y"/>
    <s v="Meals"/>
    <s v="MATCH"/>
    <x v="0"/>
  </r>
  <r>
    <s v="EXP103174"/>
    <s v="E225"/>
    <m/>
    <d v="2026-06-19T00:00:00"/>
    <d v="2026-06-22T00:00:00"/>
    <s v="ZOOM.US"/>
    <s v="5734"/>
    <s v="Software"/>
    <n v="39.94"/>
    <s v="Corporate Amex"/>
    <m/>
    <s v="Y"/>
    <s v="Software"/>
    <s v="MATCH"/>
    <x v="4"/>
  </r>
  <r>
    <s v="EXP103175"/>
    <s v="E120"/>
    <s v="AX-867563506"/>
    <d v="2026-06-21T00:00:00"/>
    <d v="2026-06-22T00:00:00"/>
    <s v="OLIVE GARDEN 00456"/>
    <s v="5812"/>
    <s v="Meals"/>
    <n v="124.11"/>
    <s v="Corporate Amex"/>
    <m/>
    <s v="Y"/>
    <s v="Meals"/>
    <s v="MATCH"/>
    <x v="7"/>
  </r>
  <r>
    <s v="EXP103176"/>
    <s v="E062"/>
    <s v="AX369469703"/>
    <d v="2026-06-28T00:00:00"/>
    <d v="2026-06-22T00:00:00"/>
    <s v="HILTON GARDEN INN 2231"/>
    <s v="7011"/>
    <s v="Lodging"/>
    <n v="208.35"/>
    <s v="Corporate Amex"/>
    <m/>
    <s v="Y"/>
    <s v="Lodging"/>
    <s v="MATCH"/>
    <x v="0"/>
  </r>
  <r>
    <s v="EXP103177"/>
    <s v="E148"/>
    <s v="AX370250166"/>
    <d v="2026-04-21T00:00:00"/>
    <d v="2026-06-22T00:00:00"/>
    <s v="LYFT RIDE THU"/>
    <s v="4121"/>
    <s v="Transportation"/>
    <n v="17.93"/>
    <s v="Corporate Amex"/>
    <m/>
    <s v="Y"/>
    <s v="Transportation"/>
    <s v="MATCH"/>
    <x v="7"/>
  </r>
  <r>
    <s v="EXP103178"/>
    <s v="E035"/>
    <s v="AX 166436769"/>
    <d v="2026-06-13T00:00:00"/>
    <d v="2026-06-22T00:00:00"/>
    <s v="HILTON GARDEN INN 2231"/>
    <s v="7011"/>
    <s v="Lodging"/>
    <n v="265.69"/>
    <s v="Corporate Amex"/>
    <m/>
    <s v="Y"/>
    <s v="Lodging"/>
    <s v="MATCH"/>
    <x v="0"/>
  </r>
  <r>
    <s v="EXP103179"/>
    <s v="E035"/>
    <s v="ax717884453"/>
    <d v="2026-06-14T00:00:00"/>
    <d v="2026-06-22T00:00:00"/>
    <s v="YELLOW CAB CO"/>
    <s v="4121"/>
    <s v="Transportation"/>
    <n v="23.07"/>
    <s v="Corporate Amex"/>
    <m/>
    <s v="Y"/>
    <s v="Transportation"/>
    <s v="MATCH"/>
    <x v="0"/>
  </r>
  <r>
    <s v="EXP103181"/>
    <s v="E146"/>
    <s v="AX-432992111"/>
    <d v="2026-02-14T00:00:00"/>
    <d v="2026-06-22T00:00:00"/>
    <s v="BRANDWATCH LTD"/>
    <s v="5734"/>
    <s v="Software"/>
    <n v="216.19"/>
    <s v="Corporate Amex"/>
    <m/>
    <s v="Y"/>
    <s v="Software"/>
    <s v="MATCH"/>
    <x v="7"/>
  </r>
  <r>
    <s v="EXP103182"/>
    <s v="E014"/>
    <s v="AX657997048"/>
    <d v="2026-02-23T00:00:00"/>
    <d v="2026-06-22T00:00:00"/>
    <s v="HILTON GARDEN INN 2231"/>
    <s v="7011"/>
    <s v="Travel"/>
    <n v="351.33"/>
    <s v="Corporate Amex"/>
    <m/>
    <s v="Y"/>
    <s v="Lodging"/>
    <s v="MISMATCH"/>
    <x v="0"/>
  </r>
  <r>
    <s v="EXP103183"/>
    <s v="E267"/>
    <s v="AX 642592841"/>
    <d v="2026-02-01T00:00:00"/>
    <d v="2026-06-22T00:00:00"/>
    <s v="YELLOW CAB CO"/>
    <s v="4121"/>
    <s v="Transportation"/>
    <n v="57.5"/>
    <s v="Corporate Amex"/>
    <m/>
    <s v="Y"/>
    <s v="Transportation"/>
    <s v="MATCH"/>
    <x v="3"/>
  </r>
  <r>
    <s v="EXP103184"/>
    <s v="E267"/>
    <s v="ax356544204"/>
    <d v="2026-03-06T00:00:00"/>
    <d v="2026-06-22T00:00:00"/>
    <s v="HYATT REGENCY BOS"/>
    <s v="7011"/>
    <s v="Lodging"/>
    <n v="350.93"/>
    <s v="Corporate Amex"/>
    <m/>
    <s v="Y"/>
    <s v="Lodging"/>
    <s v="MATCH"/>
    <x v="3"/>
  </r>
  <r>
    <s v="EXP103185"/>
    <s v="E036"/>
    <s v="ax610424711"/>
    <d v="2026-02-05T00:00:00"/>
    <d v="2026-06-22T00:00:00"/>
    <s v="UBER TRIP HELP.UBER"/>
    <s v="4121"/>
    <m/>
    <n v="10.33"/>
    <s v="Corporate Amex"/>
    <m/>
    <s v="Y"/>
    <s v="Transportation"/>
    <s v="BLANK"/>
    <x v="0"/>
  </r>
  <r>
    <s v="EXP103186"/>
    <s v="E060"/>
    <s v="AX795868369"/>
    <d v="2026-06-28T00:00:00"/>
    <d v="2026-06-22T00:00:00"/>
    <s v="SPROUT SOCIAL"/>
    <s v="5734"/>
    <s v="Software"/>
    <n v="247.72"/>
    <s v="Corporate Amex"/>
    <m/>
    <s v="N"/>
    <s v="Software"/>
    <s v="MATCH"/>
    <x v="0"/>
  </r>
  <r>
    <s v="EXP103187"/>
    <s v="E257"/>
    <s v="AX-117797415"/>
    <d v="2026-06-28T00:00:00"/>
    <d v="2026-06-22T00:00:00"/>
    <s v="UNITED AIRLINES 0162233"/>
    <s v="4511"/>
    <s v="Travel"/>
    <n v="472.69"/>
    <s v="Corporate Amex"/>
    <m/>
    <s v="Y"/>
    <s v="Travel"/>
    <s v="MATCH"/>
    <x v="8"/>
  </r>
  <r>
    <s v="EXP103188"/>
    <s v="E001"/>
    <s v="ax352709540"/>
    <d v="2026-06-14T00:00:00"/>
    <d v="2026-06-22T00:00:00"/>
    <s v="SQ *JOES COFFEE"/>
    <s v="5812"/>
    <s v="Meals"/>
    <n v="10.39"/>
    <s v="Corporate Amex"/>
    <m/>
    <s v="N"/>
    <s v="Meals"/>
    <s v="MATCH"/>
    <x v="0"/>
  </r>
  <r>
    <s v="EXP103189"/>
    <s v="E052"/>
    <s v="AX 523802959"/>
    <d v="2026-03-10T00:00:00"/>
    <d v="2026-06-22T00:00:00"/>
    <s v="SOUTHWEST AIR 5261823"/>
    <s v="4511"/>
    <s v="Travel"/>
    <n v="337.73"/>
    <s v="Corporate Amex"/>
    <m/>
    <s v="Y"/>
    <s v="Travel"/>
    <s v="MATCH"/>
    <x v="0"/>
  </r>
  <r>
    <s v="EXP103190"/>
    <s v="E012"/>
    <s v="AX-951176964"/>
    <d v="2026-06-21T00:00:00"/>
    <d v="2026-06-22T00:00:00"/>
    <s v="HYATT REGENCY BOS"/>
    <s v="7011"/>
    <s v="Lodging"/>
    <n v="453.1"/>
    <s v="Corporate Amex"/>
    <m/>
    <s v="Y"/>
    <s v="Lodging"/>
    <s v="MATCH"/>
    <x v="0"/>
  </r>
  <r>
    <s v="EXP103191"/>
    <s v="E018"/>
    <s v="AX869138129"/>
    <d v="2026-06-13T00:00:00"/>
    <d v="2026-06-22T00:00:00"/>
    <s v=" PANERA BREAD #0231"/>
    <s v="5812"/>
    <s v="Meals"/>
    <n v="26.94"/>
    <s v="Corporate Amex"/>
    <m/>
    <s v="Y"/>
    <s v="Meals"/>
    <s v="MATCH"/>
    <x v="0"/>
  </r>
  <r>
    <s v="EXP103192"/>
    <s v="E109"/>
    <m/>
    <d v="2026-06-14T00:00:00"/>
    <d v="2026-06-22T00:00:00"/>
    <s v="UNITED AIRLINES 0162233"/>
    <s v="4511"/>
    <s v="Travel"/>
    <n v="636.96"/>
    <s v="Corporate Amex"/>
    <m/>
    <s v="Y"/>
    <s v="Travel"/>
    <s v="MATCH"/>
    <x v="2"/>
  </r>
  <r>
    <s v="EXP103193"/>
    <s v="E023"/>
    <m/>
    <d v="2026-05-19T00:00:00"/>
    <d v="2026-06-22T00:00:00"/>
    <s v="SOUTHWEST AIR 5261823"/>
    <s v="4511"/>
    <s v="Travel"/>
    <n v="380.06"/>
    <s v="Personal (Reimbursement)"/>
    <s v="International merchant - Amex not accepted"/>
    <s v="Y"/>
    <s v="Travel"/>
    <s v="MATCH"/>
    <x v="0"/>
  </r>
  <r>
    <s v="EXP103194"/>
    <s v="E202"/>
    <m/>
    <d v="2026-01-06T00:00:00"/>
    <d v="2026-06-22T00:00:00"/>
    <s v="PANERA BREAD #0231"/>
    <s v="5812"/>
    <s v="Meals"/>
    <n v="9.5399999999999991"/>
    <s v="Corporate Amex"/>
    <m/>
    <s v="Y"/>
    <s v="Meals"/>
    <s v="MATCH"/>
    <x v="5"/>
  </r>
  <r>
    <s v="EXP103195"/>
    <s v="E025"/>
    <s v="AX 286073421"/>
    <d v="2026-06-19T00:00:00"/>
    <d v="2026-06-22T00:00:00"/>
    <s v="CHIPOTLE 2214"/>
    <s v="5812"/>
    <s v="Meals"/>
    <n v="14.61"/>
    <s v="Corporate Amex"/>
    <m/>
    <s v="Y"/>
    <s v="Meals"/>
    <s v="MATCH"/>
    <x v="0"/>
  </r>
  <r>
    <s v="EXP103196"/>
    <s v="E098"/>
    <s v="AX254871388"/>
    <d v="2026-03-07T00:00:00"/>
    <d v="2026-06-22T00:00:00"/>
    <s v="STARBUCKS #4471"/>
    <s v="5812"/>
    <s v="Meals"/>
    <n v="6.35"/>
    <s v="Corporate Amex"/>
    <m/>
    <s v="Y"/>
    <s v="Meals"/>
    <s v="MATCH"/>
    <x v="2"/>
  </r>
  <r>
    <s v="EXP103197"/>
    <s v="E008"/>
    <s v="ax578455319"/>
    <d v="2026-06-13T00:00:00"/>
    <d v="2026-06-22T00:00:00"/>
    <s v="YELLOW CAB CO"/>
    <s v="4121"/>
    <s v="Transportation"/>
    <n v="33.72"/>
    <s v="Corporate Amex"/>
    <m/>
    <s v="Y"/>
    <s v="Transportation"/>
    <s v="MATCH"/>
    <x v="0"/>
  </r>
  <r>
    <s v="EXP103198"/>
    <s v="E271"/>
    <m/>
    <d v="2026-06-21T00:00:00"/>
    <d v="2026-06-22T00:00:00"/>
    <s v="SOUTHWEST AIR 5261823"/>
    <s v="4511"/>
    <s v="Travel"/>
    <n v="477.8"/>
    <s v="Corporate Amex"/>
    <m/>
    <s v="Y"/>
    <s v="Travel"/>
    <s v="MATCH"/>
    <x v="3"/>
  </r>
  <r>
    <s v="EXP103199"/>
    <s v="E147"/>
    <s v="AX 685114236"/>
    <d v="2026-06-29T00:00:00"/>
    <d v="2026-06-22T00:00:00"/>
    <s v="LYFT RIDE THU"/>
    <s v="4121"/>
    <s v="Transportation"/>
    <n v="52.92"/>
    <s v="Corporate Amex"/>
    <m/>
    <s v="Y"/>
    <s v="Transportation"/>
    <s v="MATCH"/>
    <x v="7"/>
  </r>
  <r>
    <s v="EXP103200"/>
    <s v="E147"/>
    <s v="AX 524168579"/>
    <d v="2026-04-07T00:00:00"/>
    <d v="2026-06-22T00:00:00"/>
    <s v="TOTAL PARTY RENTAL"/>
    <s v="7999"/>
    <s v="Events"/>
    <n v="175.35"/>
    <s v="Corporate Amex"/>
    <m/>
    <s v="Y"/>
    <s v="Events"/>
    <s v="MATCH"/>
    <x v="7"/>
  </r>
  <r>
    <s v="EXP103201"/>
    <s v="E083"/>
    <s v="AX668756093"/>
    <d v="2026-01-24T00:00:00"/>
    <d v="2026-06-22T00:00:00"/>
    <s v="SQ *THE CORNER BISTRO"/>
    <s v="5812"/>
    <s v="Meals"/>
    <n v="70.760000000000005"/>
    <s v="Corporate Amex"/>
    <m/>
    <s v="Y"/>
    <s v="Meals"/>
    <s v="MATCH"/>
    <x v="2"/>
  </r>
  <r>
    <s v="EXP103202"/>
    <s v="E073"/>
    <s v="AX731037558"/>
    <d v="2026-06-12T00:00:00"/>
    <d v="2026-06-22T00:00:00"/>
    <s v="SPROUT SOCIAL"/>
    <s v="5734"/>
    <s v="Software"/>
    <n v="242.63"/>
    <s v="Corporate Amex"/>
    <m/>
    <s v="N"/>
    <s v="Software"/>
    <s v="MATCH"/>
    <x v="2"/>
  </r>
  <r>
    <s v="EXP103203"/>
    <s v="E233"/>
    <s v="AX-932662059"/>
    <d v="2026-02-10T00:00:00"/>
    <d v="2026-06-22T00:00:00"/>
    <s v="DELTA AIR 00623891045"/>
    <s v="4511"/>
    <s v="Travel"/>
    <n v="400.93"/>
    <s v="Corporate Amex"/>
    <m/>
    <s v="Y"/>
    <s v="Travel"/>
    <s v="MATCH"/>
    <x v="1"/>
  </r>
  <r>
    <s v="EXP103204"/>
    <s v="E221"/>
    <s v="AX-607954418"/>
    <d v="2026-06-19T00:00:00"/>
    <d v="2026-06-22T00:00:00"/>
    <s v="LYFT RIDE THU"/>
    <s v="4121"/>
    <s v="Transportation"/>
    <n v="16.98"/>
    <s v="Corporate Amex"/>
    <m/>
    <s v="Y"/>
    <s v="Transportation"/>
    <s v="MATCH"/>
    <x v="4"/>
  </r>
  <r>
    <s v="EXP103205"/>
    <s v="E213"/>
    <s v="AX321514883"/>
    <d v="2026-06-20T00:00:00"/>
    <d v="2026-06-22T00:00:00"/>
    <s v="HOOTSUITE INC"/>
    <s v="5734"/>
    <s v="Software"/>
    <n v="108.69"/>
    <s v="Corporate Amex"/>
    <m/>
    <s v="Y"/>
    <s v="Software"/>
    <s v="MATCH"/>
    <x v="4"/>
  </r>
  <r>
    <s v="EXP103206"/>
    <s v="E058"/>
    <s v="AX263827068"/>
    <d v="2026-05-20T00:00:00"/>
    <d v="2026-06-22T00:00:00"/>
    <s v="BRANDWATCH LTD"/>
    <s v="5734"/>
    <s v="Software"/>
    <n v="432.35"/>
    <s v="Corporate Amex"/>
    <m/>
    <s v="Y"/>
    <s v="Software"/>
    <s v="MATCH"/>
    <x v="0"/>
  </r>
  <r>
    <s v="EXP103207"/>
    <s v="E037"/>
    <s v="AX179339442"/>
    <d v="2026-04-17T00:00:00"/>
    <d v="2026-06-22T00:00:00"/>
    <s v="BRANDWATCH LTD"/>
    <s v="5734"/>
    <s v="Software"/>
    <n v="457.28"/>
    <s v="Corporate Amex"/>
    <m/>
    <s v="Y"/>
    <s v="Software"/>
    <s v="MATCH"/>
    <x v="0"/>
  </r>
  <r>
    <s v="EXP103208"/>
    <s v="E090"/>
    <s v="AX 428522741"/>
    <d v="2026-06-12T00:00:00"/>
    <d v="2026-06-22T00:00:00"/>
    <s v="MICROSOFT*365"/>
    <s v="5734"/>
    <s v="Software"/>
    <n v="50.99"/>
    <s v="Corporate Amex"/>
    <m/>
    <s v="N"/>
    <s v="Software"/>
    <s v="MATCH"/>
    <x v="2"/>
  </r>
  <r>
    <s v="EXP103209"/>
    <s v="E249"/>
    <s v="AX781572802"/>
    <d v="2026-06-18T00:00:00"/>
    <d v="2026-06-22T00:00:00"/>
    <s v="TOPGOLF #442"/>
    <s v="7997"/>
    <s v="Entertainment"/>
    <n v="204.61"/>
    <s v="Corporate Amex"/>
    <m/>
    <s v="N"/>
    <s v="Entertainment"/>
    <s v="MATCH"/>
    <x v="1"/>
  </r>
  <r>
    <s v="EXP103210"/>
    <s v="E254"/>
    <s v="AX177369568"/>
    <d v="2026-05-23T00:00:00"/>
    <d v="2026-06-22T00:00:00"/>
    <s v="CHIPOTLE 2214"/>
    <s v="5812"/>
    <s v="Meals"/>
    <n v="18.05"/>
    <s v="Corporate Amex"/>
    <m/>
    <s v="Y"/>
    <s v="Meals"/>
    <s v="MATCH"/>
    <x v="8"/>
  </r>
  <r>
    <s v="EXP103211"/>
    <s v="E254"/>
    <s v="ax889519667"/>
    <d v="2026-06-14T00:00:00"/>
    <d v="2026-06-22T00:00:00"/>
    <s v=" UNITED AIRLINES 0162233"/>
    <s v="4511"/>
    <s v="Travel"/>
    <n v="615.78"/>
    <s v="Corporate Amex"/>
    <m/>
    <s v="Y"/>
    <s v="Travel"/>
    <s v="MATCH"/>
    <x v="8"/>
  </r>
  <r>
    <s v="EXP103212"/>
    <s v="E234"/>
    <m/>
    <d v="2026-03-17T00:00:00"/>
    <d v="2026-06-22T00:00:00"/>
    <s v="UBER TRIP HELP.UBER"/>
    <s v="4121"/>
    <s v="Transportation"/>
    <n v="48.19"/>
    <s v="Personal (Reimbursement)"/>
    <s v="Amex declined - vendor doesn't accept Amex"/>
    <s v="Y"/>
    <s v="Transportation"/>
    <s v="MATCH"/>
    <x v="1"/>
  </r>
  <r>
    <s v="EXP103213"/>
    <s v="E032"/>
    <s v="AX475086447"/>
    <d v="2026-02-22T00:00:00"/>
    <d v="2026-06-22T00:00:00"/>
    <s v="BRANDWATCH LTD"/>
    <s v="5734"/>
    <s v="  Software "/>
    <n v="180.76"/>
    <s v="Corporate Amex"/>
    <m/>
    <s v="Y"/>
    <s v="Software"/>
    <s v="MATCH"/>
    <x v="0"/>
  </r>
  <r>
    <s v="EXP103214"/>
    <s v="E196"/>
    <m/>
    <d v="2026-06-12T00:00:00"/>
    <d v="2026-06-22T00:00:00"/>
    <s v="SOUTHWEST AIR 5261823"/>
    <s v="4511"/>
    <s v="Travel"/>
    <n v="236.74"/>
    <s v="Personal (Reimbursement)"/>
    <s v="Amex declined - vendor doesn't accept Amex"/>
    <s v="Y"/>
    <s v="Travel"/>
    <s v="MATCH"/>
    <x v="5"/>
  </r>
  <r>
    <s v="EXP103215"/>
    <s v="E264"/>
    <m/>
    <d v="2026-04-30T00:00:00"/>
    <d v="2026-06-22T00:00:00"/>
    <s v="STARBUCKS #4471"/>
    <s v="5812"/>
    <s v="Meals"/>
    <n v="17.45"/>
    <s v="Corporate Amex"/>
    <m/>
    <s v="Y"/>
    <s v="Meals"/>
    <s v="MATCH"/>
    <x v="3"/>
  </r>
  <r>
    <s v="EXP103216"/>
    <s v="E074"/>
    <m/>
    <d v="2026-06-16T00:00:00"/>
    <d v="2026-06-22T00:00:00"/>
    <s v="TOTAL PARTY RENTAL"/>
    <s v="7999"/>
    <s v="Events"/>
    <n v="525.42999999999995"/>
    <s v="Personal (Reimbursement)"/>
    <s v="Amex declined - vendor doesn't accept Amex"/>
    <s v="Y"/>
    <s v="Events"/>
    <s v="MATCH"/>
    <x v="2"/>
  </r>
  <r>
    <s v="EXP103217"/>
    <s v="E059"/>
    <m/>
    <d v="2026-02-22T00:00:00"/>
    <d v="2026-06-22T00:00:00"/>
    <s v="SQ *THE CORNER BISTRO"/>
    <s v="5812"/>
    <s v="Meals"/>
    <n v="85.56"/>
    <s v="Corporate Amex"/>
    <m/>
    <s v="Y"/>
    <s v="Meals"/>
    <s v="MATCH"/>
    <x v="0"/>
  </r>
  <r>
    <s v="EXP103218"/>
    <s v="E012"/>
    <m/>
    <d v="2026-05-30T00:00:00"/>
    <d v="2026-06-23T00:00:00"/>
    <s v="SQ *THE CORNER BISTRO"/>
    <s v="5812"/>
    <s v="Meals"/>
    <n v="25.63"/>
    <s v="Corporate Amex"/>
    <m/>
    <s v="Y"/>
    <s v="Meals"/>
    <s v="MATCH"/>
    <x v="0"/>
  </r>
  <r>
    <s v="EXP103219"/>
    <s v="E034"/>
    <s v="ax147415175"/>
    <d v="2026-05-05T00:00:00"/>
    <d v="2026-06-23T00:00:00"/>
    <s v="REGION CATERING CO"/>
    <s v="5811"/>
    <s v="Events"/>
    <n v="143.12"/>
    <s v="Corporate Amex"/>
    <m/>
    <s v="Y"/>
    <s v="Events"/>
    <s v="MATCH"/>
    <x v="0"/>
  </r>
  <r>
    <s v="EXP103220"/>
    <s v="E042"/>
    <s v="AX849150206"/>
    <d v="2026-06-24T00:00:00"/>
    <d v="2026-06-23T00:00:00"/>
    <s v="REGION CATERING CO"/>
    <s v="5811"/>
    <s v="Events"/>
    <n v="407.75"/>
    <s v="Corporate Amex"/>
    <m/>
    <s v="Y"/>
    <s v="Events"/>
    <s v="MATCH"/>
    <x v="0"/>
  </r>
  <r>
    <s v="EXP103221"/>
    <s v="E029"/>
    <s v="AX298240000"/>
    <d v="2026-06-22T00:00:00"/>
    <d v="2026-06-23T00:00:00"/>
    <s v="HOOTSUITE INC"/>
    <s v="5734"/>
    <s v="Software"/>
    <n v="212.55"/>
    <s v="Corporate Amex"/>
    <m/>
    <s v="Y"/>
    <s v="Software"/>
    <s v="MATCH"/>
    <x v="0"/>
  </r>
  <r>
    <s v="EXP103222"/>
    <s v="E208"/>
    <m/>
    <d v="2026-01-12T00:00:00"/>
    <d v="2026-06-23T00:00:00"/>
    <s v="MICROSOFT*365"/>
    <s v="5734"/>
    <s v="Software"/>
    <n v="34.159999999999997"/>
    <s v="Personal (Reimbursement)"/>
    <s v="International merchant - Amex not accepted"/>
    <s v="Y"/>
    <s v="Software"/>
    <s v="MATCH"/>
    <x v="4"/>
  </r>
  <r>
    <s v="EXP103224"/>
    <s v="E261"/>
    <s v="AX-660631324"/>
    <d v="2026-02-27T00:00:00"/>
    <d v="2026-06-23T00:00:00"/>
    <s v="TOPGOLF #442"/>
    <s v="7997"/>
    <s v="Entertainment"/>
    <n v="89.07"/>
    <s v="Corporate Amex"/>
    <m/>
    <s v="Y"/>
    <s v="Entertainment"/>
    <s v="MATCH"/>
    <x v="3"/>
  </r>
  <r>
    <s v="EXP103225"/>
    <s v="E005"/>
    <s v="ax828450486"/>
    <d v="2026-06-20T00:00:00"/>
    <d v="2026-06-23T00:00:00"/>
    <s v="SQ *THE CORNER BISTRO"/>
    <s v="5812"/>
    <s v="Meals"/>
    <n v="43.56"/>
    <s v="Corporate Amex"/>
    <m/>
    <s v="Y"/>
    <s v="Meals"/>
    <s v="MATCH"/>
    <x v="0"/>
  </r>
  <r>
    <s v="EXP103226"/>
    <s v="E192"/>
    <s v="ax312731408"/>
    <d v="2026-06-15T00:00:00"/>
    <d v="2026-06-23T00:00:00"/>
    <s v="YELLOW CAB CO"/>
    <s v="4121"/>
    <s v="Transportation"/>
    <n v="13.44"/>
    <s v="Corporate Amex"/>
    <m/>
    <s v="Y"/>
    <s v="Transportation"/>
    <s v="MATCH"/>
    <x v="5"/>
  </r>
  <r>
    <s v="EXP103227"/>
    <s v="E022"/>
    <m/>
    <d v="2026-06-19T00:00:00"/>
    <d v="2026-06-23T00:00:00"/>
    <s v=" SPROUT SOCIAL"/>
    <s v="5734"/>
    <s v="Software"/>
    <n v="241.4"/>
    <s v="Personal (Reimbursement)"/>
    <s v="Card not yet issued"/>
    <s v="Y"/>
    <s v="Software"/>
    <s v="MATCH"/>
    <x v="0"/>
  </r>
  <r>
    <s v="EXP103228"/>
    <s v="E031"/>
    <s v="AX-227384110"/>
    <d v="2026-06-19T00:00:00"/>
    <d v="2026-06-23T00:00:00"/>
    <s v=" UNITED AIRLINES 0162233"/>
    <s v="4511"/>
    <s v="Travel"/>
    <n v="609.25"/>
    <s v="Corporate Amex"/>
    <m/>
    <s v="Y"/>
    <s v="Travel"/>
    <s v="MATCH"/>
    <x v="0"/>
  </r>
  <r>
    <s v="EXP103229"/>
    <s v="E006"/>
    <s v="AX485783930"/>
    <d v="2026-06-20T00:00:00"/>
    <d v="2026-06-23T00:00:00"/>
    <s v="TOTAL PARTY RENTAL"/>
    <s v="7999"/>
    <s v="Events"/>
    <n v="109.47"/>
    <s v="Corporate Amex"/>
    <m/>
    <s v="Y"/>
    <s v="Events"/>
    <s v="MATCH"/>
    <x v="0"/>
  </r>
  <r>
    <s v="EXP103230"/>
    <s v="E048"/>
    <m/>
    <d v="2026-06-04T00:00:00"/>
    <d v="2026-06-23T00:00:00"/>
    <s v="SPROUT SOCIAL"/>
    <s v="5734"/>
    <s v="Software"/>
    <n v="104.53"/>
    <s v="Personal (Reimbursement)"/>
    <s v="Amex declined - vendor doesn't accept Amex"/>
    <s v="Y"/>
    <s v="Software"/>
    <s v="MATCH"/>
    <x v="0"/>
  </r>
  <r>
    <s v="EXP103231"/>
    <s v="E048"/>
    <s v="AX-818446086"/>
    <d v="2026-02-11T00:00:00"/>
    <d v="2026-06-23T00:00:00"/>
    <s v="SQ *THE CORNER BISTRO"/>
    <s v="5812"/>
    <s v="Meals"/>
    <n v="26.01"/>
    <s v="Corporate Amex"/>
    <m/>
    <s v="Y"/>
    <s v="Meals"/>
    <s v="MATCH"/>
    <x v="0"/>
  </r>
  <r>
    <s v="EXP103232"/>
    <s v="E104"/>
    <s v="AX-455887995"/>
    <d v="2026-06-15T00:00:00"/>
    <d v="2026-06-23T00:00:00"/>
    <s v="TOTAL PARTY RENTAL"/>
    <s v="7999"/>
    <s v="Events"/>
    <n v="487.29"/>
    <s v="Corporate Amex"/>
    <m/>
    <s v="N"/>
    <s v="Events"/>
    <s v="MATCH"/>
    <x v="2"/>
  </r>
  <r>
    <s v="EXP103233"/>
    <s v="E104"/>
    <s v="AX-110996169"/>
    <d v="2026-06-28T00:00:00"/>
    <d v="2026-06-23T00:00:00"/>
    <s v="DELTA AIR 00623891045"/>
    <s v="4511"/>
    <s v="Travel"/>
    <n v="305.44"/>
    <s v="Corporate Amex"/>
    <m/>
    <s v="Y"/>
    <s v="Travel"/>
    <s v="MATCH"/>
    <x v="2"/>
  </r>
  <r>
    <s v="EXP103234"/>
    <s v="E017"/>
    <s v="AX 654878682"/>
    <d v="2026-06-21T00:00:00"/>
    <d v="2026-06-23T00:00:00"/>
    <s v="STARBUCKS #4471"/>
    <s v="5812"/>
    <s v="Meals"/>
    <n v="7.61"/>
    <s v="Corporate Amex"/>
    <m/>
    <s v="Y"/>
    <s v="Meals"/>
    <s v="MATCH"/>
    <x v="0"/>
  </r>
  <r>
    <s v="EXP103235"/>
    <s v="E011"/>
    <m/>
    <d v="2026-06-22T00:00:00"/>
    <d v="2026-06-23T00:00:00"/>
    <s v="YELLOW CAB CO"/>
    <s v="4121"/>
    <s v="Transportation"/>
    <n v="50.52"/>
    <s v="Personal (Reimbursement)"/>
    <s v="International merchant - Amex not accepted"/>
    <s v="Y"/>
    <s v="Transportation"/>
    <s v="MATCH"/>
    <x v="0"/>
  </r>
  <r>
    <s v="EXP103236"/>
    <s v="E258"/>
    <s v="AX-389411432"/>
    <d v="2026-06-23T00:00:00"/>
    <d v="2026-06-23T00:00:00"/>
    <s v="MICROSOFT*365"/>
    <s v="5734"/>
    <s v="Software"/>
    <n v="68.239999999999995"/>
    <s v="Corporate Amex"/>
    <m/>
    <s v="Y"/>
    <s v="Software"/>
    <s v="MATCH"/>
    <x v="8"/>
  </r>
  <r>
    <s v="EXP103237"/>
    <s v="E099"/>
    <s v="AX526310101"/>
    <d v="2026-06-18T00:00:00"/>
    <d v="2026-06-23T00:00:00"/>
    <s v="SQ *THE CORNER BISTRO"/>
    <s v="5812"/>
    <s v="Meals"/>
    <n v="38.85"/>
    <s v="Corporate Amex"/>
    <m/>
    <s v="Y"/>
    <s v="Meals"/>
    <s v="MATCH"/>
    <x v="2"/>
  </r>
  <r>
    <s v="EXP103238"/>
    <s v="E117"/>
    <s v="AX-904917040"/>
    <d v="2026-05-05T00:00:00"/>
    <d v="2026-06-23T00:00:00"/>
    <s v="MARRIOTT #4471"/>
    <s v="7011"/>
    <s v="Lodging"/>
    <n v="249.47"/>
    <s v="Corporate Amex"/>
    <m/>
    <s v="Y"/>
    <s v="Lodging"/>
    <s v="MATCH"/>
    <x v="7"/>
  </r>
  <r>
    <s v="EXP103239"/>
    <s v="E117"/>
    <m/>
    <d v="2026-02-28T00:00:00"/>
    <d v="2026-06-23T00:00:00"/>
    <s v="ADOBE *CREATIVE CLOUD"/>
    <s v="5734"/>
    <m/>
    <n v="65.489999999999995"/>
    <s v="Personal (Reimbursement)"/>
    <s v="Amex declined - vendor doesn't accept Amex"/>
    <s v="Y"/>
    <s v="Software"/>
    <s v="BLANK"/>
    <x v="7"/>
  </r>
  <r>
    <s v="EXP103240"/>
    <s v="E045"/>
    <m/>
    <d v="2026-01-30T00:00:00"/>
    <d v="2026-06-23T00:00:00"/>
    <s v="OLIVE GARDEN 00456"/>
    <s v="5812"/>
    <s v="Meals"/>
    <n v="97.98"/>
    <s v="Corporate Amex"/>
    <m/>
    <s v="Y"/>
    <s v="Meals"/>
    <s v="MATCH"/>
    <x v="0"/>
  </r>
  <r>
    <s v="EXP103241"/>
    <s v="E027"/>
    <s v="AX-898291422"/>
    <d v="2026-06-17T00:00:00"/>
    <d v="2026-06-23T00:00:00"/>
    <s v="LYFT RIDE THU"/>
    <s v="4121"/>
    <s v="Transportation"/>
    <n v="40.229999999999997"/>
    <s v="Corporate Amex"/>
    <m/>
    <s v="N"/>
    <s v="Transportation"/>
    <s v="MATCH"/>
    <x v="0"/>
  </r>
  <r>
    <s v="EXP103242"/>
    <s v="E037"/>
    <s v="AX 915946105"/>
    <d v="2026-05-15T00:00:00"/>
    <d v="2026-06-23T00:00:00"/>
    <s v="ZOOM.US"/>
    <s v="5734"/>
    <s v="Transportation"/>
    <n v="48.57"/>
    <s v="Corporate Amex"/>
    <m/>
    <s v="Y"/>
    <s v="Software"/>
    <s v="MISMATCH"/>
    <x v="0"/>
  </r>
  <r>
    <s v="EXP103243"/>
    <s v="E026"/>
    <s v="AX-322918058"/>
    <d v="2026-03-25T00:00:00"/>
    <d v="2026-06-23T00:00:00"/>
    <s v="AMC THEATRES 0021"/>
    <s v="7832"/>
    <s v="Entertainment"/>
    <n v="52.12"/>
    <s v="Corporate Amex"/>
    <m/>
    <s v="Y"/>
    <s v="Entertainment"/>
    <s v="MATCH"/>
    <x v="0"/>
  </r>
  <r>
    <s v="EXP103244"/>
    <s v="E157"/>
    <m/>
    <d v="2026-06-01T00:00:00"/>
    <d v="2026-06-23T00:00:00"/>
    <s v="STAPLES #0231"/>
    <s v="5943"/>
    <s v="Office Supplies"/>
    <n v="160.47999999999999"/>
    <s v="Corporate Amex"/>
    <m/>
    <s v="Y"/>
    <s v="Office Supplies"/>
    <s v="MATCH"/>
    <x v="6"/>
  </r>
  <r>
    <s v="EXP103245"/>
    <s v="E197"/>
    <s v="AX724534151"/>
    <d v="2026-06-20T00:00:00"/>
    <d v="2026-06-23T00:00:00"/>
    <s v="DELTA AIR 00623891045"/>
    <s v="4511"/>
    <s v="Travel"/>
    <n v="456"/>
    <s v="Corporate Amex"/>
    <m/>
    <s v="Y"/>
    <s v="Travel"/>
    <s v="MATCH"/>
    <x v="5"/>
  </r>
  <r>
    <s v="EXP103246"/>
    <s v="E067"/>
    <s v="AX886148965"/>
    <d v="2026-06-18T00:00:00"/>
    <d v="2026-06-23T00:00:00"/>
    <s v="AMC THEATRES 0021"/>
    <s v="7832"/>
    <s v="Entertainment"/>
    <n v="52.52"/>
    <s v="Corporate Amex"/>
    <m/>
    <s v="N"/>
    <s v="Entertainment"/>
    <s v="MATCH"/>
    <x v="0"/>
  </r>
  <r>
    <s v="EXP103247"/>
    <s v="E067"/>
    <m/>
    <d v="2026-04-25T00:00:00"/>
    <d v="2026-06-23T00:00:00"/>
    <s v="UNITED AIRLINES 0162233"/>
    <s v="4511"/>
    <s v="Travel"/>
    <n v="397.5"/>
    <s v="Corporate Amex"/>
    <m/>
    <s v="Y"/>
    <s v="Travel"/>
    <s v="MATCH"/>
    <x v="0"/>
  </r>
  <r>
    <s v="EXP103248"/>
    <s v="E116"/>
    <m/>
    <d v="2026-06-16T00:00:00"/>
    <d v="2026-06-23T00:00:00"/>
    <s v="LYFT RIDE THU"/>
    <s v="4121"/>
    <s v="  Transportation "/>
    <n v="44.4"/>
    <s v="Corporate Amex"/>
    <m/>
    <s v="N"/>
    <s v="Transportation"/>
    <s v="MATCH"/>
    <x v="7"/>
  </r>
  <r>
    <s v="EXP103249"/>
    <s v="E053"/>
    <s v="AX231953746"/>
    <d v="2026-06-15T00:00:00"/>
    <d v="2026-06-23T00:00:00"/>
    <s v="CHIPOTLE 2214"/>
    <s v="5812"/>
    <s v="Meals"/>
    <n v="21.2"/>
    <s v="Corporate Amex"/>
    <m/>
    <s v="Y"/>
    <s v="Meals"/>
    <s v="MATCH"/>
    <x v="0"/>
  </r>
  <r>
    <s v="EXP103250"/>
    <s v="E213"/>
    <m/>
    <d v="2026-03-25T00:00:00"/>
    <d v="2026-06-23T00:00:00"/>
    <s v="SOUTHWEST AIR 5261823"/>
    <s v="4511"/>
    <s v="Travel"/>
    <n v="416.08"/>
    <s v="Corporate Amex"/>
    <m/>
    <s v="Y"/>
    <s v="Travel"/>
    <s v="MATCH"/>
    <x v="4"/>
  </r>
  <r>
    <s v="EXP103251"/>
    <s v="E241"/>
    <s v="AX-745081630"/>
    <d v="2026-01-15T00:00:00"/>
    <d v="2026-06-23T00:00:00"/>
    <s v="HOOTSUITE INC"/>
    <s v="5734"/>
    <s v="Software"/>
    <n v="139.22"/>
    <s v="Corporate Amex"/>
    <m/>
    <s v="Y"/>
    <s v="Software"/>
    <s v="MATCH"/>
    <x v="1"/>
  </r>
  <r>
    <s v="EXP103252"/>
    <s v="E105"/>
    <m/>
    <d v="2026-02-27T00:00:00"/>
    <d v="2026-06-23T00:00:00"/>
    <s v="STARBUCKS #4471"/>
    <s v="5812"/>
    <s v="Meals"/>
    <n v="13.86"/>
    <s v="Personal (Reimbursement)"/>
    <s v="International merchant - Amex not accepted"/>
    <s v="Y"/>
    <s v="Meals"/>
    <s v="MATCH"/>
    <x v="2"/>
  </r>
  <r>
    <s v="EXP103253"/>
    <s v="E271"/>
    <s v="AX-889457388"/>
    <d v="2026-02-24T00:00:00"/>
    <d v="2026-06-23T00:00:00"/>
    <s v="STAPLES #0231"/>
    <s v="5943"/>
    <s v="Office Supplies"/>
    <n v="66.989999999999995"/>
    <s v="Corporate Amex"/>
    <m/>
    <s v="Y"/>
    <s v="Office Supplies"/>
    <s v="MATCH"/>
    <x v="3"/>
  </r>
  <r>
    <s v="EXP103254"/>
    <s v="E266"/>
    <s v="AX-902383177"/>
    <d v="2026-06-15T00:00:00"/>
    <d v="2026-06-23T00:00:00"/>
    <s v="AMC THEATRES 0021"/>
    <s v="7832"/>
    <s v="  Entertainment "/>
    <n v="43.14"/>
    <s v="Corporate Amex"/>
    <m/>
    <s v="Y"/>
    <s v="Entertainment"/>
    <s v="MATCH"/>
    <x v="3"/>
  </r>
  <r>
    <s v="EXP103255"/>
    <s v="E020"/>
    <s v="AX246988786"/>
    <d v="2026-06-17T00:00:00"/>
    <d v="2026-06-23T00:00:00"/>
    <s v="DELTA AIR 00623891045"/>
    <s v="4511"/>
    <s v="Travel"/>
    <n v="527.98"/>
    <s v="Corporate Amex"/>
    <m/>
    <s v="Y"/>
    <s v="Travel"/>
    <s v="MATCH"/>
    <x v="0"/>
  </r>
  <r>
    <s v="EXP103256"/>
    <s v="E112"/>
    <s v="AX495246170"/>
    <d v="2026-05-02T00:00:00"/>
    <d v="2026-06-23T00:00:00"/>
    <s v="OLIVE GARDEN 00456"/>
    <s v="5812"/>
    <s v="Meals"/>
    <n v="124.77"/>
    <s v="Corporate Amex"/>
    <m/>
    <s v="Y"/>
    <s v="Meals"/>
    <s v="MATCH"/>
    <x v="2"/>
  </r>
  <r>
    <s v="EXP103257"/>
    <s v="E126"/>
    <s v="ax379000453"/>
    <d v="2026-06-19T00:00:00"/>
    <d v="2026-06-23T00:00:00"/>
    <s v="MICROSOFT*365"/>
    <s v="5734"/>
    <s v="Software"/>
    <n v="29.87"/>
    <s v="Corporate Amex"/>
    <m/>
    <s v="Y"/>
    <s v="Software"/>
    <s v="MATCH"/>
    <x v="7"/>
  </r>
  <r>
    <s v="EXP103258"/>
    <s v="E160"/>
    <s v="ax512997451"/>
    <d v="2026-06-14T00:00:00"/>
    <d v="2026-06-23T00:00:00"/>
    <s v="CHIPOTLE 2214"/>
    <s v="5812"/>
    <s v="  Meals "/>
    <n v="16.420000000000002"/>
    <s v="Corporate Amex"/>
    <m/>
    <s v="Y"/>
    <s v="Meals"/>
    <s v="MATCH"/>
    <x v="6"/>
  </r>
  <r>
    <s v="EXP103259"/>
    <s v="E145"/>
    <s v="AX826860418"/>
    <d v="2026-06-16T00:00:00"/>
    <d v="2026-06-23T00:00:00"/>
    <s v="SQ *THE CORNER BISTRO"/>
    <s v="5812"/>
    <s v="Meals"/>
    <n v="88.85"/>
    <s v="Corporate Amex"/>
    <m/>
    <s v="Y"/>
    <s v="Meals"/>
    <s v="MATCH"/>
    <x v="7"/>
  </r>
  <r>
    <s v="EXP103260"/>
    <s v="E262"/>
    <s v="AX107921703"/>
    <d v="2026-06-17T00:00:00"/>
    <d v="2026-06-23T00:00:00"/>
    <s v="STARBUCKS #4471"/>
    <s v="5812"/>
    <s v="Meals"/>
    <n v="15.6"/>
    <s v="Corporate Amex"/>
    <m/>
    <s v="Y"/>
    <s v="Meals"/>
    <s v="MATCH"/>
    <x v="3"/>
  </r>
  <r>
    <s v="EXP103261"/>
    <s v="E010"/>
    <s v="AX286859401"/>
    <d v="2026-05-28T00:00:00"/>
    <d v="2026-06-23T00:00:00"/>
    <s v="CHIPOTLE 2214"/>
    <s v="5812"/>
    <s v="Meals"/>
    <n v="21.44"/>
    <s v="Corporate Amex"/>
    <m/>
    <s v="Y"/>
    <s v="Meals"/>
    <s v="MATCH"/>
    <x v="0"/>
  </r>
  <r>
    <s v="EXP103262"/>
    <s v="E194"/>
    <s v="AX243848085"/>
    <d v="2026-06-08T00:00:00"/>
    <d v="2026-06-23T00:00:00"/>
    <s v="HILTON GARDEN INN 2231"/>
    <s v="7011"/>
    <s v="Lodging"/>
    <n v="306.42"/>
    <s v="Corporate Amex"/>
    <m/>
    <s v="Y"/>
    <s v="Lodging"/>
    <s v="MATCH"/>
    <x v="5"/>
  </r>
  <r>
    <s v="EXP103263"/>
    <s v="E102"/>
    <s v="AX447241280"/>
    <d v="2026-06-19T00:00:00"/>
    <d v="2026-06-23T00:00:00"/>
    <s v="OLIVE GARDEN 00456"/>
    <s v="5812"/>
    <s v="Meals"/>
    <n v="108.23"/>
    <s v="Corporate Amex"/>
    <m/>
    <s v="Y"/>
    <s v="Meals"/>
    <s v="MATCH"/>
    <x v="2"/>
  </r>
  <r>
    <s v="EXP103264"/>
    <s v="E024"/>
    <s v="AX-102242356"/>
    <d v="2026-06-15T00:00:00"/>
    <d v="2026-06-23T00:00:00"/>
    <s v="STAPLES #0231"/>
    <s v="5943"/>
    <s v="Office Supplies"/>
    <n v="84.74"/>
    <s v="Corporate Amex"/>
    <m/>
    <s v="Y"/>
    <s v="Office Supplies"/>
    <s v="MATCH"/>
    <x v="0"/>
  </r>
  <r>
    <s v="EXP103265"/>
    <s v="E066"/>
    <s v="AX 663044894"/>
    <d v="2026-01-21T00:00:00"/>
    <d v="2026-06-23T00:00:00"/>
    <s v="YELLOW CAB CO"/>
    <s v="4121"/>
    <s v="Transportation"/>
    <n v="59.59"/>
    <s v="Corporate Amex"/>
    <m/>
    <s v="Y"/>
    <s v="Transportation"/>
    <s v="MATCH"/>
    <x v="0"/>
  </r>
  <r>
    <s v="EXP103266"/>
    <s v="E066"/>
    <m/>
    <d v="2026-04-18T00:00:00"/>
    <d v="2026-06-23T00:00:00"/>
    <s v="SPROUT SOCIAL"/>
    <s v="5734"/>
    <s v="Software"/>
    <n v="170.35"/>
    <s v="Corporate Amex"/>
    <m/>
    <s v="Y"/>
    <s v="Software"/>
    <s v="MATCH"/>
    <x v="0"/>
  </r>
  <r>
    <s v="EXP103267"/>
    <s v="E233"/>
    <s v="AX 612138617"/>
    <d v="2026-06-13T00:00:00"/>
    <d v="2026-06-23T00:00:00"/>
    <s v="REGION CATERING CO"/>
    <s v="5811"/>
    <s v="Events"/>
    <n v="269.77"/>
    <s v="Corporate Amex"/>
    <m/>
    <s v="N"/>
    <s v="Events"/>
    <s v="MATCH"/>
    <x v="1"/>
  </r>
  <r>
    <s v="EXP103268"/>
    <s v="E045"/>
    <s v="ax904230949"/>
    <d v="2026-03-25T00:00:00"/>
    <d v="2026-06-24T00:00:00"/>
    <s v="AMAZON MKTPLACE PMTS"/>
    <s v="5942"/>
    <s v="Office Supplies"/>
    <n v="38.729999999999997"/>
    <s v="Corporate Amex"/>
    <m/>
    <s v="Y"/>
    <s v="Office Supplies"/>
    <s v="MATCH"/>
    <x v="0"/>
  </r>
  <r>
    <s v="EXP103269"/>
    <s v="E132"/>
    <s v="AX537424533"/>
    <d v="2026-06-01T00:00:00"/>
    <d v="2026-06-24T00:00:00"/>
    <s v="HILTON GARDEN INN 2231"/>
    <s v="7011"/>
    <s v="Lodging"/>
    <n v="348.65"/>
    <s v="Corporate Amex"/>
    <m/>
    <s v="Y"/>
    <s v="Lodging"/>
    <s v="MATCH"/>
    <x v="7"/>
  </r>
  <r>
    <s v="EXP103270"/>
    <s v="E011"/>
    <s v="AX812787187"/>
    <d v="2026-06-22T00:00:00"/>
    <d v="2026-06-24T00:00:00"/>
    <s v="HYATT REGENCY BOS"/>
    <s v="7011"/>
    <s v="Lodging"/>
    <n v="285.20999999999998"/>
    <s v="Corporate Amex"/>
    <m/>
    <s v="Y"/>
    <s v="Lodging"/>
    <s v="MATCH"/>
    <x v="0"/>
  </r>
  <r>
    <s v="EXP103271"/>
    <s v="E052"/>
    <s v="AX-438178835"/>
    <d v="2026-03-15T00:00:00"/>
    <d v="2026-06-24T00:00:00"/>
    <s v="AMAZON MKTPLACE PMTS"/>
    <s v="5942"/>
    <s v="Office Supplies"/>
    <n v="268.02"/>
    <s v="Corporate Amex"/>
    <m/>
    <s v="Y"/>
    <s v="Office Supplies"/>
    <s v="MATCH"/>
    <x v="0"/>
  </r>
  <r>
    <s v="EXP103272"/>
    <s v="E239"/>
    <s v="AX564302292"/>
    <d v="2026-05-09T00:00:00"/>
    <d v="2026-06-24T00:00:00"/>
    <s v="UBER TRIP HELP.UBER"/>
    <s v="4121"/>
    <s v="Transportation"/>
    <n v="41.79"/>
    <s v="Corporate Amex"/>
    <m/>
    <s v="Y"/>
    <s v="Transportation"/>
    <s v="MATCH"/>
    <x v="1"/>
  </r>
  <r>
    <s v="EXP103273"/>
    <s v="E056"/>
    <m/>
    <d v="2026-02-05T00:00:00"/>
    <d v="2026-06-24T00:00:00"/>
    <s v="EVENTBRITE"/>
    <s v="7999"/>
    <s v="Events"/>
    <n v="139.83000000000001"/>
    <s v="Personal (Reimbursement)"/>
    <s v="International merchant - Amex not accepted"/>
    <s v="Y"/>
    <s v="Events"/>
    <s v="MATCH"/>
    <x v="0"/>
  </r>
  <r>
    <s v="EXP103274"/>
    <s v="E220"/>
    <m/>
    <d v="2026-02-08T00:00:00"/>
    <d v="2026-06-24T00:00:00"/>
    <s v="EVENTBRITE"/>
    <s v="7999"/>
    <s v="Events"/>
    <n v="135.37"/>
    <s v="Corporate Amex"/>
    <m/>
    <s v="Y"/>
    <s v="Events"/>
    <s v="MATCH"/>
    <x v="4"/>
  </r>
  <r>
    <s v="EXP103275"/>
    <s v="E116"/>
    <s v="AX-476244423"/>
    <d v="2026-05-16T00:00:00"/>
    <d v="2026-06-24T00:00:00"/>
    <s v="YELLOW CAB CO"/>
    <s v="4121"/>
    <s v="Transportation"/>
    <n v="58.57"/>
    <s v="Corporate Amex"/>
    <m/>
    <s v="Y"/>
    <s v="Transportation"/>
    <s v="MATCH"/>
    <x v="7"/>
  </r>
  <r>
    <s v="EXP103276"/>
    <s v="E015"/>
    <s v="AX619596605"/>
    <d v="2026-05-26T00:00:00"/>
    <d v="2026-06-24T00:00:00"/>
    <s v="BRANDWATCH LTD"/>
    <s v="5734"/>
    <s v="Software"/>
    <n v="497.85"/>
    <s v="Corporate Amex"/>
    <m/>
    <s v="Y"/>
    <s v="Software"/>
    <s v="MATCH"/>
    <x v="0"/>
  </r>
  <r>
    <s v="EXP103277"/>
    <s v="E046"/>
    <s v="AX768753775"/>
    <d v="2026-06-19T00:00:00"/>
    <d v="2026-06-24T00:00:00"/>
    <s v="ZOOM.US"/>
    <s v="5734"/>
    <s v="Software"/>
    <n v="51.43"/>
    <s v="Corporate Amex"/>
    <m/>
    <s v="Y"/>
    <s v="Software"/>
    <s v="MATCH"/>
    <x v="0"/>
  </r>
  <r>
    <s v="EXP103278"/>
    <s v="E046"/>
    <s v="AX 729840349"/>
    <d v="2026-06-20T00:00:00"/>
    <d v="2026-06-24T00:00:00"/>
    <s v="MARRIOTT #4471"/>
    <s v="7011"/>
    <s v="Lodging"/>
    <n v="170.17"/>
    <s v="Corporate Amex"/>
    <m/>
    <s v="Y"/>
    <s v="Lodging"/>
    <s v="MATCH"/>
    <x v="0"/>
  </r>
  <r>
    <s v="EXP103279"/>
    <s v="E036"/>
    <s v="AX805122151"/>
    <d v="2026-06-24T00:00:00"/>
    <d v="2026-06-24T00:00:00"/>
    <s v="SQ *THE CORNER BISTRO"/>
    <s v="5812"/>
    <s v="Meals"/>
    <n v="42.14"/>
    <s v="Corporate Amex"/>
    <m/>
    <s v="Y"/>
    <s v="Meals"/>
    <s v="MATCH"/>
    <x v="0"/>
  </r>
  <r>
    <s v="EXP103280"/>
    <s v="E097"/>
    <s v="AX738601412"/>
    <d v="2026-03-18T00:00:00"/>
    <d v="2026-06-24T00:00:00"/>
    <s v="ZOOM.US"/>
    <s v="5734"/>
    <s v="Software"/>
    <n v="15.41"/>
    <s v="Corporate Amex"/>
    <m/>
    <s v="Y"/>
    <s v="Software"/>
    <s v="MATCH"/>
    <x v="2"/>
  </r>
  <r>
    <s v="EXP103281"/>
    <s v="E087"/>
    <s v="AX611255708"/>
    <d v="2026-06-16T00:00:00"/>
    <d v="2026-06-24T00:00:00"/>
    <s v=" SPROUT SOCIAL"/>
    <s v="5734"/>
    <s v="Software"/>
    <n v="188"/>
    <s v="Corporate Amex"/>
    <m/>
    <s v="Y"/>
    <s v="Software"/>
    <s v="MATCH"/>
    <x v="2"/>
  </r>
  <r>
    <s v="EXP103282"/>
    <s v="E022"/>
    <m/>
    <d v="2026-06-22T00:00:00"/>
    <d v="2026-06-24T00:00:00"/>
    <s v="YELLOW CAB CO"/>
    <s v="4121"/>
    <m/>
    <n v="16.600000000000001"/>
    <s v="Personal (Reimbursement)"/>
    <s v="Card not yet issued"/>
    <s v="N"/>
    <s v="Transportation"/>
    <s v="BLANK"/>
    <x v="0"/>
  </r>
  <r>
    <s v="EXP103283"/>
    <s v="E140"/>
    <s v="AX 387600667"/>
    <d v="2026-04-14T00:00:00"/>
    <d v="2026-06-24T00:00:00"/>
    <s v="STAPLES #0231"/>
    <s v="5943"/>
    <s v="Office Supplies"/>
    <n v="81.94"/>
    <s v="Corporate Amex"/>
    <m/>
    <s v="Y"/>
    <s v="Office Supplies"/>
    <s v="MATCH"/>
    <x v="7"/>
  </r>
  <r>
    <s v="EXP103284"/>
    <s v="E080"/>
    <m/>
    <d v="2026-01-09T00:00:00"/>
    <d v="2026-06-24T00:00:00"/>
    <s v="EVENTBRITE"/>
    <s v="7999"/>
    <s v="Events"/>
    <n v="16.690000000000001"/>
    <s v="Personal (Reimbursement)"/>
    <s v="International merchant - Amex not accepted"/>
    <s v="Y"/>
    <s v="Events"/>
    <s v="MATCH"/>
    <x v="2"/>
  </r>
  <r>
    <s v="EXP103285"/>
    <s v="E053"/>
    <s v="AX-430675186"/>
    <d v="2026-02-06T00:00:00"/>
    <d v="2026-06-24T00:00:00"/>
    <s v="AMAZON MKTPLACE PMTS"/>
    <s v="5942"/>
    <s v="Office Supplies"/>
    <n v="41.02"/>
    <s v="Corporate Amex"/>
    <m/>
    <s v="Y"/>
    <s v="Office Supplies"/>
    <s v="MATCH"/>
    <x v="0"/>
  </r>
  <r>
    <s v="EXP103286"/>
    <s v="E008"/>
    <m/>
    <d v="2026-06-23T00:00:00"/>
    <d v="2026-06-24T00:00:00"/>
    <s v="MICROSOFT*365"/>
    <s v="5734"/>
    <m/>
    <n v="33.26"/>
    <s v="Personal (Reimbursement)"/>
    <s v="Forgot corporate card"/>
    <s v="Y"/>
    <s v="Software"/>
    <s v="BLANK"/>
    <x v="0"/>
  </r>
  <r>
    <s v="EXP103287"/>
    <s v="E014"/>
    <s v="AX449076827"/>
    <d v="2026-06-14T00:00:00"/>
    <d v="2026-06-24T00:00:00"/>
    <s v="ZOOM.US"/>
    <s v="5734"/>
    <s v="Software"/>
    <n v="29.88"/>
    <s v="Corporate Amex"/>
    <m/>
    <s v="Y"/>
    <s v="Software"/>
    <s v="MATCH"/>
    <x v="0"/>
  </r>
  <r>
    <s v="EXP103288"/>
    <s v="E173"/>
    <s v="AX323105445"/>
    <d v="2026-06-17T00:00:00"/>
    <d v="2026-06-24T00:00:00"/>
    <s v=" CHIPOTLE 2214"/>
    <s v="5812"/>
    <s v="Meals"/>
    <n v="10.41"/>
    <s v="Corporate Amex"/>
    <m/>
    <s v="Y"/>
    <s v="Meals"/>
    <s v="MATCH"/>
    <x v="6"/>
  </r>
  <r>
    <s v="EXP103289"/>
    <s v="E063"/>
    <s v="ax937154330"/>
    <d v="2026-06-20T00:00:00"/>
    <d v="2026-06-24T00:00:00"/>
    <s v="ZOOM.US"/>
    <s v="5734"/>
    <s v="Software"/>
    <n v="41.17"/>
    <s v="Corporate Amex"/>
    <m/>
    <s v="Y"/>
    <s v="Software"/>
    <s v="MATCH"/>
    <x v="0"/>
  </r>
  <r>
    <s v="EXP103290"/>
    <s v="E082"/>
    <s v="ax650279478"/>
    <d v="2026-06-14T00:00:00"/>
    <d v="2026-06-24T00:00:00"/>
    <s v="OLIVE GARDEN 00456"/>
    <s v="5812"/>
    <s v="Meals"/>
    <n v="114.86"/>
    <s v="Corporate Amex"/>
    <m/>
    <s v="Y"/>
    <s v="Meals"/>
    <s v="MATCH"/>
    <x v="2"/>
  </r>
  <r>
    <s v="EXP103291"/>
    <s v="E025"/>
    <s v="ax984367821"/>
    <d v="2026-06-20T00:00:00"/>
    <d v="2026-06-24T00:00:00"/>
    <s v="SPROUT SOCIAL"/>
    <s v="5734"/>
    <s v="Software"/>
    <n v="245.28"/>
    <s v="Corporate Amex"/>
    <m/>
    <s v="Y"/>
    <s v="Software"/>
    <s v="MATCH"/>
    <x v="0"/>
  </r>
  <r>
    <s v="EXP103292"/>
    <s v="E025"/>
    <m/>
    <d v="2026-01-24T00:00:00"/>
    <d v="2026-06-24T00:00:00"/>
    <s v="HYATT REGENCY BOS"/>
    <s v="7011"/>
    <s v="Lodging"/>
    <n v="364.48"/>
    <s v="Corporate Amex"/>
    <m/>
    <s v="Y"/>
    <s v="Lodging"/>
    <s v="MATCH"/>
    <x v="0"/>
  </r>
  <r>
    <s v="EXP103293"/>
    <s v="E067"/>
    <s v="AX572447437"/>
    <d v="2026-06-23T00:00:00"/>
    <d v="2026-06-24T00:00:00"/>
    <s v="AMC THEATRES 0021"/>
    <s v="7832"/>
    <s v="Entertainment"/>
    <n v="47.97"/>
    <s v="Corporate Amex"/>
    <m/>
    <s v="Y"/>
    <s v="Entertainment"/>
    <s v="MATCH"/>
    <x v="0"/>
  </r>
  <r>
    <s v="EXP103294"/>
    <s v="E131"/>
    <s v="AX-202167043"/>
    <d v="2026-01-04T00:00:00"/>
    <d v="2026-06-24T00:00:00"/>
    <s v="AMAZON MKTPLACE PMTS"/>
    <s v="5942"/>
    <s v="Travel"/>
    <n v="425.26"/>
    <s v="Corporate Amex"/>
    <m/>
    <s v="Y"/>
    <s v="Office Supplies"/>
    <s v="MISMATCH"/>
    <x v="7"/>
  </r>
  <r>
    <s v="EXP103295"/>
    <s v="E149"/>
    <m/>
    <d v="2026-04-30T00:00:00"/>
    <d v="2026-06-24T00:00:00"/>
    <s v="UBER TRIP HELP.UBER"/>
    <s v="4121"/>
    <s v="Transportation"/>
    <n v="39.729999999999997"/>
    <s v="Corporate Amex"/>
    <m/>
    <s v="Y"/>
    <s v="Transportation"/>
    <s v="MATCH"/>
    <x v="7"/>
  </r>
  <r>
    <s v="EXP103296"/>
    <s v="E149"/>
    <s v="AX-386053747"/>
    <d v="2026-06-24T00:00:00"/>
    <d v="2026-06-24T00:00:00"/>
    <s v="HOOTSUITE INC"/>
    <s v="5734"/>
    <s v="Software"/>
    <n v="74.86"/>
    <s v="Corporate Amex"/>
    <m/>
    <s v="Y"/>
    <s v="Software"/>
    <s v="MATCH"/>
    <x v="7"/>
  </r>
  <r>
    <s v="EXP103297"/>
    <s v="E062"/>
    <m/>
    <d v="2026-06-14T00:00:00"/>
    <d v="2026-06-24T00:00:00"/>
    <s v="TOTAL PARTY RENTAL"/>
    <s v="7999"/>
    <s v="Events"/>
    <n v="287.64"/>
    <s v="Personal (Reimbursement)"/>
    <s v="Forgot corporate card"/>
    <s v="N"/>
    <s v="Events"/>
    <s v="MATCH"/>
    <x v="0"/>
  </r>
  <r>
    <s v="EXP103298"/>
    <s v="E262"/>
    <m/>
    <d v="2026-06-19T00:00:00"/>
    <d v="2026-06-24T00:00:00"/>
    <s v="REGION CATERING CO"/>
    <s v="5811"/>
    <s v="Events"/>
    <n v="191.53"/>
    <s v="Corporate Amex"/>
    <m/>
    <s v="Y"/>
    <s v="Events"/>
    <s v="MATCH"/>
    <x v="3"/>
  </r>
  <r>
    <s v="EXP103299"/>
    <s v="E065"/>
    <m/>
    <d v="2026-06-15T00:00:00"/>
    <d v="2026-06-24T00:00:00"/>
    <s v="AMAZON MKTPLACE PMTS"/>
    <s v="5942"/>
    <s v="Office Supplies"/>
    <n v="114.01"/>
    <s v="Corporate Amex"/>
    <m/>
    <s v="Y"/>
    <s v="Office Supplies"/>
    <s v="MATCH"/>
    <x v="0"/>
  </r>
  <r>
    <s v="EXP103300"/>
    <s v="E238"/>
    <s v="ax343337806"/>
    <d v="2026-06-13T00:00:00"/>
    <d v="2026-06-24T00:00:00"/>
    <s v="UNITED AIRLINES 0162233"/>
    <s v="4511"/>
    <s v="Travel"/>
    <n v="499.55"/>
    <s v="Corporate Amex"/>
    <m/>
    <s v="Y"/>
    <s v="Travel"/>
    <s v="MATCH"/>
    <x v="1"/>
  </r>
  <r>
    <s v="EXP103301"/>
    <s v="E260"/>
    <s v="AX553602945"/>
    <d v="2026-03-04T00:00:00"/>
    <d v="2026-06-24T00:00:00"/>
    <s v="SPROUT SOCIAL"/>
    <s v="5734"/>
    <s v="Software"/>
    <n v="95.26"/>
    <s v="Corporate Amex"/>
    <m/>
    <s v="Y"/>
    <s v="Software"/>
    <s v="MATCH"/>
    <x v="8"/>
  </r>
  <r>
    <s v="EXP103302"/>
    <s v="E034"/>
    <s v="ax307302695"/>
    <d v="2026-06-25T00:00:00"/>
    <d v="2026-06-25T00:00:00"/>
    <s v=" SPROUT SOCIAL"/>
    <s v="5734"/>
    <s v="Software"/>
    <n v="179.96"/>
    <s v="Corporate Amex"/>
    <m/>
    <s v="Y"/>
    <s v="Software"/>
    <s v="MATCH"/>
    <x v="0"/>
  </r>
  <r>
    <s v="EXP103303"/>
    <s v="E034"/>
    <s v="AX996644591"/>
    <d v="2026-04-21T00:00:00"/>
    <d v="2026-06-25T00:00:00"/>
    <s v="CHIPOTLE 2214"/>
    <s v="5812"/>
    <s v="Meals"/>
    <n v="16.239999999999998"/>
    <s v="Corporate Amex"/>
    <m/>
    <s v="Y"/>
    <s v="Meals"/>
    <s v="MATCH"/>
    <x v="0"/>
  </r>
  <r>
    <s v="EXP103304"/>
    <s v="E033"/>
    <s v="AX-532247983"/>
    <d v="2026-03-28T00:00:00"/>
    <d v="2026-06-25T00:00:00"/>
    <s v="DELTA AIR 00623891045"/>
    <s v="4511"/>
    <s v="Travel"/>
    <n v="624.92999999999995"/>
    <s v="Corporate Amex"/>
    <m/>
    <s v="Y"/>
    <s v="Travel"/>
    <s v="MATCH"/>
    <x v="0"/>
  </r>
  <r>
    <s v="EXP103305"/>
    <s v="E038"/>
    <s v="AX199051834"/>
    <d v="2026-06-22T00:00:00"/>
    <d v="2026-06-25T00:00:00"/>
    <s v="SQ *JOES COFFEE"/>
    <s v="5812"/>
    <s v="Meals"/>
    <n v="7.19"/>
    <s v="Corporate Amex"/>
    <m/>
    <s v="Y"/>
    <s v="Meals"/>
    <s v="MATCH"/>
    <x v="0"/>
  </r>
  <r>
    <s v="EXP103306"/>
    <s v="E238"/>
    <s v="ax298648119"/>
    <d v="2026-01-23T00:00:00"/>
    <d v="2026-06-25T00:00:00"/>
    <s v="LYFT RIDE THU"/>
    <s v="4121"/>
    <s v="Transportation"/>
    <n v="14.25"/>
    <s v="Corporate Amex"/>
    <m/>
    <s v="Y"/>
    <s v="Transportation"/>
    <s v="MATCH"/>
    <x v="1"/>
  </r>
  <r>
    <s v="EXP103307"/>
    <s v="E150"/>
    <s v="AX823127039"/>
    <d v="2026-06-17T00:00:00"/>
    <d v="2026-06-25T00:00:00"/>
    <s v="SQ *JOES COFFEE"/>
    <s v="5812"/>
    <s v="Meals"/>
    <n v="14.8"/>
    <s v="Corporate Amex"/>
    <m/>
    <s v="Y"/>
    <s v="Meals"/>
    <s v="MATCH"/>
    <x v="7"/>
  </r>
  <r>
    <s v="EXP103308"/>
    <s v="E048"/>
    <m/>
    <d v="2026-06-18T00:00:00"/>
    <d v="2026-06-25T00:00:00"/>
    <s v="PANERA BREAD #0231"/>
    <s v="5812"/>
    <s v="Meals"/>
    <n v="23.6"/>
    <s v="Personal (Reimbursement)"/>
    <s v="Amex declined - vendor doesn't accept Amex"/>
    <s v="Y"/>
    <s v="Meals"/>
    <s v="MATCH"/>
    <x v="0"/>
  </r>
  <r>
    <s v="EXP103310"/>
    <s v="E059"/>
    <s v="ax577918048"/>
    <d v="2026-04-02T00:00:00"/>
    <d v="2026-06-25T00:00:00"/>
    <s v="CHIPOTLE 2214"/>
    <s v="5812"/>
    <s v="Meals"/>
    <n v="11.59"/>
    <s v="Corporate Amex"/>
    <m/>
    <s v="N"/>
    <s v="Meals"/>
    <s v="MATCH"/>
    <x v="0"/>
  </r>
  <r>
    <s v="EXP103311"/>
    <s v="E001"/>
    <s v="AX805627252"/>
    <d v="2026-06-20T00:00:00"/>
    <d v="2026-06-25T00:00:00"/>
    <s v="REGION CATERING CO"/>
    <s v="5811"/>
    <s v="Events"/>
    <n v="169.33"/>
    <s v="Corporate Amex"/>
    <m/>
    <s v="Y"/>
    <s v="Events"/>
    <s v="MATCH"/>
    <x v="0"/>
  </r>
  <r>
    <s v="EXP103312"/>
    <s v="E146"/>
    <s v="AX299629511"/>
    <d v="2026-06-17T00:00:00"/>
    <d v="2026-06-25T00:00:00"/>
    <s v="DELTA AIR 00623891045"/>
    <s v="4511"/>
    <s v="Travel"/>
    <n v="234.1"/>
    <s v="Corporate Amex"/>
    <m/>
    <s v="Y"/>
    <s v="Travel"/>
    <s v="MATCH"/>
    <x v="7"/>
  </r>
  <r>
    <s v="EXP103313"/>
    <s v="E005"/>
    <s v="ax732281763"/>
    <d v="2026-02-03T00:00:00"/>
    <d v="2026-06-25T00:00:00"/>
    <s v="STAPLES #0231"/>
    <s v="5943"/>
    <s v="Office Supplies"/>
    <n v="39.5"/>
    <s v="Corporate Amex"/>
    <m/>
    <s v="Y"/>
    <s v="Office Supplies"/>
    <s v="MATCH"/>
    <x v="0"/>
  </r>
  <r>
    <s v="EXP103314"/>
    <s v="E005"/>
    <s v="AX458008300"/>
    <d v="2026-06-16T00:00:00"/>
    <d v="2026-06-25T00:00:00"/>
    <s v="HOOTSUITE INC"/>
    <s v="5734"/>
    <s v="Software"/>
    <n v="88.01"/>
    <s v="Corporate Amex"/>
    <m/>
    <s v="Y"/>
    <s v="Software"/>
    <s v="MATCH"/>
    <x v="0"/>
  </r>
  <r>
    <s v="EXP103315"/>
    <s v="E022"/>
    <m/>
    <d v="2026-06-16T00:00:00"/>
    <d v="2026-06-25T00:00:00"/>
    <s v="EVENTBRITE"/>
    <s v="7999"/>
    <s v="Events"/>
    <n v="73.180000000000007"/>
    <s v="Personal (Reimbursement)"/>
    <s v="Card not yet issued"/>
    <s v="Y"/>
    <s v="Events"/>
    <s v="MATCH"/>
    <x v="0"/>
  </r>
  <r>
    <s v="EXP103317"/>
    <s v="E040"/>
    <m/>
    <d v="2026-03-28T00:00:00"/>
    <d v="2026-06-25T00:00:00"/>
    <s v="SQ *THE CORNER BISTRO"/>
    <s v="5812"/>
    <s v="Meals"/>
    <n v="29.44"/>
    <s v="Personal (Reimbursement)"/>
    <s v="Forgot corporate card"/>
    <s v="Y"/>
    <s v="Meals"/>
    <s v="MATCH"/>
    <x v="0"/>
  </r>
  <r>
    <s v="EXP103318"/>
    <s v="E018"/>
    <m/>
    <d v="2026-06-21T00:00:00"/>
    <d v="2026-06-25T00:00:00"/>
    <s v="ZOOM.US"/>
    <s v="5734"/>
    <s v="Software"/>
    <n v="19.399999999999999"/>
    <s v="Personal (Reimbursement)"/>
    <s v="Forgot corporate card"/>
    <s v="Y"/>
    <s v="Software"/>
    <s v="MATCH"/>
    <x v="0"/>
  </r>
  <r>
    <s v="EXP103319"/>
    <s v="E042"/>
    <m/>
    <d v="2026-06-25T00:00:00"/>
    <d v="2026-06-25T00:00:00"/>
    <s v="BRANDWATCH LTD"/>
    <s v="5734"/>
    <s v="Software"/>
    <n v="399.54"/>
    <s v="Corporate Amex"/>
    <m/>
    <s v="N"/>
    <s v="Software"/>
    <s v="MATCH"/>
    <x v="0"/>
  </r>
  <r>
    <s v="EXP103320"/>
    <s v="E011"/>
    <s v="AX597633329"/>
    <d v="2026-06-15T00:00:00"/>
    <d v="2026-06-25T00:00:00"/>
    <s v="AMAZON MKTPLACE PMTS"/>
    <s v="5942"/>
    <s v="Office Supplies"/>
    <n v="63.89"/>
    <s v="Corporate Amex"/>
    <m/>
    <s v="Y"/>
    <s v="Office Supplies"/>
    <s v="MATCH"/>
    <x v="0"/>
  </r>
  <r>
    <s v="EXP103321"/>
    <s v="E045"/>
    <m/>
    <d v="2026-02-14T00:00:00"/>
    <d v="2026-06-25T00:00:00"/>
    <s v="SQ *THE CORNER BISTRO"/>
    <s v="5812"/>
    <s v="Meals"/>
    <n v="83.94"/>
    <s v="Personal (Reimbursement)"/>
    <s v="International merchant - Amex not accepted"/>
    <s v="Y"/>
    <s v="Meals"/>
    <s v="MATCH"/>
    <x v="0"/>
  </r>
  <r>
    <s v="EXP103322"/>
    <s v="E004"/>
    <s v="AX593742454"/>
    <d v="2026-04-14T00:00:00"/>
    <d v="2026-06-25T00:00:00"/>
    <s v="ADOBE *CREATIVE CLOUD"/>
    <s v="5734"/>
    <s v="Software"/>
    <n v="49.26"/>
    <s v="Corporate Amex"/>
    <m/>
    <s v="Y"/>
    <s v="Software"/>
    <s v="MATCH"/>
    <x v="0"/>
  </r>
  <r>
    <s v="EXP103323"/>
    <s v="E004"/>
    <s v="AX607469819"/>
    <d v="2026-05-30T00:00:00"/>
    <d v="2026-06-25T00:00:00"/>
    <s v="AMAZON MKTPLACE PMTS"/>
    <s v="5942"/>
    <s v="Office Supplies"/>
    <n v="395.5"/>
    <s v="Corporate Amex"/>
    <m/>
    <s v="Y"/>
    <s v="Office Supplies"/>
    <s v="MATCH"/>
    <x v="0"/>
  </r>
  <r>
    <s v="EXP103324"/>
    <s v="E267"/>
    <s v="AX377139048"/>
    <d v="2026-02-05T00:00:00"/>
    <d v="2026-06-25T00:00:00"/>
    <s v="ZOOM.US"/>
    <s v="5734"/>
    <s v="Software"/>
    <n v="24.58"/>
    <s v="Corporate Amex"/>
    <m/>
    <s v="Y"/>
    <s v="Software"/>
    <s v="MATCH"/>
    <x v="3"/>
  </r>
  <r>
    <s v="EXP103325"/>
    <s v="E015"/>
    <s v="AX 321757211"/>
    <d v="2026-01-27T00:00:00"/>
    <d v="2026-06-25T00:00:00"/>
    <s v="CHIPOTLE 2214"/>
    <s v="5812"/>
    <s v="Meals"/>
    <n v="16.22"/>
    <s v="Corporate Amex"/>
    <m/>
    <s v="Y"/>
    <s v="Meals"/>
    <s v="MATCH"/>
    <x v="0"/>
  </r>
  <r>
    <s v="EXP103326"/>
    <s v="E127"/>
    <s v="ax296349197"/>
    <d v="2026-06-19T00:00:00"/>
    <d v="2026-06-25T00:00:00"/>
    <s v="SOUTHWEST AIR 5261823"/>
    <s v="4511"/>
    <s v="Software"/>
    <n v="450.87"/>
    <s v="Corporate Amex"/>
    <m/>
    <s v="N"/>
    <s v="Travel"/>
    <s v="MISMATCH"/>
    <x v="7"/>
  </r>
  <r>
    <s v="EXP103327"/>
    <s v="E085"/>
    <s v="AX752587454"/>
    <d v="2026-06-21T00:00:00"/>
    <d v="2026-06-25T00:00:00"/>
    <s v="REGION CATERING CO"/>
    <s v="5811"/>
    <s v="Events"/>
    <n v="245.39"/>
    <s v="Corporate Amex"/>
    <m/>
    <s v="Y"/>
    <s v="Events"/>
    <s v="MATCH"/>
    <x v="2"/>
  </r>
  <r>
    <s v="EXP103328"/>
    <s v="E260"/>
    <s v="AX787874624"/>
    <d v="2026-03-30T00:00:00"/>
    <d v="2026-06-25T00:00:00"/>
    <s v="AMC THEATRES 0021"/>
    <s v="7832"/>
    <s v="Entertainment"/>
    <n v="24.88"/>
    <s v="Corporate Amex"/>
    <m/>
    <s v="Y"/>
    <s v="Entertainment"/>
    <s v="MATCH"/>
    <x v="8"/>
  </r>
  <r>
    <s v="EXP103329"/>
    <s v="E076"/>
    <m/>
    <d v="2026-06-25T00:00:00"/>
    <d v="2026-06-25T00:00:00"/>
    <s v="MICROSOFT*365"/>
    <s v="5734"/>
    <s v="Software"/>
    <n v="58.53"/>
    <s v="Personal (Reimbursement)"/>
    <s v="Amex declined - vendor doesn't accept Amex"/>
    <s v="Y"/>
    <s v="Software"/>
    <s v="MATCH"/>
    <x v="2"/>
  </r>
  <r>
    <s v="EXP103330"/>
    <s v="E067"/>
    <s v="AX-251871587"/>
    <d v="2026-04-04T00:00:00"/>
    <d v="2026-06-25T00:00:00"/>
    <s v="MARRIOTT #4471"/>
    <s v="7011"/>
    <s v="Lodging"/>
    <n v="142.93"/>
    <s v="Corporate Amex"/>
    <m/>
    <s v="Y"/>
    <s v="Lodging"/>
    <s v="MATCH"/>
    <x v="0"/>
  </r>
  <r>
    <s v="EXP103331"/>
    <s v="E216"/>
    <m/>
    <d v="2026-02-03T00:00:00"/>
    <d v="2026-06-25T00:00:00"/>
    <s v="UNITED AIRLINES 0162233"/>
    <s v="4511"/>
    <s v="Travel"/>
    <n v="562.66999999999996"/>
    <s v="Personal (Reimbursement)"/>
    <s v="International merchant - Amex not accepted"/>
    <s v="Y"/>
    <s v="Travel"/>
    <s v="MATCH"/>
    <x v="4"/>
  </r>
  <r>
    <s v="EXP103332"/>
    <s v="E268"/>
    <s v="AX-404430067"/>
    <d v="2026-01-15T00:00:00"/>
    <d v="2026-06-25T00:00:00"/>
    <s v="OLIVE GARDEN 00456"/>
    <s v="5812"/>
    <s v="Meals"/>
    <n v="138.36000000000001"/>
    <s v="Corporate Amex"/>
    <m/>
    <s v="N"/>
    <s v="Meals"/>
    <s v="MATCH"/>
    <x v="3"/>
  </r>
  <r>
    <s v="EXP103333"/>
    <s v="E053"/>
    <s v="AX279241181"/>
    <d v="2026-01-03T00:00:00"/>
    <d v="2026-06-25T00:00:00"/>
    <s v="PANERA BREAD #0231"/>
    <s v="5812"/>
    <s v="Meals"/>
    <n v="29.93"/>
    <s v="Corporate Amex"/>
    <m/>
    <s v="Y"/>
    <s v="Meals"/>
    <s v="MATCH"/>
    <x v="0"/>
  </r>
  <r>
    <s v="EXP103334"/>
    <s v="E016"/>
    <m/>
    <d v="2026-05-19T00:00:00"/>
    <d v="2026-06-25T00:00:00"/>
    <s v="ZOOM.US"/>
    <s v="5734"/>
    <s v="Software"/>
    <n v="30.14"/>
    <s v="Personal (Reimbursement)"/>
    <s v="Card not yet issued"/>
    <s v="Y"/>
    <s v="Software"/>
    <s v="MATCH"/>
    <x v="0"/>
  </r>
  <r>
    <s v="EXP103335"/>
    <s v="E266"/>
    <s v="ax853693844"/>
    <d v="2026-06-25T00:00:00"/>
    <d v="2026-06-25T00:00:00"/>
    <s v="OLIVE GARDEN 00456"/>
    <s v="5812"/>
    <s v="Meals"/>
    <n v="112.2"/>
    <s v="Corporate Amex"/>
    <m/>
    <s v="Y"/>
    <s v="Meals"/>
    <s v="MATCH"/>
    <x v="3"/>
  </r>
  <r>
    <s v="EXP103336"/>
    <s v="E138"/>
    <s v="AX553894375"/>
    <d v="2026-06-27T00:00:00"/>
    <d v="2026-06-25T00:00:00"/>
    <s v="OLIVE GARDEN 00456"/>
    <s v="5812"/>
    <s v="Meals"/>
    <n v="73.400000000000006"/>
    <s v="Corporate Amex"/>
    <m/>
    <s v="Y"/>
    <s v="Meals"/>
    <s v="MATCH"/>
    <x v="7"/>
  </r>
  <r>
    <s v="EXP103337"/>
    <s v="E020"/>
    <s v="AX746102754"/>
    <d v="2026-01-25T00:00:00"/>
    <d v="2026-06-25T00:00:00"/>
    <s v=" LYFT RIDE THU"/>
    <s v="4121"/>
    <s v="Transportation"/>
    <n v="35.86"/>
    <s v="Corporate Amex"/>
    <m/>
    <s v="N"/>
    <s v="Transportation"/>
    <s v="MATCH"/>
    <x v="0"/>
  </r>
  <r>
    <s v="EXP103339"/>
    <s v="E201"/>
    <s v="AX 427085404"/>
    <d v="2026-06-21T00:00:00"/>
    <d v="2026-06-26T00:00:00"/>
    <s v="HILTON GARDEN INN 2231"/>
    <s v="7011"/>
    <s v="Lodging"/>
    <n v="208.18"/>
    <s v="Corporate Amex"/>
    <m/>
    <s v="Y"/>
    <s v="Lodging"/>
    <s v="MATCH"/>
    <x v="5"/>
  </r>
  <r>
    <s v="EXP103340"/>
    <s v="E026"/>
    <s v="AX-479822918"/>
    <d v="2026-06-23T00:00:00"/>
    <d v="2026-06-26T00:00:00"/>
    <s v="STARBUCKS #4471"/>
    <s v="5812"/>
    <s v="Meals"/>
    <n v="11.28"/>
    <s v="Corporate Amex"/>
    <m/>
    <s v="Y"/>
    <s v="Meals"/>
    <s v="MATCH"/>
    <x v="0"/>
  </r>
  <r>
    <s v="EXP103341"/>
    <s v="E026"/>
    <s v="AX-304899544"/>
    <d v="2026-04-15T00:00:00"/>
    <d v="2026-06-26T00:00:00"/>
    <s v="STARBUCKS #4471"/>
    <s v="5812"/>
    <s v="Meals"/>
    <n v="9.5"/>
    <s v="Corporate Amex"/>
    <m/>
    <s v="Y"/>
    <s v="Meals"/>
    <s v="MATCH"/>
    <x v="0"/>
  </r>
  <r>
    <s v="EXP103342"/>
    <s v="E027"/>
    <s v="AX 758804314"/>
    <d v="2026-06-21T00:00:00"/>
    <d v="2026-06-26T00:00:00"/>
    <s v="MARRIOTT #4471"/>
    <s v="7011"/>
    <s v="Lodging"/>
    <n v="376.96"/>
    <s v="Corporate Amex"/>
    <m/>
    <s v="Y"/>
    <s v="Lodging"/>
    <s v="MATCH"/>
    <x v="0"/>
  </r>
  <r>
    <s v="EXP103343"/>
    <s v="E027"/>
    <s v="AX536820025"/>
    <d v="2026-01-30T00:00:00"/>
    <d v="2026-06-26T00:00:00"/>
    <s v="LYFT RIDE THU"/>
    <s v="4121"/>
    <s v="Transportation"/>
    <n v="25.29"/>
    <s v="Corporate Amex"/>
    <m/>
    <s v="Y"/>
    <s v="Transportation"/>
    <s v="MATCH"/>
    <x v="0"/>
  </r>
  <r>
    <s v="EXP103344"/>
    <s v="E002"/>
    <s v="AX189828274"/>
    <d v="2026-02-07T00:00:00"/>
    <d v="2026-06-26T00:00:00"/>
    <s v="MICROSOFT*365"/>
    <s v="5734"/>
    <s v="Software"/>
    <n v="58.02"/>
    <s v="Corporate Amex"/>
    <m/>
    <s v="Y"/>
    <s v="Software"/>
    <s v="MATCH"/>
    <x v="0"/>
  </r>
  <r>
    <s v="EXP103345"/>
    <s v="E011"/>
    <s v="AX593508118"/>
    <d v="2026-02-20T00:00:00"/>
    <d v="2026-06-26T00:00:00"/>
    <s v="DELTA AIR 00623891045"/>
    <s v="4511"/>
    <s v="Travel"/>
    <n v="592.54999999999995"/>
    <s v="Corporate Amex"/>
    <m/>
    <s v="N"/>
    <s v="Travel"/>
    <s v="MATCH"/>
    <x v="0"/>
  </r>
  <r>
    <s v="EXP103346"/>
    <s v="E048"/>
    <s v="AX388861103"/>
    <d v="2026-06-28T00:00:00"/>
    <d v="2026-06-26T00:00:00"/>
    <s v="TOPGOLF #442"/>
    <s v="7997"/>
    <s v="Entertainment"/>
    <n v="176.57"/>
    <s v="Corporate Amex"/>
    <m/>
    <s v="Y"/>
    <s v="Entertainment"/>
    <s v="MATCH"/>
    <x v="0"/>
  </r>
  <r>
    <s v="EXP103347"/>
    <s v="E073"/>
    <s v="AX-634503759"/>
    <d v="2026-06-24T00:00:00"/>
    <d v="2026-06-26T00:00:00"/>
    <s v="ADOBE *CREATIVE CLOUD"/>
    <s v="5734"/>
    <s v="Software"/>
    <n v="83.37"/>
    <s v="Corporate Amex"/>
    <m/>
    <s v="Y"/>
    <s v="Software"/>
    <s v="MATCH"/>
    <x v="2"/>
  </r>
  <r>
    <s v="EXP103348"/>
    <s v="E023"/>
    <s v="AX930417892"/>
    <d v="2026-05-03T00:00:00"/>
    <d v="2026-06-26T00:00:00"/>
    <s v="TOTAL PARTY RENTAL"/>
    <s v="7999"/>
    <s v="Events"/>
    <n v="184.82"/>
    <s v="Corporate Amex"/>
    <m/>
    <s v="Y"/>
    <s v="Events"/>
    <s v="MATCH"/>
    <x v="0"/>
  </r>
  <r>
    <s v="EXP103349"/>
    <s v="E064"/>
    <s v="AX225298322"/>
    <d v="2026-02-11T00:00:00"/>
    <d v="2026-06-26T00:00:00"/>
    <s v="BRANDWATCH LTD"/>
    <s v="5734"/>
    <s v="Software"/>
    <n v="157.74"/>
    <s v="Corporate Amex"/>
    <m/>
    <s v="Y"/>
    <s v="Software"/>
    <s v="MATCH"/>
    <x v="0"/>
  </r>
  <r>
    <s v="EXP103350"/>
    <s v="E015"/>
    <s v="ax717506672"/>
    <d v="2026-06-19T00:00:00"/>
    <d v="2026-06-26T00:00:00"/>
    <s v="MICROSOFT*365"/>
    <s v="5734"/>
    <s v="Software"/>
    <n v="68.3"/>
    <s v="Corporate Amex"/>
    <m/>
    <s v="Y"/>
    <s v="Software"/>
    <s v="MATCH"/>
    <x v="0"/>
  </r>
  <r>
    <s v="EXP103351"/>
    <s v="E054"/>
    <s v="AX384152718"/>
    <d v="2026-04-08T00:00:00"/>
    <d v="2026-06-26T00:00:00"/>
    <s v="SOUTHWEST AIR 5261823"/>
    <s v="4511"/>
    <s v="Travel"/>
    <n v="333.1"/>
    <s v="Corporate Amex"/>
    <m/>
    <s v="Y"/>
    <s v="Travel"/>
    <s v="MATCH"/>
    <x v="0"/>
  </r>
  <r>
    <s v="EXP103352"/>
    <s v="E054"/>
    <s v="AX-993268082"/>
    <d v="2026-04-20T00:00:00"/>
    <d v="2026-06-26T00:00:00"/>
    <s v="ZOOM.US"/>
    <s v="5734"/>
    <s v="Software"/>
    <n v="58.26"/>
    <s v="Corporate Amex"/>
    <m/>
    <s v="Y"/>
    <s v="Software"/>
    <s v="MATCH"/>
    <x v="0"/>
  </r>
  <r>
    <s v="EXP103353"/>
    <s v="E066"/>
    <s v="AX-715204977"/>
    <d v="2026-06-08T00:00:00"/>
    <d v="2026-06-26T00:00:00"/>
    <s v="SQ *JOES COFFEE"/>
    <s v="5812"/>
    <s v="Meals"/>
    <n v="23.94"/>
    <s v="Corporate Amex"/>
    <m/>
    <s v="Y"/>
    <s v="Meals"/>
    <s v="MATCH"/>
    <x v="0"/>
  </r>
  <r>
    <s v="EXP103354"/>
    <s v="E240"/>
    <m/>
    <d v="2026-02-11T00:00:00"/>
    <d v="2026-06-26T00:00:00"/>
    <s v="STARBUCKS #4471"/>
    <s v="5812"/>
    <s v="Meals"/>
    <n v="8.5500000000000007"/>
    <s v="Corporate Amex"/>
    <m/>
    <s v="Y"/>
    <s v="Meals"/>
    <s v="MATCH"/>
    <x v="1"/>
  </r>
  <r>
    <s v="EXP103355"/>
    <s v="E005"/>
    <s v="AX615285791"/>
    <d v="2026-06-26T00:00:00"/>
    <d v="2026-06-26T00:00:00"/>
    <s v="PANERA BREAD #0231"/>
    <s v="5812"/>
    <s v="Meals"/>
    <n v="17.84"/>
    <s v="Corporate Amex"/>
    <m/>
    <s v="Y"/>
    <s v="Meals"/>
    <s v="MATCH"/>
    <x v="0"/>
  </r>
  <r>
    <s v="EXP103356"/>
    <s v="E045"/>
    <s v="ax840108341"/>
    <d v="2026-03-11T00:00:00"/>
    <d v="2026-06-26T00:00:00"/>
    <s v="CHIPOTLE 2214"/>
    <s v="5812"/>
    <s v="Meals"/>
    <n v="12.56"/>
    <s v="Corporate Amex"/>
    <m/>
    <s v="Y"/>
    <s v="Meals"/>
    <s v="MATCH"/>
    <x v="0"/>
  </r>
  <r>
    <s v="EXP103357"/>
    <s v="E045"/>
    <m/>
    <d v="2026-06-02T00:00:00"/>
    <d v="2026-06-26T00:00:00"/>
    <s v="SOUTHWEST AIR 5261823"/>
    <s v="4511"/>
    <s v="Travel"/>
    <n v="313.68"/>
    <s v="Personal (Reimbursement)"/>
    <s v="Forgot corporate card"/>
    <s v="Y"/>
    <s v="Travel"/>
    <s v="MATCH"/>
    <x v="0"/>
  </r>
  <r>
    <s v="EXP103358"/>
    <s v="E038"/>
    <s v="AX 862136037"/>
    <d v="2026-04-28T00:00:00"/>
    <d v="2026-06-26T00:00:00"/>
    <s v="STARBUCKS #4471"/>
    <s v="5812"/>
    <s v="Meals"/>
    <n v="14.15"/>
    <s v="Corporate Amex"/>
    <m/>
    <s v="Y"/>
    <s v="Meals"/>
    <s v="MATCH"/>
    <x v="0"/>
  </r>
  <r>
    <s v="EXP103359"/>
    <s v="E079"/>
    <s v="ax824704962"/>
    <d v="2026-04-10T00:00:00"/>
    <d v="2026-06-26T00:00:00"/>
    <s v="UBER TRIP HELP.UBER"/>
    <s v="4121"/>
    <m/>
    <n v="20.89"/>
    <s v="Corporate Amex"/>
    <m/>
    <s v="Y"/>
    <s v="Transportation"/>
    <s v="BLANK"/>
    <x v="2"/>
  </r>
  <r>
    <s v="EXP103360"/>
    <s v="E062"/>
    <s v="AX521239220"/>
    <d v="2026-06-16T00:00:00"/>
    <d v="2026-06-26T00:00:00"/>
    <s v="HYATT REGENCY BOS"/>
    <s v="7011"/>
    <s v="Lodging"/>
    <n v="292.77999999999997"/>
    <s v="Corporate Amex"/>
    <m/>
    <s v="Y"/>
    <s v="Lodging"/>
    <s v="MATCH"/>
    <x v="0"/>
  </r>
  <r>
    <s v="EXP103361"/>
    <s v="E082"/>
    <s v="AX-340320154"/>
    <d v="2026-05-17T00:00:00"/>
    <d v="2026-06-26T00:00:00"/>
    <s v="YELLOW CAB CO"/>
    <s v="4121"/>
    <s v="Events"/>
    <n v="38.14"/>
    <s v="Corporate Amex"/>
    <m/>
    <s v="Y"/>
    <s v="Transportation"/>
    <s v="MISMATCH"/>
    <x v="2"/>
  </r>
  <r>
    <s v="EXP103362"/>
    <s v="E029"/>
    <m/>
    <d v="2026-03-23T00:00:00"/>
    <d v="2026-06-26T00:00:00"/>
    <s v="ADOBE *CREATIVE CLOUD"/>
    <s v="5734"/>
    <s v="Software"/>
    <n v="68.33"/>
    <s v="Corporate Amex"/>
    <m/>
    <s v="Y"/>
    <s v="Software"/>
    <s v="MATCH"/>
    <x v="0"/>
  </r>
  <r>
    <s v="EXP103363"/>
    <s v="E070"/>
    <s v="AX-352418089"/>
    <d v="2026-06-19T00:00:00"/>
    <d v="2026-06-26T00:00:00"/>
    <s v="DELTA AIR 00623891045"/>
    <s v="4511"/>
    <s v="Travel"/>
    <n v="605.24"/>
    <s v="Corporate Amex"/>
    <m/>
    <s v="Y"/>
    <s v="Travel"/>
    <s v="MATCH"/>
    <x v="0"/>
  </r>
  <r>
    <s v="EXP103364"/>
    <s v="E095"/>
    <s v="AX436822952"/>
    <d v="2026-06-10T00:00:00"/>
    <d v="2026-06-26T00:00:00"/>
    <s v="HOOTSUITE INC"/>
    <s v="5734"/>
    <m/>
    <n v="64.84"/>
    <s v="Corporate Amex"/>
    <m/>
    <s v="Y"/>
    <s v="Software"/>
    <s v="BLANK"/>
    <x v="2"/>
  </r>
  <r>
    <s v="EXP103365"/>
    <s v="E021"/>
    <s v="ax346065252"/>
    <d v="2026-02-12T00:00:00"/>
    <d v="2026-06-26T00:00:00"/>
    <s v="MICROSOFT*365"/>
    <s v="5734"/>
    <s v="Software"/>
    <n v="18.8"/>
    <s v="Corporate Amex"/>
    <m/>
    <s v="Y"/>
    <s v="Software"/>
    <s v="MATCH"/>
    <x v="0"/>
  </r>
  <r>
    <s v="EXP103366"/>
    <s v="E035"/>
    <m/>
    <d v="2026-01-01T00:00:00"/>
    <d v="2026-06-26T00:00:00"/>
    <s v="SOUTHWEST AIR 5261823"/>
    <s v="4511"/>
    <s v="Travel"/>
    <n v="166.53"/>
    <s v="Corporate Amex"/>
    <m/>
    <s v="Y"/>
    <s v="Travel"/>
    <s v="MATCH"/>
    <x v="0"/>
  </r>
  <r>
    <s v="EXP103367"/>
    <s v="E035"/>
    <s v="AX-804812690"/>
    <d v="2026-06-21T00:00:00"/>
    <d v="2026-06-26T00:00:00"/>
    <s v="LYFT RIDE THU"/>
    <s v="4121"/>
    <s v="Transportation"/>
    <n v="42.88"/>
    <s v="Corporate Amex"/>
    <m/>
    <s v="Y"/>
    <s v="Transportation"/>
    <s v="MATCH"/>
    <x v="0"/>
  </r>
  <r>
    <s v="EXP103368"/>
    <s v="E127"/>
    <s v="AX908352239"/>
    <d v="2026-06-21T00:00:00"/>
    <d v="2026-06-26T00:00:00"/>
    <s v="SQ *THE CORNER BISTRO"/>
    <s v="5812"/>
    <s v="Meals"/>
    <n v="88.18"/>
    <s v="Corporate Amex"/>
    <m/>
    <s v="Y"/>
    <s v="Meals"/>
    <s v="MATCH"/>
    <x v="7"/>
  </r>
  <r>
    <s v="EXP103369"/>
    <s v="E040"/>
    <m/>
    <d v="2026-06-20T00:00:00"/>
    <d v="2026-06-26T00:00:00"/>
    <s v="AMC THEATRES 0021"/>
    <s v="7832"/>
    <s v="Entertainment"/>
    <n v="49.71"/>
    <s v="Corporate Amex"/>
    <m/>
    <s v="Y"/>
    <s v="Entertainment"/>
    <s v="MATCH"/>
    <x v="0"/>
  </r>
  <r>
    <s v="EXP103370"/>
    <s v="E009"/>
    <s v="AX244796835"/>
    <d v="2026-04-21T00:00:00"/>
    <d v="2026-06-26T00:00:00"/>
    <s v="ADOBE *CREATIVE CLOUD"/>
    <s v="5734"/>
    <s v="Software"/>
    <n v="88.59"/>
    <s v="Corporate Amex"/>
    <m/>
    <s v="Y"/>
    <s v="Software"/>
    <s v="MATCH"/>
    <x v="0"/>
  </r>
  <r>
    <s v="EXP103371"/>
    <s v="E009"/>
    <s v="AX425134903"/>
    <d v="2026-06-16T00:00:00"/>
    <d v="2026-06-26T00:00:00"/>
    <s v="TOTAL PARTY RENTAL"/>
    <s v="7999"/>
    <s v="Events"/>
    <n v="477.49"/>
    <s v="Corporate Amex"/>
    <m/>
    <s v="Y"/>
    <s v="Events"/>
    <s v="MATCH"/>
    <x v="0"/>
  </r>
  <r>
    <s v="EXP103372"/>
    <s v="E139"/>
    <s v="AX-294966877"/>
    <d v="2026-06-19T00:00:00"/>
    <d v="2026-06-26T00:00:00"/>
    <s v="SQ *JOES COFFEE"/>
    <s v="5812"/>
    <s v="Meals"/>
    <n v="23.22"/>
    <s v="Corporate Amex"/>
    <m/>
    <s v="N"/>
    <s v="Meals"/>
    <s v="MATCH"/>
    <x v="7"/>
  </r>
  <r>
    <s v="EXP103373"/>
    <s v="E199"/>
    <s v="AX884898602"/>
    <d v="2026-04-21T00:00:00"/>
    <d v="2026-06-26T00:00:00"/>
    <s v="HILTON GARDEN INN 2231"/>
    <s v="7011"/>
    <s v="Lodging"/>
    <n v="256.35000000000002"/>
    <s v="Corporate Amex"/>
    <m/>
    <s v="Y"/>
    <s v="Lodging"/>
    <s v="MATCH"/>
    <x v="5"/>
  </r>
  <r>
    <s v="EXP103374"/>
    <s v="E036"/>
    <s v="AX247695361"/>
    <d v="2026-06-19T00:00:00"/>
    <d v="2026-06-26T00:00:00"/>
    <s v="SQ *THE CORNER BISTRO"/>
    <s v="5812"/>
    <s v="Meals"/>
    <n v="35.840000000000003"/>
    <s v="Corporate Amex"/>
    <m/>
    <s v="Y"/>
    <s v="Meals"/>
    <s v="MATCH"/>
    <x v="0"/>
  </r>
  <r>
    <s v="EXP103375"/>
    <s v="E187"/>
    <s v="ax767940298"/>
    <d v="2026-03-14T00:00:00"/>
    <d v="2026-06-26T00:00:00"/>
    <s v="HILTON GARDEN INN 2231"/>
    <s v="7011"/>
    <s v="Lodging"/>
    <n v="315.95999999999998"/>
    <s v="Corporate Amex"/>
    <m/>
    <s v="Y"/>
    <s v="Lodging"/>
    <s v="MATCH"/>
    <x v="5"/>
  </r>
  <r>
    <s v="EXP103376"/>
    <s v="E068"/>
    <s v="ax402620156"/>
    <d v="2026-05-01T00:00:00"/>
    <d v="2026-06-26T00:00:00"/>
    <s v="SQ *JOES COFFEE"/>
    <s v="5812"/>
    <s v="Meals"/>
    <n v="23.56"/>
    <s v="Corporate Amex"/>
    <m/>
    <s v="Y"/>
    <s v="Meals"/>
    <s v="MATCH"/>
    <x v="0"/>
  </r>
  <r>
    <s v="EXP103377"/>
    <s v="E051"/>
    <s v="AX316382847"/>
    <d v="2026-04-16T00:00:00"/>
    <d v="2026-06-26T00:00:00"/>
    <s v="EVENTBRITE"/>
    <s v="7999"/>
    <s v="  Events "/>
    <n v="38.57"/>
    <s v="Corporate Amex"/>
    <m/>
    <s v="Y"/>
    <s v="Events"/>
    <s v="MATCH"/>
    <x v="0"/>
  </r>
  <r>
    <s v="EXP103378"/>
    <s v="E092"/>
    <s v="AX487639201"/>
    <d v="2026-03-02T00:00:00"/>
    <d v="2026-06-26T00:00:00"/>
    <s v="DELTA AIR 00623891045"/>
    <s v="4511"/>
    <s v="Travel"/>
    <n v="521.19000000000005"/>
    <s v="Corporate Amex"/>
    <m/>
    <s v="Y"/>
    <s v="Travel"/>
    <s v="MATCH"/>
    <x v="2"/>
  </r>
  <r>
    <s v="EXP103379"/>
    <s v="E022"/>
    <m/>
    <d v="2026-06-16T00:00:00"/>
    <d v="2026-06-26T00:00:00"/>
    <s v="CHIPOTLE 2214"/>
    <s v="5812"/>
    <s v="Meals"/>
    <n v="15.5"/>
    <s v="Personal (Reimbursement)"/>
    <s v="Card not yet issued"/>
    <s v="Y"/>
    <s v="Meals"/>
    <s v="MATCH"/>
    <x v="0"/>
  </r>
  <r>
    <s v="EXP103380"/>
    <s v="E223"/>
    <s v="AX541347026"/>
    <d v="2026-02-28T00:00:00"/>
    <d v="2026-06-26T00:00:00"/>
    <s v="ZOOM.US"/>
    <s v="5734"/>
    <s v="Software"/>
    <n v="20.53"/>
    <s v="Corporate Amex"/>
    <m/>
    <s v="Y"/>
    <s v="Software"/>
    <s v="MATCH"/>
    <x v="4"/>
  </r>
  <r>
    <s v="EXP103381"/>
    <s v="E083"/>
    <s v="AX244810206"/>
    <d v="2026-03-09T00:00:00"/>
    <d v="2026-06-26T00:00:00"/>
    <s v="ADOBE *CREATIVE CLOUD"/>
    <s v="5734"/>
    <s v="Lodging"/>
    <n v="75.98"/>
    <s v="Corporate Amex"/>
    <m/>
    <s v="Y"/>
    <s v="Software"/>
    <s v="MISMATCH"/>
    <x v="2"/>
  </r>
  <r>
    <s v="EXP103382"/>
    <s v="E274"/>
    <s v="AX940343259"/>
    <d v="2026-02-06T00:00:00"/>
    <d v="2026-06-26T00:00:00"/>
    <s v="AMAZON MKTPLACE PMTS"/>
    <s v="5942"/>
    <s v="Office Supplies"/>
    <n v="14.65"/>
    <s v="Corporate Amex"/>
    <m/>
    <s v="Y"/>
    <s v="Office Supplies"/>
    <s v="MATCH"/>
    <x v="3"/>
  </r>
  <r>
    <s v="EXP103383"/>
    <s v="E254"/>
    <s v="ax207850305"/>
    <d v="2026-06-20T00:00:00"/>
    <d v="2026-06-26T00:00:00"/>
    <s v="YELLOW CAB CO"/>
    <s v="4121"/>
    <s v="Transportation"/>
    <n v="50.36"/>
    <s v="Corporate Amex"/>
    <m/>
    <s v="Y"/>
    <s v="Transportation"/>
    <s v="MATCH"/>
    <x v="8"/>
  </r>
  <r>
    <s v="EXP103384"/>
    <s v="E234"/>
    <s v="AX-910593107"/>
    <d v="2026-03-21T00:00:00"/>
    <d v="2026-06-26T00:00:00"/>
    <s v=" AMAZON MKTPLACE PMTS"/>
    <s v="5942"/>
    <s v="Office Supplies"/>
    <n v="356.81"/>
    <s v="Corporate Amex"/>
    <m/>
    <s v="Y"/>
    <s v="Office Supplies"/>
    <s v="MATCH"/>
    <x v="1"/>
  </r>
  <r>
    <s v="EXP103385"/>
    <s v="E075"/>
    <s v="AX901903973"/>
    <d v="2026-05-26T00:00:00"/>
    <d v="2026-06-27T00:00:00"/>
    <s v="UBER TRIP HELP.UBER"/>
    <s v="4121"/>
    <s v="Transportation"/>
    <n v="16.64"/>
    <s v="Corporate Amex"/>
    <m/>
    <s v="Y"/>
    <s v="Transportation"/>
    <s v="MATCH"/>
    <x v="2"/>
  </r>
  <r>
    <s v="EXP103386"/>
    <s v="E041"/>
    <s v="AX649980694"/>
    <d v="2026-05-08T00:00:00"/>
    <d v="2026-06-27T00:00:00"/>
    <s v="UNITED AIRLINES 0162233"/>
    <s v="4511"/>
    <s v="Travel"/>
    <n v="356.86"/>
    <s v="Corporate Amex"/>
    <m/>
    <s v="Y"/>
    <s v="Travel"/>
    <s v="MATCH"/>
    <x v="0"/>
  </r>
  <r>
    <s v="EXP103387"/>
    <s v="E122"/>
    <s v="AX-616268625"/>
    <d v="2026-05-31T00:00:00"/>
    <d v="2026-06-27T00:00:00"/>
    <s v="TOPGOLF #442"/>
    <s v="7997"/>
    <s v="Entertainment"/>
    <n v="169.83"/>
    <s v="Corporate Amex"/>
    <m/>
    <s v="Y"/>
    <s v="Entertainment"/>
    <s v="MATCH"/>
    <x v="7"/>
  </r>
  <r>
    <s v="EXP103388"/>
    <s v="E241"/>
    <s v="AX 962008910"/>
    <d v="2026-02-16T00:00:00"/>
    <d v="2026-06-27T00:00:00"/>
    <s v="ADOBE *CREATIVE CLOUD"/>
    <s v="5734"/>
    <s v="Software"/>
    <n v="74.97"/>
    <s v="Corporate Amex"/>
    <m/>
    <s v="Y"/>
    <s v="Software"/>
    <s v="MATCH"/>
    <x v="1"/>
  </r>
  <r>
    <s v="EXP103389"/>
    <s v="E007"/>
    <s v="AX-146769267"/>
    <d v="2026-03-26T00:00:00"/>
    <d v="2026-06-27T00:00:00"/>
    <s v="DELTA AIR 00623891045"/>
    <s v="4511"/>
    <s v="Travel"/>
    <n v="394.83"/>
    <s v="Corporate Amex"/>
    <m/>
    <s v="Y"/>
    <s v="Travel"/>
    <s v="MATCH"/>
    <x v="0"/>
  </r>
  <r>
    <s v="EXP103390"/>
    <s v="E126"/>
    <s v="AX392115008"/>
    <d v="2026-06-27T00:00:00"/>
    <d v="2026-06-27T00:00:00"/>
    <s v="AMAZON MKTPLACE PMTS"/>
    <s v="5942"/>
    <s v="Office Supplies"/>
    <n v="373.17"/>
    <s v="Corporate Amex"/>
    <m/>
    <s v="Y"/>
    <s v="Office Supplies"/>
    <s v="MATCH"/>
    <x v="7"/>
  </r>
  <r>
    <s v="EXP103391"/>
    <s v="E126"/>
    <m/>
    <d v="2026-02-11T00:00:00"/>
    <d v="2026-06-27T00:00:00"/>
    <s v="MICROSOFT*365"/>
    <s v="5734"/>
    <s v="Software"/>
    <n v="66.95"/>
    <s v="Corporate Amex"/>
    <m/>
    <s v="Y"/>
    <s v="Software"/>
    <s v="MATCH"/>
    <x v="7"/>
  </r>
  <r>
    <s v="EXP103392"/>
    <s v="E147"/>
    <s v="AX460914362"/>
    <d v="2026-06-17T00:00:00"/>
    <d v="2026-06-27T00:00:00"/>
    <s v="TOPGOLF #442"/>
    <s v="7997"/>
    <s v="Entertainment"/>
    <n v="201.82"/>
    <s v="Corporate Amex"/>
    <m/>
    <s v="Y"/>
    <s v="Entertainment"/>
    <s v="MATCH"/>
    <x v="7"/>
  </r>
  <r>
    <s v="EXP103393"/>
    <s v="E139"/>
    <s v="ax380316544"/>
    <d v="2026-06-27T00:00:00"/>
    <d v="2026-06-27T00:00:00"/>
    <s v="HILTON GARDEN INN 2231"/>
    <s v="7011"/>
    <s v="Lodging"/>
    <n v="278.51"/>
    <s v="Corporate Amex"/>
    <m/>
    <s v="Y"/>
    <s v="Lodging"/>
    <s v="MATCH"/>
    <x v="7"/>
  </r>
  <r>
    <s v="EXP103394"/>
    <s v="E256"/>
    <m/>
    <d v="2026-01-09T00:00:00"/>
    <d v="2026-06-27T00:00:00"/>
    <s v="MICROSOFT*365"/>
    <s v="5734"/>
    <s v="Software"/>
    <n v="68.599999999999994"/>
    <s v="Personal (Reimbursement)"/>
    <s v="Amex declined - vendor doesn't accept Amex"/>
    <s v="Y"/>
    <s v="Software"/>
    <s v="MATCH"/>
    <x v="8"/>
  </r>
  <r>
    <s v="EXP103395"/>
    <s v="E256"/>
    <s v="AX 608005501"/>
    <d v="2026-03-09T00:00:00"/>
    <d v="2026-06-27T00:00:00"/>
    <s v="LYFT RIDE THU"/>
    <s v="4121"/>
    <s v="Transportation"/>
    <n v="46.94"/>
    <s v="Corporate Amex"/>
    <m/>
    <s v="Y"/>
    <s v="Transportation"/>
    <s v="MATCH"/>
    <x v="8"/>
  </r>
  <r>
    <s v="EXP103396"/>
    <s v="E009"/>
    <s v="AX397495687"/>
    <d v="2026-06-18T00:00:00"/>
    <d v="2026-06-27T00:00:00"/>
    <s v="DELTA AIR 00623891045"/>
    <s v="4511"/>
    <s v="Travel"/>
    <n v="341.35"/>
    <s v="Corporate Amex"/>
    <m/>
    <s v="Y"/>
    <s v="Travel"/>
    <s v="MATCH"/>
    <x v="0"/>
  </r>
  <r>
    <s v="EXP103397"/>
    <s v="E187"/>
    <s v="AX403658064"/>
    <d v="2026-06-17T00:00:00"/>
    <d v="2026-06-27T00:00:00"/>
    <s v="TOTAL PARTY RENTAL"/>
    <s v="7999"/>
    <m/>
    <n v="554.48"/>
    <s v="Corporate Amex"/>
    <m/>
    <s v="Y"/>
    <s v="Events"/>
    <s v="BLANK"/>
    <x v="5"/>
  </r>
  <r>
    <s v="EXP103398"/>
    <s v="E040"/>
    <s v="ax991860202"/>
    <d v="2026-04-17T00:00:00"/>
    <d v="2026-06-27T00:00:00"/>
    <s v="TOTAL PARTY RENTAL"/>
    <s v="7999"/>
    <s v="Travel"/>
    <n v="159.25"/>
    <s v="Corporate Amex"/>
    <m/>
    <s v="Y"/>
    <s v="Events"/>
    <s v="MISMATCH"/>
    <x v="0"/>
  </r>
  <r>
    <s v="EXP103399"/>
    <s v="E040"/>
    <s v="AX752339598"/>
    <d v="2026-01-01T00:00:00"/>
    <d v="2026-06-27T00:00:00"/>
    <s v="PANERA BREAD #0231"/>
    <s v="5812"/>
    <s v="Travel"/>
    <n v="15.66"/>
    <s v="Corporate Amex"/>
    <m/>
    <s v="Y"/>
    <s v="Meals"/>
    <s v="MISMATCH"/>
    <x v="0"/>
  </r>
  <r>
    <s v="EXP103400"/>
    <s v="E040"/>
    <s v="AX-639226507"/>
    <d v="2026-06-26T00:00:00"/>
    <d v="2026-06-27T00:00:00"/>
    <s v="HYATT REGENCY BOS"/>
    <s v="7011"/>
    <s v="Software"/>
    <n v="279.25"/>
    <s v="Corporate Amex"/>
    <m/>
    <s v="Y"/>
    <s v="Lodging"/>
    <s v="MISMATCH"/>
    <x v="0"/>
  </r>
  <r>
    <s v="EXP103401"/>
    <s v="E031"/>
    <s v="AX296558308"/>
    <d v="2026-06-27T00:00:00"/>
    <d v="2026-06-27T00:00:00"/>
    <s v="HILTON GARDEN INN 2231"/>
    <s v="7011"/>
    <s v="Lodging"/>
    <n v="291.24"/>
    <s v="Corporate Amex"/>
    <m/>
    <s v="Y"/>
    <s v="Lodging"/>
    <s v="MATCH"/>
    <x v="0"/>
  </r>
  <r>
    <s v="EXP103402"/>
    <s v="E240"/>
    <s v="ax128861605"/>
    <d v="2026-06-21T00:00:00"/>
    <d v="2026-06-27T00:00:00"/>
    <s v="ZOOM.US"/>
    <s v="5734"/>
    <s v="Meals"/>
    <n v="17.440000000000001"/>
    <s v="Corporate Amex"/>
    <m/>
    <s v="Y"/>
    <s v="Software"/>
    <s v="MISMATCH"/>
    <x v="1"/>
  </r>
  <r>
    <s v="EXP103403"/>
    <s v="E038"/>
    <s v="AX-372417111"/>
    <d v="2026-06-09T00:00:00"/>
    <d v="2026-06-27T00:00:00"/>
    <s v="PANERA BREAD #0231"/>
    <s v="5812"/>
    <s v="  Meals "/>
    <n v="28.64"/>
    <s v="Corporate Amex"/>
    <m/>
    <s v="Y"/>
    <s v="Meals"/>
    <s v="MATCH"/>
    <x v="0"/>
  </r>
  <r>
    <s v="EXP103404"/>
    <s v="E214"/>
    <s v="AX-452164961"/>
    <d v="2026-05-25T00:00:00"/>
    <d v="2026-06-27T00:00:00"/>
    <s v="STAPLES #0231"/>
    <s v="5943"/>
    <m/>
    <n v="130.84"/>
    <s v="Corporate Amex"/>
    <m/>
    <s v="Y"/>
    <s v="Office Supplies"/>
    <s v="BLANK"/>
    <x v="4"/>
  </r>
  <r>
    <s v="EXP103405"/>
    <s v="E218"/>
    <m/>
    <d v="2026-04-10T00:00:00"/>
    <d v="2026-06-27T00:00:00"/>
    <s v="SQ *JOES COFFEE"/>
    <s v="5812"/>
    <s v="Meals"/>
    <n v="21.33"/>
    <s v="Corporate Amex"/>
    <m/>
    <s v="Y"/>
    <s v="Meals"/>
    <s v="MATCH"/>
    <x v="4"/>
  </r>
  <r>
    <s v="EXP103406"/>
    <s v="E018"/>
    <s v="AX569390311"/>
    <d v="2026-06-24T00:00:00"/>
    <d v="2026-06-27T00:00:00"/>
    <s v="UNITED AIRLINES 0162233"/>
    <s v="4511"/>
    <s v="Travel"/>
    <n v="258.31"/>
    <s v="Corporate Amex"/>
    <m/>
    <s v="Y"/>
    <s v="Travel"/>
    <s v="MATCH"/>
    <x v="0"/>
  </r>
  <r>
    <s v="EXP103407"/>
    <s v="E023"/>
    <s v="AX702819737"/>
    <d v="2026-01-22T00:00:00"/>
    <d v="2026-06-27T00:00:00"/>
    <s v="ADOBE *CREATIVE CLOUD"/>
    <s v="5734"/>
    <s v="Software"/>
    <n v="86.9"/>
    <s v="Corporate Amex"/>
    <m/>
    <s v="Y"/>
    <s v="Software"/>
    <s v="MATCH"/>
    <x v="0"/>
  </r>
  <r>
    <s v="EXP103408"/>
    <s v="E111"/>
    <s v="AX172052951"/>
    <d v="2026-04-23T00:00:00"/>
    <d v="2026-06-27T00:00:00"/>
    <s v="UNITED AIRLINES 0162233"/>
    <s v="4511"/>
    <s v="Travel"/>
    <n v="689.23"/>
    <s v="Corporate Amex"/>
    <m/>
    <s v="Y"/>
    <s v="Travel"/>
    <s v="MATCH"/>
    <x v="2"/>
  </r>
  <r>
    <s v="EXP103409"/>
    <s v="E061"/>
    <s v="ax367555563"/>
    <d v="2026-06-25T00:00:00"/>
    <d v="2026-06-27T00:00:00"/>
    <s v="TOPGOLF #442"/>
    <s v="7997"/>
    <s v="Entertainment"/>
    <n v="202.6"/>
    <s v="Corporate Amex"/>
    <m/>
    <s v="Y"/>
    <s v="Entertainment"/>
    <s v="MATCH"/>
    <x v="0"/>
  </r>
  <r>
    <s v="EXP103411"/>
    <s v="E252"/>
    <s v="ax474287185"/>
    <d v="2026-06-17T00:00:00"/>
    <d v="2026-06-27T00:00:00"/>
    <s v="YELLOW CAB CO"/>
    <s v="4121"/>
    <m/>
    <n v="19.260000000000002"/>
    <s v="Corporate Amex"/>
    <m/>
    <s v="Y"/>
    <s v="Transportation"/>
    <s v="BLANK"/>
    <x v="1"/>
  </r>
  <r>
    <s v="EXP103412"/>
    <s v="E049"/>
    <s v="AX955095017"/>
    <d v="2026-03-20T00:00:00"/>
    <d v="2026-06-27T00:00:00"/>
    <s v="OLIVE GARDEN 00456"/>
    <s v="5812"/>
    <s v="Meals"/>
    <n v="78.95"/>
    <s v="Corporate Amex"/>
    <m/>
    <s v="Y"/>
    <s v="Meals"/>
    <s v="MATCH"/>
    <x v="0"/>
  </r>
  <r>
    <s v="EXP103413"/>
    <s v="E274"/>
    <s v="AX105044027"/>
    <d v="2026-06-22T00:00:00"/>
    <d v="2026-06-27T00:00:00"/>
    <s v="AMC THEATRES 0021"/>
    <s v="7832"/>
    <s v="Entertainment"/>
    <n v="32.56"/>
    <s v="Corporate Amex"/>
    <m/>
    <s v="Y"/>
    <s v="Entertainment"/>
    <s v="MATCH"/>
    <x v="3"/>
  </r>
  <r>
    <s v="EXP103414"/>
    <s v="E068"/>
    <s v="AX374884917"/>
    <d v="2026-02-05T00:00:00"/>
    <d v="2026-06-27T00:00:00"/>
    <s v="MARRIOTT #4471"/>
    <s v="7011"/>
    <m/>
    <n v="375.73"/>
    <s v="Corporate Amex"/>
    <m/>
    <s v="N"/>
    <s v="Lodging"/>
    <s v="BLANK"/>
    <x v="0"/>
  </r>
  <r>
    <s v="EXP103415"/>
    <s v="E232"/>
    <m/>
    <d v="2026-06-26T00:00:00"/>
    <d v="2026-06-27T00:00:00"/>
    <s v="PANERA BREAD #0231"/>
    <s v="5812"/>
    <s v="Meals"/>
    <n v="29.59"/>
    <s v="Personal (Reimbursement)"/>
    <s v="Forgot corporate card"/>
    <s v="Y"/>
    <s v="Meals"/>
    <s v="MATCH"/>
    <x v="4"/>
  </r>
  <r>
    <s v="EXP103416"/>
    <s v="E254"/>
    <s v="AX874293519"/>
    <d v="2026-06-21T00:00:00"/>
    <d v="2026-06-27T00:00:00"/>
    <s v="ZOOM.US"/>
    <s v="5734"/>
    <s v="Software"/>
    <n v="26.72"/>
    <s v="Corporate Amex"/>
    <m/>
    <s v="Y"/>
    <s v="Software"/>
    <s v="MATCH"/>
    <x v="8"/>
  </r>
  <r>
    <s v="EXP103417"/>
    <s v="E027"/>
    <s v="AX183045671"/>
    <d v="2026-04-28T00:00:00"/>
    <d v="2026-06-27T00:00:00"/>
    <s v="AMC THEATRES 0021"/>
    <s v="7832"/>
    <s v="Entertainment"/>
    <n v="21.73"/>
    <s v="Corporate Amex"/>
    <m/>
    <s v="Y"/>
    <s v="Entertainment"/>
    <s v="MATCH"/>
    <x v="0"/>
  </r>
  <r>
    <s v="EXP103418"/>
    <s v="E027"/>
    <m/>
    <d v="2026-01-16T00:00:00"/>
    <d v="2026-06-27T00:00:00"/>
    <s v="TOTAL PARTY RENTAL"/>
    <s v="7999"/>
    <s v="Events"/>
    <n v="358.6"/>
    <s v="Corporate Amex"/>
    <m/>
    <s v="Y"/>
    <s v="Events"/>
    <s v="MATCH"/>
    <x v="0"/>
  </r>
  <r>
    <s v="EXP103419"/>
    <s v="E120"/>
    <s v="AX 659551935"/>
    <d v="2026-03-01T00:00:00"/>
    <d v="2026-06-27T00:00:00"/>
    <s v="UNITED AIRLINES 0162233"/>
    <s v="4511"/>
    <s v="Travel"/>
    <n v="349.73"/>
    <s v="Corporate Amex"/>
    <m/>
    <s v="N"/>
    <s v="Travel"/>
    <s v="MATCH"/>
    <x v="7"/>
  </r>
  <r>
    <s v="EXP103420"/>
    <s v="E028"/>
    <s v="AX403854953"/>
    <d v="2026-06-19T00:00:00"/>
    <d v="2026-06-27T00:00:00"/>
    <s v="HYATT REGENCY BOS"/>
    <s v="7011"/>
    <s v="Lodging"/>
    <n v="280.74"/>
    <s v="Corporate Amex"/>
    <m/>
    <s v="Y"/>
    <s v="Lodging"/>
    <s v="MATCH"/>
    <x v="0"/>
  </r>
  <r>
    <s v="EXP103421"/>
    <s v="E060"/>
    <s v="AX524247971"/>
    <d v="2026-02-25T00:00:00"/>
    <d v="2026-06-27T00:00:00"/>
    <s v="AMAZON MKTPLACE PMTS"/>
    <s v="5942"/>
    <s v="Office Supplies"/>
    <n v="350.93"/>
    <s v="Corporate Amex"/>
    <m/>
    <s v="Y"/>
    <s v="Office Supplies"/>
    <s v="MATCH"/>
    <x v="0"/>
  </r>
  <r>
    <s v="EXP103422"/>
    <s v="E021"/>
    <s v="ax729337494"/>
    <d v="2026-02-03T00:00:00"/>
    <d v="2026-06-27T00:00:00"/>
    <s v="AMC THEATRES 0021"/>
    <s v="7832"/>
    <m/>
    <n v="24.17"/>
    <s v="Corporate Amex"/>
    <m/>
    <s v="Y"/>
    <s v="Entertainment"/>
    <s v="BLANK"/>
    <x v="0"/>
  </r>
  <r>
    <s v="EXP103423"/>
    <s v="E008"/>
    <s v="ax261471462"/>
    <d v="2026-06-18T00:00:00"/>
    <d v="2026-06-27T00:00:00"/>
    <s v="SOUTHWEST AIR 5261823"/>
    <s v="4511"/>
    <s v="Travel"/>
    <n v="435.37"/>
    <s v="Corporate Amex"/>
    <m/>
    <s v="N"/>
    <s v="Travel"/>
    <s v="MATCH"/>
    <x v="0"/>
  </r>
  <r>
    <s v="EXP103424"/>
    <s v="E190"/>
    <s v="AX 207177002"/>
    <d v="2026-06-19T00:00:00"/>
    <d v="2026-06-27T00:00:00"/>
    <s v="SOUTHWEST AIR 5261823"/>
    <s v="4511"/>
    <s v="Office Supplies"/>
    <n v="424.66"/>
    <s v="Corporate Amex"/>
    <m/>
    <s v="Y"/>
    <s v="Travel"/>
    <s v="MISMATCH"/>
    <x v="5"/>
  </r>
  <r>
    <s v="EXP103425"/>
    <s v="E045"/>
    <s v="AX907281913"/>
    <d v="2026-06-19T00:00:00"/>
    <d v="2026-06-27T00:00:00"/>
    <s v="DELTA AIR 00623891045"/>
    <s v="4511"/>
    <s v="Travel"/>
    <n v="621.86"/>
    <s v="Corporate Amex"/>
    <m/>
    <s v="Y"/>
    <s v="Travel"/>
    <s v="MATCH"/>
    <x v="0"/>
  </r>
  <r>
    <s v="EXP103426"/>
    <s v="E011"/>
    <m/>
    <d v="2026-06-21T00:00:00"/>
    <d v="2026-06-27T00:00:00"/>
    <s v="OLIVE GARDEN 00456"/>
    <s v="5812"/>
    <m/>
    <n v="35.81"/>
    <s v="Personal (Reimbursement)"/>
    <s v="Amex declined - vendor doesn't accept Amex"/>
    <s v="Y"/>
    <s v="Meals"/>
    <s v="BLANK"/>
    <x v="0"/>
  </r>
  <r>
    <s v="EXP103427"/>
    <s v="E011"/>
    <s v="ax752843323"/>
    <d v="2026-06-18T00:00:00"/>
    <d v="2026-06-27T00:00:00"/>
    <s v="HOOTSUITE INC"/>
    <s v="5734"/>
    <s v="Software"/>
    <n v="92.73"/>
    <s v="Corporate Amex"/>
    <m/>
    <s v="Y"/>
    <s v="Software"/>
    <s v="MATCH"/>
    <x v="0"/>
  </r>
  <r>
    <s v="EXP103428"/>
    <s v="E015"/>
    <s v="AX797621018"/>
    <d v="2026-06-20T00:00:00"/>
    <d v="2026-06-27T00:00:00"/>
    <s v="STARBUCKS #4471"/>
    <s v="5812"/>
    <s v="Meals"/>
    <n v="16.79"/>
    <s v="Corporate Amex"/>
    <m/>
    <s v="Y"/>
    <s v="Meals"/>
    <s v="MATCH"/>
    <x v="0"/>
  </r>
  <r>
    <s v="EXP103429"/>
    <s v="E014"/>
    <s v="AX 323597540"/>
    <d v="2026-03-21T00:00:00"/>
    <d v="2026-06-27T00:00:00"/>
    <s v="YELLOW CAB CO"/>
    <s v="4121"/>
    <s v="Transportation"/>
    <n v="43.89"/>
    <s v="Corporate Amex"/>
    <m/>
    <s v="Y"/>
    <s v="Transportation"/>
    <s v="MATCH"/>
    <x v="0"/>
  </r>
  <r>
    <s v="EXP103430"/>
    <s v="E050"/>
    <s v="AX 637188687"/>
    <d v="2026-06-26T00:00:00"/>
    <d v="2026-06-27T00:00:00"/>
    <s v="STARBUCKS #4471"/>
    <s v="5812"/>
    <s v="Office Supplies"/>
    <n v="13.26"/>
    <s v="Corporate Amex"/>
    <m/>
    <s v="Y"/>
    <s v="Meals"/>
    <s v="MISMATCH"/>
    <x v="0"/>
  </r>
  <r>
    <s v="EXP103431"/>
    <s v="E050"/>
    <s v="AX619782002"/>
    <d v="2026-06-17T00:00:00"/>
    <d v="2026-06-27T00:00:00"/>
    <s v="HILTON GARDEN INN 2231"/>
    <s v="7011"/>
    <s v="Lodging"/>
    <n v="226.21"/>
    <s v="Corporate Amex"/>
    <m/>
    <s v="Y"/>
    <s v="Lodging"/>
    <s v="MATCH"/>
    <x v="0"/>
  </r>
  <r>
    <s v="EXP103432"/>
    <s v="E019"/>
    <s v="AX 296374117"/>
    <d v="2026-04-18T00:00:00"/>
    <d v="2026-06-27T00:00:00"/>
    <s v="PANERA BREAD #0231"/>
    <s v="5812"/>
    <s v="Meals"/>
    <n v="17.54"/>
    <s v="Corporate Amex"/>
    <m/>
    <s v="Y"/>
    <s v="Meals"/>
    <s v="MATCH"/>
    <x v="0"/>
  </r>
  <r>
    <s v="EXP103433"/>
    <s v="E266"/>
    <s v="AX444805612"/>
    <d v="2026-01-01T00:00:00"/>
    <d v="2026-06-27T00:00:00"/>
    <s v="EVENTBRITE"/>
    <s v="7999"/>
    <s v="Events"/>
    <n v="28.48"/>
    <s v="Corporate Amex"/>
    <m/>
    <s v="Y"/>
    <s v="Events"/>
    <s v="MATCH"/>
    <x v="3"/>
  </r>
  <r>
    <s v="EXP103434"/>
    <s v="E261"/>
    <s v="AX818260697"/>
    <d v="2026-06-18T00:00:00"/>
    <d v="2026-06-27T00:00:00"/>
    <s v="OLIVE GARDEN 00456"/>
    <s v="5812"/>
    <s v="Meals"/>
    <n v="139.13"/>
    <s v="Corporate Amex"/>
    <m/>
    <s v="Y"/>
    <s v="Meals"/>
    <s v="MATCH"/>
    <x v="3"/>
  </r>
  <r>
    <s v="EXP103435"/>
    <s v="E233"/>
    <s v="ax277846615"/>
    <d v="2026-06-26T00:00:00"/>
    <d v="2026-06-27T00:00:00"/>
    <s v="EVENTBRITE"/>
    <s v="7999"/>
    <s v="Events"/>
    <n v="252.93"/>
    <s v="Corporate Amex"/>
    <m/>
    <s v="Y"/>
    <s v="Events"/>
    <s v="MATCH"/>
    <x v="1"/>
  </r>
  <r>
    <s v="EXP103436"/>
    <s v="E064"/>
    <m/>
    <d v="2026-06-29T00:00:00"/>
    <d v="2026-06-27T00:00:00"/>
    <s v="AMC THEATRES 0021"/>
    <s v="7832"/>
    <s v="Entertainment"/>
    <n v="46.04"/>
    <s v="Corporate Amex"/>
    <m/>
    <s v="Y"/>
    <s v="Entertainment"/>
    <s v="MATCH"/>
    <x v="0"/>
  </r>
  <r>
    <s v="EXP103437"/>
    <s v="E053"/>
    <s v="AX629236281"/>
    <d v="2026-06-23T00:00:00"/>
    <d v="2026-06-27T00:00:00"/>
    <s v="TOTAL PARTY RENTAL"/>
    <s v="7999"/>
    <s v="Events"/>
    <n v="432.01"/>
    <s v="Corporate Amex"/>
    <m/>
    <s v="Y"/>
    <s v="Events"/>
    <s v="MATCH"/>
    <x v="0"/>
  </r>
  <r>
    <s v="EXP103438"/>
    <s v="E003"/>
    <s v="AX143228936"/>
    <d v="2026-06-26T00:00:00"/>
    <d v="2026-06-27T00:00:00"/>
    <s v="MARRIOTT #4471"/>
    <s v="7011"/>
    <s v="Lodging"/>
    <n v="149.22"/>
    <s v="Corporate Amex"/>
    <m/>
    <s v="Y"/>
    <s v="Lodging"/>
    <s v="MATCH"/>
    <x v="0"/>
  </r>
  <r>
    <s v="EXP103439"/>
    <s v="E257"/>
    <s v="AX905843065"/>
    <d v="2026-03-22T00:00:00"/>
    <d v="2026-06-27T00:00:00"/>
    <s v="SQ *THE CORNER BISTRO"/>
    <s v="5812"/>
    <s v="Meals"/>
    <n v="58.26"/>
    <s v="Corporate Amex"/>
    <m/>
    <s v="Y"/>
    <s v="Meals"/>
    <s v="MATCH"/>
    <x v="8"/>
  </r>
  <r>
    <s v="EXP103440"/>
    <s v="E065"/>
    <s v="AX-517718034"/>
    <d v="2026-03-21T00:00:00"/>
    <d v="2026-06-27T00:00:00"/>
    <s v="DELTA AIR 00623891045"/>
    <s v="4511"/>
    <s v="Travel"/>
    <n v="332.88"/>
    <s v="Corporate Amex"/>
    <m/>
    <s v="Y"/>
    <s v="Travel"/>
    <s v="MATCH"/>
    <x v="0"/>
  </r>
  <r>
    <s v="EXP103441"/>
    <s v="E005"/>
    <s v="ax540651494"/>
    <d v="2026-06-26T00:00:00"/>
    <d v="2026-06-28T00:00:00"/>
    <s v="SQ *THE CORNER BISTRO"/>
    <s v="5812"/>
    <s v="Meals"/>
    <n v="76.3"/>
    <s v="Corporate Amex"/>
    <m/>
    <s v="Y"/>
    <s v="Meals"/>
    <s v="MATCH"/>
    <x v="0"/>
  </r>
  <r>
    <s v="EXP103443"/>
    <s v="E128"/>
    <m/>
    <d v="2026-05-07T00:00:00"/>
    <d v="2026-06-28T00:00:00"/>
    <s v="YELLOW CAB CO"/>
    <s v="4121"/>
    <s v="Transportation"/>
    <n v="45.22"/>
    <s v="Corporate Amex"/>
    <m/>
    <s v="Y"/>
    <s v="Transportation"/>
    <s v="MATCH"/>
    <x v="7"/>
  </r>
  <r>
    <s v="EXP103444"/>
    <s v="E117"/>
    <s v="AX815843248"/>
    <d v="2026-05-24T00:00:00"/>
    <d v="2026-06-28T00:00:00"/>
    <s v="UNITED AIRLINES 0162233"/>
    <s v="4511"/>
    <s v="Travel"/>
    <n v="484.22"/>
    <s v="Corporate Amex"/>
    <m/>
    <s v="Y"/>
    <s v="Travel"/>
    <s v="MATCH"/>
    <x v="7"/>
  </r>
  <r>
    <s v="EXP103445"/>
    <s v="E153"/>
    <m/>
    <d v="2026-06-07T00:00:00"/>
    <d v="2026-06-28T00:00:00"/>
    <s v="CHIPOTLE 2214"/>
    <s v="5812"/>
    <s v="Meals"/>
    <n v="20.6"/>
    <s v="Personal (Reimbursement)"/>
    <s v="Forgot corporate card"/>
    <s v="Y"/>
    <s v="Meals"/>
    <s v="MATCH"/>
    <x v="6"/>
  </r>
  <r>
    <s v="EXP103446"/>
    <s v="E066"/>
    <s v="AX 157900623"/>
    <d v="2026-01-13T00:00:00"/>
    <d v="2026-06-28T00:00:00"/>
    <s v="CHIPOTLE 2214"/>
    <s v="5812"/>
    <s v="Meals"/>
    <n v="10.67"/>
    <s v="Corporate Amex"/>
    <m/>
    <s v="Y"/>
    <s v="Meals"/>
    <s v="MATCH"/>
    <x v="0"/>
  </r>
  <r>
    <s v="EXP103447"/>
    <s v="E261"/>
    <s v="AX840459526"/>
    <d v="2026-05-04T00:00:00"/>
    <d v="2026-06-28T00:00:00"/>
    <s v="SQ *JOES COFFEE"/>
    <s v="5812"/>
    <s v="Meals"/>
    <n v="15.12"/>
    <s v="Corporate Amex"/>
    <m/>
    <s v="N"/>
    <s v="Meals"/>
    <s v="MATCH"/>
    <x v="3"/>
  </r>
  <r>
    <s v="EXP103448"/>
    <s v="E031"/>
    <s v="AX105564459"/>
    <d v="2026-06-21T00:00:00"/>
    <d v="2026-06-28T00:00:00"/>
    <s v="UBER TRIP HELP.UBER"/>
    <s v="4121"/>
    <s v="Transportation"/>
    <n v="20.010000000000002"/>
    <s v="Corporate Amex"/>
    <m/>
    <s v="Y"/>
    <s v="Transportation"/>
    <s v="MATCH"/>
    <x v="0"/>
  </r>
  <r>
    <s v="EXP103449"/>
    <s v="E001"/>
    <s v="AX932183101"/>
    <d v="2026-04-12T00:00:00"/>
    <d v="2026-06-28T00:00:00"/>
    <s v="UNITED AIRLINES 0162233"/>
    <s v="4511"/>
    <s v="Travel"/>
    <n v="473.19"/>
    <s v="Corporate Amex"/>
    <m/>
    <s v="Y"/>
    <s v="Travel"/>
    <s v="MATCH"/>
    <x v="0"/>
  </r>
  <r>
    <s v="EXP103450"/>
    <s v="E093"/>
    <s v="AX804867482"/>
    <d v="2026-03-28T00:00:00"/>
    <d v="2026-06-28T00:00:00"/>
    <s v="CHIPOTLE 2214"/>
    <s v="5812"/>
    <s v="Meals"/>
    <n v="20.67"/>
    <s v="Corporate Amex"/>
    <m/>
    <s v="N"/>
    <s v="Meals"/>
    <s v="MATCH"/>
    <x v="2"/>
  </r>
  <r>
    <s v="EXP103451"/>
    <s v="E041"/>
    <s v="AX-540073382"/>
    <d v="2026-05-01T00:00:00"/>
    <d v="2026-06-28T00:00:00"/>
    <s v="STARBUCKS #4471"/>
    <s v="5812"/>
    <s v="Meals"/>
    <n v="17.350000000000001"/>
    <s v="Corporate Amex"/>
    <m/>
    <s v="Y"/>
    <s v="Meals"/>
    <s v="MATCH"/>
    <x v="0"/>
  </r>
  <r>
    <s v="EXP103452"/>
    <s v="E229"/>
    <s v="AX412307850"/>
    <d v="2026-04-05T00:00:00"/>
    <d v="2026-06-28T00:00:00"/>
    <s v="REGION CATERING CO"/>
    <s v="5811"/>
    <s v="  Events "/>
    <n v="142.75"/>
    <s v="Corporate Amex"/>
    <m/>
    <s v="Y"/>
    <s v="Events"/>
    <s v="MATCH"/>
    <x v="4"/>
  </r>
  <r>
    <s v="EXP103453"/>
    <s v="E150"/>
    <s v="ax353950891"/>
    <d v="2026-01-11T00:00:00"/>
    <d v="2026-06-28T00:00:00"/>
    <s v="AMC THEATRES 0021"/>
    <s v="7832"/>
    <s v="Entertainment"/>
    <n v="19.34"/>
    <s v="Corporate Amex"/>
    <m/>
    <s v="Y"/>
    <s v="Entertainment"/>
    <s v="MATCH"/>
    <x v="7"/>
  </r>
  <r>
    <s v="EXP103454"/>
    <s v="E142"/>
    <s v="AX674389466"/>
    <d v="2026-06-25T00:00:00"/>
    <d v="2026-06-28T00:00:00"/>
    <s v="TOPGOLF #442"/>
    <s v="7997"/>
    <s v="Entertainment"/>
    <n v="153.37"/>
    <s v="Corporate Amex"/>
    <m/>
    <s v="Y"/>
    <s v="Entertainment"/>
    <s v="MATCH"/>
    <x v="7"/>
  </r>
  <r>
    <s v="EXP103455"/>
    <s v="E168"/>
    <s v="AX-960409987"/>
    <d v="2026-06-20T00:00:00"/>
    <d v="2026-06-28T00:00:00"/>
    <s v="AMAZON MKTPLACE PMTS"/>
    <s v="5942"/>
    <s v="Office Supplies"/>
    <n v="240.34"/>
    <s v="Corporate Amex"/>
    <m/>
    <s v="Y"/>
    <s v="Office Supplies"/>
    <s v="MATCH"/>
    <x v="6"/>
  </r>
  <r>
    <s v="EXP103456"/>
    <s v="E025"/>
    <m/>
    <d v="2026-03-24T00:00:00"/>
    <d v="2026-06-28T00:00:00"/>
    <s v="HOOTSUITE INC"/>
    <s v="5734"/>
    <s v="Software"/>
    <n v="240.64"/>
    <s v="Corporate Amex"/>
    <m/>
    <s v="Y"/>
    <s v="Software"/>
    <s v="MATCH"/>
    <x v="0"/>
  </r>
  <r>
    <s v="EXP103457"/>
    <s v="E008"/>
    <s v="AX888906312"/>
    <d v="2026-03-04T00:00:00"/>
    <d v="2026-06-28T00:00:00"/>
    <s v="EVENTBRITE"/>
    <s v="7999"/>
    <s v="Events"/>
    <n v="235.12"/>
    <s v="Corporate Amex"/>
    <m/>
    <s v="Y"/>
    <s v="Events"/>
    <s v="MATCH"/>
    <x v="0"/>
  </r>
  <r>
    <s v="EXP103458"/>
    <s v="E194"/>
    <s v="AX737589709"/>
    <d v="2026-01-01T00:00:00"/>
    <d v="2026-06-28T00:00:00"/>
    <s v="AMC THEATRES 0021"/>
    <s v="7832"/>
    <s v="Entertainment"/>
    <n v="20.6"/>
    <s v="Corporate Amex"/>
    <m/>
    <s v="Y"/>
    <s v="Entertainment"/>
    <s v="MATCH"/>
    <x v="5"/>
  </r>
  <r>
    <s v="EXP103459"/>
    <s v="E265"/>
    <s v="AX343126792"/>
    <d v="2026-04-02T00:00:00"/>
    <d v="2026-06-28T00:00:00"/>
    <s v="MICROSOFT*365"/>
    <s v="5734"/>
    <s v="Software"/>
    <n v="56.89"/>
    <s v="Corporate Amex"/>
    <m/>
    <s v="Y"/>
    <s v="Software"/>
    <s v="MATCH"/>
    <x v="3"/>
  </r>
  <r>
    <s v="EXP103460"/>
    <s v="E251"/>
    <s v="AX498475880"/>
    <d v="2026-01-04T00:00:00"/>
    <d v="2026-06-28T00:00:00"/>
    <s v="SQ *THE CORNER BISTRO"/>
    <s v="5812"/>
    <s v="Meals"/>
    <n v="66.78"/>
    <s v="Corporate Amex"/>
    <m/>
    <s v="Y"/>
    <s v="Meals"/>
    <s v="MATCH"/>
    <x v="1"/>
  </r>
  <r>
    <s v="EXP103461"/>
    <s v="E002"/>
    <s v="AX847962241"/>
    <d v="2026-06-21T00:00:00"/>
    <d v="2026-06-28T00:00:00"/>
    <s v="MARRIOTT #4471"/>
    <s v="7011"/>
    <s v="Lodging"/>
    <n v="194.95"/>
    <s v="Corporate Amex"/>
    <m/>
    <s v="Y"/>
    <s v="Lodging"/>
    <s v="MATCH"/>
    <x v="0"/>
  </r>
  <r>
    <s v="EXP103462"/>
    <s v="E097"/>
    <s v="AX 931011538"/>
    <d v="2026-06-18T00:00:00"/>
    <d v="2026-06-28T00:00:00"/>
    <s v="HILTON GARDEN INN 2231"/>
    <s v="7011"/>
    <s v="Lodging"/>
    <n v="283.17"/>
    <s v="Corporate Amex"/>
    <m/>
    <s v="Y"/>
    <s v="Lodging"/>
    <s v="MATCH"/>
    <x v="2"/>
  </r>
  <r>
    <s v="EXP103463"/>
    <s v="E058"/>
    <m/>
    <d v="2026-05-03T00:00:00"/>
    <d v="2026-06-28T00:00:00"/>
    <s v="BRANDWATCH LTD"/>
    <s v="5734"/>
    <s v="Software"/>
    <n v="295.85000000000002"/>
    <s v="Personal (Reimbursement)"/>
    <s v="Forgot corporate card"/>
    <s v="Y"/>
    <s v="Software"/>
    <s v="MATCH"/>
    <x v="0"/>
  </r>
  <r>
    <s v="EXP103464"/>
    <s v="E101"/>
    <s v="AX 476950791"/>
    <d v="2026-06-27T00:00:00"/>
    <d v="2026-06-28T00:00:00"/>
    <s v="LYFT RIDE THU"/>
    <s v="4121"/>
    <s v="Transportation"/>
    <n v="14.38"/>
    <s v="Corporate Amex"/>
    <m/>
    <s v="Y"/>
    <s v="Transportation"/>
    <s v="MATCH"/>
    <x v="2"/>
  </r>
  <r>
    <s v="EXP103465"/>
    <s v="E035"/>
    <s v="ax331733256"/>
    <d v="2026-06-08T00:00:00"/>
    <d v="2026-06-28T00:00:00"/>
    <s v="PANERA BREAD #0231"/>
    <s v="5812"/>
    <s v="Meals"/>
    <n v="28.33"/>
    <s v="Corporate Amex"/>
    <m/>
    <s v="Y"/>
    <s v="Meals"/>
    <s v="MATCH"/>
    <x v="0"/>
  </r>
  <r>
    <s v="EXP103466"/>
    <s v="E053"/>
    <m/>
    <d v="2026-04-29T00:00:00"/>
    <d v="2026-06-28T00:00:00"/>
    <s v="DELTA AIR 00623891045"/>
    <s v="4511"/>
    <m/>
    <n v="641.35"/>
    <s v="Corporate Amex"/>
    <m/>
    <s v="Y"/>
    <s v="Travel"/>
    <s v="BLANK"/>
    <x v="0"/>
  </r>
  <r>
    <s v="EXP103467"/>
    <s v="E202"/>
    <s v="AX 872236175"/>
    <d v="2026-05-10T00:00:00"/>
    <d v="2026-06-28T00:00:00"/>
    <s v="TOPGOLF #442"/>
    <s v="7997"/>
    <s v="Entertainment"/>
    <n v="107.58"/>
    <s v="Corporate Amex"/>
    <m/>
    <s v="Y"/>
    <s v="Entertainment"/>
    <s v="MATCH"/>
    <x v="5"/>
  </r>
  <r>
    <s v="EXP103468"/>
    <s v="E259"/>
    <m/>
    <d v="2026-03-23T00:00:00"/>
    <d v="2026-06-28T00:00:00"/>
    <s v="MARRIOTT #4471"/>
    <s v="7011"/>
    <s v="Lodging"/>
    <n v="180.18"/>
    <s v="Corporate Amex"/>
    <m/>
    <s v="Y"/>
    <s v="Lodging"/>
    <s v="MATCH"/>
    <x v="8"/>
  </r>
  <r>
    <s v="EXP103469"/>
    <s v="E259"/>
    <s v="ax347675382"/>
    <d v="2026-02-02T00:00:00"/>
    <d v="2026-06-28T00:00:00"/>
    <s v="CHIPOTLE 2214"/>
    <s v="5812"/>
    <s v="Meals"/>
    <n v="16.260000000000002"/>
    <s v="Corporate Amex"/>
    <m/>
    <s v="Y"/>
    <s v="Meals"/>
    <s v="MATCH"/>
    <x v="8"/>
  </r>
  <r>
    <s v="EXP103470"/>
    <s v="E102"/>
    <s v="AX553674746"/>
    <d v="2026-06-28T00:00:00"/>
    <d v="2026-06-28T00:00:00"/>
    <s v="REGION CATERING CO"/>
    <s v="5811"/>
    <s v="Events"/>
    <n v="398.93"/>
    <s v="Corporate Amex"/>
    <m/>
    <s v="Y"/>
    <s v="Events"/>
    <s v="MATCH"/>
    <x v="2"/>
  </r>
  <r>
    <s v="EXP103471"/>
    <s v="E014"/>
    <s v="AX438996501"/>
    <d v="2026-06-28T00:00:00"/>
    <d v="2026-06-28T00:00:00"/>
    <s v="SQ *JOES COFFEE"/>
    <s v="5812"/>
    <s v="Meals"/>
    <n v="7.93"/>
    <s v="Corporate Amex"/>
    <m/>
    <s v="Y"/>
    <s v="Meals"/>
    <s v="MATCH"/>
    <x v="0"/>
  </r>
  <r>
    <s v="EXP103472"/>
    <s v="E044"/>
    <s v="AX-143575939"/>
    <d v="2026-06-28T00:00:00"/>
    <d v="2026-06-28T00:00:00"/>
    <s v="STARBUCKS #4471"/>
    <s v="5812"/>
    <s v="Meals"/>
    <n v="12.32"/>
    <s v="Corporate Amex"/>
    <m/>
    <s v="Y"/>
    <s v="Meals"/>
    <s v="MATCH"/>
    <x v="0"/>
  </r>
  <r>
    <s v="EXP103473"/>
    <s v="E044"/>
    <s v="AX135983925"/>
    <d v="2026-06-22T00:00:00"/>
    <d v="2026-06-28T00:00:00"/>
    <s v="SOUTHWEST AIR 5261823"/>
    <s v="4511"/>
    <s v="Travel"/>
    <n v="153.63"/>
    <s v="Corporate Amex"/>
    <m/>
    <s v="Y"/>
    <s v="Travel"/>
    <s v="MATCH"/>
    <x v="0"/>
  </r>
  <r>
    <s v="EXP103474"/>
    <s v="E032"/>
    <s v="ax102253963"/>
    <d v="2026-05-08T00:00:00"/>
    <d v="2026-06-28T00:00:00"/>
    <s v="SQ *JOES COFFEE"/>
    <s v="5812"/>
    <s v="  Meals "/>
    <n v="16.97"/>
    <s v="Corporate Amex"/>
    <m/>
    <s v="Y"/>
    <s v="Meals"/>
    <s v="MATCH"/>
    <x v="0"/>
  </r>
  <r>
    <s v="EXP103475"/>
    <s v="E049"/>
    <s v="ax243226213"/>
    <d v="2026-06-24T00:00:00"/>
    <d v="2026-06-28T00:00:00"/>
    <s v="MARRIOTT #4471"/>
    <s v="7011"/>
    <s v="Lodging"/>
    <n v="416.57"/>
    <s v="Corporate Amex"/>
    <m/>
    <s v="Y"/>
    <s v="Lodging"/>
    <s v="MATCH"/>
    <x v="0"/>
  </r>
  <r>
    <s v="EXP103476"/>
    <s v="E200"/>
    <s v="AX543947384"/>
    <d v="2026-06-24T00:00:00"/>
    <d v="2026-06-28T00:00:00"/>
    <s v="ZOOM.US"/>
    <s v="5734"/>
    <s v="Entertainment"/>
    <n v="36.51"/>
    <s v="Corporate Amex"/>
    <m/>
    <s v="Y"/>
    <s v="Software"/>
    <s v="MISMATCH"/>
    <x v="5"/>
  </r>
  <r>
    <s v="EXP103477"/>
    <s v="E048"/>
    <s v="AX774080168"/>
    <d v="2026-06-23T00:00:00"/>
    <d v="2026-06-28T00:00:00"/>
    <s v="UBER TRIP HELP.UBER"/>
    <s v="4121"/>
    <m/>
    <n v="41.26"/>
    <s v="Corporate Amex"/>
    <m/>
    <s v="Y"/>
    <s v="Transportation"/>
    <s v="BLANK"/>
    <x v="0"/>
  </r>
  <r>
    <s v="EXP103478"/>
    <s v="E107"/>
    <s v="AX539433033"/>
    <d v="2026-06-24T00:00:00"/>
    <d v="2026-06-28T00:00:00"/>
    <s v="STAPLES #0231"/>
    <s v="5943"/>
    <s v="Office Supplies"/>
    <n v="144.55000000000001"/>
    <s v="Corporate Amex"/>
    <m/>
    <s v="N"/>
    <s v="Office Supplies"/>
    <s v="MATCH"/>
    <x v="2"/>
  </r>
  <r>
    <s v="EXP103479"/>
    <s v="E070"/>
    <s v="AX-917899762"/>
    <d v="2026-01-28T00:00:00"/>
    <d v="2026-06-28T00:00:00"/>
    <s v="MARRIOTT #4471"/>
    <s v="7011"/>
    <s v="Lodging"/>
    <n v="364.49"/>
    <s v="Corporate Amex"/>
    <m/>
    <s v="Y"/>
    <s v="Lodging"/>
    <s v="MATCH"/>
    <x v="0"/>
  </r>
  <r>
    <s v="EXP103480"/>
    <s v="E264"/>
    <m/>
    <d v="2026-05-14T00:00:00"/>
    <d v="2026-06-28T00:00:00"/>
    <s v="HYATT REGENCY BOS"/>
    <s v="7011"/>
    <m/>
    <n v="332.87"/>
    <s v="Corporate Amex"/>
    <m/>
    <s v="Y"/>
    <s v="Lodging"/>
    <s v="BLANK"/>
    <x v="3"/>
  </r>
  <r>
    <s v="EXP103481"/>
    <s v="E163"/>
    <s v="ax909974605"/>
    <d v="2026-06-26T00:00:00"/>
    <d v="2026-06-28T00:00:00"/>
    <s v="SPROUT SOCIAL"/>
    <s v="5734"/>
    <m/>
    <n v="180.41"/>
    <s v="Corporate Amex"/>
    <m/>
    <s v="Y"/>
    <s v="Software"/>
    <s v="BLANK"/>
    <x v="6"/>
  </r>
  <r>
    <s v="EXP103482"/>
    <s v="E169"/>
    <s v="ax752812389"/>
    <d v="2026-06-19T00:00:00"/>
    <d v="2026-06-28T00:00:00"/>
    <s v="OLIVE GARDEN 00456"/>
    <s v="5812"/>
    <s v="Meals"/>
    <n v="105.69"/>
    <s v="Corporate Amex"/>
    <m/>
    <s v="N"/>
    <s v="Meals"/>
    <s v="MATCH"/>
    <x v="6"/>
  </r>
  <r>
    <s v="EXP103483"/>
    <s v="E065"/>
    <s v="AX-425673884"/>
    <d v="2026-05-27T00:00:00"/>
    <d v="2026-06-28T00:00:00"/>
    <s v="HILTON GARDEN INN 2231"/>
    <s v="7011"/>
    <s v="Lodging"/>
    <n v="227.35"/>
    <s v="Corporate Amex"/>
    <m/>
    <s v="Y"/>
    <s v="Lodging"/>
    <s v="MATCH"/>
    <x v="0"/>
  </r>
  <r>
    <s v="EXP103484"/>
    <s v="E043"/>
    <s v="AX190379782"/>
    <d v="2026-06-18T00:00:00"/>
    <d v="2026-06-28T00:00:00"/>
    <s v="PANERA BREAD #0231"/>
    <s v="5812"/>
    <s v="Meals"/>
    <n v="11.77"/>
    <s v="Corporate Amex"/>
    <m/>
    <s v="Y"/>
    <s v="Meals"/>
    <s v="MATCH"/>
    <x v="0"/>
  </r>
  <r>
    <s v="EXP103485"/>
    <s v="E067"/>
    <s v="AX865962742"/>
    <d v="2026-04-19T00:00:00"/>
    <d v="2026-06-28T00:00:00"/>
    <s v="ADOBE *CREATIVE CLOUD"/>
    <s v="5734"/>
    <s v="Software"/>
    <n v="56.48"/>
    <s v="Corporate Amex"/>
    <m/>
    <s v="Y"/>
    <s v="Software"/>
    <s v="MATCH"/>
    <x v="0"/>
  </r>
  <r>
    <s v="EXP103486"/>
    <s v="E113"/>
    <s v="AX-406852019"/>
    <d v="2026-06-19T00:00:00"/>
    <d v="2026-06-28T00:00:00"/>
    <s v="ADOBE *CREATIVE CLOUD"/>
    <s v="5734"/>
    <s v="Software"/>
    <n v="77.510000000000005"/>
    <s v="Corporate Amex"/>
    <m/>
    <s v="Y"/>
    <s v="Software"/>
    <s v="MATCH"/>
    <x v="2"/>
  </r>
  <r>
    <s v="EXP103487"/>
    <s v="E034"/>
    <s v="ax368502684"/>
    <d v="2026-02-06T00:00:00"/>
    <d v="2026-06-28T00:00:00"/>
    <s v="PANERA BREAD #0231"/>
    <s v="5812"/>
    <s v="Meals"/>
    <n v="15.68"/>
    <s v="Corporate Amex"/>
    <m/>
    <s v="Y"/>
    <s v="Meals"/>
    <s v="MATCH"/>
    <x v="0"/>
  </r>
  <r>
    <s v="EXP103488"/>
    <s v="E012"/>
    <s v="AX302510356"/>
    <d v="2026-06-28T00:00:00"/>
    <d v="2026-06-29T00:00:00"/>
    <s v="UBER TRIP HELP.UBER"/>
    <s v="4121"/>
    <s v="Transportation"/>
    <n v="59.91"/>
    <s v="Corporate Amex"/>
    <m/>
    <s v="Y"/>
    <s v="Transportation"/>
    <s v="MATCH"/>
    <x v="0"/>
  </r>
  <r>
    <s v="EXP103489"/>
    <s v="E190"/>
    <s v="ax668619385"/>
    <d v="2026-01-05T00:00:00"/>
    <d v="2026-06-29T00:00:00"/>
    <s v="BRANDWATCH LTD"/>
    <s v="5734"/>
    <s v="Software"/>
    <n v="533.62"/>
    <s v="Corporate Amex"/>
    <m/>
    <s v="Y"/>
    <s v="Software"/>
    <s v="MATCH"/>
    <x v="5"/>
  </r>
  <r>
    <s v="EXP103490"/>
    <s v="E113"/>
    <s v="AX 689898999"/>
    <d v="2026-06-27T00:00:00"/>
    <d v="2026-06-29T00:00:00"/>
    <s v="TOTAL PARTY RENTAL"/>
    <s v="7999"/>
    <s v="Events"/>
    <n v="485.38"/>
    <s v="Corporate Amex"/>
    <m/>
    <s v="Y"/>
    <s v="Events"/>
    <s v="MATCH"/>
    <x v="2"/>
  </r>
  <r>
    <s v="EXP103491"/>
    <s v="E098"/>
    <s v="AX896257163"/>
    <d v="2026-06-19T00:00:00"/>
    <d v="2026-06-29T00:00:00"/>
    <s v="HOOTSUITE INC"/>
    <s v="5734"/>
    <s v="Software"/>
    <n v="116.81"/>
    <s v="Corporate Amex"/>
    <m/>
    <s v="Y"/>
    <s v="Software"/>
    <s v="MATCH"/>
    <x v="2"/>
  </r>
  <r>
    <s v="EXP103492"/>
    <s v="E037"/>
    <m/>
    <d v="2026-06-27T00:00:00"/>
    <d v="2026-06-29T00:00:00"/>
    <s v="UBER TRIP HELP.UBER"/>
    <s v="4121"/>
    <s v="Transportation"/>
    <n v="11.07"/>
    <s v="Corporate Amex"/>
    <m/>
    <s v="Y"/>
    <s v="Transportation"/>
    <s v="MATCH"/>
    <x v="0"/>
  </r>
  <r>
    <s v="EXP103493"/>
    <s v="E014"/>
    <s v="AX359306001"/>
    <d v="2026-06-29T00:00:00"/>
    <d v="2026-06-29T00:00:00"/>
    <s v="UBER TRIP HELP.UBER"/>
    <s v="4121"/>
    <s v="Transportation"/>
    <n v="41.49"/>
    <s v="Corporate Amex"/>
    <m/>
    <s v="Y"/>
    <s v="Transportation"/>
    <s v="MATCH"/>
    <x v="0"/>
  </r>
  <r>
    <s v="EXP103494"/>
    <s v="E003"/>
    <m/>
    <d v="2026-05-17T00:00:00"/>
    <d v="2026-06-29T00:00:00"/>
    <s v="MICROSOFT*365"/>
    <s v="5734"/>
    <s v="Software"/>
    <n v="31.95"/>
    <s v="Personal (Reimbursement)"/>
    <s v="International merchant - Amex not accepted"/>
    <s v="Y"/>
    <s v="Software"/>
    <s v="MATCH"/>
    <x v="0"/>
  </r>
  <r>
    <s v="EXP103495"/>
    <s v="E003"/>
    <s v="AX-164244372"/>
    <d v="2026-06-22T00:00:00"/>
    <d v="2026-06-29T00:00:00"/>
    <s v="HYATT REGENCY BOS"/>
    <s v="7011"/>
    <s v="Lodging"/>
    <n v="326.95"/>
    <s v="Corporate Amex"/>
    <m/>
    <s v="N"/>
    <s v="Lodging"/>
    <s v="MATCH"/>
    <x v="0"/>
  </r>
  <r>
    <s v="EXP103496"/>
    <s v="E005"/>
    <s v="AX 197300155"/>
    <d v="2026-04-25T00:00:00"/>
    <d v="2026-06-29T00:00:00"/>
    <s v="STARBUCKS #4471"/>
    <s v="5812"/>
    <s v="Meals"/>
    <n v="9.41"/>
    <s v="Corporate Amex"/>
    <m/>
    <s v="Y"/>
    <s v="Meals"/>
    <s v="MATCH"/>
    <x v="0"/>
  </r>
  <r>
    <s v="EXP103497"/>
    <s v="E132"/>
    <s v="AX-289672893"/>
    <d v="2026-06-29T00:00:00"/>
    <d v="2026-06-29T00:00:00"/>
    <s v="YELLOW CAB CO"/>
    <s v="4121"/>
    <s v="Transportation"/>
    <n v="27.36"/>
    <s v="Corporate Amex"/>
    <m/>
    <s v="Y"/>
    <s v="Transportation"/>
    <s v="MATCH"/>
    <x v="7"/>
  </r>
  <r>
    <s v="EXP103498"/>
    <s v="E202"/>
    <s v="AX321881517"/>
    <d v="2026-06-19T00:00:00"/>
    <d v="2026-06-29T00:00:00"/>
    <s v=" UBER TRIP HELP.UBER"/>
    <s v="4121"/>
    <s v="Transportation"/>
    <n v="46.72"/>
    <s v="Corporate Amex"/>
    <m/>
    <s v="Y"/>
    <s v="Transportation"/>
    <s v="MATCH"/>
    <x v="5"/>
  </r>
  <r>
    <s v="EXP103499"/>
    <s v="E065"/>
    <m/>
    <d v="2026-03-17T00:00:00"/>
    <d v="2026-06-29T00:00:00"/>
    <s v="YELLOW CAB CO"/>
    <s v="4121"/>
    <s v="Transportation"/>
    <n v="13.99"/>
    <s v="Personal (Reimbursement)"/>
    <s v="Forgot corporate card"/>
    <s v="N"/>
    <s v="Transportation"/>
    <s v="MATCH"/>
    <x v="0"/>
  </r>
  <r>
    <s v="EXP103500"/>
    <s v="E196"/>
    <s v="AX 394753935"/>
    <d v="2026-06-24T00:00:00"/>
    <d v="2026-06-29T00:00:00"/>
    <s v="HYATT REGENCY BOS"/>
    <s v="7011"/>
    <s v="Entertainment"/>
    <n v="375.84"/>
    <s v="Corporate Amex"/>
    <m/>
    <s v="Y"/>
    <s v="Lodging"/>
    <s v="MISMATCH"/>
    <x v="5"/>
  </r>
  <r>
    <s v="EXP103501"/>
    <s v="E094"/>
    <s v="AX 540737353"/>
    <d v="2026-06-28T00:00:00"/>
    <d v="2026-06-29T00:00:00"/>
    <s v="SPROUT SOCIAL"/>
    <s v="5734"/>
    <s v="  Software "/>
    <n v="139.59"/>
    <s v="Corporate Amex"/>
    <m/>
    <s v="N"/>
    <s v="Software"/>
    <s v="MATCH"/>
    <x v="2"/>
  </r>
  <r>
    <s v="EXP103502"/>
    <s v="E052"/>
    <s v="AX362665981"/>
    <d v="2026-01-11T00:00:00"/>
    <d v="2026-06-29T00:00:00"/>
    <s v="MICROSOFT*365"/>
    <s v="5734"/>
    <s v="Software"/>
    <n v="54.08"/>
    <s v="Corporate Amex"/>
    <m/>
    <s v="Y"/>
    <s v="Software"/>
    <s v="MATCH"/>
    <x v="0"/>
  </r>
  <r>
    <s v="EXP103503"/>
    <s v="E031"/>
    <s v="AX958058179"/>
    <d v="2026-06-04T00:00:00"/>
    <d v="2026-06-29T00:00:00"/>
    <s v="ADOBE *CREATIVE CLOUD"/>
    <s v="5734"/>
    <s v="Software"/>
    <n v="80.27"/>
    <s v="Corporate Amex"/>
    <m/>
    <s v="Y"/>
    <s v="Software"/>
    <s v="MATCH"/>
    <x v="0"/>
  </r>
  <r>
    <s v="EXP103504"/>
    <s v="E031"/>
    <s v="AX473006523"/>
    <d v="2026-05-22T00:00:00"/>
    <d v="2026-06-29T00:00:00"/>
    <s v="MICROSOFT*365"/>
    <s v="5734"/>
    <s v="Entertainment"/>
    <n v="69.849999999999994"/>
    <s v="Corporate Amex"/>
    <m/>
    <s v="Y"/>
    <s v="Software"/>
    <s v="MISMATCH"/>
    <x v="0"/>
  </r>
  <r>
    <s v="EXP103505"/>
    <s v="E084"/>
    <m/>
    <d v="2026-03-05T00:00:00"/>
    <d v="2026-06-29T00:00:00"/>
    <s v="TOPGOLF #442"/>
    <s v="7997"/>
    <s v="Entertainment"/>
    <n v="167.37"/>
    <s v="Corporate Amex"/>
    <m/>
    <s v="Y"/>
    <s v="Entertainment"/>
    <s v="MATCH"/>
    <x v="2"/>
  </r>
  <r>
    <s v="EXP103506"/>
    <s v="E099"/>
    <s v="AX-363926465"/>
    <d v="2026-06-19T00:00:00"/>
    <d v="2026-06-29T00:00:00"/>
    <s v="STARBUCKS #4471"/>
    <s v="5812"/>
    <s v="Meals"/>
    <n v="5.08"/>
    <s v="Corporate Amex"/>
    <m/>
    <s v="Y"/>
    <s v="Meals"/>
    <s v="MATCH"/>
    <x v="2"/>
  </r>
  <r>
    <s v="EXP103507"/>
    <s v="E036"/>
    <s v="AX-388298322"/>
    <d v="2026-01-09T00:00:00"/>
    <d v="2026-06-29T00:00:00"/>
    <s v="SPROUT SOCIAL"/>
    <s v="5734"/>
    <s v="Software"/>
    <n v="177.41"/>
    <s v="Corporate Amex"/>
    <m/>
    <s v="N"/>
    <s v="Software"/>
    <s v="MATCH"/>
    <x v="0"/>
  </r>
  <r>
    <s v="EXP103508"/>
    <s v="E109"/>
    <m/>
    <d v="2026-06-28T00:00:00"/>
    <d v="2026-06-29T00:00:00"/>
    <s v="LYFT RIDE THU"/>
    <s v="4121"/>
    <s v="Transportation"/>
    <n v="36.93"/>
    <s v="Personal (Reimbursement)"/>
    <s v="Amex declined - vendor doesn't accept Amex"/>
    <s v="N"/>
    <s v="Transportation"/>
    <s v="MATCH"/>
    <x v="2"/>
  </r>
  <r>
    <s v="EXP103509"/>
    <s v="E251"/>
    <s v="AX232296849"/>
    <d v="2026-04-18T00:00:00"/>
    <d v="2026-06-29T00:00:00"/>
    <s v="SOUTHWEST AIR 5261823"/>
    <s v="4511"/>
    <s v="Travel"/>
    <n v="290.66000000000003"/>
    <s v="Corporate Amex"/>
    <m/>
    <s v="Y"/>
    <s v="Travel"/>
    <s v="MATCH"/>
    <x v="1"/>
  </r>
  <r>
    <s v="EXP103510"/>
    <s v="E251"/>
    <s v="AX 862023476"/>
    <d v="2026-06-23T00:00:00"/>
    <d v="2026-06-29T00:00:00"/>
    <s v="LYFT RIDE THU"/>
    <s v="4121"/>
    <s v="  Transportation "/>
    <n v="50.41"/>
    <s v="Corporate Amex"/>
    <m/>
    <s v="Y"/>
    <s v="Transportation"/>
    <s v="MATCH"/>
    <x v="1"/>
  </r>
  <r>
    <s v="EXP103512"/>
    <s v="E125"/>
    <s v="ax137618187"/>
    <d v="2026-06-25T00:00:00"/>
    <d v="2026-06-29T00:00:00"/>
    <s v="REGION CATERING CO"/>
    <s v="5811"/>
    <s v="Events"/>
    <n v="345.76"/>
    <s v="Corporate Amex"/>
    <m/>
    <s v="Y"/>
    <s v="Events"/>
    <s v="MATCH"/>
    <x v="7"/>
  </r>
  <r>
    <s v="EXP103513"/>
    <s v="E152"/>
    <s v="ax482076879"/>
    <d v="2026-06-27T00:00:00"/>
    <d v="2026-06-29T00:00:00"/>
    <s v="TOTAL PARTY RENTAL"/>
    <s v="7999"/>
    <s v="Events"/>
    <n v="459.6"/>
    <s v="Corporate Amex"/>
    <m/>
    <s v="Y"/>
    <s v="Events"/>
    <s v="MATCH"/>
    <x v="6"/>
  </r>
  <r>
    <s v="EXP103514"/>
    <s v="E231"/>
    <m/>
    <d v="2026-06-21T00:00:00"/>
    <d v="2026-06-29T00:00:00"/>
    <s v="SPROUT SOCIAL"/>
    <s v="5734"/>
    <s v="Software"/>
    <n v="114.71"/>
    <s v="Corporate Amex"/>
    <m/>
    <s v="Y"/>
    <s v="Software"/>
    <s v="MATCH"/>
    <x v="4"/>
  </r>
  <r>
    <s v="EXP103515"/>
    <s v="E021"/>
    <s v="AX744794005"/>
    <d v="2026-05-13T00:00:00"/>
    <d v="2026-06-29T00:00:00"/>
    <s v="TOTAL PARTY RENTAL"/>
    <s v="7999"/>
    <s v="Events"/>
    <n v="549.26"/>
    <s v="Corporate Amex"/>
    <m/>
    <s v="Y"/>
    <s v="Events"/>
    <s v="MATCH"/>
    <x v="0"/>
  </r>
  <r>
    <s v="EXP103516"/>
    <s v="E029"/>
    <s v="AX178011828"/>
    <d v="2026-06-19T00:00:00"/>
    <d v="2026-06-29T00:00:00"/>
    <s v="MARRIOTT #4471"/>
    <s v="7011"/>
    <s v="Lodging"/>
    <n v="164.47"/>
    <s v="Corporate Amex"/>
    <m/>
    <s v="Y"/>
    <s v="Lodging"/>
    <s v="MATCH"/>
    <x v="0"/>
  </r>
  <r>
    <s v="EXP103517"/>
    <s v="E004"/>
    <s v="AX610210880"/>
    <d v="2026-06-01T00:00:00"/>
    <d v="2026-06-29T00:00:00"/>
    <s v="REGION CATERING CO"/>
    <s v="5811"/>
    <s v="Events"/>
    <n v="101.97"/>
    <s v="Corporate Amex"/>
    <m/>
    <s v="Y"/>
    <s v="Events"/>
    <s v="MATCH"/>
    <x v="0"/>
  </r>
  <r>
    <s v="EXP103518"/>
    <s v="E138"/>
    <m/>
    <d v="2026-05-14T00:00:00"/>
    <d v="2026-06-29T00:00:00"/>
    <s v="TOPGOLF #442"/>
    <s v="7997"/>
    <s v="Entertainment"/>
    <n v="144.76"/>
    <s v="Corporate Amex"/>
    <m/>
    <s v="Y"/>
    <s v="Entertainment"/>
    <s v="MATCH"/>
    <x v="7"/>
  </r>
  <r>
    <s v="EXP103519"/>
    <s v="E026"/>
    <s v="ax367943107"/>
    <d v="2026-06-27T00:00:00"/>
    <d v="2026-06-29T00:00:00"/>
    <s v="UNITED AIRLINES 0162233"/>
    <s v="4511"/>
    <s v="Travel"/>
    <n v="368.51"/>
    <s v="Corporate Amex"/>
    <m/>
    <s v="Y"/>
    <s v="Travel"/>
    <s v="MATCH"/>
    <x v="0"/>
  </r>
  <r>
    <s v="EXP103520"/>
    <s v="E241"/>
    <s v="AX905246344"/>
    <d v="2026-03-20T00:00:00"/>
    <d v="2026-06-29T00:00:00"/>
    <s v="YELLOW CAB CO"/>
    <s v="4121"/>
    <s v="Transportation"/>
    <n v="36.340000000000003"/>
    <s v="Corporate Amex"/>
    <m/>
    <s v="N"/>
    <s v="Transportation"/>
    <s v="MATCH"/>
    <x v="1"/>
  </r>
  <r>
    <s v="EXP103521"/>
    <s v="E104"/>
    <s v="AX-332218714"/>
    <d v="2026-06-25T00:00:00"/>
    <d v="2026-06-29T00:00:00"/>
    <s v="PANERA BREAD #0231"/>
    <s v="5812"/>
    <s v="Meals"/>
    <n v="24.61"/>
    <s v="Corporate Amex"/>
    <m/>
    <s v="Y"/>
    <s v="Meals"/>
    <s v="MATCH"/>
    <x v="2"/>
  </r>
  <r>
    <s v="EXP103522"/>
    <s v="E043"/>
    <m/>
    <d v="2026-04-22T00:00:00"/>
    <d v="2026-06-29T00:00:00"/>
    <s v="SPROUT SOCIAL"/>
    <s v="5734"/>
    <s v="Software"/>
    <n v="161.80000000000001"/>
    <s v="Personal (Reimbursement)"/>
    <s v="Amex declined - vendor doesn't accept Amex"/>
    <s v="Y"/>
    <s v="Software"/>
    <s v="MATCH"/>
    <x v="0"/>
  </r>
  <r>
    <s v="EXP103523"/>
    <s v="E015"/>
    <s v="AX551013173"/>
    <d v="2026-01-30T00:00:00"/>
    <d v="2026-06-29T00:00:00"/>
    <s v="CHIPOTLE 2214"/>
    <s v="5812"/>
    <s v="Meals"/>
    <n v="19.239999999999998"/>
    <s v="Corporate Amex"/>
    <m/>
    <s v="Y"/>
    <s v="Meals"/>
    <s v="MATCH"/>
    <x v="0"/>
  </r>
  <r>
    <s v="EXP103524"/>
    <s v="E171"/>
    <m/>
    <d v="2026-05-28T00:00:00"/>
    <d v="2026-06-29T00:00:00"/>
    <s v="HILTON GARDEN INN 2231"/>
    <s v="7011"/>
    <s v="Lodging"/>
    <n v="203.05"/>
    <s v="Corporate Amex"/>
    <m/>
    <s v="N"/>
    <s v="Lodging"/>
    <s v="MATCH"/>
    <x v="6"/>
  </r>
  <r>
    <s v="EXP103525"/>
    <s v="E258"/>
    <s v="AX 331858234"/>
    <d v="2026-06-23T00:00:00"/>
    <d v="2026-06-29T00:00:00"/>
    <s v="OLIVE GARDEN 00456"/>
    <s v="5812"/>
    <s v="Meals"/>
    <n v="101.17"/>
    <s v="Corporate Amex"/>
    <m/>
    <s v="Y"/>
    <s v="Meals"/>
    <s v="MATCH"/>
    <x v="8"/>
  </r>
  <r>
    <s v="EXP103526"/>
    <s v="E258"/>
    <s v="AX101641432"/>
    <d v="2026-06-26T00:00:00"/>
    <d v="2026-06-29T00:00:00"/>
    <s v="SOUTHWEST AIR 5261823"/>
    <s v="4511"/>
    <s v="Travel"/>
    <n v="478.58"/>
    <s v="Corporate Amex"/>
    <m/>
    <s v="Y"/>
    <s v="Travel"/>
    <s v="MATCH"/>
    <x v="8"/>
  </r>
  <r>
    <s v="EXP103527"/>
    <s v="E254"/>
    <m/>
    <d v="2026-06-29T00:00:00"/>
    <d v="2026-06-29T00:00:00"/>
    <s v="LYFT RIDE THU"/>
    <s v="4121"/>
    <s v="Transportation"/>
    <n v="53.1"/>
    <s v="Personal (Reimbursement)"/>
    <s v="International merchant - Amex not accepted"/>
    <s v="Y"/>
    <s v="Transportation"/>
    <s v="MATCH"/>
    <x v="8"/>
  </r>
  <r>
    <s v="EXP103528"/>
    <s v="E254"/>
    <s v="AX469240625"/>
    <d v="2026-01-14T00:00:00"/>
    <d v="2026-06-29T00:00:00"/>
    <s v="SPROUT SOCIAL"/>
    <s v="5734"/>
    <s v="Software"/>
    <n v="166.93"/>
    <s v="Corporate Amex"/>
    <m/>
    <s v="Y"/>
    <s v="Software"/>
    <s v="MATCH"/>
    <x v="8"/>
  </r>
  <r>
    <s v="EXP103529"/>
    <s v="E240"/>
    <s v="AX718893502"/>
    <d v="2026-06-20T00:00:00"/>
    <d v="2026-06-29T00:00:00"/>
    <s v="STARBUCKS #4471"/>
    <s v="5812"/>
    <s v="Meals"/>
    <n v="8.65"/>
    <s v="Corporate Amex"/>
    <m/>
    <s v="Y"/>
    <s v="Meals"/>
    <s v="MATCH"/>
    <x v="1"/>
  </r>
  <r>
    <s v="EXP103530"/>
    <s v="E133"/>
    <s v="AX445346393"/>
    <d v="2026-02-13T00:00:00"/>
    <d v="2026-06-29T00:00:00"/>
    <s v="LYFT RIDE THU"/>
    <s v="4121"/>
    <s v="Transportation"/>
    <n v="48.05"/>
    <s v="Corporate Amex"/>
    <m/>
    <s v="Y"/>
    <s v="Transportation"/>
    <s v="MATCH"/>
    <x v="7"/>
  </r>
  <r>
    <s v="EXP103531"/>
    <s v="E080"/>
    <s v="AX122223229"/>
    <d v="2026-06-20T00:00:00"/>
    <d v="2026-06-29T00:00:00"/>
    <s v="STAPLES #0231"/>
    <s v="5943"/>
    <s v="Office Supplies"/>
    <n v="162.78"/>
    <s v="Corporate Amex"/>
    <m/>
    <s v="Y"/>
    <s v="Office Supplies"/>
    <s v="MATCH"/>
    <x v="2"/>
  </r>
  <r>
    <s v="EXP103532"/>
    <s v="E040"/>
    <s v="AX274570060"/>
    <d v="2026-06-22T00:00:00"/>
    <d v="2026-06-30T00:00:00"/>
    <s v="YELLOW CAB CO"/>
    <s v="4121"/>
    <s v="Transportation"/>
    <n v="37.409999999999997"/>
    <s v="Corporate Amex"/>
    <m/>
    <s v="N"/>
    <s v="Transportation"/>
    <s v="MATCH"/>
    <x v="0"/>
  </r>
  <r>
    <s v="EXP103533"/>
    <s v="E174"/>
    <s v="AX348097075"/>
    <d v="2026-06-24T00:00:00"/>
    <d v="2026-06-30T00:00:00"/>
    <s v="AMAZON MKTPLACE PMTS"/>
    <s v="5942"/>
    <s v="Office Supplies"/>
    <n v="239.01"/>
    <s v="Corporate Amex"/>
    <m/>
    <s v="Y"/>
    <s v="Office Supplies"/>
    <s v="MATCH"/>
    <x v="6"/>
  </r>
  <r>
    <s v="EXP103534"/>
    <s v="E250"/>
    <s v="AX134080155"/>
    <d v="2026-06-25T00:00:00"/>
    <d v="2026-06-30T00:00:00"/>
    <s v="STAPLES #0231"/>
    <s v="5943"/>
    <s v="Office Supplies"/>
    <n v="156.75"/>
    <s v="Corporate Amex"/>
    <m/>
    <s v="N"/>
    <s v="Office Supplies"/>
    <s v="MATCH"/>
    <x v="1"/>
  </r>
  <r>
    <s v="EXP103535"/>
    <s v="E002"/>
    <s v="AX 213645712"/>
    <d v="2026-06-30T00:00:00"/>
    <d v="2026-06-30T00:00:00"/>
    <s v="TOPGOLF #442"/>
    <s v="7997"/>
    <s v="Entertainment"/>
    <n v="117.76"/>
    <s v="Corporate Amex"/>
    <m/>
    <s v="Y"/>
    <s v="Entertainment"/>
    <s v="MATCH"/>
    <x v="0"/>
  </r>
  <r>
    <s v="EXP103536"/>
    <s v="E046"/>
    <s v="ax382967298"/>
    <d v="2026-04-16T00:00:00"/>
    <d v="2026-06-30T00:00:00"/>
    <s v="SPROUT SOCIAL"/>
    <s v="5734"/>
    <s v="Software"/>
    <n v="171.62"/>
    <s v="Corporate Amex"/>
    <m/>
    <s v="Y"/>
    <s v="Software"/>
    <s v="MATCH"/>
    <x v="0"/>
  </r>
  <r>
    <s v="EXP103537"/>
    <s v="E041"/>
    <s v="AX994358019"/>
    <d v="2026-06-29T00:00:00"/>
    <d v="2026-06-30T00:00:00"/>
    <s v="STAPLES #0231"/>
    <s v="5943"/>
    <s v="Office Supplies"/>
    <n v="85.95"/>
    <s v="Corporate Amex"/>
    <m/>
    <s v="Y"/>
    <s v="Office Supplies"/>
    <s v="MATCH"/>
    <x v="0"/>
  </r>
  <r>
    <s v="EXP103538"/>
    <s v="E041"/>
    <m/>
    <d v="2026-06-26T00:00:00"/>
    <d v="2026-06-30T00:00:00"/>
    <s v="LYFT RIDE THU"/>
    <s v="4121"/>
    <m/>
    <n v="31.16"/>
    <s v="Personal (Reimbursement)"/>
    <s v="Forgot corporate card"/>
    <s v="Y"/>
    <s v="Transportation"/>
    <s v="BLANK"/>
    <x v="0"/>
  </r>
  <r>
    <s v="EXP103539"/>
    <s v="E096"/>
    <s v="AX462938253"/>
    <d v="2026-06-25T00:00:00"/>
    <d v="2026-06-30T00:00:00"/>
    <s v="CHIPOTLE 2214"/>
    <s v="5812"/>
    <s v="Meals"/>
    <n v="20.81"/>
    <s v="Corporate Amex"/>
    <m/>
    <s v="Y"/>
    <s v="Meals"/>
    <s v="MATCH"/>
    <x v="2"/>
  </r>
  <r>
    <s v="EXP103540"/>
    <s v="E149"/>
    <s v="AX-305982454"/>
    <d v="2026-06-28T00:00:00"/>
    <d v="2026-06-30T00:00:00"/>
    <s v="TOPGOLF #442"/>
    <s v="7997"/>
    <s v="Entertainment"/>
    <n v="179.25"/>
    <s v="Corporate Amex"/>
    <m/>
    <s v="Y"/>
    <s v="Entertainment"/>
    <s v="MATCH"/>
    <x v="7"/>
  </r>
  <r>
    <s v="EXP103541"/>
    <s v="E061"/>
    <s v="AX372141054"/>
    <d v="2026-02-18T00:00:00"/>
    <d v="2026-06-30T00:00:00"/>
    <s v="HYATT REGENCY BOS"/>
    <s v="7011"/>
    <s v="Lodging"/>
    <n v="456.41"/>
    <s v="Corporate Amex"/>
    <m/>
    <s v="Y"/>
    <s v="Lodging"/>
    <s v="MATCH"/>
    <x v="0"/>
  </r>
  <r>
    <s v="EXP103542"/>
    <s v="E061"/>
    <s v="AX674766050"/>
    <d v="2026-05-17T00:00:00"/>
    <d v="2026-06-30T00:00:00"/>
    <s v="AMC THEATRES 0021"/>
    <s v="7832"/>
    <s v="Entertainment"/>
    <n v="34.06"/>
    <s v="Corporate Amex"/>
    <m/>
    <s v="Y"/>
    <s v="Entertainment"/>
    <s v="MATCH"/>
    <x v="0"/>
  </r>
  <r>
    <s v="EXP103543"/>
    <s v="E208"/>
    <s v="AX650029145"/>
    <d v="2026-01-28T00:00:00"/>
    <d v="2026-06-30T00:00:00"/>
    <s v="YELLOW CAB CO"/>
    <s v="4121"/>
    <s v="Transportation"/>
    <n v="16.3"/>
    <s v="Corporate Amex"/>
    <m/>
    <s v="Y"/>
    <s v="Transportation"/>
    <s v="MATCH"/>
    <x v="4"/>
  </r>
  <r>
    <s v="EXP103544"/>
    <s v="E003"/>
    <s v="ax459465226"/>
    <d v="2026-06-23T00:00:00"/>
    <d v="2026-06-30T00:00:00"/>
    <s v="ZOOM.US"/>
    <s v="5734"/>
    <s v="Software"/>
    <n v="20.02"/>
    <s v="Corporate Amex"/>
    <m/>
    <s v="Y"/>
    <s v="Software"/>
    <s v="MATCH"/>
    <x v="0"/>
  </r>
  <r>
    <s v="EXP103545"/>
    <s v="E003"/>
    <s v="ax774377038"/>
    <d v="2026-06-29T00:00:00"/>
    <d v="2026-06-30T00:00:00"/>
    <s v="ADOBE *CREATIVE CLOUD"/>
    <s v="5734"/>
    <s v="Software"/>
    <n v="86.59"/>
    <s v="Corporate Amex"/>
    <m/>
    <s v="Y"/>
    <s v="Software"/>
    <s v="MATCH"/>
    <x v="0"/>
  </r>
  <r>
    <s v="EXP103546"/>
    <s v="E003"/>
    <m/>
    <d v="2026-06-21T00:00:00"/>
    <d v="2026-06-30T00:00:00"/>
    <s v="YELLOW CAB CO"/>
    <s v="4121"/>
    <s v="Transportation"/>
    <n v="22.18"/>
    <s v="Corporate Amex"/>
    <m/>
    <s v="Y"/>
    <s v="Transportation"/>
    <s v="MATCH"/>
    <x v="0"/>
  </r>
  <r>
    <s v="EXP103547"/>
    <s v="E164"/>
    <s v="AX388999929"/>
    <d v="2026-06-23T00:00:00"/>
    <d v="2026-06-30T00:00:00"/>
    <s v="EVENTBRITE"/>
    <s v="7999"/>
    <s v="Events"/>
    <n v="131.19999999999999"/>
    <s v="Corporate Amex"/>
    <m/>
    <s v="Y"/>
    <s v="Events"/>
    <s v="MATCH"/>
    <x v="6"/>
  </r>
  <r>
    <s v="EXP103548"/>
    <s v="E254"/>
    <s v="AX937498923"/>
    <d v="2026-06-29T00:00:00"/>
    <d v="2026-06-30T00:00:00"/>
    <s v="LYFT RIDE THU"/>
    <s v="4121"/>
    <s v="Transportation"/>
    <n v="17.61"/>
    <s v="Corporate Amex"/>
    <m/>
    <s v="Y"/>
    <s v="Transportation"/>
    <s v="MATCH"/>
    <x v="8"/>
  </r>
  <r>
    <s v="EXP103549"/>
    <s v="E270"/>
    <m/>
    <d v="2026-06-29T00:00:00"/>
    <d v="2026-06-30T00:00:00"/>
    <s v="OLIVE GARDEN 00456"/>
    <s v="5812"/>
    <s v="Meals"/>
    <n v="48"/>
    <s v="Corporate Amex"/>
    <m/>
    <s v="Y"/>
    <s v="Meals"/>
    <s v="MATCH"/>
    <x v="3"/>
  </r>
  <r>
    <s v="EXP103550"/>
    <s v="E005"/>
    <s v="AX383860451"/>
    <d v="2026-06-28T00:00:00"/>
    <d v="2026-06-30T00:00:00"/>
    <s v="HYATT REGENCY BOS"/>
    <s v="7011"/>
    <s v="Lodging"/>
    <n v="244.71"/>
    <s v="Corporate Amex"/>
    <m/>
    <s v="Y"/>
    <s v="Lodging"/>
    <s v="MATCH"/>
    <x v="0"/>
  </r>
  <r>
    <s v="EXP103551"/>
    <s v="E005"/>
    <s v="AX836338876"/>
    <d v="2026-06-25T00:00:00"/>
    <d v="2026-06-30T00:00:00"/>
    <s v="SQ *THE CORNER BISTRO"/>
    <s v="5812"/>
    <s v="Meals"/>
    <n v="24.1"/>
    <s v="Corporate Amex"/>
    <m/>
    <s v="N"/>
    <s v="Meals"/>
    <s v="MATCH"/>
    <x v="0"/>
  </r>
  <r>
    <s v="EXP103552"/>
    <s v="E228"/>
    <m/>
    <d v="2026-06-27T00:00:00"/>
    <d v="2026-06-30T00:00:00"/>
    <s v="PANERA BREAD #0231"/>
    <s v="5812"/>
    <s v="Meals"/>
    <n v="29.82"/>
    <s v="Personal (Reimbursement)"/>
    <s v="Card not yet issued"/>
    <s v="Y"/>
    <s v="Meals"/>
    <s v="MATCH"/>
    <x v="4"/>
  </r>
  <r>
    <s v="EXP103553"/>
    <s v="E051"/>
    <s v="ax630244521"/>
    <d v="2026-06-29T00:00:00"/>
    <d v="2026-06-30T00:00:00"/>
    <s v="YELLOW CAB CO"/>
    <s v="4121"/>
    <s v="Transportation"/>
    <n v="30.89"/>
    <s v="Corporate Amex"/>
    <m/>
    <s v="Y"/>
    <s v="Transportation"/>
    <s v="MATCH"/>
    <x v="0"/>
  </r>
  <r>
    <s v="EXP103554"/>
    <s v="E062"/>
    <s v="AX912617934"/>
    <d v="2026-06-22T00:00:00"/>
    <d v="2026-06-30T00:00:00"/>
    <s v="MARRIOTT #4471"/>
    <s v="7011"/>
    <s v="Lodging"/>
    <n v="299.32"/>
    <s v="Corporate Amex"/>
    <m/>
    <s v="Y"/>
    <s v="Lodging"/>
    <s v="MATCH"/>
    <x v="0"/>
  </r>
  <r>
    <s v="EXP103555"/>
    <s v="E019"/>
    <s v="AX484357257"/>
    <d v="2026-06-29T00:00:00"/>
    <d v="2026-06-30T00:00:00"/>
    <s v="AMC THEATRES 0021"/>
    <s v="7832"/>
    <s v="Entertainment"/>
    <n v="38.409999999999997"/>
    <s v="Corporate Amex"/>
    <m/>
    <s v="Y"/>
    <s v="Entertainment"/>
    <s v="MATCH"/>
    <x v="0"/>
  </r>
  <r>
    <s v="EXP103556"/>
    <s v="E153"/>
    <s v="AX 837893450"/>
    <d v="2026-06-30T00:00:00"/>
    <d v="2026-06-30T00:00:00"/>
    <s v="DELTA AIR 00623891045"/>
    <s v="4511"/>
    <s v="  Travel "/>
    <n v="233.34"/>
    <s v="Corporate Amex"/>
    <m/>
    <s v="Y"/>
    <s v="Travel"/>
    <s v="MATCH"/>
    <x v="6"/>
  </r>
  <r>
    <s v="EXP103557"/>
    <s v="E098"/>
    <m/>
    <d v="2026-03-17T00:00:00"/>
    <d v="2026-06-30T00:00:00"/>
    <s v="AMAZON MKTPLACE PMTS"/>
    <s v="5942"/>
    <s v="Office Supplies"/>
    <n v="192.76"/>
    <s v="Personal (Reimbursement)"/>
    <s v="International merchant - Amex not accepted"/>
    <s v="Y"/>
    <s v="Office Supplies"/>
    <s v="MATCH"/>
    <x v="2"/>
  </r>
  <r>
    <s v="EXP103558"/>
    <s v="E079"/>
    <s v="AX-843953797"/>
    <d v="2026-06-26T00:00:00"/>
    <d v="2026-06-30T00:00:00"/>
    <s v="SPROUT SOCIAL"/>
    <s v="5734"/>
    <s v="Software"/>
    <n v="244.19"/>
    <s v="Corporate Amex"/>
    <m/>
    <s v="Y"/>
    <s v="Software"/>
    <s v="MATCH"/>
    <x v="2"/>
  </r>
  <r>
    <s v="EXP103559"/>
    <s v="E022"/>
    <m/>
    <d v="2026-03-17T00:00:00"/>
    <d v="2026-06-30T00:00:00"/>
    <s v="ZOOM.US"/>
    <s v="5734"/>
    <m/>
    <n v="40.700000000000003"/>
    <s v="Personal (Reimbursement)"/>
    <s v="Card not yet issued"/>
    <s v="N"/>
    <s v="Software"/>
    <s v="BLANK"/>
    <x v="0"/>
  </r>
  <r>
    <s v="EXP103560"/>
    <s v="E022"/>
    <m/>
    <d v="2026-06-21T00:00:00"/>
    <d v="2026-06-30T00:00:00"/>
    <s v="REGION CATERING CO"/>
    <s v="5811"/>
    <s v="Events"/>
    <n v="643.26"/>
    <s v="Personal (Reimbursement)"/>
    <s v="Card not yet issued"/>
    <s v="Y"/>
    <s v="Events"/>
    <s v="MATCH"/>
    <x v="0"/>
  </r>
  <r>
    <s v="EXP103561"/>
    <s v="E222"/>
    <m/>
    <d v="2026-05-17T00:00:00"/>
    <d v="2026-06-30T00:00:00"/>
    <s v="AMAZON MKTPLACE PMTS"/>
    <s v="5942"/>
    <s v="Office Supplies"/>
    <n v="269"/>
    <s v="Corporate Amex"/>
    <m/>
    <s v="Y"/>
    <s v="Office Supplies"/>
    <s v="MATCH"/>
    <x v="4"/>
  </r>
  <r>
    <s v="EXP103562"/>
    <s v="E011"/>
    <m/>
    <d v="2026-06-28T00:00:00"/>
    <d v="2026-06-30T00:00:00"/>
    <s v="STAPLES #0231"/>
    <s v="5943"/>
    <s v="Office Supplies"/>
    <n v="37.89"/>
    <s v="Corporate Amex"/>
    <m/>
    <s v="Y"/>
    <s v="Office Supplies"/>
    <s v="MATCH"/>
    <x v="0"/>
  </r>
  <r>
    <s v="EXP103563"/>
    <s v="E126"/>
    <s v="AX925767904"/>
    <d v="2026-06-28T00:00:00"/>
    <d v="2026-06-30T00:00:00"/>
    <s v="YELLOW CAB CO"/>
    <s v="4121"/>
    <s v="  Transportation "/>
    <n v="46.21"/>
    <s v="Corporate Amex"/>
    <m/>
    <s v="Y"/>
    <s v="Transportation"/>
    <s v="MATCH"/>
    <x v="7"/>
  </r>
  <r>
    <s v="EXP103564"/>
    <s v="E093"/>
    <s v="AX 488947277"/>
    <d v="2026-06-28T00:00:00"/>
    <d v="2026-06-30T00:00:00"/>
    <s v="AMC THEATRES 0021"/>
    <s v="7832"/>
    <s v="Entertainment"/>
    <n v="47.32"/>
    <s v="Corporate Amex"/>
    <m/>
    <s v="Y"/>
    <s v="Entertainment"/>
    <s v="MATCH"/>
    <x v="2"/>
  </r>
  <r>
    <s v="EXP103565"/>
    <s v="E189"/>
    <s v="ax702491700"/>
    <d v="2026-06-21T00:00:00"/>
    <d v="2026-06-30T00:00:00"/>
    <s v="SQ *JOES COFFEE"/>
    <s v="5812"/>
    <s v="  Meals "/>
    <n v="14.63"/>
    <s v="Corporate Amex"/>
    <m/>
    <s v="Y"/>
    <s v="Meals"/>
    <s v="MATCH"/>
    <x v="5"/>
  </r>
  <r>
    <s v="EXP103566"/>
    <s v="E109"/>
    <s v="AX129002973"/>
    <d v="2026-06-28T00:00:00"/>
    <d v="2026-06-30T00:00:00"/>
    <s v="SOUTHWEST AIR 5261823"/>
    <s v="4511"/>
    <s v="Travel"/>
    <n v="198.08"/>
    <s v="Corporate Amex"/>
    <m/>
    <s v="Y"/>
    <s v="Travel"/>
    <s v="MATCH"/>
    <x v="2"/>
  </r>
  <r>
    <s v="EXP103567"/>
    <s v="E066"/>
    <s v="AX 720830932"/>
    <d v="2026-06-27T00:00:00"/>
    <d v="2026-06-30T00:00:00"/>
    <s v="SQ *JOES COFFEE"/>
    <s v="5812"/>
    <s v="Meals"/>
    <n v="18.940000000000001"/>
    <s v="Corporate Amex"/>
    <m/>
    <s v="Y"/>
    <s v="Meals"/>
    <s v="MATCH"/>
    <x v="0"/>
  </r>
  <r>
    <s v="EXP103568"/>
    <s v="E066"/>
    <s v="ax682963872"/>
    <d v="2026-06-26T00:00:00"/>
    <d v="2026-06-30T00:00:00"/>
    <s v="SPROUT SOCIAL"/>
    <s v="5734"/>
    <s v="Software"/>
    <n v="228.26"/>
    <s v="Corporate Amex"/>
    <m/>
    <s v="Y"/>
    <s v="Software"/>
    <s v="MATCH"/>
    <x v="0"/>
  </r>
  <r>
    <s v="EXP103569"/>
    <s v="E037"/>
    <m/>
    <d v="2026-06-26T00:00:00"/>
    <d v="2026-06-30T00:00:00"/>
    <s v="STAPLES #0231"/>
    <s v="5943"/>
    <s v="Office Supplies"/>
    <n v="140.44999999999999"/>
    <s v="Corporate Amex"/>
    <m/>
    <s v="Y"/>
    <s v="Office Supplies"/>
    <s v="MATCH"/>
    <x v="0"/>
  </r>
  <r>
    <s v="EXP103570"/>
    <s v="E197"/>
    <s v="ax585843396"/>
    <d v="2026-06-29T00:00:00"/>
    <d v="2026-06-30T00:00:00"/>
    <s v="UBER TRIP HELP.UBER"/>
    <s v="4121"/>
    <s v="Transportation"/>
    <n v="47.3"/>
    <s v="Corporate Amex"/>
    <m/>
    <s v="N"/>
    <s v="Transportation"/>
    <s v="MATCH"/>
    <x v="5"/>
  </r>
  <r>
    <s v="EXP103571"/>
    <s v="E047"/>
    <s v="AX 251194988"/>
    <d v="2026-06-27T00:00:00"/>
    <d v="2026-06-30T00:00:00"/>
    <s v="MICROSOFT*365"/>
    <s v="5734"/>
    <s v="Software"/>
    <n v="41.33"/>
    <s v="Corporate Amex"/>
    <m/>
    <s v="Y"/>
    <s v="Software"/>
    <s v="MATCH"/>
    <x v="0"/>
  </r>
  <r>
    <s v="EXP103572"/>
    <s v="E047"/>
    <s v="AX834337842"/>
    <d v="2026-06-30T00:00:00"/>
    <d v="2026-06-30T00:00:00"/>
    <s v="PANERA BREAD #0231"/>
    <s v="5812"/>
    <s v="Meals"/>
    <n v="12.36"/>
    <s v="Corporate Amex"/>
    <m/>
    <s v="Y"/>
    <s v="Meals"/>
    <s v="MATCH"/>
    <x v="0"/>
  </r>
  <r>
    <s v="EXP103573"/>
    <s v="E047"/>
    <m/>
    <d v="2026-06-24T00:00:00"/>
    <d v="2026-06-30T00:00:00"/>
    <s v="OLIVE GARDEN 00456"/>
    <s v="5812"/>
    <s v="Meals"/>
    <n v="120"/>
    <s v="Corporate Amex"/>
    <m/>
    <s v="Y"/>
    <s v="Meals"/>
    <s v="MATCH"/>
    <x v="0"/>
  </r>
  <r>
    <s v="EXP103574"/>
    <s v="E004"/>
    <s v="AX-511020825"/>
    <d v="2026-06-30T00:00:00"/>
    <d v="2026-06-30T00:00:00"/>
    <s v="DELTA AIR 00623891045"/>
    <s v="4511"/>
    <s v="Travel"/>
    <n v="554.72"/>
    <s v="Corporate Amex"/>
    <m/>
    <s v="Y"/>
    <s v="Travel"/>
    <s v="MATCH"/>
    <x v="0"/>
  </r>
  <r>
    <s v="EXP103575"/>
    <s v="E054"/>
    <s v="ax534049649"/>
    <d v="2026-06-27T00:00:00"/>
    <d v="2026-06-30T00:00:00"/>
    <s v="PANERA BREAD #0231"/>
    <s v="5812"/>
    <s v="Meals"/>
    <n v="10"/>
    <s v="Corporate Amex"/>
    <m/>
    <s v="Y"/>
    <s v="Meals"/>
    <s v="MATCH"/>
    <x v="0"/>
  </r>
  <r>
    <s v="EXP103576"/>
    <s v="E034"/>
    <m/>
    <d v="2026-06-30T00:00:00"/>
    <d v="2026-06-30T00:00:00"/>
    <s v="ADOBE *CREATIVE CLOUD"/>
    <s v="5734"/>
    <s v="Software"/>
    <n v="80.36"/>
    <s v="Corporate Amex"/>
    <m/>
    <s v="N"/>
    <s v="Software"/>
    <s v="MATCH"/>
    <x v="0"/>
  </r>
  <r>
    <s v="EXP103577"/>
    <s v="E034"/>
    <m/>
    <d v="2026-06-24T00:00:00"/>
    <d v="2026-06-30T00:00:00"/>
    <s v="TOPGOLF #442"/>
    <s v="7997"/>
    <s v="Entertainment"/>
    <n v="196.94"/>
    <s v="Corporate Amex"/>
    <m/>
    <s v="N"/>
    <s v="Entertainment"/>
    <s v="MATCH"/>
    <x v="0"/>
  </r>
  <r>
    <s v="EXP103578"/>
    <s v="E034"/>
    <s v="AX-282541274"/>
    <d v="2026-06-27T00:00:00"/>
    <d v="2026-06-30T00:00:00"/>
    <s v="TOTAL PARTY RENTAL"/>
    <s v="7999"/>
    <s v="Events"/>
    <n v="222.95"/>
    <s v="Corporate Amex"/>
    <m/>
    <s v="Y"/>
    <s v="Events"/>
    <s v="MATCH"/>
    <x v="0"/>
  </r>
  <r>
    <s v="EXP103579"/>
    <s v="E044"/>
    <s v="AX 735177676"/>
    <d v="2026-06-30T00:00:00"/>
    <d v="2026-06-30T00:00:00"/>
    <s v="HILTON GARDEN INN 2231"/>
    <s v="7011"/>
    <s v="Lodging"/>
    <n v="275.39999999999998"/>
    <s v="Corporate Amex"/>
    <m/>
    <s v="Y"/>
    <s v="Lodging"/>
    <s v="MATCH"/>
    <x v="0"/>
  </r>
  <r>
    <s v="EXP103580"/>
    <s v="E013"/>
    <s v="AX264374737"/>
    <d v="2026-06-27T00:00:00"/>
    <d v="2026-06-30T00:00:00"/>
    <s v="LYFT RIDE THU"/>
    <s v="4121"/>
    <s v="Transportation"/>
    <n v="24.86"/>
    <s v="Corporate Amex"/>
    <m/>
    <s v="Y"/>
    <s v="Transportation"/>
    <s v="MATCH"/>
    <x v="0"/>
  </r>
  <r>
    <s v="EXP103581"/>
    <s v="E013"/>
    <s v="AX220371268"/>
    <d v="2026-06-28T00:00:00"/>
    <d v="2026-06-30T00:00:00"/>
    <s v="SPROUT SOCIAL"/>
    <s v="5734"/>
    <s v="Software"/>
    <n v="227.16"/>
    <s v="Corporate Amex"/>
    <m/>
    <s v="Y"/>
    <s v="Software"/>
    <s v="MATCH"/>
    <x v="0"/>
  </r>
  <r>
    <s v="EXP103582"/>
    <s v="E121"/>
    <m/>
    <d v="2026-04-27T00:00:00"/>
    <d v="2026-06-30T00:00:00"/>
    <s v="HYATT REGENCY BOS"/>
    <s v="7011"/>
    <s v="Lodging"/>
    <n v="304.24"/>
    <s v="Corporate Amex"/>
    <m/>
    <s v="Y"/>
    <s v="Lodging"/>
    <s v="MATCH"/>
    <x v="7"/>
  </r>
  <r>
    <s v="EXP103583"/>
    <s v="E255"/>
    <s v="AX826334001"/>
    <d v="2026-01-18T00:00:00"/>
    <d v="2026-06-30T00:00:00"/>
    <s v="MARRIOTT #4471"/>
    <s v="7011"/>
    <s v="Lodging"/>
    <n v="262.87"/>
    <s v="Corporate Amex"/>
    <m/>
    <s v="Y"/>
    <s v="Lodging"/>
    <s v="MATCH"/>
    <x v="8"/>
  </r>
  <r>
    <s v="EXP103584"/>
    <s v="E058"/>
    <s v="AX-197110268"/>
    <d v="2026-06-24T00:00:00"/>
    <d v="2026-06-30T00:00:00"/>
    <s v="SOUTHWEST AIR 5261823"/>
    <s v="4511"/>
    <s v="Travel"/>
    <n v="123.95"/>
    <s v="Corporate Amex"/>
    <m/>
    <s v="Y"/>
    <s v="Travel"/>
    <s v="MATCH"/>
    <x v="0"/>
  </r>
  <r>
    <s v="EXP103585"/>
    <s v="E009"/>
    <s v="AX713704783"/>
    <d v="2026-06-30T00:00:00"/>
    <d v="2026-06-30T00:00:00"/>
    <s v="HOOTSUITE INC"/>
    <s v="5734"/>
    <s v="Software"/>
    <n v="137.82"/>
    <s v="Corporate Amex"/>
    <m/>
    <s v="Y"/>
    <s v="Software"/>
    <s v="MATCH"/>
    <x v="0"/>
  </r>
  <r>
    <s v="EXP103586"/>
    <s v="E009"/>
    <s v="AX 364426435"/>
    <d v="2026-06-21T00:00:00"/>
    <d v="2026-06-30T00:00:00"/>
    <s v="BRANDWATCH LTD"/>
    <s v="5734"/>
    <s v="  Software "/>
    <n v="205.12"/>
    <s v="Corporate Amex"/>
    <m/>
    <s v="Y"/>
    <s v="Software"/>
    <s v="MATCH"/>
    <x v="0"/>
  </r>
  <r>
    <s v="EXP103587"/>
    <s v="E009"/>
    <s v="AX421729209"/>
    <d v="2026-01-18T00:00:00"/>
    <d v="2026-06-30T00:00:00"/>
    <s v="OLIVE GARDEN 00456"/>
    <s v="5812"/>
    <s v="Meals"/>
    <n v="125.22"/>
    <s v="Corporate Amex"/>
    <m/>
    <s v="Y"/>
    <s v="Meals"/>
    <s v="MATCH"/>
    <x v="0"/>
  </r>
  <r>
    <s v="EXP103588"/>
    <s v="E214"/>
    <s v="ax684884643"/>
    <d v="2026-01-01T00:00:00"/>
    <d v="2026-06-30T00:00:00"/>
    <s v="REGION CATERING CO"/>
    <s v="5811"/>
    <s v="Events"/>
    <n v="58.3"/>
    <s v="Corporate Amex"/>
    <m/>
    <s v="N"/>
    <s v="Events"/>
    <s v="MATCH"/>
    <x v="4"/>
  </r>
  <r>
    <s v="EXP103589"/>
    <s v="E087"/>
    <s v="ax674361578"/>
    <d v="2026-06-27T00:00:00"/>
    <d v="2026-06-30T00:00:00"/>
    <s v="SOUTHWEST AIR 5261823"/>
    <s v="4511"/>
    <s v="Travel"/>
    <n v="424.13"/>
    <s v="Corporate Amex"/>
    <m/>
    <s v="N"/>
    <s v="Travel"/>
    <s v="MATCH"/>
    <x v="2"/>
  </r>
  <r>
    <s v="EXP103590"/>
    <s v="E087"/>
    <s v="ax111433316"/>
    <d v="2026-06-26T00:00:00"/>
    <d v="2026-06-30T00:00:00"/>
    <s v="CHIPOTLE 2214"/>
    <s v="5812"/>
    <s v="Meals"/>
    <n v="13.74"/>
    <s v="Corporate Amex"/>
    <m/>
    <s v="Y"/>
    <s v="Meals"/>
    <s v="MATCH"/>
    <x v="2"/>
  </r>
  <r>
    <s v="EXP103591"/>
    <s v="E069"/>
    <s v="AX436873351"/>
    <d v="2026-06-25T00:00:00"/>
    <d v="2026-06-30T00:00:00"/>
    <s v="TOTAL PARTY RENTAL"/>
    <s v="7999"/>
    <s v="Events"/>
    <n v="451.74"/>
    <s v="Corporate Amex"/>
    <m/>
    <s v="Y"/>
    <s v="Events"/>
    <s v="MATCH"/>
    <x v="0"/>
  </r>
  <r>
    <s v="EXP103592"/>
    <s v="E069"/>
    <m/>
    <d v="2026-06-30T00:00:00"/>
    <d v="2026-06-30T00:00:00"/>
    <s v="MICROSOFT*365"/>
    <s v="5734"/>
    <s v="Software"/>
    <n v="52.16"/>
    <s v="Personal (Reimbursement)"/>
    <s v="Forgot corporate card"/>
    <s v="N"/>
    <s v="Software"/>
    <s v="MATCH"/>
    <x v="0"/>
  </r>
  <r>
    <s v="EXP103593"/>
    <s v="E050"/>
    <s v="AX937780699"/>
    <d v="2026-06-21T00:00:00"/>
    <d v="2026-06-30T00:00:00"/>
    <s v="DELTA AIR 00623891045"/>
    <s v="4511"/>
    <m/>
    <n v="304.86"/>
    <s v="Corporate Amex"/>
    <m/>
    <s v="N"/>
    <s v="Travel"/>
    <s v="BLANK"/>
    <x v="0"/>
  </r>
  <r>
    <s v="EXP103594"/>
    <s v="E039"/>
    <s v="AX 576926418"/>
    <d v="2026-06-29T00:00:00"/>
    <d v="2026-06-30T00:00:00"/>
    <s v="HYATT REGENCY BOS"/>
    <s v="7011"/>
    <s v="  Lodging "/>
    <n v="187.88"/>
    <s v="Corporate Amex"/>
    <m/>
    <s v="Y"/>
    <s v="Lodging"/>
    <s v="MATCH"/>
    <x v="0"/>
  </r>
  <r>
    <s v="EXP103595"/>
    <s v="E006"/>
    <s v="AX548312341"/>
    <d v="2026-06-27T00:00:00"/>
    <d v="2026-06-30T00:00:00"/>
    <s v="AMAZON MKTPLACE PMTS"/>
    <s v="5942"/>
    <s v="Office Supplies"/>
    <n v="345.73"/>
    <s v="Corporate Amex"/>
    <m/>
    <s v="Y"/>
    <s v="Office Supplies"/>
    <s v="MATCH"/>
    <x v="0"/>
  </r>
  <r>
    <s v="EXP103596"/>
    <s v="E145"/>
    <s v="AX388250758"/>
    <d v="2026-06-26T00:00:00"/>
    <d v="2026-06-30T00:00:00"/>
    <s v="BRANDWATCH LTD"/>
    <s v="5734"/>
    <s v="Software"/>
    <n v="343.52"/>
    <s v="Corporate Amex"/>
    <m/>
    <s v="Y"/>
    <s v="Software"/>
    <s v="MATCH"/>
    <x v="7"/>
  </r>
  <r>
    <s v="EXP103597"/>
    <s v="E259"/>
    <s v="AX907576117"/>
    <d v="2026-06-28T00:00:00"/>
    <d v="2026-06-30T00:00:00"/>
    <s v="MARRIOTT #4471"/>
    <s v="7011"/>
    <s v="Lodging"/>
    <n v="219.05"/>
    <s v="Corporate Amex"/>
    <m/>
    <s v="Y"/>
    <s v="Lodging"/>
    <s v="MATCH"/>
    <x v="8"/>
  </r>
  <r>
    <s v="EXP103598"/>
    <s v="E259"/>
    <s v="AX992024209"/>
    <d v="2026-06-29T00:00:00"/>
    <d v="2026-06-30T00:00:00"/>
    <s v="MARRIOTT #4471"/>
    <s v="7011"/>
    <s v="Lodging"/>
    <n v="394.18"/>
    <s v="Corporate Amex"/>
    <m/>
    <s v="Y"/>
    <s v="Lodging"/>
    <s v="MATCH"/>
    <x v="8"/>
  </r>
  <r>
    <s v="EXP103599"/>
    <s v="E136"/>
    <m/>
    <d v="2026-01-06T00:00:00"/>
    <d v="2026-06-30T00:00:00"/>
    <s v="MARRIOTT #4471"/>
    <s v="7011"/>
    <s v="Lodging"/>
    <n v="407.73"/>
    <s v="Personal (Reimbursement)"/>
    <s v="Forgot corporate card"/>
    <s v="Y"/>
    <s v="Lodging"/>
    <s v="MATCH"/>
    <x v="7"/>
  </r>
  <r>
    <s v="EXP103600"/>
    <s v="E163"/>
    <m/>
    <d v="2026-06-29T00:00:00"/>
    <d v="2026-06-30T00:00:00"/>
    <s v="ZOOM.US"/>
    <s v="5734"/>
    <s v="Software"/>
    <n v="15.93"/>
    <s v="Corporate Amex"/>
    <m/>
    <s v="Y"/>
    <s v="Software"/>
    <s v="MATCH"/>
    <x v="6"/>
  </r>
  <r>
    <s v="EXP103601"/>
    <s v="E223"/>
    <s v="AX-172866788"/>
    <d v="2026-06-10T00:00:00"/>
    <d v="2026-06-30T00:00:00"/>
    <s v="BRANDWATCH LTD"/>
    <s v="5734"/>
    <s v="Software"/>
    <n v="433.29"/>
    <s v="Corporate Amex"/>
    <m/>
    <s v="Y"/>
    <s v="Software"/>
    <s v="MATCH"/>
    <x v="4"/>
  </r>
  <r>
    <s v="EXP103602"/>
    <s v="E112"/>
    <s v="AX 202305046"/>
    <d v="2026-06-30T00:00:00"/>
    <d v="2026-06-30T00:00:00"/>
    <s v="ZOOM.US"/>
    <s v="5734"/>
    <s v="Software"/>
    <n v="24.07"/>
    <s v="Corporate Amex"/>
    <m/>
    <s v="Y"/>
    <s v="Software"/>
    <s v="MATCH"/>
    <x v="2"/>
  </r>
  <r>
    <s v="EXP103604"/>
    <s v="E123"/>
    <s v="ax143737602"/>
    <d v="2026-01-22T00:00:00"/>
    <d v="2026-06-30T00:00:00"/>
    <s v="YELLOW CAB CO"/>
    <s v="4121"/>
    <s v="Transportation"/>
    <n v="30.14"/>
    <s v="Corporate Amex"/>
    <m/>
    <s v="Y"/>
    <s v="Transportation"/>
    <s v="MATCH"/>
    <x v="7"/>
  </r>
  <r>
    <s v="EXP103605"/>
    <s v="E144"/>
    <s v="AX-450051856"/>
    <d v="2026-04-03T00:00:00"/>
    <d v="2026-06-30T00:00:00"/>
    <s v="SOUTHWEST AIR 5261823"/>
    <s v="4511"/>
    <s v="Transportation"/>
    <n v="447.69"/>
    <s v="Corporate Amex"/>
    <m/>
    <s v="Y"/>
    <s v="Travel"/>
    <s v="MISMATCH"/>
    <x v="7"/>
  </r>
  <r>
    <s v="EXP103606"/>
    <s v="E243"/>
    <s v="ax736721537"/>
    <d v="2026-06-25T00:00:00"/>
    <d v="2026-06-30T00:00:00"/>
    <s v="ADOBE *CREATIVE CLOUD"/>
    <s v="5734"/>
    <s v="Software"/>
    <n v="81.790000000000006"/>
    <s v="Corporate Amex"/>
    <m/>
    <s v="Y"/>
    <s v="Software"/>
    <s v="MATCH"/>
    <x v="1"/>
  </r>
  <r>
    <s v="EXP103607"/>
    <s v="E063"/>
    <s v="AX966636007"/>
    <d v="2026-06-23T00:00:00"/>
    <d v="2026-06-30T00:00:00"/>
    <s v="HYATT REGENCY BOS"/>
    <s v="7011"/>
    <s v="Lodging"/>
    <n v="224.49"/>
    <s v="Corporate Amex"/>
    <m/>
    <s v="N"/>
    <s v="Lodging"/>
    <s v="MATCH"/>
    <x v="0"/>
  </r>
  <r>
    <s v="EXP103608"/>
    <s v="E128"/>
    <m/>
    <d v="2026-06-24T00:00:00"/>
    <d v="2026-06-30T00:00:00"/>
    <s v="SOUTHWEST AIR 5261823"/>
    <s v="4511"/>
    <s v="Travel"/>
    <n v="238.2"/>
    <s v="Personal (Reimbursement)"/>
    <s v="Forgot corporate card"/>
    <s v="Y"/>
    <s v="Travel"/>
    <s v="MATCH"/>
    <x v="7"/>
  </r>
  <r>
    <s v="EXP103609"/>
    <s v="E055"/>
    <s v="AX197546582"/>
    <d v="2026-01-20T00:00:00"/>
    <d v="2026-06-30T00:00:00"/>
    <s v="BRANDWATCH LTD"/>
    <s v="5734"/>
    <s v="Software"/>
    <n v="327.96"/>
    <s v="Corporate Amex"/>
    <m/>
    <s v="Y"/>
    <s v="Software"/>
    <s v="MATCH"/>
    <x v="0"/>
  </r>
  <r>
    <s v="EXP103610"/>
    <s v="E055"/>
    <s v="ax711815652"/>
    <d v="2026-06-28T00:00:00"/>
    <d v="2026-06-30T00:00:00"/>
    <s v="YELLOW CAB CO"/>
    <s v="4121"/>
    <s v="Transportation"/>
    <n v="29.78"/>
    <s v="Corporate Amex"/>
    <m/>
    <s v="Y"/>
    <s v="Transportation"/>
    <s v="MATCH"/>
    <x v="0"/>
  </r>
  <r>
    <s v="EXP103611"/>
    <s v="E020"/>
    <m/>
    <d v="2026-06-06T00:00:00"/>
    <d v="2026-06-30T00:00:00"/>
    <s v="SQ *THE CORNER BISTRO"/>
    <s v="5812"/>
    <s v="Meals"/>
    <n v="21.02"/>
    <s v="Corporate Amex"/>
    <m/>
    <s v="Y"/>
    <s v="Meals"/>
    <s v="MATCH"/>
    <x v="0"/>
  </r>
  <r>
    <s v="EXP103612"/>
    <s v="E059"/>
    <s v="ax767075527"/>
    <d v="2026-06-26T00:00:00"/>
    <d v="2026-06-30T00:00:00"/>
    <s v="TOTAL PARTY RENTAL"/>
    <s v="7999"/>
    <s v="Events"/>
    <n v="199.77"/>
    <s v="Corporate Amex"/>
    <m/>
    <s v="Y"/>
    <s v="Events"/>
    <s v="MATCH"/>
    <x v="0"/>
  </r>
  <r>
    <s v="EXP103613"/>
    <s v="E059"/>
    <s v="AX376384306"/>
    <d v="2026-03-10T00:00:00"/>
    <d v="2026-06-30T00:00:00"/>
    <s v="MARRIOTT #4471"/>
    <s v="7011"/>
    <s v="Lodging"/>
    <n v="161.80000000000001"/>
    <s v="Corporate Amex"/>
    <m/>
    <s v="Y"/>
    <s v="Lodging"/>
    <s v="MATCH"/>
    <x v="0"/>
  </r>
  <r>
    <s v="EXP103614"/>
    <s v="E274"/>
    <s v="AX 970208564"/>
    <d v="2026-06-28T00:00:00"/>
    <d v="2026-06-30T00:00:00"/>
    <s v="REGION CATERING CO"/>
    <s v="5811"/>
    <m/>
    <n v="74.28"/>
    <s v="Corporate Amex"/>
    <m/>
    <s v="Y"/>
    <s v="Events"/>
    <s v="BLANK"/>
    <x v="3"/>
  </r>
  <r>
    <s v="EXP103615"/>
    <s v="E008"/>
    <s v="AX-564053890"/>
    <d v="2026-06-25T00:00:00"/>
    <d v="2026-06-30T00:00:00"/>
    <s v="TOTAL PARTY RENTAL"/>
    <s v="7999"/>
    <s v="Events"/>
    <n v="340.05"/>
    <s v="Corporate Amex"/>
    <m/>
    <s v="Y"/>
    <s v="Events"/>
    <s v="MATCH"/>
    <x v="0"/>
  </r>
  <r>
    <s v="EXP103616"/>
    <s v="E008"/>
    <s v="AX878668813"/>
    <d v="2026-06-28T00:00:00"/>
    <d v="2026-06-30T00:00:00"/>
    <s v="STAPLES #0231"/>
    <s v="5943"/>
    <m/>
    <n v="29.34"/>
    <s v="Corporate Amex"/>
    <m/>
    <s v="Y"/>
    <s v="Office Supplies"/>
    <s v="BLANK"/>
    <x v="0"/>
  </r>
  <r>
    <s v="EXP103617"/>
    <s v="E260"/>
    <m/>
    <d v="2026-06-30T00:00:00"/>
    <d v="2026-06-30T00:00:00"/>
    <s v="ZOOM.US"/>
    <s v="5734"/>
    <s v="Software"/>
    <n v="45.87"/>
    <s v="Corporate Amex"/>
    <m/>
    <s v="Y"/>
    <s v="Software"/>
    <s v="MATCH"/>
    <x v="8"/>
  </r>
  <r>
    <s v="EXP103618"/>
    <s v="E260"/>
    <s v="AX 179985880"/>
    <d v="2026-06-28T00:00:00"/>
    <d v="2026-06-30T00:00:00"/>
    <s v="SOUTHWEST AIR 5261823"/>
    <s v="4511"/>
    <s v="Travel"/>
    <n v="473.8"/>
    <s v="Corporate Amex"/>
    <m/>
    <s v="Y"/>
    <s v="Travel"/>
    <s v="MATCH"/>
    <x v="8"/>
  </r>
  <r>
    <s v="EXP103619"/>
    <s v="E260"/>
    <s v="AX-176650470"/>
    <d v="2026-04-27T00:00:00"/>
    <d v="2026-06-30T00:00:00"/>
    <s v="HOOTSUITE INC"/>
    <s v="5734"/>
    <s v="Software"/>
    <n v="227.92"/>
    <s v="Corporate Amex"/>
    <m/>
    <s v="Y"/>
    <s v="Software"/>
    <s v="MATCH"/>
    <x v="8"/>
  </r>
  <r>
    <s v="EXP103620"/>
    <s v="E260"/>
    <s v="AX146910581"/>
    <d v="2026-06-26T00:00:00"/>
    <d v="2026-06-30T00:00:00"/>
    <s v="STAPLES #0231"/>
    <s v="5943"/>
    <s v="Office Supplies"/>
    <n v="65"/>
    <s v="Corporate Amex"/>
    <m/>
    <s v="Y"/>
    <s v="Office Supplies"/>
    <s v="MATCH"/>
    <x v="8"/>
  </r>
  <r>
    <s v="EXP103621"/>
    <s v="E246"/>
    <s v="AX991537350"/>
    <d v="2026-06-25T00:00:00"/>
    <d v="2026-06-30T00:00:00"/>
    <s v="DELTA AIR 00623891045"/>
    <s v="4511"/>
    <s v="Travel"/>
    <n v="458.71"/>
    <s v="Corporate Amex"/>
    <m/>
    <s v="Y"/>
    <s v="Travel"/>
    <s v="MATCH"/>
    <x v="1"/>
  </r>
  <r>
    <s v="EXP103622"/>
    <s v="E168"/>
    <s v="AX-528349763"/>
    <d v="2026-06-25T00:00:00"/>
    <d v="2026-06-30T00:00:00"/>
    <s v="AMC THEATRES 0021"/>
    <s v="7832"/>
    <m/>
    <n v="48.35"/>
    <s v="Corporate Amex"/>
    <m/>
    <s v="N"/>
    <s v="Entertainment"/>
    <s v="BLANK"/>
    <x v="6"/>
  </r>
  <r>
    <s v="EXP103623"/>
    <s v="E168"/>
    <s v="AX234763265"/>
    <d v="2026-06-29T00:00:00"/>
    <d v="2026-06-30T00:00:00"/>
    <s v="AMC THEATRES 0021"/>
    <s v="7832"/>
    <s v="Entertainment"/>
    <n v="34.94"/>
    <s v="Corporate Amex"/>
    <m/>
    <s v="Y"/>
    <s v="Entertainment"/>
    <s v="MATCH"/>
    <x v="6"/>
  </r>
  <r>
    <s v="EXP103624"/>
    <s v="E085"/>
    <m/>
    <d v="2026-06-28T00:00:00"/>
    <d v="2026-06-30T00:00:00"/>
    <s v="STAPLES #0231"/>
    <s v="5943"/>
    <s v="Office Supplies"/>
    <n v="124.44"/>
    <s v="Corporate Amex"/>
    <m/>
    <s v="Y"/>
    <s v="Office Supplies"/>
    <s v="MATCH"/>
    <x v="2"/>
  </r>
  <r>
    <s v="EXP103625"/>
    <s v="E097"/>
    <s v="ax768739534"/>
    <d v="2026-06-30T00:00:00"/>
    <d v="2026-06-30T00:00:00"/>
    <s v="MARRIOTT #4471"/>
    <s v="7011"/>
    <s v="Lodging"/>
    <n v="195.98"/>
    <s v="Corporate Amex"/>
    <m/>
    <s v="Y"/>
    <s v="Lodging"/>
    <s v="MATCH"/>
    <x v="2"/>
  </r>
  <r>
    <s v="EXP103627"/>
    <s v="E049"/>
    <s v="AX-942230929"/>
    <d v="2026-06-28T00:00:00"/>
    <d v="2026-06-30T00:00:00"/>
    <s v="SQ *JOES COFFEE"/>
    <s v="5812"/>
    <s v="Meals"/>
    <n v="20.04"/>
    <s v="Corporate Amex"/>
    <m/>
    <s v="Y"/>
    <s v="Meals"/>
    <s v="MATCH"/>
    <x v="0"/>
  </r>
  <r>
    <s v="EXP103628"/>
    <s v="E048"/>
    <s v="AX810260945"/>
    <d v="2026-06-28T00:00:00"/>
    <d v="2026-06-30T00:00:00"/>
    <s v="TOTAL PARTY RENTAL"/>
    <s v="7999"/>
    <s v="Events"/>
    <n v="393.2"/>
    <s v="Corporate Amex"/>
    <m/>
    <s v="Y"/>
    <s v="Events"/>
    <s v="MATCH"/>
    <x v="0"/>
  </r>
  <r>
    <s v="EXP103629"/>
    <s v="E082"/>
    <s v="AX218396924"/>
    <d v="2026-06-26T00:00:00"/>
    <d v="2026-06-30T00:00:00"/>
    <s v="YELLOW CAB CO"/>
    <s v="4121"/>
    <s v="Transportation"/>
    <n v="25.34"/>
    <s v="Corporate Amex"/>
    <m/>
    <s v="N"/>
    <s v="Transportation"/>
    <s v="MATCH"/>
    <x v="2"/>
  </r>
  <r>
    <s v="EXP103630"/>
    <s v="E160"/>
    <m/>
    <d v="2026-06-27T00:00:00"/>
    <d v="2026-06-30T00:00:00"/>
    <s v="SQ *JOES COFFEE"/>
    <s v="5812"/>
    <s v="Meals"/>
    <n v="11.31"/>
    <s v="Corporate Amex"/>
    <m/>
    <s v="Y"/>
    <s v="Meals"/>
    <s v="MATCH"/>
    <x v="6"/>
  </r>
  <r>
    <s v="EXP103631"/>
    <s v="E241"/>
    <s v="AX336090222"/>
    <d v="2026-06-24T00:00:00"/>
    <d v="2026-06-30T00:00:00"/>
    <s v="EVENTBRITE"/>
    <s v="7999"/>
    <s v="Events"/>
    <n v="91.49"/>
    <s v="Corporate Amex"/>
    <m/>
    <s v="Y"/>
    <s v="Events"/>
    <s v="MATCH"/>
    <x v="1"/>
  </r>
  <r>
    <s v="EXP103632"/>
    <s v="E241"/>
    <s v="AX-668927787"/>
    <d v="2026-06-24T00:00:00"/>
    <d v="2026-06-30T00:00:00"/>
    <s v="YELLOW CAB CO"/>
    <s v="4121"/>
    <s v="Transportation"/>
    <n v="13.06"/>
    <s v="Corporate Amex"/>
    <m/>
    <s v="Y"/>
    <s v="Transportation"/>
    <s v="MATCH"/>
    <x v="1"/>
  </r>
  <r>
    <s v="EXP103633"/>
    <s v="E207"/>
    <m/>
    <d v="2026-06-22T00:00:00"/>
    <d v="2026-06-30T00:00:00"/>
    <s v="HYATT REGENCY BOS"/>
    <s v="7011"/>
    <s v="  Lodging "/>
    <n v="207.02"/>
    <s v="Corporate Amex"/>
    <m/>
    <s v="Y"/>
    <s v="Lodging"/>
    <s v="MATCH"/>
    <x v="5"/>
  </r>
  <r>
    <s v="EXP103634"/>
    <s v="E207"/>
    <s v="AX308136586"/>
    <d v="2026-06-24T00:00:00"/>
    <d v="2026-06-30T00:00:00"/>
    <s v="EVENTBRITE"/>
    <s v="7999"/>
    <s v="Events"/>
    <n v="19.11"/>
    <s v="Corporate Amex"/>
    <m/>
    <s v="N"/>
    <s v="Events"/>
    <s v="MATCH"/>
    <x v="5"/>
  </r>
  <r>
    <s v="EXP103635"/>
    <s v="E147"/>
    <s v="AX104625197"/>
    <d v="2026-06-27T00:00:00"/>
    <d v="2026-06-30T00:00:00"/>
    <s v="SPROUT SOCIAL"/>
    <s v="5734"/>
    <s v="Software"/>
    <n v="245.66"/>
    <s v="Corporate Amex"/>
    <m/>
    <s v="N"/>
    <s v="Software"/>
    <s v="MATCH"/>
    <x v="7"/>
  </r>
  <r>
    <s v="EXP103636"/>
    <s v="E108"/>
    <m/>
    <d v="2026-06-28T00:00:00"/>
    <d v="2026-06-30T00:00:00"/>
    <s v="YELLOW CAB CO"/>
    <s v="4121"/>
    <s v="Transportation"/>
    <n v="39.39"/>
    <s v="Corporate Amex"/>
    <m/>
    <s v="N"/>
    <s v="Transportation"/>
    <s v="MATCH"/>
    <x v="2"/>
  </r>
  <r>
    <s v="EXP103637"/>
    <s v="E177"/>
    <s v="AX-128321280"/>
    <d v="2026-06-24T00:00:00"/>
    <d v="2026-06-30T00:00:00"/>
    <s v="UNITED AIRLINES 0162233"/>
    <s v="4511"/>
    <s v="Other"/>
    <n v="242.47"/>
    <s v="Corporate Amex"/>
    <m/>
    <s v="N"/>
    <s v="Travel"/>
    <s v="MISMATCH"/>
    <x v="6"/>
  </r>
  <r>
    <s v="EXP103638"/>
    <s v="E139"/>
    <s v="ax522648924"/>
    <d v="2026-06-24T00:00:00"/>
    <d v="2026-06-30T00:00:00"/>
    <s v="UBER TRIP HELP.UBER"/>
    <s v="4121"/>
    <s v="Transportation"/>
    <n v="43.22"/>
    <s v="Corporate Amex"/>
    <m/>
    <s v="Y"/>
    <s v="Transportation"/>
    <s v="MATCH"/>
    <x v="7"/>
  </r>
  <r>
    <s v="EXP103639"/>
    <s v="E178"/>
    <s v="ax987800775"/>
    <d v="2026-06-24T00:00:00"/>
    <d v="2026-06-30T00:00:00"/>
    <s v="YELLOW CAB CO"/>
    <s v="4121"/>
    <s v="Transportation"/>
    <n v="42.4"/>
    <s v="Corporate Amex"/>
    <m/>
    <s v="Y"/>
    <s v="Transportation"/>
    <s v="MATCH"/>
    <x v="6"/>
  </r>
  <r>
    <s v="EXP103640"/>
    <s v="E065"/>
    <s v="AX 698359541"/>
    <d v="2026-06-19T00:00:00"/>
    <d v="2026-06-30T00:00:00"/>
    <s v="MARRIOTT #4471"/>
    <s v="7011"/>
    <s v="Lodging"/>
    <n v="204.41"/>
    <s v="Corporate Amex"/>
    <m/>
    <s v="Y"/>
    <s v="Lodging"/>
    <s v="MATCH"/>
    <x v="0"/>
  </r>
  <r>
    <s v="EXP103641"/>
    <s v="E065"/>
    <s v="ax683770771"/>
    <d v="2026-06-28T00:00:00"/>
    <d v="2026-06-30T00:00:00"/>
    <s v="HILTON GARDEN INN 2231"/>
    <s v="7011"/>
    <s v="Lodging"/>
    <n v="280.54000000000002"/>
    <s v="Corporate Amex"/>
    <m/>
    <s v="Y"/>
    <s v="Lodging"/>
    <s v="MATCH"/>
    <x v="0"/>
  </r>
  <r>
    <s v="EXP103642"/>
    <s v="E028"/>
    <m/>
    <d v="2026-01-14T00:00:00"/>
    <d v="2026-06-30T00:00:00"/>
    <s v="MICROSOFT*365"/>
    <s v="5734"/>
    <s v="Software"/>
    <n v="51.1"/>
    <s v="Corporate Amex"/>
    <m/>
    <s v="Y"/>
    <s v="Software"/>
    <s v="MATCH"/>
    <x v="0"/>
  </r>
  <r>
    <s v="EXP103643"/>
    <s v="E028"/>
    <s v="AX803652159"/>
    <d v="2026-06-30T00:00:00"/>
    <d v="2026-06-30T00:00:00"/>
    <s v="LYFT RIDE THU"/>
    <s v="4121"/>
    <s v="Transportation"/>
    <n v="31.37"/>
    <s v="Corporate Amex"/>
    <m/>
    <s v="Y"/>
    <s v="Transportation"/>
    <s v="MATCH"/>
    <x v="0"/>
  </r>
  <r>
    <s v="EXP103644"/>
    <s v="E030"/>
    <m/>
    <d v="2026-06-27T00:00:00"/>
    <d v="2026-06-30T00:00:00"/>
    <s v="UNITED AIRLINES 0162233"/>
    <s v="4511"/>
    <s v="Travel"/>
    <n v="198.43"/>
    <s v="Personal (Reimbursement)"/>
    <s v="International merchant - Amex not accepted"/>
    <s v="Y"/>
    <s v="Travel"/>
    <s v="MATCH"/>
    <x v="0"/>
  </r>
  <r>
    <s v="EXP103645"/>
    <s v="E030"/>
    <s v="ax666891336"/>
    <d v="2026-06-21T00:00:00"/>
    <d v="2026-06-30T00:00:00"/>
    <s v="EVENTBRITE"/>
    <s v="7999"/>
    <s v="Events"/>
    <n v="89.55"/>
    <s v="Corporate Amex"/>
    <m/>
    <s v="Y"/>
    <s v="Events"/>
    <s v="MATCH"/>
    <x v="0"/>
  </r>
  <r>
    <s v="EXP103646"/>
    <s v="E030"/>
    <s v="AX175960744"/>
    <d v="2026-06-24T00:00:00"/>
    <d v="2026-06-30T00:00:00"/>
    <s v=" OLIVE GARDEN 00456"/>
    <s v="5812"/>
    <s v="Meals"/>
    <n v="80.290000000000006"/>
    <s v="Corporate Amex"/>
    <m/>
    <s v="Y"/>
    <s v="Meals"/>
    <s v="MATCH"/>
    <x v="0"/>
  </r>
  <r>
    <s v="EXP103647"/>
    <s v="E261"/>
    <s v="ax444588995"/>
    <d v="2026-06-23T00:00:00"/>
    <d v="2026-06-30T00:00:00"/>
    <s v="ADOBE *CREATIVE CLOUD"/>
    <s v="5734"/>
    <m/>
    <n v="36.869999999999997"/>
    <s v="Corporate Amex"/>
    <m/>
    <s v="Y"/>
    <s v="Software"/>
    <s v="BLANK"/>
    <x v="3"/>
  </r>
  <r>
    <s v="EXP103648"/>
    <s v="E169"/>
    <s v="AX684041282"/>
    <d v="2026-06-25T00:00:00"/>
    <d v="2026-06-30T00:00:00"/>
    <s v="HILTON GARDEN INN 2231"/>
    <s v="7011"/>
    <s v="Lodging"/>
    <n v="183.03"/>
    <s v="Corporate Amex"/>
    <m/>
    <s v="Y"/>
    <s v="Lodging"/>
    <s v="MATCH"/>
    <x v="6"/>
  </r>
  <r>
    <s v="EXP103649"/>
    <s v="E169"/>
    <s v="ax657643183"/>
    <d v="2026-06-19T00:00:00"/>
    <d v="2026-06-30T00:00:00"/>
    <s v="OLIVE GARDEN 00456"/>
    <s v="5812"/>
    <s v="Meals"/>
    <n v="109.96"/>
    <s v="Corporate Amex"/>
    <m/>
    <s v="Y"/>
    <s v="Meals"/>
    <s v="MATCH"/>
    <x v="6"/>
  </r>
  <r>
    <s v="EXP103650"/>
    <s v="E205"/>
    <s v="AX 456386021"/>
    <d v="2026-05-30T00:00:00"/>
    <d v="2026-06-30T00:00:00"/>
    <s v="BRANDWATCH LTD"/>
    <s v="5734"/>
    <s v="Software"/>
    <n v="270.07"/>
    <s v="Corporate Amex"/>
    <m/>
    <s v="Y"/>
    <s v="Software"/>
    <s v="MATCH"/>
    <x v="5"/>
  </r>
  <r>
    <s v="EXP103651"/>
    <s v="E264"/>
    <m/>
    <d v="2026-06-29T00:00:00"/>
    <d v="2026-06-30T00:00:00"/>
    <s v="AMAZON MKTPLACE PMTS"/>
    <s v="5942"/>
    <s v="Office Supplies"/>
    <n v="355.26"/>
    <s v="Personal (Reimbursement)"/>
    <s v="Amex declined - vendor doesn't accept Amex"/>
    <s v="Y"/>
    <s v="Office Supplies"/>
    <s v="MATCH"/>
    <x v="3"/>
  </r>
  <r>
    <s v="EXP103652"/>
    <s v="E031"/>
    <s v="ax955275089"/>
    <d v="2026-06-22T00:00:00"/>
    <d v="2026-06-30T00:00:00"/>
    <s v="HILTON GARDEN INN 2231"/>
    <s v="7011"/>
    <s v="Lodging"/>
    <n v="393.83"/>
    <s v="Corporate Amex"/>
    <m/>
    <s v="Y"/>
    <s v="Lodging"/>
    <s v="MATCH"/>
    <x v="0"/>
  </r>
  <r>
    <s v="EXP103653"/>
    <s v="E031"/>
    <s v="AX 791557104"/>
    <d v="2026-06-29T00:00:00"/>
    <d v="2026-06-30T00:00:00"/>
    <s v="ZOOM.US"/>
    <s v="5734"/>
    <s v="Software"/>
    <n v="19.38"/>
    <s v="Corporate Amex"/>
    <m/>
    <s v="Y"/>
    <s v="Software"/>
    <s v="MATCH"/>
    <x v="0"/>
  </r>
  <r>
    <s v="EXP103654"/>
    <s v="E031"/>
    <s v="AX 757410002"/>
    <d v="2026-06-26T00:00:00"/>
    <d v="2026-06-30T00:00:00"/>
    <s v="EVENTBRITE"/>
    <s v="7999"/>
    <s v="Events"/>
    <n v="195.82"/>
    <s v="Corporate Amex"/>
    <m/>
    <s v="Y"/>
    <s v="Events"/>
    <s v="MATCH"/>
    <x v="0"/>
  </r>
  <r>
    <s v="EXP103655"/>
    <s v="E031"/>
    <s v="AX859534647"/>
    <d v="2026-06-27T00:00:00"/>
    <d v="2026-06-30T00:00:00"/>
    <s v="DELTA AIR 00623891045"/>
    <s v="4511"/>
    <m/>
    <n v="622.36"/>
    <s v="Corporate Amex"/>
    <m/>
    <s v="Y"/>
    <s v="Travel"/>
    <s v="BLANK"/>
    <x v="0"/>
  </r>
  <r>
    <s v="EXP103656"/>
    <s v="E031"/>
    <s v="AX964800826"/>
    <d v="2026-06-25T00:00:00"/>
    <d v="2026-06-30T00:00:00"/>
    <s v="TOTAL PARTY RENTAL"/>
    <s v="7999"/>
    <s v="Events"/>
    <n v="100"/>
    <s v="Corporate Amex"/>
    <m/>
    <s v="Y"/>
    <s v="Events"/>
    <s v="MATCH"/>
    <x v="0"/>
  </r>
  <r>
    <s v="EXP103657"/>
    <s v="E018"/>
    <s v="AX353728826"/>
    <d v="2026-06-29T00:00:00"/>
    <d v="2026-06-30T00:00:00"/>
    <s v="EVENTBRITE"/>
    <s v="7999"/>
    <s v="Events"/>
    <n v="71.53"/>
    <s v="Corporate Amex"/>
    <m/>
    <s v="N"/>
    <s v="Events"/>
    <s v="MATCH"/>
    <x v="0"/>
  </r>
  <r>
    <s v="EXP103658"/>
    <s v="E018"/>
    <s v="AX-755691357"/>
    <d v="2026-06-26T00:00:00"/>
    <d v="2026-06-30T00:00:00"/>
    <s v="HYATT REGENCY BOS"/>
    <s v="7011"/>
    <s v="Lodging"/>
    <n v="401.14"/>
    <s v="Corporate Amex"/>
    <m/>
    <s v="Y"/>
    <s v="Lodging"/>
    <s v="MATCH"/>
    <x v="0"/>
  </r>
  <r>
    <s v="EXP103659"/>
    <s v="E018"/>
    <s v="ax938964418"/>
    <d v="2026-06-30T00:00:00"/>
    <d v="2026-06-30T00:00:00"/>
    <s v="CHIPOTLE 2214"/>
    <s v="5812"/>
    <s v="Meals"/>
    <n v="15.2"/>
    <s v="Corporate Amex"/>
    <m/>
    <s v="Y"/>
    <s v="Meals"/>
    <s v="MATCH"/>
    <x v="0"/>
  </r>
  <r>
    <s v="EXP103660"/>
    <s v="E012"/>
    <s v="AX256935296"/>
    <d v="2026-06-28T00:00:00"/>
    <d v="2026-06-30T00:00:00"/>
    <s v="SQ *JOES COFFEE"/>
    <s v="5812"/>
    <s v="Meals"/>
    <n v="21.67"/>
    <s v="Corporate Amex"/>
    <m/>
    <s v="N"/>
    <s v="Meals"/>
    <s v="MATCH"/>
    <x v="0"/>
  </r>
  <r>
    <s v="EXP103661"/>
    <s v="E012"/>
    <m/>
    <d v="2026-06-30T00:00:00"/>
    <d v="2026-06-30T00:00:00"/>
    <s v="SQ *JOES COFFEE"/>
    <s v="5812"/>
    <s v="Meals"/>
    <n v="19.59"/>
    <s v="Corporate Amex"/>
    <m/>
    <s v="Y"/>
    <s v="Meals"/>
    <s v="MATCH"/>
    <x v="0"/>
  </r>
  <r>
    <s v="EXP103662"/>
    <s v="E220"/>
    <s v="AX926094358"/>
    <d v="2026-06-27T00:00:00"/>
    <d v="2026-06-30T00:00:00"/>
    <s v="HOOTSUITE INC"/>
    <s v="5734"/>
    <s v="Software"/>
    <n v="180.42"/>
    <s v="Corporate Amex"/>
    <m/>
    <s v="N"/>
    <s v="Software"/>
    <s v="MATCH"/>
    <x v="4"/>
  </r>
  <r>
    <s v="EXP103663"/>
    <s v="E081"/>
    <s v="ax868144536"/>
    <d v="2026-06-26T00:00:00"/>
    <d v="2026-06-30T00:00:00"/>
    <s v="TOTAL PARTY RENTAL"/>
    <s v="7999"/>
    <s v="Events"/>
    <n v="519.51"/>
    <s v="Corporate Amex"/>
    <m/>
    <s v="Y"/>
    <s v="Events"/>
    <s v="MATCH"/>
    <x v="2"/>
  </r>
  <r>
    <s v="EXP103664"/>
    <s v="E275"/>
    <m/>
    <d v="2026-06-29T00:00:00"/>
    <d v="2026-06-30T00:00:00"/>
    <s v="SOUTHWEST AIR 5261823"/>
    <s v="4511"/>
    <s v="Travel"/>
    <n v="286.83"/>
    <s v="Corporate Amex"/>
    <m/>
    <s v="Y"/>
    <s v="Travel"/>
    <s v="MATCH"/>
    <x v="3"/>
  </r>
  <r>
    <s v="EXP103665"/>
    <s v="E025"/>
    <s v="ax214731481"/>
    <d v="2026-06-27T00:00:00"/>
    <d v="2026-06-30T00:00:00"/>
    <s v="MARRIOTT #4471"/>
    <s v="7011"/>
    <s v="  Lodging "/>
    <n v="350.79"/>
    <s v="Corporate Amex"/>
    <m/>
    <s v="Y"/>
    <s v="Lodging"/>
    <s v="MATCH"/>
    <x v="0"/>
  </r>
  <r>
    <s v="EXP103666"/>
    <s v="E115"/>
    <s v="AX-755923964"/>
    <d v="2026-06-27T00:00:00"/>
    <d v="2026-06-30T00:00:00"/>
    <s v="CHIPOTLE 2214"/>
    <s v="5812"/>
    <s v="Meals"/>
    <n v="10.199999999999999"/>
    <s v="Corporate Amex"/>
    <m/>
    <s v="Y"/>
    <s v="Meals"/>
    <s v="MATCH"/>
    <x v="2"/>
  </r>
  <r>
    <s v="EXP103667"/>
    <s v="E176"/>
    <s v="AX 540240879"/>
    <d v="2026-06-27T00:00:00"/>
    <d v="2026-06-30T00:00:00"/>
    <s v="OLIVE GARDEN 00456"/>
    <s v="5812"/>
    <s v="Meals"/>
    <n v="99.01"/>
    <s v="Corporate Amex"/>
    <m/>
    <s v="Y"/>
    <s v="Meals"/>
    <s v="MATCH"/>
    <x v="6"/>
  </r>
  <r>
    <s v="EXP103668"/>
    <s v="E057"/>
    <s v="AX102994463"/>
    <d v="2026-06-23T00:00:00"/>
    <d v="2026-06-30T00:00:00"/>
    <s v="SOUTHWEST AIR 5261823"/>
    <s v="4511"/>
    <s v="Travel"/>
    <n v="424.95"/>
    <s v="Corporate Amex"/>
    <m/>
    <s v="Y"/>
    <s v="Travel"/>
    <s v="MATCH"/>
    <x v="0"/>
  </r>
  <r>
    <s v="EXP103669"/>
    <s v="E142"/>
    <s v="AX821550714"/>
    <d v="2026-02-23T00:00:00"/>
    <d v="2026-06-30T00:00:00"/>
    <s v="SQ *THE CORNER BISTRO"/>
    <s v="5812"/>
    <s v="Meals"/>
    <n v="58.46"/>
    <s v="Corporate Amex"/>
    <m/>
    <s v="Y"/>
    <s v="Meals"/>
    <s v="MATCH"/>
    <x v="7"/>
  </r>
  <r>
    <s v="EXP103670"/>
    <s v="E035"/>
    <s v="ax237817545"/>
    <d v="2026-06-29T00:00:00"/>
    <d v="2026-06-30T00:00:00"/>
    <s v="CHIPOTLE 2214"/>
    <s v="5812"/>
    <s v="Meals"/>
    <n v="21.56"/>
    <s v="Corporate Amex"/>
    <m/>
    <s v="Y"/>
    <s v="Meals"/>
    <s v="MATCH"/>
    <x v="0"/>
  </r>
  <r>
    <s v="EXP103671"/>
    <s v="E053"/>
    <s v="AX-758597868"/>
    <d v="2026-06-30T00:00:00"/>
    <d v="2026-06-30T00:00:00"/>
    <s v="OLIVE GARDEN 00456"/>
    <s v="5812"/>
    <s v="Meals"/>
    <n v="109.03"/>
    <s v="Corporate Amex"/>
    <m/>
    <s v="Y"/>
    <s v="Meals"/>
    <s v="MATCH"/>
    <x v="0"/>
  </r>
  <r>
    <s v="EXP103672"/>
    <s v="E120"/>
    <s v="AX-343794278"/>
    <d v="2026-06-28T00:00:00"/>
    <d v="2026-06-30T00:00:00"/>
    <s v="MARRIOTT #4471"/>
    <s v="7011"/>
    <s v="Lodging"/>
    <n v="311.56"/>
    <s v="Corporate Amex"/>
    <m/>
    <s v="Y"/>
    <s v="Lodging"/>
    <s v="MATCH"/>
    <x v="7"/>
  </r>
  <r>
    <s v="EXP103673"/>
    <s v="E060"/>
    <m/>
    <d v="2026-01-03T00:00:00"/>
    <d v="2026-06-30T00:00:00"/>
    <s v="STAPLES #0231"/>
    <s v="5943"/>
    <s v="Office Supplies"/>
    <n v="92.83"/>
    <s v="Personal (Reimbursement)"/>
    <s v="Forgot corporate card"/>
    <s v="Y"/>
    <s v="Office Supplies"/>
    <s v="MATCH"/>
    <x v="0"/>
  </r>
  <r>
    <s v="EXP103674"/>
    <s v="E060"/>
    <s v="AX 686585405"/>
    <d v="2026-06-26T00:00:00"/>
    <d v="2026-06-30T00:00:00"/>
    <s v="TOPGOLF #442"/>
    <s v="7997"/>
    <s v="Entertainment"/>
    <n v="101.85"/>
    <s v="Corporate Amex"/>
    <m/>
    <s v="Y"/>
    <s v="Entertainment"/>
    <s v="MATCH"/>
    <x v="0"/>
  </r>
  <r>
    <s v="EXP103675"/>
    <s v="E253"/>
    <s v="AX-614878259"/>
    <d v="2026-06-23T00:00:00"/>
    <d v="2026-06-30T00:00:00"/>
    <s v="SQ *THE CORNER BISTRO"/>
    <s v="5812"/>
    <s v="Meals"/>
    <n v="51.74"/>
    <s v="Corporate Amex"/>
    <m/>
    <s v="Y"/>
    <s v="Meals"/>
    <s v="MATCH"/>
    <x v="1"/>
  </r>
  <r>
    <s v="EXP103676"/>
    <s v="E092"/>
    <s v="AX-750094561"/>
    <d v="2026-06-27T00:00:00"/>
    <d v="2026-06-30T00:00:00"/>
    <s v="SQ *JOES COFFEE"/>
    <s v="5812"/>
    <s v="Meals"/>
    <n v="7.92"/>
    <s v="Corporate Amex"/>
    <m/>
    <s v="Y"/>
    <s v="Meals"/>
    <s v="MATCH"/>
    <x v="2"/>
  </r>
  <r>
    <s v="EXP103677"/>
    <s v="E024"/>
    <m/>
    <d v="2026-06-29T00:00:00"/>
    <d v="2026-06-30T00:00:00"/>
    <s v="OLIVE GARDEN 00456"/>
    <s v="5812"/>
    <s v="Meals"/>
    <n v="138.91"/>
    <s v="Corporate Amex"/>
    <m/>
    <s v="Y"/>
    <s v="Meals"/>
    <s v="MATCH"/>
    <x v="0"/>
  </r>
  <r>
    <s v="EXP103678"/>
    <s v="E021"/>
    <m/>
    <d v="2026-06-28T00:00:00"/>
    <d v="2026-06-30T00:00:00"/>
    <s v="SPROUT SOCIAL"/>
    <s v="5734"/>
    <s v="Software"/>
    <n v="153.01"/>
    <s v="Personal (Reimbursement)"/>
    <s v="Forgot corporate card"/>
    <s v="Y"/>
    <s v="Software"/>
    <s v="MATCH"/>
    <x v="0"/>
  </r>
  <r>
    <s v="EXP103679"/>
    <s v="E021"/>
    <s v="AX900220793"/>
    <d v="2026-06-24T00:00:00"/>
    <d v="2026-06-30T00:00:00"/>
    <s v="CHIPOTLE 2214"/>
    <s v="5812"/>
    <s v="Meals"/>
    <n v="9.67"/>
    <s v="Corporate Amex"/>
    <m/>
    <s v="Y"/>
    <s v="Meals"/>
    <s v="MATCH"/>
    <x v="0"/>
  </r>
  <r>
    <s v="EXP103680"/>
    <s v="E038"/>
    <s v="AX376038806"/>
    <d v="2026-04-24T00:00:00"/>
    <d v="2026-06-30T00:00:00"/>
    <s v="MARRIOTT #4471"/>
    <s v="7011"/>
    <s v="Lodging"/>
    <n v="261.41000000000003"/>
    <s v="Corporate Amex"/>
    <m/>
    <s v="Y"/>
    <s v="Lodging"/>
    <s v="MATCH"/>
    <x v="0"/>
  </r>
  <r>
    <s v="EXP103681"/>
    <s v="E038"/>
    <m/>
    <d v="2026-06-28T00:00:00"/>
    <d v="2026-06-30T00:00:00"/>
    <s v="BRANDWATCH LTD"/>
    <s v="5734"/>
    <s v="Software"/>
    <n v="409.52"/>
    <s v="Corporate Amex"/>
    <m/>
    <s v="Y"/>
    <s v="Software"/>
    <s v="MATCH"/>
    <x v="0"/>
  </r>
  <r>
    <s v="EXP103682"/>
    <s v="E026"/>
    <m/>
    <d v="2026-06-26T00:00:00"/>
    <d v="2026-06-30T00:00:00"/>
    <s v="MARRIOTT #4471"/>
    <s v="7011"/>
    <s v="Lodging"/>
    <n v="272.38"/>
    <s v="Personal (Reimbursement)"/>
    <s v="Forgot corporate card"/>
    <s v="Y"/>
    <s v="Lodging"/>
    <s v="MATCH"/>
    <x v="0"/>
  </r>
  <r>
    <s v="EXP103683"/>
    <s v="E026"/>
    <s v="AX467088445"/>
    <d v="2026-06-26T00:00:00"/>
    <d v="2026-06-30T00:00:00"/>
    <s v="HILTON GARDEN INN 2231"/>
    <s v="7011"/>
    <s v="Lodging"/>
    <n v="132.41"/>
    <s v="Corporate Amex"/>
    <m/>
    <s v="Y"/>
    <s v="Lodging"/>
    <s v="MATCH"/>
    <x v="0"/>
  </r>
  <r>
    <s v="EXP103684"/>
    <s v="E026"/>
    <s v="ax849701931"/>
    <d v="2026-01-20T00:00:00"/>
    <d v="2026-06-30T00:00:00"/>
    <s v="REGION CATERING CO"/>
    <s v="5811"/>
    <s v="Events"/>
    <n v="391.81"/>
    <s v="Corporate Amex"/>
    <m/>
    <s v="Y"/>
    <s v="Events"/>
    <s v="MATCH"/>
    <x v="0"/>
  </r>
  <r>
    <s v="EXP103685"/>
    <s v="E181"/>
    <m/>
    <d v="2026-06-30T00:00:00"/>
    <d v="2026-06-30T00:00:00"/>
    <s v="STARBUCKS #4471"/>
    <s v="5812"/>
    <s v="Meals"/>
    <n v="9.66"/>
    <s v="Corporate Amex"/>
    <m/>
    <s v="Y"/>
    <s v="Meals"/>
    <s v="MATCH"/>
    <x v="5"/>
  </r>
  <r>
    <s v="EXP103686"/>
    <s v="E032"/>
    <s v="AX554455551"/>
    <d v="2026-06-23T00:00:00"/>
    <d v="2026-06-30T00:00:00"/>
    <s v="TOPGOLF #442"/>
    <s v="7997"/>
    <s v="Entertainment"/>
    <n v="183.27"/>
    <s v="Corporate Amex"/>
    <m/>
    <s v="Y"/>
    <s v="Entertainment"/>
    <s v="MATCH"/>
    <x v="0"/>
  </r>
  <r>
    <s v="EXP103687"/>
    <s v="E269"/>
    <s v="AX 236557838"/>
    <d v="2026-06-29T00:00:00"/>
    <d v="2026-06-30T00:00:00"/>
    <s v="ADOBE *CREATIVE CLOUD"/>
    <s v="5734"/>
    <s v="Software"/>
    <n v="54.39"/>
    <s v="Corporate Amex"/>
    <m/>
    <s v="Y"/>
    <s v="Software"/>
    <s v="MATCH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D4D98-0710-4962-A07C-2A639B1C458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3" firstHeaderRow="1" firstDataRow="1" firstDataCol="1"/>
  <pivotFields count="15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axis="axisRow" showAll="0">
      <items count="10">
        <item x="4"/>
        <item x="7"/>
        <item x="6"/>
        <item x="8"/>
        <item x="5"/>
        <item x="3"/>
        <item x="1"/>
        <item x="0"/>
        <item x="2"/>
        <item t="default"/>
      </items>
    </pivotField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8" baseField="0" baseItem="0" numFmtId="165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8796-FDCF-40B2-A944-09AF00F11674}">
  <dimension ref="A3:F29"/>
  <sheetViews>
    <sheetView tabSelected="1" workbookViewId="0">
      <selection activeCell="J28" sqref="J28"/>
    </sheetView>
  </sheetViews>
  <sheetFormatPr defaultRowHeight="14.5"/>
  <cols>
    <col min="1" max="1" width="22.90625" bestFit="1" customWidth="1"/>
    <col min="2" max="2" width="14.1796875" bestFit="1" customWidth="1"/>
    <col min="4" max="4" width="11.08984375" customWidth="1"/>
    <col min="5" max="5" width="11.6328125" customWidth="1"/>
  </cols>
  <sheetData>
    <row r="3" spans="1:6">
      <c r="A3" s="11" t="s">
        <v>7504</v>
      </c>
      <c r="B3" t="s">
        <v>7506</v>
      </c>
      <c r="C3" s="4" t="s">
        <v>7507</v>
      </c>
      <c r="D3" s="4" t="s">
        <v>7508</v>
      </c>
      <c r="E3" s="4" t="s">
        <v>7509</v>
      </c>
    </row>
    <row r="4" spans="1:6">
      <c r="A4" s="12" t="s">
        <v>7408</v>
      </c>
      <c r="B4" s="13">
        <v>22194.23</v>
      </c>
      <c r="C4">
        <v>22500</v>
      </c>
      <c r="D4" s="15">
        <f>B4-C4</f>
        <v>-305.77000000000044</v>
      </c>
      <c r="E4">
        <f>ROUND(B4/C4*100,1)</f>
        <v>98.6</v>
      </c>
    </row>
    <row r="5" spans="1:6">
      <c r="A5" s="12" t="s">
        <v>7295</v>
      </c>
      <c r="B5" s="13">
        <v>74054.579999999944</v>
      </c>
      <c r="C5">
        <v>79000</v>
      </c>
      <c r="D5" s="15">
        <f t="shared" ref="D5:D12" si="0">B5-C5</f>
        <v>-4945.4200000000565</v>
      </c>
      <c r="E5" s="5">
        <f t="shared" ref="E5:E12" si="1">ROUND(B5/C5*100,1)</f>
        <v>93.7</v>
      </c>
      <c r="F5" s="5"/>
    </row>
    <row r="6" spans="1:6">
      <c r="A6" s="12" t="s">
        <v>7337</v>
      </c>
      <c r="B6" s="13">
        <v>19374.319999999996</v>
      </c>
      <c r="C6">
        <v>19850</v>
      </c>
      <c r="D6" s="15">
        <f t="shared" si="0"/>
        <v>-475.68000000000393</v>
      </c>
      <c r="E6" s="5">
        <f t="shared" si="1"/>
        <v>97.6</v>
      </c>
      <c r="F6" s="5"/>
    </row>
    <row r="7" spans="1:6">
      <c r="A7" s="12" t="s">
        <v>7471</v>
      </c>
      <c r="B7" s="13">
        <v>25941.689999999984</v>
      </c>
      <c r="C7">
        <v>31500</v>
      </c>
      <c r="D7" s="15">
        <f t="shared" si="0"/>
        <v>-5558.3100000000159</v>
      </c>
      <c r="E7" s="5">
        <f t="shared" si="1"/>
        <v>82.4</v>
      </c>
      <c r="F7" s="5"/>
    </row>
    <row r="8" spans="1:6">
      <c r="A8" s="12" t="s">
        <v>7374</v>
      </c>
      <c r="B8" s="13">
        <v>28021.39</v>
      </c>
      <c r="C8">
        <v>33000</v>
      </c>
      <c r="D8" s="15">
        <f t="shared" si="0"/>
        <v>-4978.6100000000006</v>
      </c>
      <c r="E8" s="5">
        <f t="shared" si="1"/>
        <v>84.9</v>
      </c>
      <c r="F8" s="5"/>
    </row>
    <row r="9" spans="1:6">
      <c r="A9" s="12" t="s">
        <v>7482</v>
      </c>
      <c r="B9" s="13">
        <v>25822.34</v>
      </c>
      <c r="C9">
        <v>36500</v>
      </c>
      <c r="D9" s="15">
        <f t="shared" si="0"/>
        <v>-10677.66</v>
      </c>
      <c r="E9" s="5">
        <f t="shared" si="1"/>
        <v>70.7</v>
      </c>
      <c r="F9" s="5"/>
    </row>
    <row r="10" spans="1:6">
      <c r="A10" s="12" t="s">
        <v>7440</v>
      </c>
      <c r="B10" s="13">
        <v>19174.130000000005</v>
      </c>
      <c r="C10">
        <v>16000</v>
      </c>
      <c r="D10" s="15">
        <f t="shared" si="0"/>
        <v>3174.1300000000047</v>
      </c>
      <c r="E10" s="5">
        <f t="shared" si="1"/>
        <v>119.8</v>
      </c>
      <c r="F10" s="5"/>
    </row>
    <row r="11" spans="1:6">
      <c r="A11" s="12" t="s">
        <v>7162</v>
      </c>
      <c r="B11" s="13">
        <v>307950.10999999975</v>
      </c>
      <c r="C11">
        <v>196500</v>
      </c>
      <c r="D11" s="15">
        <f t="shared" si="0"/>
        <v>111450.10999999975</v>
      </c>
      <c r="E11" s="5">
        <f t="shared" si="1"/>
        <v>156.69999999999999</v>
      </c>
      <c r="F11" s="5"/>
    </row>
    <row r="12" spans="1:6">
      <c r="A12" s="12" t="s">
        <v>7242</v>
      </c>
      <c r="B12" s="13">
        <v>67113.87</v>
      </c>
      <c r="C12">
        <v>75000</v>
      </c>
      <c r="D12" s="15">
        <f t="shared" si="0"/>
        <v>-7886.1300000000047</v>
      </c>
      <c r="E12" s="5">
        <f t="shared" si="1"/>
        <v>89.5</v>
      </c>
      <c r="F12" s="5"/>
    </row>
    <row r="13" spans="1:6">
      <c r="A13" s="12" t="s">
        <v>7505</v>
      </c>
      <c r="B13" s="13">
        <v>589646.65999999968</v>
      </c>
    </row>
    <row r="20" spans="1:3">
      <c r="A20" s="5" t="s">
        <v>7504</v>
      </c>
      <c r="B20" s="5" t="s">
        <v>7510</v>
      </c>
      <c r="C20" s="4" t="s">
        <v>7507</v>
      </c>
    </row>
    <row r="21" spans="1:3">
      <c r="A21" s="12" t="s">
        <v>7408</v>
      </c>
      <c r="B21" s="13">
        <v>22194.23</v>
      </c>
      <c r="C21" s="5">
        <v>22500</v>
      </c>
    </row>
    <row r="22" spans="1:3">
      <c r="A22" s="12" t="s">
        <v>7295</v>
      </c>
      <c r="B22" s="13">
        <v>74054.579999999944</v>
      </c>
      <c r="C22" s="5">
        <v>79000</v>
      </c>
    </row>
    <row r="23" spans="1:3">
      <c r="A23" s="12" t="s">
        <v>7337</v>
      </c>
      <c r="B23" s="13">
        <v>19374.319999999996</v>
      </c>
      <c r="C23" s="5">
        <v>19850</v>
      </c>
    </row>
    <row r="24" spans="1:3">
      <c r="A24" s="12" t="s">
        <v>7471</v>
      </c>
      <c r="B24" s="13">
        <v>25941.689999999984</v>
      </c>
      <c r="C24" s="5">
        <v>31500</v>
      </c>
    </row>
    <row r="25" spans="1:3">
      <c r="A25" s="12" t="s">
        <v>7374</v>
      </c>
      <c r="B25" s="13">
        <v>28021.39</v>
      </c>
      <c r="C25" s="5">
        <v>33000</v>
      </c>
    </row>
    <row r="26" spans="1:3">
      <c r="A26" s="12" t="s">
        <v>7482</v>
      </c>
      <c r="B26" s="13">
        <v>25822.34</v>
      </c>
      <c r="C26" s="5">
        <v>36500</v>
      </c>
    </row>
    <row r="27" spans="1:3">
      <c r="A27" s="12" t="s">
        <v>7440</v>
      </c>
      <c r="B27" s="13">
        <v>19174.130000000005</v>
      </c>
      <c r="C27" s="5">
        <v>16000</v>
      </c>
    </row>
    <row r="28" spans="1:3">
      <c r="A28" s="12" t="s">
        <v>7162</v>
      </c>
      <c r="B28" s="13">
        <v>307950.10999999975</v>
      </c>
      <c r="C28" s="5">
        <v>196500</v>
      </c>
    </row>
    <row r="29" spans="1:3">
      <c r="A29" s="12" t="s">
        <v>7242</v>
      </c>
      <c r="B29" s="13">
        <v>67113.87</v>
      </c>
      <c r="C29" s="5">
        <v>75000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35"/>
  <sheetViews>
    <sheetView topLeftCell="B1" zoomScaleNormal="100" workbookViewId="0">
      <pane ySplit="1" topLeftCell="A3506" activePane="bottomLeft" state="frozen"/>
      <selection pane="bottomLeft" activeCell="J2246" sqref="J2246"/>
    </sheetView>
  </sheetViews>
  <sheetFormatPr defaultColWidth="8.6328125" defaultRowHeight="14.5"/>
  <cols>
    <col min="1" max="1" width="12" customWidth="1"/>
    <col min="2" max="2" width="8" customWidth="1"/>
    <col min="3" max="3" width="14" customWidth="1"/>
    <col min="4" max="4" width="12" customWidth="1"/>
    <col min="5" max="5" width="13" customWidth="1"/>
    <col min="6" max="6" width="30.08984375" customWidth="1"/>
    <col min="7" max="7" width="10.54296875" customWidth="1"/>
    <col min="8" max="8" width="24.1796875" customWidth="1"/>
    <col min="9" max="9" width="12.54296875" style="5" customWidth="1"/>
    <col min="10" max="10" width="23.6328125" customWidth="1"/>
    <col min="11" max="11" width="33.26953125" customWidth="1"/>
    <col min="12" max="12" width="10.54296875" customWidth="1"/>
    <col min="13" max="13" width="15" customWidth="1"/>
    <col min="14" max="14" width="21.6328125" customWidth="1"/>
    <col min="15" max="15" width="22" style="5" customWidth="1"/>
    <col min="16" max="16" width="10.81640625" bestFit="1" customWidth="1"/>
  </cols>
  <sheetData>
    <row r="1" spans="1:1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0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5" t="s">
        <v>7157</v>
      </c>
    </row>
    <row r="2" spans="1:15">
      <c r="A2" s="1" t="s">
        <v>34</v>
      </c>
      <c r="B2" s="1" t="s">
        <v>35</v>
      </c>
      <c r="C2" s="1" t="s">
        <v>36</v>
      </c>
      <c r="D2" s="2">
        <v>46023</v>
      </c>
      <c r="E2" s="2">
        <v>46023</v>
      </c>
      <c r="F2" s="1" t="s">
        <v>37</v>
      </c>
      <c r="G2" s="1" t="s">
        <v>4</v>
      </c>
      <c r="H2" s="1" t="s">
        <v>5</v>
      </c>
      <c r="I2" s="7">
        <v>421.91</v>
      </c>
      <c r="J2" s="1" t="s">
        <v>38</v>
      </c>
      <c r="K2" s="1"/>
      <c r="L2" s="1" t="s">
        <v>39</v>
      </c>
      <c r="M2" s="1" t="str">
        <f>INDEX(MCC_Lookup!$B$2:$B$12,MATCH(G2,MCC_Lookup!$A$2:$A$12,0))</f>
        <v>Travel</v>
      </c>
      <c r="N2" s="1" t="str">
        <f>IF(TRIM(H2)="","BLANK",IF(PROPER(TRIM(H2))=TRIM(M2),"MATCH","MISMATCH"))</f>
        <v>MATCH</v>
      </c>
      <c r="O2" s="5" t="str">
        <f>INDEX([1]Employee!$C$2:$C$276,MATCH(B2,[1]Employee!$A$2:$A$276,0))</f>
        <v>Sales &amp; Marketing</v>
      </c>
    </row>
    <row r="3" spans="1:15">
      <c r="A3" s="1" t="s">
        <v>40</v>
      </c>
      <c r="B3" s="1" t="s">
        <v>41</v>
      </c>
      <c r="C3" s="1" t="s">
        <v>42</v>
      </c>
      <c r="D3" s="2">
        <v>46024</v>
      </c>
      <c r="E3" s="2">
        <v>46024</v>
      </c>
      <c r="F3" s="1" t="s">
        <v>43</v>
      </c>
      <c r="G3" s="1" t="s">
        <v>2</v>
      </c>
      <c r="H3" s="1" t="s">
        <v>3</v>
      </c>
      <c r="I3" s="7">
        <v>10.88</v>
      </c>
      <c r="J3" s="1" t="s">
        <v>38</v>
      </c>
      <c r="K3" s="1"/>
      <c r="L3" s="1" t="s">
        <v>39</v>
      </c>
      <c r="M3" s="1" t="str">
        <f>INDEX(MCC_Lookup!$B$2:$B$12,MATCH(G3,MCC_Lookup!$A$2:$A$12,0))</f>
        <v>Meals</v>
      </c>
      <c r="N3" s="1" t="str">
        <f>IF(TRIM(H3)="","BLANK",IF(PROPER(TRIM(H3))=TRIM(M3),"MATCH","MISMATCH"))</f>
        <v>MATCH</v>
      </c>
      <c r="O3" s="5" t="str">
        <f>INDEX([1]Employee!$C$2:$C$276,MATCH(B3,[1]Employee!$A$2:$A$276,0))</f>
        <v>Sales &amp; Marketing</v>
      </c>
    </row>
    <row r="4" spans="1:15">
      <c r="A4" s="1" t="s">
        <v>44</v>
      </c>
      <c r="B4" s="1" t="s">
        <v>45</v>
      </c>
      <c r="C4" s="1" t="s">
        <v>46</v>
      </c>
      <c r="D4" s="2">
        <v>46024</v>
      </c>
      <c r="E4" s="2">
        <v>46024</v>
      </c>
      <c r="F4" s="1" t="s">
        <v>47</v>
      </c>
      <c r="G4" s="1" t="s">
        <v>6</v>
      </c>
      <c r="H4" s="1" t="s">
        <v>7</v>
      </c>
      <c r="I4" s="7">
        <v>147.63999999999999</v>
      </c>
      <c r="J4" s="1" t="s">
        <v>38</v>
      </c>
      <c r="K4" s="1"/>
      <c r="L4" s="1" t="s">
        <v>48</v>
      </c>
      <c r="M4" s="1" t="str">
        <f>INDEX(MCC_Lookup!$B$2:$B$12,MATCH(G4,MCC_Lookup!$A$2:$A$12,0))</f>
        <v>Lodging</v>
      </c>
      <c r="N4" s="1" t="str">
        <f>IF(TRIM(H4)="","BLANK",IF(PROPER(TRIM(H4))=TRIM(M4),"MATCH","MISMATCH"))</f>
        <v>MATCH</v>
      </c>
      <c r="O4" s="5" t="str">
        <f>INDEX([1]Employee!$C$2:$C$276,MATCH(B4,[1]Employee!$A$2:$A$276,0))</f>
        <v>IT &amp; Platform Engineering</v>
      </c>
    </row>
    <row r="5" spans="1:15">
      <c r="A5" s="1" t="s">
        <v>49</v>
      </c>
      <c r="B5" s="1" t="s">
        <v>50</v>
      </c>
      <c r="C5" s="1" t="s">
        <v>51</v>
      </c>
      <c r="D5" s="2">
        <v>46023</v>
      </c>
      <c r="E5" s="2">
        <v>46024</v>
      </c>
      <c r="F5" s="1" t="s">
        <v>52</v>
      </c>
      <c r="G5" s="1" t="s">
        <v>15</v>
      </c>
      <c r="H5" s="1" t="s">
        <v>16</v>
      </c>
      <c r="I5" s="7">
        <v>23.5</v>
      </c>
      <c r="J5" s="1" t="s">
        <v>38</v>
      </c>
      <c r="K5" s="1"/>
      <c r="L5" s="1" t="s">
        <v>48</v>
      </c>
      <c r="M5" s="1" t="str">
        <f>INDEX(MCC_Lookup!$B$2:$B$12,MATCH(G5,MCC_Lookup!$A$2:$A$12,0))</f>
        <v>Entertainment</v>
      </c>
      <c r="N5" s="1" t="str">
        <f>IF(TRIM(H5)="","BLANK",IF(PROPER(TRIM(H5))=TRIM(M5),"MATCH","MISMATCH"))</f>
        <v>MATCH</v>
      </c>
      <c r="O5" s="5" t="str">
        <f>INDEX([1]Employee!$C$2:$C$276,MATCH(B5,[1]Employee!$A$2:$A$276,0))</f>
        <v>Sales &amp; Marketing</v>
      </c>
    </row>
    <row r="6" spans="1:15">
      <c r="A6" s="1" t="s">
        <v>53</v>
      </c>
      <c r="B6" s="1" t="s">
        <v>54</v>
      </c>
      <c r="C6" s="1" t="s">
        <v>55</v>
      </c>
      <c r="D6" s="2">
        <v>46024</v>
      </c>
      <c r="E6" s="2">
        <v>46024</v>
      </c>
      <c r="F6" s="1" t="s">
        <v>56</v>
      </c>
      <c r="G6" s="1" t="s">
        <v>4</v>
      </c>
      <c r="H6" s="1" t="s">
        <v>57</v>
      </c>
      <c r="I6" s="7">
        <v>477.78</v>
      </c>
      <c r="J6" s="1" t="s">
        <v>38</v>
      </c>
      <c r="K6" s="1"/>
      <c r="L6" s="1" t="s">
        <v>48</v>
      </c>
      <c r="M6" s="1" t="str">
        <f>INDEX(MCC_Lookup!$B$2:$B$12,MATCH(G6,MCC_Lookup!$A$2:$A$12,0))</f>
        <v>Travel</v>
      </c>
      <c r="N6" s="1" t="str">
        <f>IF(TRIM(H6)="","BLANK",IF(PROPER(TRIM(H6))=TRIM(M6),"MATCH","MISMATCH"))</f>
        <v>MATCH</v>
      </c>
      <c r="O6" s="5" t="str">
        <f>INDEX([1]Employee!$C$2:$C$276,MATCH(B6,[1]Employee!$A$2:$A$276,0))</f>
        <v>Sales &amp; Marketing</v>
      </c>
    </row>
    <row r="7" spans="1:15">
      <c r="A7" s="1" t="s">
        <v>58</v>
      </c>
      <c r="B7" s="1" t="s">
        <v>59</v>
      </c>
      <c r="C7" s="1" t="s">
        <v>60</v>
      </c>
      <c r="D7" s="2">
        <v>46023</v>
      </c>
      <c r="E7" s="2">
        <v>46024</v>
      </c>
      <c r="F7" s="1" t="s">
        <v>61</v>
      </c>
      <c r="G7" s="1" t="s">
        <v>13</v>
      </c>
      <c r="H7" s="1" t="s">
        <v>3</v>
      </c>
      <c r="I7" s="7">
        <v>46.08</v>
      </c>
      <c r="J7" s="1" t="s">
        <v>38</v>
      </c>
      <c r="K7" s="1"/>
      <c r="L7" s="1" t="s">
        <v>39</v>
      </c>
      <c r="M7" s="1" t="str">
        <f>INDEX(MCC_Lookup!$B$2:$B$12,MATCH(G7,MCC_Lookup!$A$2:$A$12,0))</f>
        <v>Software</v>
      </c>
      <c r="N7" s="1" t="str">
        <f>IF(TRIM(H7)="","BLANK",IF(PROPER(TRIM(H7))=TRIM(M7),"MATCH","MISMATCH"))</f>
        <v>MISMATCH</v>
      </c>
      <c r="O7" s="5" t="str">
        <f>INDEX([1]Employee!$C$2:$C$276,MATCH(B7,[1]Employee!$A$2:$A$276,0))</f>
        <v>Sales &amp; Marketing</v>
      </c>
    </row>
    <row r="8" spans="1:15">
      <c r="A8" s="1" t="s">
        <v>62</v>
      </c>
      <c r="B8" s="1" t="s">
        <v>63</v>
      </c>
      <c r="C8" s="1" t="s">
        <v>64</v>
      </c>
      <c r="D8" s="2">
        <v>46024</v>
      </c>
      <c r="E8" s="2">
        <v>46024</v>
      </c>
      <c r="F8" s="1" t="s">
        <v>65</v>
      </c>
      <c r="G8" s="1" t="s">
        <v>18</v>
      </c>
      <c r="H8" s="1" t="s">
        <v>19</v>
      </c>
      <c r="I8" s="7">
        <v>215.53</v>
      </c>
      <c r="J8" s="1" t="s">
        <v>38</v>
      </c>
      <c r="K8" s="1"/>
      <c r="L8" s="1" t="s">
        <v>39</v>
      </c>
      <c r="M8" s="1" t="str">
        <f>INDEX(MCC_Lookup!$B$2:$B$12,MATCH(G8,MCC_Lookup!$A$2:$A$12,0))</f>
        <v>Events</v>
      </c>
      <c r="N8" s="1" t="str">
        <f>IF(TRIM(H8)="","BLANK",IF(PROPER(TRIM(H8))=TRIM(M8),"MATCH","MISMATCH"))</f>
        <v>MATCH</v>
      </c>
      <c r="O8" s="5" t="str">
        <f>INDEX([1]Employee!$C$2:$C$276,MATCH(B8,[1]Employee!$A$2:$A$276,0))</f>
        <v>Sales &amp; Marketing</v>
      </c>
    </row>
    <row r="9" spans="1:15">
      <c r="A9" s="1" t="s">
        <v>66</v>
      </c>
      <c r="B9" s="1" t="s">
        <v>67</v>
      </c>
      <c r="C9" s="1" t="s">
        <v>68</v>
      </c>
      <c r="D9" s="2">
        <v>46025</v>
      </c>
      <c r="E9" s="2">
        <v>46025</v>
      </c>
      <c r="F9" s="1" t="s">
        <v>69</v>
      </c>
      <c r="G9" s="1" t="s">
        <v>8</v>
      </c>
      <c r="H9" s="1" t="s">
        <v>9</v>
      </c>
      <c r="I9" s="7">
        <v>51.17</v>
      </c>
      <c r="J9" s="1" t="s">
        <v>38</v>
      </c>
      <c r="K9" s="1"/>
      <c r="L9" s="1" t="s">
        <v>39</v>
      </c>
      <c r="M9" s="1" t="str">
        <f>INDEX(MCC_Lookup!$B$2:$B$12,MATCH(G9,MCC_Lookup!$A$2:$A$12,0))</f>
        <v>Transportation</v>
      </c>
      <c r="N9" s="1" t="str">
        <f>IF(TRIM(H9)="","BLANK",IF(PROPER(TRIM(H9))=TRIM(M9),"MATCH","MISMATCH"))</f>
        <v>MATCH</v>
      </c>
      <c r="O9" s="5" t="str">
        <f>INDEX([1]Employee!$C$2:$C$276,MATCH(B9,[1]Employee!$A$2:$A$276,0))</f>
        <v>Sales &amp; Marketing</v>
      </c>
    </row>
    <row r="10" spans="1:15">
      <c r="A10" s="1" t="s">
        <v>70</v>
      </c>
      <c r="B10" s="1" t="s">
        <v>71</v>
      </c>
      <c r="C10" s="1"/>
      <c r="D10" s="2">
        <v>46023</v>
      </c>
      <c r="E10" s="2">
        <v>46025</v>
      </c>
      <c r="F10" s="1" t="s">
        <v>72</v>
      </c>
      <c r="G10" s="1" t="s">
        <v>8</v>
      </c>
      <c r="H10" s="1" t="s">
        <v>9</v>
      </c>
      <c r="I10" s="7">
        <v>28.57</v>
      </c>
      <c r="J10" s="1" t="s">
        <v>38</v>
      </c>
      <c r="K10" s="1"/>
      <c r="L10" s="1" t="s">
        <v>39</v>
      </c>
      <c r="M10" s="1" t="str">
        <f>INDEX(MCC_Lookup!$B$2:$B$12,MATCH(G10,MCC_Lookup!$A$2:$A$12,0))</f>
        <v>Transportation</v>
      </c>
      <c r="N10" s="1" t="str">
        <f>IF(TRIM(H10)="","BLANK",IF(PROPER(TRIM(H10))=TRIM(M10),"MATCH","MISMATCH"))</f>
        <v>MATCH</v>
      </c>
      <c r="O10" s="5" t="str">
        <f>INDEX([1]Employee!$C$2:$C$276,MATCH(B10,[1]Employee!$A$2:$A$276,0))</f>
        <v>Sales &amp; Marketing</v>
      </c>
    </row>
    <row r="11" spans="1:15">
      <c r="A11" s="1" t="s">
        <v>73</v>
      </c>
      <c r="B11" s="1" t="s">
        <v>74</v>
      </c>
      <c r="C11" s="1" t="s">
        <v>75</v>
      </c>
      <c r="D11" s="2">
        <v>46025</v>
      </c>
      <c r="E11" s="2">
        <v>46025</v>
      </c>
      <c r="F11" s="1" t="s">
        <v>76</v>
      </c>
      <c r="G11" s="1" t="s">
        <v>13</v>
      </c>
      <c r="H11" s="1" t="s">
        <v>14</v>
      </c>
      <c r="I11" s="7">
        <v>583.36</v>
      </c>
      <c r="J11" s="1" t="s">
        <v>38</v>
      </c>
      <c r="K11" s="1"/>
      <c r="L11" s="1" t="s">
        <v>39</v>
      </c>
      <c r="M11" s="1" t="str">
        <f>INDEX(MCC_Lookup!$B$2:$B$12,MATCH(G11,MCC_Lookup!$A$2:$A$12,0))</f>
        <v>Software</v>
      </c>
      <c r="N11" s="1" t="str">
        <f>IF(TRIM(H11)="","BLANK",IF(PROPER(TRIM(H11))=TRIM(M11),"MATCH","MISMATCH"))</f>
        <v>MATCH</v>
      </c>
      <c r="O11" s="5" t="str">
        <f>INDEX([1]Employee!$C$2:$C$276,MATCH(B11,[1]Employee!$A$2:$A$276,0))</f>
        <v>Underwriting</v>
      </c>
    </row>
    <row r="12" spans="1:15">
      <c r="A12" s="1" t="s">
        <v>77</v>
      </c>
      <c r="B12" s="1" t="s">
        <v>54</v>
      </c>
      <c r="C12" s="1" t="s">
        <v>78</v>
      </c>
      <c r="D12" s="2">
        <v>46024</v>
      </c>
      <c r="E12" s="2">
        <v>46025</v>
      </c>
      <c r="F12" s="1" t="s">
        <v>79</v>
      </c>
      <c r="G12" s="1" t="s">
        <v>13</v>
      </c>
      <c r="H12" s="1" t="s">
        <v>14</v>
      </c>
      <c r="I12" s="7">
        <v>241.22</v>
      </c>
      <c r="J12" s="1" t="s">
        <v>38</v>
      </c>
      <c r="K12" s="1"/>
      <c r="L12" s="1" t="s">
        <v>39</v>
      </c>
      <c r="M12" s="1" t="str">
        <f>INDEX(MCC_Lookup!$B$2:$B$12,MATCH(G12,MCC_Lookup!$A$2:$A$12,0))</f>
        <v>Software</v>
      </c>
      <c r="N12" s="1" t="str">
        <f>IF(TRIM(H12)="","BLANK",IF(PROPER(TRIM(H12))=TRIM(M12),"MATCH","MISMATCH"))</f>
        <v>MATCH</v>
      </c>
      <c r="O12" s="5" t="str">
        <f>INDEX([1]Employee!$C$2:$C$276,MATCH(B12,[1]Employee!$A$2:$A$276,0))</f>
        <v>Sales &amp; Marketing</v>
      </c>
    </row>
    <row r="13" spans="1:15">
      <c r="A13" s="1" t="s">
        <v>80</v>
      </c>
      <c r="B13" s="1" t="s">
        <v>81</v>
      </c>
      <c r="C13" s="1" t="s">
        <v>82</v>
      </c>
      <c r="D13" s="2">
        <v>46026</v>
      </c>
      <c r="E13" s="2">
        <v>46026</v>
      </c>
      <c r="F13" s="1" t="s">
        <v>83</v>
      </c>
      <c r="G13" s="1" t="s">
        <v>2</v>
      </c>
      <c r="H13" s="1" t="s">
        <v>3</v>
      </c>
      <c r="I13" s="7">
        <v>17.920000000000002</v>
      </c>
      <c r="J13" s="1" t="s">
        <v>38</v>
      </c>
      <c r="K13" s="1"/>
      <c r="L13" s="1" t="s">
        <v>39</v>
      </c>
      <c r="M13" s="1" t="str">
        <f>INDEX(MCC_Lookup!$B$2:$B$12,MATCH(G13,MCC_Lookup!$A$2:$A$12,0))</f>
        <v>Meals</v>
      </c>
      <c r="N13" s="1" t="str">
        <f>IF(TRIM(H13)="","BLANK",IF(PROPER(TRIM(H13))=TRIM(M13),"MATCH","MISMATCH"))</f>
        <v>MATCH</v>
      </c>
      <c r="O13" s="5" t="str">
        <f>INDEX([1]Employee!$C$2:$C$276,MATCH(B13,[1]Employee!$A$2:$A$276,0))</f>
        <v>Sales &amp; Marketing</v>
      </c>
    </row>
    <row r="14" spans="1:15">
      <c r="A14" s="1" t="s">
        <v>84</v>
      </c>
      <c r="B14" s="1" t="s">
        <v>41</v>
      </c>
      <c r="C14" s="1" t="s">
        <v>85</v>
      </c>
      <c r="D14" s="2">
        <v>46024</v>
      </c>
      <c r="E14" s="2">
        <v>46026</v>
      </c>
      <c r="F14" s="1" t="s">
        <v>61</v>
      </c>
      <c r="G14" s="1" t="s">
        <v>13</v>
      </c>
      <c r="H14" s="1" t="s">
        <v>14</v>
      </c>
      <c r="I14" s="7">
        <v>88.89</v>
      </c>
      <c r="J14" s="1" t="s">
        <v>38</v>
      </c>
      <c r="K14" s="1"/>
      <c r="L14" s="1" t="s">
        <v>39</v>
      </c>
      <c r="M14" s="1" t="str">
        <f>INDEX(MCC_Lookup!$B$2:$B$12,MATCH(G14,MCC_Lookup!$A$2:$A$12,0))</f>
        <v>Software</v>
      </c>
      <c r="N14" s="1" t="str">
        <f>IF(TRIM(H14)="","BLANK",IF(PROPER(TRIM(H14))=TRIM(M14),"MATCH","MISMATCH"))</f>
        <v>MATCH</v>
      </c>
      <c r="O14" s="5" t="str">
        <f>INDEX([1]Employee!$C$2:$C$276,MATCH(B14,[1]Employee!$A$2:$A$276,0))</f>
        <v>Sales &amp; Marketing</v>
      </c>
    </row>
    <row r="15" spans="1:15">
      <c r="A15" s="1" t="s">
        <v>86</v>
      </c>
      <c r="B15" s="1" t="s">
        <v>87</v>
      </c>
      <c r="C15" s="1" t="s">
        <v>88</v>
      </c>
      <c r="D15" s="2">
        <v>46024</v>
      </c>
      <c r="E15" s="2">
        <v>46026</v>
      </c>
      <c r="F15" s="1" t="s">
        <v>52</v>
      </c>
      <c r="G15" s="1" t="s">
        <v>15</v>
      </c>
      <c r="H15" s="1" t="s">
        <v>16</v>
      </c>
      <c r="I15" s="7">
        <v>23.69</v>
      </c>
      <c r="J15" s="1" t="s">
        <v>38</v>
      </c>
      <c r="K15" s="1"/>
      <c r="L15" s="1" t="s">
        <v>39</v>
      </c>
      <c r="M15" s="1" t="str">
        <f>INDEX(MCC_Lookup!$B$2:$B$12,MATCH(G15,MCC_Lookup!$A$2:$A$12,0))</f>
        <v>Entertainment</v>
      </c>
      <c r="N15" s="1" t="str">
        <f>IF(TRIM(H15)="","BLANK",IF(PROPER(TRIM(H15))=TRIM(M15),"MATCH","MISMATCH"))</f>
        <v>MATCH</v>
      </c>
      <c r="O15" s="5" t="str">
        <f>INDEX([1]Employee!$C$2:$C$276,MATCH(B15,[1]Employee!$A$2:$A$276,0))</f>
        <v>HR &amp; Events</v>
      </c>
    </row>
    <row r="16" spans="1:15">
      <c r="A16" s="1" t="s">
        <v>89</v>
      </c>
      <c r="B16" s="1" t="s">
        <v>90</v>
      </c>
      <c r="C16" s="1" t="s">
        <v>91</v>
      </c>
      <c r="D16" s="2">
        <v>46025</v>
      </c>
      <c r="E16" s="2">
        <v>46026</v>
      </c>
      <c r="F16" s="1" t="s">
        <v>92</v>
      </c>
      <c r="G16" s="1" t="s">
        <v>10</v>
      </c>
      <c r="H16" s="1" t="s">
        <v>5</v>
      </c>
      <c r="I16" s="7">
        <v>111.81</v>
      </c>
      <c r="J16" s="1" t="s">
        <v>38</v>
      </c>
      <c r="K16" s="1"/>
      <c r="L16" s="1" t="s">
        <v>39</v>
      </c>
      <c r="M16" s="1" t="str">
        <f>INDEX(MCC_Lookup!$B$2:$B$12,MATCH(G16,MCC_Lookup!$A$2:$A$12,0))</f>
        <v>Office Supplies</v>
      </c>
      <c r="N16" s="1" t="str">
        <f>IF(TRIM(H16)="","BLANK",IF(PROPER(TRIM(H16))=TRIM(M16),"MATCH","MISMATCH"))</f>
        <v>MISMATCH</v>
      </c>
      <c r="O16" s="5" t="str">
        <f>INDEX([1]Employee!$C$2:$C$276,MATCH(B16,[1]Employee!$A$2:$A$276,0))</f>
        <v>Sales &amp; Marketing</v>
      </c>
    </row>
    <row r="17" spans="1:16">
      <c r="A17" s="1" t="s">
        <v>93</v>
      </c>
      <c r="B17" s="1" t="s">
        <v>94</v>
      </c>
      <c r="C17" s="1"/>
      <c r="D17" s="2">
        <v>46025</v>
      </c>
      <c r="E17" s="2">
        <v>46026</v>
      </c>
      <c r="F17" s="1" t="s">
        <v>95</v>
      </c>
      <c r="G17" s="1" t="s">
        <v>6</v>
      </c>
      <c r="H17" s="1" t="s">
        <v>7</v>
      </c>
      <c r="I17" s="7">
        <v>132.88999999999999</v>
      </c>
      <c r="J17" s="1" t="s">
        <v>38</v>
      </c>
      <c r="K17" s="1"/>
      <c r="L17" s="1" t="s">
        <v>39</v>
      </c>
      <c r="M17" s="1" t="str">
        <f>INDEX(MCC_Lookup!$B$2:$B$12,MATCH(G17,MCC_Lookup!$A$2:$A$12,0))</f>
        <v>Lodging</v>
      </c>
      <c r="N17" s="1" t="str">
        <f>IF(TRIM(H17)="","BLANK",IF(PROPER(TRIM(H17))=TRIM(M17),"MATCH","MISMATCH"))</f>
        <v>MATCH</v>
      </c>
      <c r="O17" s="5" t="str">
        <f>INDEX([1]Employee!$C$2:$C$276,MATCH(B17,[1]Employee!$A$2:$A$276,0))</f>
        <v>IT &amp; Platform Engineering</v>
      </c>
      <c r="P17" s="13"/>
    </row>
    <row r="18" spans="1:16">
      <c r="A18" s="1" t="s">
        <v>96</v>
      </c>
      <c r="B18" s="1" t="s">
        <v>97</v>
      </c>
      <c r="C18" s="1" t="s">
        <v>98</v>
      </c>
      <c r="D18" s="2">
        <v>46023</v>
      </c>
      <c r="E18" s="2">
        <v>46026</v>
      </c>
      <c r="F18" s="1" t="s">
        <v>99</v>
      </c>
      <c r="G18" s="1" t="s">
        <v>2</v>
      </c>
      <c r="H18" s="1" t="s">
        <v>3</v>
      </c>
      <c r="I18" s="7">
        <v>26.64</v>
      </c>
      <c r="J18" s="1" t="s">
        <v>38</v>
      </c>
      <c r="K18" s="1"/>
      <c r="L18" s="1" t="s">
        <v>39</v>
      </c>
      <c r="M18" s="1" t="str">
        <f>INDEX(MCC_Lookup!$B$2:$B$12,MATCH(G18,MCC_Lookup!$A$2:$A$12,0))</f>
        <v>Meals</v>
      </c>
      <c r="N18" s="1" t="str">
        <f>IF(TRIM(H18)="","BLANK",IF(PROPER(TRIM(H18))=TRIM(M18),"MATCH","MISMATCH"))</f>
        <v>MATCH</v>
      </c>
      <c r="O18" s="5" t="str">
        <f>INDEX([1]Employee!$C$2:$C$276,MATCH(B18,[1]Employee!$A$2:$A$276,0))</f>
        <v>Sales &amp; Marketing</v>
      </c>
    </row>
    <row r="19" spans="1:16">
      <c r="A19" s="1" t="s">
        <v>100</v>
      </c>
      <c r="B19" s="1" t="s">
        <v>101</v>
      </c>
      <c r="C19" s="1" t="s">
        <v>102</v>
      </c>
      <c r="D19" s="2">
        <v>46024</v>
      </c>
      <c r="E19" s="2">
        <v>46026</v>
      </c>
      <c r="F19" s="1" t="s">
        <v>72</v>
      </c>
      <c r="G19" s="1" t="s">
        <v>8</v>
      </c>
      <c r="H19" s="1" t="s">
        <v>9</v>
      </c>
      <c r="I19" s="7">
        <v>35.630000000000003</v>
      </c>
      <c r="J19" s="1" t="s">
        <v>38</v>
      </c>
      <c r="K19" s="1"/>
      <c r="L19" s="1" t="s">
        <v>39</v>
      </c>
      <c r="M19" s="1" t="str">
        <f>INDEX(MCC_Lookup!$B$2:$B$12,MATCH(G19,MCC_Lookup!$A$2:$A$12,0))</f>
        <v>Transportation</v>
      </c>
      <c r="N19" s="1" t="str">
        <f>IF(TRIM(H19)="","BLANK",IF(PROPER(TRIM(H19))=TRIM(M19),"MATCH","MISMATCH"))</f>
        <v>MATCH</v>
      </c>
      <c r="O19" s="5" t="str">
        <f>INDEX([1]Employee!$C$2:$C$276,MATCH(B19,[1]Employee!$A$2:$A$276,0))</f>
        <v>Underwriting</v>
      </c>
    </row>
    <row r="20" spans="1:16">
      <c r="A20" s="1" t="s">
        <v>103</v>
      </c>
      <c r="B20" s="1" t="s">
        <v>104</v>
      </c>
      <c r="C20" s="1" t="s">
        <v>105</v>
      </c>
      <c r="D20" s="2">
        <v>46023</v>
      </c>
      <c r="E20" s="2">
        <v>46026</v>
      </c>
      <c r="F20" s="1" t="s">
        <v>106</v>
      </c>
      <c r="G20" s="1" t="s">
        <v>13</v>
      </c>
      <c r="H20" s="1" t="s">
        <v>14</v>
      </c>
      <c r="I20" s="7">
        <v>69.13</v>
      </c>
      <c r="J20" s="1" t="s">
        <v>38</v>
      </c>
      <c r="K20" s="1"/>
      <c r="L20" s="1" t="s">
        <v>39</v>
      </c>
      <c r="M20" s="1" t="str">
        <f>INDEX(MCC_Lookup!$B$2:$B$12,MATCH(G20,MCC_Lookup!$A$2:$A$12,0))</f>
        <v>Software</v>
      </c>
      <c r="N20" s="1" t="str">
        <f>IF(TRIM(H20)="","BLANK",IF(PROPER(TRIM(H20))=TRIM(M20),"MATCH","MISMATCH"))</f>
        <v>MATCH</v>
      </c>
      <c r="O20" s="5" t="str">
        <f>INDEX([1]Employee!$C$2:$C$276,MATCH(B20,[1]Employee!$A$2:$A$276,0))</f>
        <v>Sales &amp; Marketing</v>
      </c>
    </row>
    <row r="21" spans="1:16">
      <c r="A21" s="1" t="s">
        <v>107</v>
      </c>
      <c r="B21" s="1" t="s">
        <v>108</v>
      </c>
      <c r="C21" s="1"/>
      <c r="D21" s="2">
        <v>46025</v>
      </c>
      <c r="E21" s="2">
        <v>46026</v>
      </c>
      <c r="F21" s="1" t="s">
        <v>109</v>
      </c>
      <c r="G21" s="1" t="s">
        <v>18</v>
      </c>
      <c r="H21" s="1" t="s">
        <v>19</v>
      </c>
      <c r="I21" s="7">
        <v>118.6</v>
      </c>
      <c r="J21" s="1" t="s">
        <v>38</v>
      </c>
      <c r="K21" s="1"/>
      <c r="L21" s="1" t="s">
        <v>39</v>
      </c>
      <c r="M21" s="1" t="str">
        <f>INDEX(MCC_Lookup!$B$2:$B$12,MATCH(G21,MCC_Lookup!$A$2:$A$12,0))</f>
        <v>Events</v>
      </c>
      <c r="N21" s="1" t="str">
        <f>IF(TRIM(H21)="","BLANK",IF(PROPER(TRIM(H21))=TRIM(M21),"MATCH","MISMATCH"))</f>
        <v>MATCH</v>
      </c>
      <c r="O21" s="5" t="str">
        <f>INDEX([1]Employee!$C$2:$C$276,MATCH(B21,[1]Employee!$A$2:$A$276,0))</f>
        <v>Sales &amp; Marketing</v>
      </c>
    </row>
    <row r="22" spans="1:16">
      <c r="A22" s="1" t="s">
        <v>110</v>
      </c>
      <c r="B22" s="1" t="s">
        <v>59</v>
      </c>
      <c r="C22" s="1"/>
      <c r="D22" s="2">
        <v>46027</v>
      </c>
      <c r="E22" s="2">
        <v>46027</v>
      </c>
      <c r="F22" s="1" t="s">
        <v>56</v>
      </c>
      <c r="G22" s="1" t="s">
        <v>4</v>
      </c>
      <c r="H22" s="1" t="s">
        <v>5</v>
      </c>
      <c r="I22" s="7">
        <v>533.91</v>
      </c>
      <c r="J22" s="1" t="s">
        <v>111</v>
      </c>
      <c r="K22" s="1" t="s">
        <v>112</v>
      </c>
      <c r="L22" s="1" t="s">
        <v>39</v>
      </c>
      <c r="M22" s="1" t="str">
        <f>INDEX(MCC_Lookup!$B$2:$B$12,MATCH(G22,MCC_Lookup!$A$2:$A$12,0))</f>
        <v>Travel</v>
      </c>
      <c r="N22" s="1" t="str">
        <f>IF(TRIM(H22)="","BLANK",IF(PROPER(TRIM(H22))=TRIM(M22),"MATCH","MISMATCH"))</f>
        <v>MATCH</v>
      </c>
      <c r="O22" s="5" t="str">
        <f>INDEX([1]Employee!$C$2:$C$276,MATCH(B22,[1]Employee!$A$2:$A$276,0))</f>
        <v>Sales &amp; Marketing</v>
      </c>
    </row>
    <row r="23" spans="1:16">
      <c r="A23" s="1" t="s">
        <v>113</v>
      </c>
      <c r="B23" s="1" t="s">
        <v>114</v>
      </c>
      <c r="C23" s="1" t="s">
        <v>115</v>
      </c>
      <c r="D23" s="2">
        <v>46023</v>
      </c>
      <c r="E23" s="2">
        <v>46027</v>
      </c>
      <c r="F23" s="1" t="s">
        <v>116</v>
      </c>
      <c r="G23" s="1" t="s">
        <v>2</v>
      </c>
      <c r="H23" s="1" t="s">
        <v>3</v>
      </c>
      <c r="I23" s="7">
        <v>20.36</v>
      </c>
      <c r="J23" s="1" t="s">
        <v>38</v>
      </c>
      <c r="K23" s="1"/>
      <c r="L23" s="1" t="s">
        <v>39</v>
      </c>
      <c r="M23" s="1" t="str">
        <f>INDEX(MCC_Lookup!$B$2:$B$12,MATCH(G23,MCC_Lookup!$A$2:$A$12,0))</f>
        <v>Meals</v>
      </c>
      <c r="N23" s="1" t="str">
        <f>IF(TRIM(H23)="","BLANK",IF(PROPER(TRIM(H23))=TRIM(M23),"MATCH","MISMATCH"))</f>
        <v>MATCH</v>
      </c>
      <c r="O23" s="5" t="str">
        <f>INDEX([1]Employee!$C$2:$C$276,MATCH(B23,[1]Employee!$A$2:$A$276,0))</f>
        <v>Underwriting</v>
      </c>
    </row>
    <row r="24" spans="1:16">
      <c r="A24" s="1" t="s">
        <v>117</v>
      </c>
      <c r="B24" s="1" t="s">
        <v>118</v>
      </c>
      <c r="C24" s="1" t="s">
        <v>119</v>
      </c>
      <c r="D24" s="2">
        <v>46024</v>
      </c>
      <c r="E24" s="2">
        <v>46027</v>
      </c>
      <c r="F24" s="1" t="s">
        <v>120</v>
      </c>
      <c r="G24" s="1" t="s">
        <v>12</v>
      </c>
      <c r="H24" s="1" t="s">
        <v>11</v>
      </c>
      <c r="I24" s="7">
        <v>375.81</v>
      </c>
      <c r="J24" s="1" t="s">
        <v>38</v>
      </c>
      <c r="K24" s="1"/>
      <c r="L24" s="1" t="s">
        <v>39</v>
      </c>
      <c r="M24" s="1" t="str">
        <f>INDEX(MCC_Lookup!$B$2:$B$12,MATCH(G24,MCC_Lookup!$A$2:$A$12,0))</f>
        <v>Office Supplies</v>
      </c>
      <c r="N24" s="1" t="str">
        <f>IF(TRIM(H24)="","BLANK",IF(PROPER(TRIM(H24))=TRIM(M24),"MATCH","MISMATCH"))</f>
        <v>MATCH</v>
      </c>
      <c r="O24" s="5" t="str">
        <f>INDEX([1]Employee!$C$2:$C$276,MATCH(B24,[1]Employee!$A$2:$A$276,0))</f>
        <v>Underwriting</v>
      </c>
    </row>
    <row r="25" spans="1:16">
      <c r="A25" s="1" t="s">
        <v>121</v>
      </c>
      <c r="B25" s="1" t="s">
        <v>122</v>
      </c>
      <c r="C25" s="1" t="s">
        <v>123</v>
      </c>
      <c r="D25" s="2">
        <v>46027</v>
      </c>
      <c r="E25" s="2">
        <v>46027</v>
      </c>
      <c r="F25" s="1" t="s">
        <v>124</v>
      </c>
      <c r="G25" s="1" t="s">
        <v>17</v>
      </c>
      <c r="H25" s="1" t="s">
        <v>16</v>
      </c>
      <c r="I25" s="7">
        <v>154.44999999999999</v>
      </c>
      <c r="J25" s="1" t="s">
        <v>38</v>
      </c>
      <c r="K25" s="1"/>
      <c r="L25" s="1" t="s">
        <v>39</v>
      </c>
      <c r="M25" s="1" t="str">
        <f>INDEX(MCC_Lookup!$B$2:$B$12,MATCH(G25,MCC_Lookup!$A$2:$A$12,0))</f>
        <v>Entertainment</v>
      </c>
      <c r="N25" s="1" t="str">
        <f>IF(TRIM(H25)="","BLANK",IF(PROPER(TRIM(H25))=TRIM(M25),"MATCH","MISMATCH"))</f>
        <v>MATCH</v>
      </c>
      <c r="O25" s="5" t="str">
        <f>INDEX([1]Employee!$C$2:$C$276,MATCH(B25,[1]Employee!$A$2:$A$276,0))</f>
        <v>Sales &amp; Marketing</v>
      </c>
    </row>
    <row r="26" spans="1:16">
      <c r="A26" s="1" t="s">
        <v>125</v>
      </c>
      <c r="B26" s="1" t="s">
        <v>126</v>
      </c>
      <c r="C26" s="1"/>
      <c r="D26" s="2">
        <v>46024</v>
      </c>
      <c r="E26" s="2">
        <v>46027</v>
      </c>
      <c r="F26" s="1" t="s">
        <v>65</v>
      </c>
      <c r="G26" s="1" t="s">
        <v>18</v>
      </c>
      <c r="H26" s="1" t="s">
        <v>19</v>
      </c>
      <c r="I26" s="7">
        <v>216.9</v>
      </c>
      <c r="J26" s="1" t="s">
        <v>111</v>
      </c>
      <c r="K26" s="1" t="s">
        <v>127</v>
      </c>
      <c r="L26" s="1" t="s">
        <v>48</v>
      </c>
      <c r="M26" s="1" t="str">
        <f>INDEX(MCC_Lookup!$B$2:$B$12,MATCH(G26,MCC_Lookup!$A$2:$A$12,0))</f>
        <v>Events</v>
      </c>
      <c r="N26" s="1" t="str">
        <f>IF(TRIM(H26)="","BLANK",IF(PROPER(TRIM(H26))=TRIM(M26),"MATCH","MISMATCH"))</f>
        <v>MATCH</v>
      </c>
      <c r="O26" s="5" t="str">
        <f>INDEX([1]Employee!$C$2:$C$276,MATCH(B26,[1]Employee!$A$2:$A$276,0))</f>
        <v>Actuarial &amp; Risk</v>
      </c>
    </row>
    <row r="27" spans="1:16">
      <c r="A27" s="1" t="s">
        <v>128</v>
      </c>
      <c r="B27" s="1" t="s">
        <v>129</v>
      </c>
      <c r="C27" s="1" t="s">
        <v>130</v>
      </c>
      <c r="D27" s="2">
        <v>46024</v>
      </c>
      <c r="E27" s="2">
        <v>46027</v>
      </c>
      <c r="F27" s="1" t="s">
        <v>120</v>
      </c>
      <c r="G27" s="1" t="s">
        <v>12</v>
      </c>
      <c r="H27" s="1" t="s">
        <v>131</v>
      </c>
      <c r="I27" s="7">
        <v>232.35</v>
      </c>
      <c r="J27" s="1" t="s">
        <v>38</v>
      </c>
      <c r="K27" s="1"/>
      <c r="L27" s="1" t="s">
        <v>48</v>
      </c>
      <c r="M27" s="1" t="str">
        <f>INDEX(MCC_Lookup!$B$2:$B$12,MATCH(G27,MCC_Lookup!$A$2:$A$12,0))</f>
        <v>Office Supplies</v>
      </c>
      <c r="N27" s="1" t="str">
        <f>IF(TRIM(H27)="","BLANK",IF(PROPER(TRIM(H27))=TRIM(M27),"MATCH","MISMATCH"))</f>
        <v>MATCH</v>
      </c>
      <c r="O27" s="5" t="str">
        <f>INDEX([1]Employee!$C$2:$C$276,MATCH(B27,[1]Employee!$A$2:$A$276,0))</f>
        <v>Sales &amp; Marketing</v>
      </c>
    </row>
    <row r="28" spans="1:16">
      <c r="A28" s="1" t="s">
        <v>132</v>
      </c>
      <c r="B28" s="1" t="s">
        <v>133</v>
      </c>
      <c r="C28" s="1" t="s">
        <v>134</v>
      </c>
      <c r="D28" s="2">
        <v>46024</v>
      </c>
      <c r="E28" s="2">
        <v>46027</v>
      </c>
      <c r="F28" s="1" t="s">
        <v>61</v>
      </c>
      <c r="G28" s="1" t="s">
        <v>13</v>
      </c>
      <c r="H28" s="1" t="s">
        <v>14</v>
      </c>
      <c r="I28" s="7">
        <v>34.44</v>
      </c>
      <c r="J28" s="1" t="s">
        <v>38</v>
      </c>
      <c r="K28" s="1"/>
      <c r="L28" s="1" t="s">
        <v>39</v>
      </c>
      <c r="M28" s="1" t="str">
        <f>INDEX(MCC_Lookup!$B$2:$B$12,MATCH(G28,MCC_Lookup!$A$2:$A$12,0))</f>
        <v>Software</v>
      </c>
      <c r="N28" s="1" t="str">
        <f>IF(TRIM(H28)="","BLANK",IF(PROPER(TRIM(H28))=TRIM(M28),"MATCH","MISMATCH"))</f>
        <v>MATCH</v>
      </c>
      <c r="O28" s="5" t="str">
        <f>INDEX([1]Employee!$C$2:$C$276,MATCH(B28,[1]Employee!$A$2:$A$276,0))</f>
        <v>Finance</v>
      </c>
    </row>
    <row r="29" spans="1:16">
      <c r="A29" s="1" t="s">
        <v>135</v>
      </c>
      <c r="B29" s="1" t="s">
        <v>136</v>
      </c>
      <c r="C29" s="1" t="s">
        <v>137</v>
      </c>
      <c r="D29" s="2">
        <v>46026</v>
      </c>
      <c r="E29" s="2">
        <v>46027</v>
      </c>
      <c r="F29" s="1" t="s">
        <v>116</v>
      </c>
      <c r="G29" s="1" t="s">
        <v>2</v>
      </c>
      <c r="H29" s="1" t="s">
        <v>138</v>
      </c>
      <c r="I29" s="7">
        <v>11.88</v>
      </c>
      <c r="J29" s="1" t="s">
        <v>38</v>
      </c>
      <c r="K29" s="1"/>
      <c r="L29" s="1" t="s">
        <v>39</v>
      </c>
      <c r="M29" s="1" t="str">
        <f>INDEX(MCC_Lookup!$B$2:$B$12,MATCH(G29,MCC_Lookup!$A$2:$A$12,0))</f>
        <v>Meals</v>
      </c>
      <c r="N29" s="1" t="str">
        <f>IF(TRIM(H29)="","BLANK",IF(PROPER(TRIM(H29))=TRIM(M29),"MATCH","MISMATCH"))</f>
        <v>MATCH</v>
      </c>
      <c r="O29" s="5" t="str">
        <f>INDEX([1]Employee!$C$2:$C$276,MATCH(B29,[1]Employee!$A$2:$A$276,0))</f>
        <v>Sales &amp; Marketing</v>
      </c>
    </row>
    <row r="30" spans="1:16">
      <c r="A30" s="1" t="s">
        <v>139</v>
      </c>
      <c r="B30" s="1" t="s">
        <v>140</v>
      </c>
      <c r="C30" s="1"/>
      <c r="D30" s="2">
        <v>46023</v>
      </c>
      <c r="E30" s="2">
        <v>46027</v>
      </c>
      <c r="F30" s="1" t="s">
        <v>47</v>
      </c>
      <c r="G30" s="1" t="s">
        <v>6</v>
      </c>
      <c r="H30" s="1" t="s">
        <v>7</v>
      </c>
      <c r="I30" s="7">
        <v>240.32</v>
      </c>
      <c r="J30" s="1" t="s">
        <v>38</v>
      </c>
      <c r="K30" s="1"/>
      <c r="L30" s="1" t="s">
        <v>39</v>
      </c>
      <c r="M30" s="1" t="str">
        <f>INDEX(MCC_Lookup!$B$2:$B$12,MATCH(G30,MCC_Lookup!$A$2:$A$12,0))</f>
        <v>Lodging</v>
      </c>
      <c r="N30" s="1" t="str">
        <f>IF(TRIM(H30)="","BLANK",IF(PROPER(TRIM(H30))=TRIM(M30),"MATCH","MISMATCH"))</f>
        <v>MATCH</v>
      </c>
      <c r="O30" s="5" t="str">
        <f>INDEX([1]Employee!$C$2:$C$276,MATCH(B30,[1]Employee!$A$2:$A$276,0))</f>
        <v>Finance</v>
      </c>
    </row>
    <row r="31" spans="1:16">
      <c r="A31" s="1" t="s">
        <v>141</v>
      </c>
      <c r="B31" s="1" t="s">
        <v>63</v>
      </c>
      <c r="C31" s="1" t="s">
        <v>142</v>
      </c>
      <c r="D31" s="2">
        <v>46027</v>
      </c>
      <c r="E31" s="2">
        <v>46027</v>
      </c>
      <c r="F31" s="1" t="s">
        <v>79</v>
      </c>
      <c r="G31" s="1" t="s">
        <v>13</v>
      </c>
      <c r="H31" s="1" t="s">
        <v>14</v>
      </c>
      <c r="I31" s="7">
        <v>111.1</v>
      </c>
      <c r="J31" s="1" t="s">
        <v>38</v>
      </c>
      <c r="K31" s="1"/>
      <c r="L31" s="1" t="s">
        <v>39</v>
      </c>
      <c r="M31" s="1" t="str">
        <f>INDEX(MCC_Lookup!$B$2:$B$12,MATCH(G31,MCC_Lookup!$A$2:$A$12,0))</f>
        <v>Software</v>
      </c>
      <c r="N31" s="1" t="str">
        <f>IF(TRIM(H31)="","BLANK",IF(PROPER(TRIM(H31))=TRIM(M31),"MATCH","MISMATCH"))</f>
        <v>MATCH</v>
      </c>
      <c r="O31" s="5" t="str">
        <f>INDEX([1]Employee!$C$2:$C$276,MATCH(B31,[1]Employee!$A$2:$A$276,0))</f>
        <v>Sales &amp; Marketing</v>
      </c>
    </row>
    <row r="32" spans="1:16">
      <c r="A32" s="1" t="s">
        <v>143</v>
      </c>
      <c r="B32" s="1" t="s">
        <v>108</v>
      </c>
      <c r="C32" s="1" t="s">
        <v>144</v>
      </c>
      <c r="D32" s="2">
        <v>46023</v>
      </c>
      <c r="E32" s="2">
        <v>46027</v>
      </c>
      <c r="F32" s="1" t="s">
        <v>106</v>
      </c>
      <c r="G32" s="1" t="s">
        <v>13</v>
      </c>
      <c r="H32" s="1" t="s">
        <v>14</v>
      </c>
      <c r="I32" s="7">
        <v>167.3</v>
      </c>
      <c r="J32" s="1" t="s">
        <v>38</v>
      </c>
      <c r="K32" s="1"/>
      <c r="L32" s="1" t="s">
        <v>39</v>
      </c>
      <c r="M32" s="1" t="str">
        <f>INDEX(MCC_Lookup!$B$2:$B$12,MATCH(G32,MCC_Lookup!$A$2:$A$12,0))</f>
        <v>Software</v>
      </c>
      <c r="N32" s="1" t="str">
        <f>IF(TRIM(H32)="","BLANK",IF(PROPER(TRIM(H32))=TRIM(M32),"MATCH","MISMATCH"))</f>
        <v>MATCH</v>
      </c>
      <c r="O32" s="5" t="str">
        <f>INDEX([1]Employee!$C$2:$C$276,MATCH(B32,[1]Employee!$A$2:$A$276,0))</f>
        <v>Sales &amp; Marketing</v>
      </c>
    </row>
    <row r="33" spans="1:15">
      <c r="A33" s="1" t="s">
        <v>145</v>
      </c>
      <c r="B33" s="1" t="s">
        <v>146</v>
      </c>
      <c r="C33" s="1" t="s">
        <v>147</v>
      </c>
      <c r="D33" s="2">
        <v>46027</v>
      </c>
      <c r="E33" s="2">
        <v>46027</v>
      </c>
      <c r="F33" s="1" t="s">
        <v>52</v>
      </c>
      <c r="G33" s="1" t="s">
        <v>15</v>
      </c>
      <c r="H33" s="1" t="s">
        <v>16</v>
      </c>
      <c r="I33" s="7">
        <v>35.86</v>
      </c>
      <c r="J33" s="1" t="s">
        <v>38</v>
      </c>
      <c r="K33" s="1"/>
      <c r="L33" s="1" t="s">
        <v>39</v>
      </c>
      <c r="M33" s="1" t="str">
        <f>INDEX(MCC_Lookup!$B$2:$B$12,MATCH(G33,MCC_Lookup!$A$2:$A$12,0))</f>
        <v>Entertainment</v>
      </c>
      <c r="N33" s="1" t="str">
        <f>IF(TRIM(H33)="","BLANK",IF(PROPER(TRIM(H33))=TRIM(M33),"MATCH","MISMATCH"))</f>
        <v>MATCH</v>
      </c>
      <c r="O33" s="5" t="str">
        <f>INDEX([1]Employee!$C$2:$C$276,MATCH(B33,[1]Employee!$A$2:$A$276,0))</f>
        <v>HR &amp; Events</v>
      </c>
    </row>
    <row r="34" spans="1:15">
      <c r="A34" s="1" t="s">
        <v>148</v>
      </c>
      <c r="B34" s="1" t="s">
        <v>149</v>
      </c>
      <c r="C34" s="1" t="s">
        <v>150</v>
      </c>
      <c r="D34" s="2">
        <v>46024</v>
      </c>
      <c r="E34" s="2">
        <v>46027</v>
      </c>
      <c r="F34" s="1" t="s">
        <v>56</v>
      </c>
      <c r="G34" s="1" t="s">
        <v>4</v>
      </c>
      <c r="H34" s="1" t="s">
        <v>5</v>
      </c>
      <c r="I34" s="7">
        <v>592.91999999999996</v>
      </c>
      <c r="J34" s="1" t="s">
        <v>38</v>
      </c>
      <c r="K34" s="1"/>
      <c r="L34" s="1" t="s">
        <v>48</v>
      </c>
      <c r="M34" s="1" t="str">
        <f>INDEX(MCC_Lookup!$B$2:$B$12,MATCH(G34,MCC_Lookup!$A$2:$A$12,0))</f>
        <v>Travel</v>
      </c>
      <c r="N34" s="1" t="str">
        <f>IF(TRIM(H34)="","BLANK",IF(PROPER(TRIM(H34))=TRIM(M34),"MATCH","MISMATCH"))</f>
        <v>MATCH</v>
      </c>
      <c r="O34" s="5" t="str">
        <f>INDEX([1]Employee!$C$2:$C$276,MATCH(B34,[1]Employee!$A$2:$A$276,0))</f>
        <v>Sales &amp; Marketing</v>
      </c>
    </row>
    <row r="35" spans="1:15">
      <c r="A35" s="1" t="s">
        <v>151</v>
      </c>
      <c r="B35" s="1" t="s">
        <v>152</v>
      </c>
      <c r="C35" s="1" t="s">
        <v>153</v>
      </c>
      <c r="D35" s="2">
        <v>46025</v>
      </c>
      <c r="E35" s="2">
        <v>46028</v>
      </c>
      <c r="F35" s="1" t="s">
        <v>43</v>
      </c>
      <c r="G35" s="1" t="s">
        <v>2</v>
      </c>
      <c r="H35" s="1" t="s">
        <v>154</v>
      </c>
      <c r="I35" s="7">
        <v>15.94</v>
      </c>
      <c r="J35" s="1" t="s">
        <v>38</v>
      </c>
      <c r="K35" s="1"/>
      <c r="L35" s="1" t="s">
        <v>39</v>
      </c>
      <c r="M35" s="1" t="str">
        <f>INDEX(MCC_Lookup!$B$2:$B$12,MATCH(G35,MCC_Lookup!$A$2:$A$12,0))</f>
        <v>Meals</v>
      </c>
      <c r="N35" s="1" t="str">
        <f>IF(TRIM(H35)="","BLANK",IF(PROPER(TRIM(H35))=TRIM(M35),"MATCH","MISMATCH"))</f>
        <v>MATCH</v>
      </c>
      <c r="O35" s="5" t="str">
        <f>INDEX([1]Employee!$C$2:$C$276,MATCH(B35,[1]Employee!$A$2:$A$276,0))</f>
        <v>Sales &amp; Marketing</v>
      </c>
    </row>
    <row r="36" spans="1:15">
      <c r="A36" s="1" t="s">
        <v>155</v>
      </c>
      <c r="B36" s="1" t="s">
        <v>156</v>
      </c>
      <c r="C36" s="1" t="s">
        <v>157</v>
      </c>
      <c r="D36" s="2">
        <v>46025</v>
      </c>
      <c r="E36" s="2">
        <v>46028</v>
      </c>
      <c r="F36" s="1" t="s">
        <v>47</v>
      </c>
      <c r="G36" s="1" t="s">
        <v>6</v>
      </c>
      <c r="H36" s="1" t="s">
        <v>7</v>
      </c>
      <c r="I36" s="7">
        <v>291.45</v>
      </c>
      <c r="J36" s="1" t="s">
        <v>38</v>
      </c>
      <c r="K36" s="1"/>
      <c r="L36" s="1" t="s">
        <v>48</v>
      </c>
      <c r="M36" s="1" t="str">
        <f>INDEX(MCC_Lookup!$B$2:$B$12,MATCH(G36,MCC_Lookup!$A$2:$A$12,0))</f>
        <v>Lodging</v>
      </c>
      <c r="N36" s="1" t="str">
        <f>IF(TRIM(H36)="","BLANK",IF(PROPER(TRIM(H36))=TRIM(M36),"MATCH","MISMATCH"))</f>
        <v>MATCH</v>
      </c>
      <c r="O36" s="5" t="str">
        <f>INDEX([1]Employee!$C$2:$C$276,MATCH(B36,[1]Employee!$A$2:$A$276,0))</f>
        <v>Sales &amp; Marketing</v>
      </c>
    </row>
    <row r="37" spans="1:15">
      <c r="A37" s="1" t="s">
        <v>158</v>
      </c>
      <c r="B37" s="1" t="s">
        <v>159</v>
      </c>
      <c r="C37" s="1"/>
      <c r="D37" s="2">
        <v>46024</v>
      </c>
      <c r="E37" s="2">
        <v>46028</v>
      </c>
      <c r="F37" s="1" t="s">
        <v>160</v>
      </c>
      <c r="G37" s="1" t="s">
        <v>6</v>
      </c>
      <c r="H37" s="1" t="s">
        <v>7</v>
      </c>
      <c r="I37" s="7">
        <v>388.47</v>
      </c>
      <c r="J37" s="1" t="s">
        <v>111</v>
      </c>
      <c r="K37" s="1" t="s">
        <v>161</v>
      </c>
      <c r="L37" s="1" t="s">
        <v>39</v>
      </c>
      <c r="M37" s="1" t="str">
        <f>INDEX(MCC_Lookup!$B$2:$B$12,MATCH(G37,MCC_Lookup!$A$2:$A$12,0))</f>
        <v>Lodging</v>
      </c>
      <c r="N37" s="1" t="str">
        <f>IF(TRIM(H37)="","BLANK",IF(PROPER(TRIM(H37))=TRIM(M37),"MATCH","MISMATCH"))</f>
        <v>MATCH</v>
      </c>
      <c r="O37" s="5" t="str">
        <f>INDEX([1]Employee!$C$2:$C$276,MATCH(B37,[1]Employee!$A$2:$A$276,0))</f>
        <v>Actuarial &amp; Risk</v>
      </c>
    </row>
    <row r="38" spans="1:15">
      <c r="A38" s="1" t="s">
        <v>162</v>
      </c>
      <c r="B38" s="1" t="s">
        <v>163</v>
      </c>
      <c r="C38" s="1" t="s">
        <v>164</v>
      </c>
      <c r="D38" s="2">
        <v>46028</v>
      </c>
      <c r="E38" s="2">
        <v>46028</v>
      </c>
      <c r="F38" s="1" t="s">
        <v>92</v>
      </c>
      <c r="G38" s="1" t="s">
        <v>10</v>
      </c>
      <c r="H38" s="1" t="s">
        <v>11</v>
      </c>
      <c r="I38" s="7">
        <v>67.55</v>
      </c>
      <c r="J38" s="1" t="s">
        <v>38</v>
      </c>
      <c r="K38" s="1"/>
      <c r="L38" s="1" t="s">
        <v>39</v>
      </c>
      <c r="M38" s="1" t="str">
        <f>INDEX(MCC_Lookup!$B$2:$B$12,MATCH(G38,MCC_Lookup!$A$2:$A$12,0))</f>
        <v>Office Supplies</v>
      </c>
      <c r="N38" s="1" t="str">
        <f>IF(TRIM(H38)="","BLANK",IF(PROPER(TRIM(H38))=TRIM(M38),"MATCH","MISMATCH"))</f>
        <v>MATCH</v>
      </c>
      <c r="O38" s="5" t="str">
        <f>INDEX([1]Employee!$C$2:$C$276,MATCH(B38,[1]Employee!$A$2:$A$276,0))</f>
        <v>Customer Support</v>
      </c>
    </row>
    <row r="39" spans="1:15">
      <c r="A39" s="1" t="s">
        <v>165</v>
      </c>
      <c r="B39" s="1" t="s">
        <v>166</v>
      </c>
      <c r="C39" s="1" t="s">
        <v>167</v>
      </c>
      <c r="D39" s="2">
        <v>46023</v>
      </c>
      <c r="E39" s="2">
        <v>46028</v>
      </c>
      <c r="F39" s="1" t="s">
        <v>109</v>
      </c>
      <c r="G39" s="1" t="s">
        <v>18</v>
      </c>
      <c r="H39" s="1" t="s">
        <v>19</v>
      </c>
      <c r="I39" s="7">
        <v>96.39</v>
      </c>
      <c r="J39" s="1" t="s">
        <v>38</v>
      </c>
      <c r="K39" s="1"/>
      <c r="L39" s="1" t="s">
        <v>39</v>
      </c>
      <c r="M39" s="1" t="str">
        <f>INDEX(MCC_Lookup!$B$2:$B$12,MATCH(G39,MCC_Lookup!$A$2:$A$12,0))</f>
        <v>Events</v>
      </c>
      <c r="N39" s="1" t="str">
        <f>IF(TRIM(H39)="","BLANK",IF(PROPER(TRIM(H39))=TRIM(M39),"MATCH","MISMATCH"))</f>
        <v>MATCH</v>
      </c>
      <c r="O39" s="5" t="str">
        <f>INDEX([1]Employee!$C$2:$C$276,MATCH(B39,[1]Employee!$A$2:$A$276,0))</f>
        <v>Actuarial &amp; Risk</v>
      </c>
    </row>
    <row r="40" spans="1:15">
      <c r="A40" s="1" t="s">
        <v>168</v>
      </c>
      <c r="B40" s="1" t="s">
        <v>35</v>
      </c>
      <c r="C40" s="1" t="s">
        <v>169</v>
      </c>
      <c r="D40" s="2">
        <v>46028</v>
      </c>
      <c r="E40" s="2">
        <v>46028</v>
      </c>
      <c r="F40" s="1" t="s">
        <v>65</v>
      </c>
      <c r="G40" s="1" t="s">
        <v>18</v>
      </c>
      <c r="H40" s="1" t="s">
        <v>19</v>
      </c>
      <c r="I40" s="7">
        <v>448.47</v>
      </c>
      <c r="J40" s="1" t="s">
        <v>38</v>
      </c>
      <c r="K40" s="1"/>
      <c r="L40" s="1" t="s">
        <v>39</v>
      </c>
      <c r="M40" s="1" t="str">
        <f>INDEX(MCC_Lookup!$B$2:$B$12,MATCH(G40,MCC_Lookup!$A$2:$A$12,0))</f>
        <v>Events</v>
      </c>
      <c r="N40" s="1" t="str">
        <f>IF(TRIM(H40)="","BLANK",IF(PROPER(TRIM(H40))=TRIM(M40),"MATCH","MISMATCH"))</f>
        <v>MATCH</v>
      </c>
      <c r="O40" s="5" t="str">
        <f>INDEX([1]Employee!$C$2:$C$276,MATCH(B40,[1]Employee!$A$2:$A$276,0))</f>
        <v>Sales &amp; Marketing</v>
      </c>
    </row>
    <row r="41" spans="1:15">
      <c r="A41" s="1" t="s">
        <v>170</v>
      </c>
      <c r="B41" s="1" t="s">
        <v>171</v>
      </c>
      <c r="C41" s="1" t="s">
        <v>172</v>
      </c>
      <c r="D41" s="2">
        <v>46023</v>
      </c>
      <c r="E41" s="2">
        <v>46028</v>
      </c>
      <c r="F41" s="1" t="s">
        <v>173</v>
      </c>
      <c r="G41" s="1" t="s">
        <v>2</v>
      </c>
      <c r="H41" s="1" t="s">
        <v>3</v>
      </c>
      <c r="I41" s="7">
        <v>89.13</v>
      </c>
      <c r="J41" s="1" t="s">
        <v>38</v>
      </c>
      <c r="K41" s="1"/>
      <c r="L41" s="1" t="s">
        <v>39</v>
      </c>
      <c r="M41" s="1" t="str">
        <f>INDEX(MCC_Lookup!$B$2:$B$12,MATCH(G41,MCC_Lookup!$A$2:$A$12,0))</f>
        <v>Meals</v>
      </c>
      <c r="N41" s="1" t="str">
        <f>IF(TRIM(H41)="","BLANK",IF(PROPER(TRIM(H41))=TRIM(M41),"MATCH","MISMATCH"))</f>
        <v>MATCH</v>
      </c>
      <c r="O41" s="5" t="str">
        <f>INDEX([1]Employee!$C$2:$C$276,MATCH(B41,[1]Employee!$A$2:$A$276,0))</f>
        <v>Claims</v>
      </c>
    </row>
    <row r="42" spans="1:15">
      <c r="A42" s="1" t="s">
        <v>174</v>
      </c>
      <c r="B42" s="1" t="s">
        <v>175</v>
      </c>
      <c r="C42" s="1" t="s">
        <v>176</v>
      </c>
      <c r="D42" s="2">
        <v>46024</v>
      </c>
      <c r="E42" s="2">
        <v>46028</v>
      </c>
      <c r="F42" s="1" t="s">
        <v>177</v>
      </c>
      <c r="G42" s="1" t="s">
        <v>13</v>
      </c>
      <c r="H42" s="1" t="s">
        <v>14</v>
      </c>
      <c r="I42" s="7">
        <v>68.87</v>
      </c>
      <c r="J42" s="1" t="s">
        <v>38</v>
      </c>
      <c r="K42" s="1"/>
      <c r="L42" s="1" t="s">
        <v>39</v>
      </c>
      <c r="M42" s="1" t="str">
        <f>INDEX(MCC_Lookup!$B$2:$B$12,MATCH(G42,MCC_Lookup!$A$2:$A$12,0))</f>
        <v>Software</v>
      </c>
      <c r="N42" s="1" t="str">
        <f>IF(TRIM(H42)="","BLANK",IF(PROPER(TRIM(H42))=TRIM(M42),"MATCH","MISMATCH"))</f>
        <v>MATCH</v>
      </c>
      <c r="O42" s="5" t="str">
        <f>INDEX([1]Employee!$C$2:$C$276,MATCH(B42,[1]Employee!$A$2:$A$276,0))</f>
        <v>Claims</v>
      </c>
    </row>
    <row r="43" spans="1:15">
      <c r="A43" s="1" t="s">
        <v>178</v>
      </c>
      <c r="B43" s="1" t="s">
        <v>179</v>
      </c>
      <c r="C43" s="1" t="s">
        <v>180</v>
      </c>
      <c r="D43" s="2">
        <v>46026</v>
      </c>
      <c r="E43" s="2">
        <v>46028</v>
      </c>
      <c r="F43" s="1" t="s">
        <v>106</v>
      </c>
      <c r="G43" s="1" t="s">
        <v>13</v>
      </c>
      <c r="H43" s="1" t="s">
        <v>14</v>
      </c>
      <c r="I43" s="7">
        <v>111.59</v>
      </c>
      <c r="J43" s="1" t="s">
        <v>38</v>
      </c>
      <c r="K43" s="1"/>
      <c r="L43" s="1" t="s">
        <v>39</v>
      </c>
      <c r="M43" s="1" t="str">
        <f>INDEX(MCC_Lookup!$B$2:$B$12,MATCH(G43,MCC_Lookup!$A$2:$A$12,0))</f>
        <v>Software</v>
      </c>
      <c r="N43" s="1" t="str">
        <f>IF(TRIM(H43)="","BLANK",IF(PROPER(TRIM(H43))=TRIM(M43),"MATCH","MISMATCH"))</f>
        <v>MATCH</v>
      </c>
      <c r="O43" s="5" t="str">
        <f>INDEX([1]Employee!$C$2:$C$276,MATCH(B43,[1]Employee!$A$2:$A$276,0))</f>
        <v>Claims</v>
      </c>
    </row>
    <row r="44" spans="1:15">
      <c r="A44" s="1" t="s">
        <v>181</v>
      </c>
      <c r="B44" s="1" t="s">
        <v>182</v>
      </c>
      <c r="C44" s="1" t="s">
        <v>183</v>
      </c>
      <c r="D44" s="2">
        <v>46028</v>
      </c>
      <c r="E44" s="2">
        <v>46028</v>
      </c>
      <c r="F44" s="1" t="s">
        <v>106</v>
      </c>
      <c r="G44" s="1" t="s">
        <v>13</v>
      </c>
      <c r="H44" s="1" t="s">
        <v>14</v>
      </c>
      <c r="I44" s="7">
        <v>245.93</v>
      </c>
      <c r="J44" s="1" t="s">
        <v>38</v>
      </c>
      <c r="K44" s="1"/>
      <c r="L44" s="1" t="s">
        <v>39</v>
      </c>
      <c r="M44" s="1" t="str">
        <f>INDEX(MCC_Lookup!$B$2:$B$12,MATCH(G44,MCC_Lookup!$A$2:$A$12,0))</f>
        <v>Software</v>
      </c>
      <c r="N44" s="1" t="str">
        <f>IF(TRIM(H44)="","BLANK",IF(PROPER(TRIM(H44))=TRIM(M44),"MATCH","MISMATCH"))</f>
        <v>MATCH</v>
      </c>
      <c r="O44" s="5" t="str">
        <f>INDEX([1]Employee!$C$2:$C$276,MATCH(B44,[1]Employee!$A$2:$A$276,0))</f>
        <v>Sales &amp; Marketing</v>
      </c>
    </row>
    <row r="45" spans="1:15">
      <c r="A45" s="1" t="s">
        <v>184</v>
      </c>
      <c r="B45" s="1" t="s">
        <v>185</v>
      </c>
      <c r="C45" s="1"/>
      <c r="D45" s="2">
        <v>46027</v>
      </c>
      <c r="E45" s="2">
        <v>46029</v>
      </c>
      <c r="F45" s="1" t="s">
        <v>83</v>
      </c>
      <c r="G45" s="1" t="s">
        <v>2</v>
      </c>
      <c r="H45" s="1" t="s">
        <v>3</v>
      </c>
      <c r="I45" s="7">
        <v>22.74</v>
      </c>
      <c r="J45" s="1" t="s">
        <v>38</v>
      </c>
      <c r="K45" s="1"/>
      <c r="L45" s="1" t="s">
        <v>39</v>
      </c>
      <c r="M45" s="1" t="str">
        <f>INDEX(MCC_Lookup!$B$2:$B$12,MATCH(G45,MCC_Lookup!$A$2:$A$12,0))</f>
        <v>Meals</v>
      </c>
      <c r="N45" s="1" t="str">
        <f>IF(TRIM(H45)="","BLANK",IF(PROPER(TRIM(H45))=TRIM(M45),"MATCH","MISMATCH"))</f>
        <v>MATCH</v>
      </c>
      <c r="O45" s="5" t="str">
        <f>INDEX([1]Employee!$C$2:$C$276,MATCH(B45,[1]Employee!$A$2:$A$276,0))</f>
        <v>Underwriting</v>
      </c>
    </row>
    <row r="46" spans="1:15">
      <c r="A46" s="1" t="s">
        <v>186</v>
      </c>
      <c r="B46" s="1" t="s">
        <v>187</v>
      </c>
      <c r="C46" s="1" t="s">
        <v>188</v>
      </c>
      <c r="D46" s="2">
        <v>46029</v>
      </c>
      <c r="E46" s="2">
        <v>46029</v>
      </c>
      <c r="F46" s="1" t="s">
        <v>47</v>
      </c>
      <c r="G46" s="1" t="s">
        <v>6</v>
      </c>
      <c r="H46" s="1" t="s">
        <v>7</v>
      </c>
      <c r="I46" s="7">
        <v>233.08</v>
      </c>
      <c r="J46" s="1" t="s">
        <v>38</v>
      </c>
      <c r="K46" s="1"/>
      <c r="L46" s="1" t="s">
        <v>39</v>
      </c>
      <c r="M46" s="1" t="str">
        <f>INDEX(MCC_Lookup!$B$2:$B$12,MATCH(G46,MCC_Lookup!$A$2:$A$12,0))</f>
        <v>Lodging</v>
      </c>
      <c r="N46" s="1" t="str">
        <f>IF(TRIM(H46)="","BLANK",IF(PROPER(TRIM(H46))=TRIM(M46),"MATCH","MISMATCH"))</f>
        <v>MATCH</v>
      </c>
      <c r="O46" s="5" t="str">
        <f>INDEX([1]Employee!$C$2:$C$276,MATCH(B46,[1]Employee!$A$2:$A$276,0))</f>
        <v>HR &amp; Events</v>
      </c>
    </row>
    <row r="47" spans="1:15">
      <c r="A47" s="1" t="s">
        <v>189</v>
      </c>
      <c r="B47" s="1" t="s">
        <v>190</v>
      </c>
      <c r="C47" s="1" t="s">
        <v>191</v>
      </c>
      <c r="D47" s="2">
        <v>46024</v>
      </c>
      <c r="E47" s="2">
        <v>46029</v>
      </c>
      <c r="F47" s="1" t="s">
        <v>79</v>
      </c>
      <c r="G47" s="1" t="s">
        <v>13</v>
      </c>
      <c r="H47" s="1" t="s">
        <v>192</v>
      </c>
      <c r="I47" s="7">
        <v>151.16</v>
      </c>
      <c r="J47" s="1" t="s">
        <v>38</v>
      </c>
      <c r="K47" s="1"/>
      <c r="L47" s="1" t="s">
        <v>48</v>
      </c>
      <c r="M47" s="1" t="str">
        <f>INDEX(MCC_Lookup!$B$2:$B$12,MATCH(G47,MCC_Lookup!$A$2:$A$12,0))</f>
        <v>Software</v>
      </c>
      <c r="N47" s="1" t="str">
        <f>IF(TRIM(H47)="","BLANK",IF(PROPER(TRIM(H47))=TRIM(M47),"MATCH","MISMATCH"))</f>
        <v>MATCH</v>
      </c>
      <c r="O47" s="5" t="str">
        <f>INDEX([1]Employee!$C$2:$C$276,MATCH(B47,[1]Employee!$A$2:$A$276,0))</f>
        <v>Sales &amp; Marketing</v>
      </c>
    </row>
    <row r="48" spans="1:15">
      <c r="A48" s="1" t="s">
        <v>193</v>
      </c>
      <c r="B48" s="1" t="s">
        <v>194</v>
      </c>
      <c r="C48" s="1"/>
      <c r="D48" s="2">
        <v>46023</v>
      </c>
      <c r="E48" s="2">
        <v>46029</v>
      </c>
      <c r="F48" s="1" t="s">
        <v>109</v>
      </c>
      <c r="G48" s="1" t="s">
        <v>18</v>
      </c>
      <c r="H48" s="1" t="s">
        <v>19</v>
      </c>
      <c r="I48" s="7">
        <v>273.52999999999997</v>
      </c>
      <c r="J48" s="1" t="s">
        <v>111</v>
      </c>
      <c r="K48" s="1" t="s">
        <v>112</v>
      </c>
      <c r="L48" s="1" t="s">
        <v>39</v>
      </c>
      <c r="M48" s="1" t="str">
        <f>INDEX(MCC_Lookup!$B$2:$B$12,MATCH(G48,MCC_Lookup!$A$2:$A$12,0))</f>
        <v>Events</v>
      </c>
      <c r="N48" s="1" t="str">
        <f>IF(TRIM(H48)="","BLANK",IF(PROPER(TRIM(H48))=TRIM(M48),"MATCH","MISMATCH"))</f>
        <v>MATCH</v>
      </c>
      <c r="O48" s="5" t="str">
        <f>INDEX([1]Employee!$C$2:$C$276,MATCH(B48,[1]Employee!$A$2:$A$276,0))</f>
        <v>Claims</v>
      </c>
    </row>
    <row r="49" spans="1:15">
      <c r="A49" s="1" t="s">
        <v>195</v>
      </c>
      <c r="B49" s="1" t="s">
        <v>196</v>
      </c>
      <c r="C49" s="1" t="s">
        <v>197</v>
      </c>
      <c r="D49" s="2">
        <v>46028</v>
      </c>
      <c r="E49" s="2">
        <v>46029</v>
      </c>
      <c r="F49" s="1" t="s">
        <v>56</v>
      </c>
      <c r="G49" s="1" t="s">
        <v>4</v>
      </c>
      <c r="H49" s="1" t="s">
        <v>5</v>
      </c>
      <c r="I49" s="7">
        <v>505.69</v>
      </c>
      <c r="J49" s="1" t="s">
        <v>38</v>
      </c>
      <c r="K49" s="1"/>
      <c r="L49" s="1" t="s">
        <v>39</v>
      </c>
      <c r="M49" s="1" t="str">
        <f>INDEX(MCC_Lookup!$B$2:$B$12,MATCH(G49,MCC_Lookup!$A$2:$A$12,0))</f>
        <v>Travel</v>
      </c>
      <c r="N49" s="1" t="str">
        <f>IF(TRIM(H49)="","BLANK",IF(PROPER(TRIM(H49))=TRIM(M49),"MATCH","MISMATCH"))</f>
        <v>MATCH</v>
      </c>
      <c r="O49" s="5" t="str">
        <f>INDEX([1]Employee!$C$2:$C$276,MATCH(B49,[1]Employee!$A$2:$A$276,0))</f>
        <v>Sales &amp; Marketing</v>
      </c>
    </row>
    <row r="50" spans="1:15">
      <c r="A50" s="1" t="s">
        <v>198</v>
      </c>
      <c r="B50" s="1" t="s">
        <v>199</v>
      </c>
      <c r="C50" s="1" t="s">
        <v>200</v>
      </c>
      <c r="D50" s="2">
        <v>46026</v>
      </c>
      <c r="E50" s="2">
        <v>46029</v>
      </c>
      <c r="F50" s="1" t="s">
        <v>201</v>
      </c>
      <c r="G50" s="1" t="s">
        <v>4</v>
      </c>
      <c r="H50" s="1" t="s">
        <v>5</v>
      </c>
      <c r="I50" s="7">
        <v>249.64</v>
      </c>
      <c r="J50" s="1" t="s">
        <v>38</v>
      </c>
      <c r="K50" s="1"/>
      <c r="L50" s="1" t="s">
        <v>39</v>
      </c>
      <c r="M50" s="1" t="str">
        <f>INDEX(MCC_Lookup!$B$2:$B$12,MATCH(G50,MCC_Lookup!$A$2:$A$12,0))</f>
        <v>Travel</v>
      </c>
      <c r="N50" s="1" t="str">
        <f>IF(TRIM(H50)="","BLANK",IF(PROPER(TRIM(H50))=TRIM(M50),"MATCH","MISMATCH"))</f>
        <v>MATCH</v>
      </c>
      <c r="O50" s="5" t="str">
        <f>INDEX([1]Employee!$C$2:$C$276,MATCH(B50,[1]Employee!$A$2:$A$276,0))</f>
        <v>Sales &amp; Marketing</v>
      </c>
    </row>
    <row r="51" spans="1:15">
      <c r="A51" s="1" t="s">
        <v>202</v>
      </c>
      <c r="B51" s="1" t="s">
        <v>203</v>
      </c>
      <c r="C51" s="1" t="s">
        <v>204</v>
      </c>
      <c r="D51" s="2">
        <v>46025</v>
      </c>
      <c r="E51" s="2">
        <v>46029</v>
      </c>
      <c r="F51" s="1" t="s">
        <v>205</v>
      </c>
      <c r="G51" s="1" t="s">
        <v>2</v>
      </c>
      <c r="H51" s="1" t="s">
        <v>3</v>
      </c>
      <c r="I51" s="7">
        <v>24.98</v>
      </c>
      <c r="J51" s="1" t="s">
        <v>38</v>
      </c>
      <c r="K51" s="1"/>
      <c r="L51" s="1" t="s">
        <v>39</v>
      </c>
      <c r="M51" s="1" t="str">
        <f>INDEX(MCC_Lookup!$B$2:$B$12,MATCH(G51,MCC_Lookup!$A$2:$A$12,0))</f>
        <v>Meals</v>
      </c>
      <c r="N51" s="1" t="str">
        <f>IF(TRIM(H51)="","BLANK",IF(PROPER(TRIM(H51))=TRIM(M51),"MATCH","MISMATCH"))</f>
        <v>MATCH</v>
      </c>
      <c r="O51" s="5" t="str">
        <f>INDEX([1]Employee!$C$2:$C$276,MATCH(B51,[1]Employee!$A$2:$A$276,0))</f>
        <v>Finance</v>
      </c>
    </row>
    <row r="52" spans="1:15">
      <c r="A52" s="1" t="s">
        <v>206</v>
      </c>
      <c r="B52" s="1" t="s">
        <v>207</v>
      </c>
      <c r="C52" s="1" t="s">
        <v>208</v>
      </c>
      <c r="D52" s="2">
        <v>46024</v>
      </c>
      <c r="E52" s="2">
        <v>46029</v>
      </c>
      <c r="F52" s="1" t="s">
        <v>56</v>
      </c>
      <c r="G52" s="1" t="s">
        <v>4</v>
      </c>
      <c r="H52" s="1" t="s">
        <v>5</v>
      </c>
      <c r="I52" s="7">
        <v>273.64</v>
      </c>
      <c r="J52" s="1" t="s">
        <v>38</v>
      </c>
      <c r="K52" s="1"/>
      <c r="L52" s="1" t="s">
        <v>39</v>
      </c>
      <c r="M52" s="1" t="str">
        <f>INDEX(MCC_Lookup!$B$2:$B$12,MATCH(G52,MCC_Lookup!$A$2:$A$12,0))</f>
        <v>Travel</v>
      </c>
      <c r="N52" s="1" t="str">
        <f>IF(TRIM(H52)="","BLANK",IF(PROPER(TRIM(H52))=TRIM(M52),"MATCH","MISMATCH"))</f>
        <v>MATCH</v>
      </c>
      <c r="O52" s="5" t="str">
        <f>INDEX([1]Employee!$C$2:$C$276,MATCH(B52,[1]Employee!$A$2:$A$276,0))</f>
        <v>Claims</v>
      </c>
    </row>
    <row r="53" spans="1:15">
      <c r="A53" s="1" t="s">
        <v>209</v>
      </c>
      <c r="B53" s="1" t="s">
        <v>210</v>
      </c>
      <c r="C53" s="1" t="s">
        <v>211</v>
      </c>
      <c r="D53" s="2">
        <v>46029</v>
      </c>
      <c r="E53" s="2">
        <v>46029</v>
      </c>
      <c r="F53" s="1" t="s">
        <v>177</v>
      </c>
      <c r="G53" s="1" t="s">
        <v>13</v>
      </c>
      <c r="H53" s="1" t="s">
        <v>14</v>
      </c>
      <c r="I53" s="7">
        <v>66.44</v>
      </c>
      <c r="J53" s="1" t="s">
        <v>38</v>
      </c>
      <c r="K53" s="1"/>
      <c r="L53" s="1" t="s">
        <v>39</v>
      </c>
      <c r="M53" s="1" t="str">
        <f>INDEX(MCC_Lookup!$B$2:$B$12,MATCH(G53,MCC_Lookup!$A$2:$A$12,0))</f>
        <v>Software</v>
      </c>
      <c r="N53" s="1" t="str">
        <f>IF(TRIM(H53)="","BLANK",IF(PROPER(TRIM(H53))=TRIM(M53),"MATCH","MISMATCH"))</f>
        <v>MATCH</v>
      </c>
      <c r="O53" s="5" t="str">
        <f>INDEX([1]Employee!$C$2:$C$276,MATCH(B53,[1]Employee!$A$2:$A$276,0))</f>
        <v>Sales &amp; Marketing</v>
      </c>
    </row>
    <row r="54" spans="1:15">
      <c r="A54" s="1" t="s">
        <v>212</v>
      </c>
      <c r="B54" s="1" t="s">
        <v>149</v>
      </c>
      <c r="C54" s="1" t="s">
        <v>213</v>
      </c>
      <c r="D54" s="2">
        <v>46023</v>
      </c>
      <c r="E54" s="2">
        <v>46029</v>
      </c>
      <c r="F54" s="1" t="s">
        <v>214</v>
      </c>
      <c r="G54" s="1" t="s">
        <v>2</v>
      </c>
      <c r="H54" s="1" t="s">
        <v>3</v>
      </c>
      <c r="I54" s="7">
        <v>20.53</v>
      </c>
      <c r="J54" s="1" t="s">
        <v>38</v>
      </c>
      <c r="K54" s="1"/>
      <c r="L54" s="1" t="s">
        <v>48</v>
      </c>
      <c r="M54" s="1" t="str">
        <f>INDEX(MCC_Lookup!$B$2:$B$12,MATCH(G54,MCC_Lookup!$A$2:$A$12,0))</f>
        <v>Meals</v>
      </c>
      <c r="N54" s="1" t="str">
        <f>IF(TRIM(H54)="","BLANK",IF(PROPER(TRIM(H54))=TRIM(M54),"MATCH","MISMATCH"))</f>
        <v>MATCH</v>
      </c>
      <c r="O54" s="5" t="str">
        <f>INDEX([1]Employee!$C$2:$C$276,MATCH(B54,[1]Employee!$A$2:$A$276,0))</f>
        <v>Sales &amp; Marketing</v>
      </c>
    </row>
    <row r="55" spans="1:15">
      <c r="A55" s="1" t="s">
        <v>215</v>
      </c>
      <c r="B55" s="1" t="s">
        <v>216</v>
      </c>
      <c r="C55" s="1" t="s">
        <v>217</v>
      </c>
      <c r="D55" s="2">
        <v>46028</v>
      </c>
      <c r="E55" s="2">
        <v>46029</v>
      </c>
      <c r="F55" s="1" t="s">
        <v>116</v>
      </c>
      <c r="G55" s="1" t="s">
        <v>2</v>
      </c>
      <c r="H55" s="1" t="s">
        <v>3</v>
      </c>
      <c r="I55" s="7">
        <v>12.78</v>
      </c>
      <c r="J55" s="1" t="s">
        <v>38</v>
      </c>
      <c r="K55" s="1"/>
      <c r="L55" s="1" t="s">
        <v>39</v>
      </c>
      <c r="M55" s="1" t="str">
        <f>INDEX(MCC_Lookup!$B$2:$B$12,MATCH(G55,MCC_Lookup!$A$2:$A$12,0))</f>
        <v>Meals</v>
      </c>
      <c r="N55" s="1" t="str">
        <f>IF(TRIM(H55)="","BLANK",IF(PROPER(TRIM(H55))=TRIM(M55),"MATCH","MISMATCH"))</f>
        <v>MATCH</v>
      </c>
      <c r="O55" s="5" t="str">
        <f>INDEX([1]Employee!$C$2:$C$276,MATCH(B55,[1]Employee!$A$2:$A$276,0))</f>
        <v>Sales &amp; Marketing</v>
      </c>
    </row>
    <row r="56" spans="1:15">
      <c r="A56" s="1" t="s">
        <v>218</v>
      </c>
      <c r="B56" s="1" t="s">
        <v>219</v>
      </c>
      <c r="C56" s="1" t="s">
        <v>220</v>
      </c>
      <c r="D56" s="2">
        <v>46023</v>
      </c>
      <c r="E56" s="2">
        <v>46030</v>
      </c>
      <c r="F56" s="1" t="s">
        <v>120</v>
      </c>
      <c r="G56" s="1" t="s">
        <v>12</v>
      </c>
      <c r="H56" s="1" t="s">
        <v>11</v>
      </c>
      <c r="I56" s="7">
        <v>84.02</v>
      </c>
      <c r="J56" s="1" t="s">
        <v>38</v>
      </c>
      <c r="K56" s="1"/>
      <c r="L56" s="1" t="s">
        <v>48</v>
      </c>
      <c r="M56" s="1" t="str">
        <f>INDEX(MCC_Lookup!$B$2:$B$12,MATCH(G56,MCC_Lookup!$A$2:$A$12,0))</f>
        <v>Office Supplies</v>
      </c>
      <c r="N56" s="1" t="str">
        <f>IF(TRIM(H56)="","BLANK",IF(PROPER(TRIM(H56))=TRIM(M56),"MATCH","MISMATCH"))</f>
        <v>MATCH</v>
      </c>
      <c r="O56" s="5" t="str">
        <f>INDEX([1]Employee!$C$2:$C$276,MATCH(B56,[1]Employee!$A$2:$A$276,0))</f>
        <v>Underwriting</v>
      </c>
    </row>
    <row r="57" spans="1:15">
      <c r="A57" s="1" t="s">
        <v>221</v>
      </c>
      <c r="B57" s="1" t="s">
        <v>219</v>
      </c>
      <c r="C57" s="1" t="s">
        <v>222</v>
      </c>
      <c r="D57" s="2">
        <v>46028</v>
      </c>
      <c r="E57" s="2">
        <v>46030</v>
      </c>
      <c r="F57" s="1" t="s">
        <v>109</v>
      </c>
      <c r="G57" s="1" t="s">
        <v>18</v>
      </c>
      <c r="H57" s="1"/>
      <c r="I57" s="7">
        <v>123.85</v>
      </c>
      <c r="J57" s="1" t="s">
        <v>38</v>
      </c>
      <c r="K57" s="1"/>
      <c r="L57" s="1" t="s">
        <v>39</v>
      </c>
      <c r="M57" s="1" t="str">
        <f>INDEX(MCC_Lookup!$B$2:$B$12,MATCH(G57,MCC_Lookup!$A$2:$A$12,0))</f>
        <v>Events</v>
      </c>
      <c r="N57" s="1" t="str">
        <f>IF(TRIM(H57)="","BLANK",IF(PROPER(TRIM(H57))=TRIM(M57),"MATCH","MISMATCH"))</f>
        <v>BLANK</v>
      </c>
      <c r="O57" s="5" t="str">
        <f>INDEX([1]Employee!$C$2:$C$276,MATCH(B57,[1]Employee!$A$2:$A$276,0))</f>
        <v>Underwriting</v>
      </c>
    </row>
    <row r="58" spans="1:15">
      <c r="A58" s="1" t="s">
        <v>223</v>
      </c>
      <c r="B58" s="1" t="s">
        <v>224</v>
      </c>
      <c r="C58" s="1" t="s">
        <v>225</v>
      </c>
      <c r="D58" s="2">
        <v>46030</v>
      </c>
      <c r="E58" s="2">
        <v>46030</v>
      </c>
      <c r="F58" s="1" t="s">
        <v>201</v>
      </c>
      <c r="G58" s="1" t="s">
        <v>4</v>
      </c>
      <c r="H58" s="1"/>
      <c r="I58" s="7">
        <v>327.71</v>
      </c>
      <c r="J58" s="1" t="s">
        <v>38</v>
      </c>
      <c r="K58" s="1"/>
      <c r="L58" s="1" t="s">
        <v>39</v>
      </c>
      <c r="M58" s="1" t="str">
        <f>INDEX(MCC_Lookup!$B$2:$B$12,MATCH(G58,MCC_Lookup!$A$2:$A$12,0))</f>
        <v>Travel</v>
      </c>
      <c r="N58" s="1" t="str">
        <f>IF(TRIM(H58)="","BLANK",IF(PROPER(TRIM(H58))=TRIM(M58),"MATCH","MISMATCH"))</f>
        <v>BLANK</v>
      </c>
      <c r="O58" s="5" t="str">
        <f>INDEX([1]Employee!$C$2:$C$276,MATCH(B58,[1]Employee!$A$2:$A$276,0))</f>
        <v>Finance</v>
      </c>
    </row>
    <row r="59" spans="1:15">
      <c r="A59" s="1" t="s">
        <v>226</v>
      </c>
      <c r="B59" s="1" t="s">
        <v>227</v>
      </c>
      <c r="C59" s="1"/>
      <c r="D59" s="2">
        <v>46027</v>
      </c>
      <c r="E59" s="2">
        <v>46030</v>
      </c>
      <c r="F59" s="1" t="s">
        <v>47</v>
      </c>
      <c r="G59" s="1" t="s">
        <v>6</v>
      </c>
      <c r="H59" s="1" t="s">
        <v>228</v>
      </c>
      <c r="I59" s="7">
        <v>411.66</v>
      </c>
      <c r="J59" s="1" t="s">
        <v>111</v>
      </c>
      <c r="K59" s="1" t="s">
        <v>229</v>
      </c>
      <c r="L59" s="1" t="s">
        <v>39</v>
      </c>
      <c r="M59" s="1" t="str">
        <f>INDEX(MCC_Lookup!$B$2:$B$12,MATCH(G59,MCC_Lookup!$A$2:$A$12,0))</f>
        <v>Lodging</v>
      </c>
      <c r="N59" s="1" t="str">
        <f>IF(TRIM(H59)="","BLANK",IF(PROPER(TRIM(H59))=TRIM(M59),"MATCH","MISMATCH"))</f>
        <v>MATCH</v>
      </c>
      <c r="O59" s="5" t="str">
        <f>INDEX([1]Employee!$C$2:$C$276,MATCH(B59,[1]Employee!$A$2:$A$276,0))</f>
        <v>Claims</v>
      </c>
    </row>
    <row r="60" spans="1:15">
      <c r="A60" s="1" t="s">
        <v>230</v>
      </c>
      <c r="B60" s="1" t="s">
        <v>231</v>
      </c>
      <c r="C60" s="1" t="s">
        <v>232</v>
      </c>
      <c r="D60" s="2">
        <v>46023</v>
      </c>
      <c r="E60" s="2">
        <v>46030</v>
      </c>
      <c r="F60" s="1" t="s">
        <v>233</v>
      </c>
      <c r="G60" s="1" t="s">
        <v>2</v>
      </c>
      <c r="H60" s="1" t="s">
        <v>3</v>
      </c>
      <c r="I60" s="7">
        <v>13.15</v>
      </c>
      <c r="J60" s="1" t="s">
        <v>38</v>
      </c>
      <c r="K60" s="1"/>
      <c r="L60" s="1" t="s">
        <v>39</v>
      </c>
      <c r="M60" s="1" t="str">
        <f>INDEX(MCC_Lookup!$B$2:$B$12,MATCH(G60,MCC_Lookup!$A$2:$A$12,0))</f>
        <v>Meals</v>
      </c>
      <c r="N60" s="1" t="str">
        <f>IF(TRIM(H60)="","BLANK",IF(PROPER(TRIM(H60))=TRIM(M60),"MATCH","MISMATCH"))</f>
        <v>MATCH</v>
      </c>
      <c r="O60" s="5" t="str">
        <f>INDEX([1]Employee!$C$2:$C$276,MATCH(B60,[1]Employee!$A$2:$A$276,0))</f>
        <v>Finance</v>
      </c>
    </row>
    <row r="61" spans="1:15">
      <c r="A61" s="1" t="s">
        <v>234</v>
      </c>
      <c r="B61" s="1" t="s">
        <v>199</v>
      </c>
      <c r="C61" s="1"/>
      <c r="D61" s="2">
        <v>46026</v>
      </c>
      <c r="E61" s="2">
        <v>46030</v>
      </c>
      <c r="F61" s="1" t="s">
        <v>99</v>
      </c>
      <c r="G61" s="1" t="s">
        <v>2</v>
      </c>
      <c r="H61" s="1" t="s">
        <v>3</v>
      </c>
      <c r="I61" s="7">
        <v>38.08</v>
      </c>
      <c r="J61" s="1" t="s">
        <v>38</v>
      </c>
      <c r="K61" s="1"/>
      <c r="L61" s="1" t="s">
        <v>39</v>
      </c>
      <c r="M61" s="1" t="str">
        <f>INDEX(MCC_Lookup!$B$2:$B$12,MATCH(G61,MCC_Lookup!$A$2:$A$12,0))</f>
        <v>Meals</v>
      </c>
      <c r="N61" s="1" t="str">
        <f>IF(TRIM(H61)="","BLANK",IF(PROPER(TRIM(H61))=TRIM(M61),"MATCH","MISMATCH"))</f>
        <v>MATCH</v>
      </c>
      <c r="O61" s="5" t="str">
        <f>INDEX([1]Employee!$C$2:$C$276,MATCH(B61,[1]Employee!$A$2:$A$276,0))</f>
        <v>Sales &amp; Marketing</v>
      </c>
    </row>
    <row r="62" spans="1:15">
      <c r="A62" s="1" t="s">
        <v>235</v>
      </c>
      <c r="B62" s="1" t="s">
        <v>199</v>
      </c>
      <c r="C62" s="1" t="s">
        <v>236</v>
      </c>
      <c r="D62" s="2">
        <v>46023</v>
      </c>
      <c r="E62" s="2">
        <v>46030</v>
      </c>
      <c r="F62" s="1" t="s">
        <v>52</v>
      </c>
      <c r="G62" s="1" t="s">
        <v>15</v>
      </c>
      <c r="H62" s="1" t="s">
        <v>16</v>
      </c>
      <c r="I62" s="7">
        <v>43.27</v>
      </c>
      <c r="J62" s="1" t="s">
        <v>38</v>
      </c>
      <c r="K62" s="1"/>
      <c r="L62" s="1" t="s">
        <v>39</v>
      </c>
      <c r="M62" s="1" t="str">
        <f>INDEX(MCC_Lookup!$B$2:$B$12,MATCH(G62,MCC_Lookup!$A$2:$A$12,0))</f>
        <v>Entertainment</v>
      </c>
      <c r="N62" s="1" t="str">
        <f>IF(TRIM(H62)="","BLANK",IF(PROPER(TRIM(H62))=TRIM(M62),"MATCH","MISMATCH"))</f>
        <v>MATCH</v>
      </c>
      <c r="O62" s="5" t="str">
        <f>INDEX([1]Employee!$C$2:$C$276,MATCH(B62,[1]Employee!$A$2:$A$276,0))</f>
        <v>Sales &amp; Marketing</v>
      </c>
    </row>
    <row r="63" spans="1:15">
      <c r="A63" s="1" t="s">
        <v>237</v>
      </c>
      <c r="B63" s="1" t="s">
        <v>54</v>
      </c>
      <c r="C63" s="1" t="s">
        <v>238</v>
      </c>
      <c r="D63" s="2">
        <v>46023</v>
      </c>
      <c r="E63" s="2">
        <v>46030</v>
      </c>
      <c r="F63" s="1" t="s">
        <v>106</v>
      </c>
      <c r="G63" s="1" t="s">
        <v>13</v>
      </c>
      <c r="H63" s="1" t="s">
        <v>19</v>
      </c>
      <c r="I63" s="7">
        <v>172.49</v>
      </c>
      <c r="J63" s="1" t="s">
        <v>38</v>
      </c>
      <c r="K63" s="1"/>
      <c r="L63" s="1" t="s">
        <v>39</v>
      </c>
      <c r="M63" s="1" t="str">
        <f>INDEX(MCC_Lookup!$B$2:$B$12,MATCH(G63,MCC_Lookup!$A$2:$A$12,0))</f>
        <v>Software</v>
      </c>
      <c r="N63" s="1" t="str">
        <f>IF(TRIM(H63)="","BLANK",IF(PROPER(TRIM(H63))=TRIM(M63),"MATCH","MISMATCH"))</f>
        <v>MISMATCH</v>
      </c>
      <c r="O63" s="5" t="str">
        <f>INDEX([1]Employee!$C$2:$C$276,MATCH(B63,[1]Employee!$A$2:$A$276,0))</f>
        <v>Sales &amp; Marketing</v>
      </c>
    </row>
    <row r="64" spans="1:15">
      <c r="A64" s="1" t="s">
        <v>239</v>
      </c>
      <c r="B64" s="1" t="s">
        <v>240</v>
      </c>
      <c r="C64" s="1" t="s">
        <v>241</v>
      </c>
      <c r="D64" s="2">
        <v>46030</v>
      </c>
      <c r="E64" s="2">
        <v>46030</v>
      </c>
      <c r="F64" s="1" t="s">
        <v>242</v>
      </c>
      <c r="G64" s="1" t="s">
        <v>13</v>
      </c>
      <c r="H64" s="1"/>
      <c r="I64" s="7">
        <v>18.260000000000002</v>
      </c>
      <c r="J64" s="1" t="s">
        <v>38</v>
      </c>
      <c r="K64" s="1"/>
      <c r="L64" s="1" t="s">
        <v>48</v>
      </c>
      <c r="M64" s="1" t="str">
        <f>INDEX(MCC_Lookup!$B$2:$B$12,MATCH(G64,MCC_Lookup!$A$2:$A$12,0))</f>
        <v>Software</v>
      </c>
      <c r="N64" s="1" t="str">
        <f>IF(TRIM(H64)="","BLANK",IF(PROPER(TRIM(H64))=TRIM(M64),"MATCH","MISMATCH"))</f>
        <v>BLANK</v>
      </c>
      <c r="O64" s="5" t="str">
        <f>INDEX([1]Employee!$C$2:$C$276,MATCH(B64,[1]Employee!$A$2:$A$276,0))</f>
        <v>Claims</v>
      </c>
    </row>
    <row r="65" spans="1:15">
      <c r="A65" s="1" t="s">
        <v>243</v>
      </c>
      <c r="B65" s="1" t="s">
        <v>244</v>
      </c>
      <c r="C65" s="1" t="s">
        <v>245</v>
      </c>
      <c r="D65" s="2">
        <v>46030</v>
      </c>
      <c r="E65" s="2">
        <v>46030</v>
      </c>
      <c r="F65" s="1" t="s">
        <v>61</v>
      </c>
      <c r="G65" s="1" t="s">
        <v>13</v>
      </c>
      <c r="H65" s="1" t="s">
        <v>14</v>
      </c>
      <c r="I65" s="7">
        <v>69.17</v>
      </c>
      <c r="J65" s="1" t="s">
        <v>38</v>
      </c>
      <c r="K65" s="1"/>
      <c r="L65" s="1" t="s">
        <v>39</v>
      </c>
      <c r="M65" s="1" t="str">
        <f>INDEX(MCC_Lookup!$B$2:$B$12,MATCH(G65,MCC_Lookup!$A$2:$A$12,0))</f>
        <v>Software</v>
      </c>
      <c r="N65" s="1" t="str">
        <f>IF(TRIM(H65)="","BLANK",IF(PROPER(TRIM(H65))=TRIM(M65),"MATCH","MISMATCH"))</f>
        <v>MATCH</v>
      </c>
      <c r="O65" s="5" t="str">
        <f>INDEX([1]Employee!$C$2:$C$276,MATCH(B65,[1]Employee!$A$2:$A$276,0))</f>
        <v>Sales &amp; Marketing</v>
      </c>
    </row>
    <row r="66" spans="1:15">
      <c r="A66" s="1" t="s">
        <v>246</v>
      </c>
      <c r="B66" s="1" t="s">
        <v>247</v>
      </c>
      <c r="C66" s="1" t="s">
        <v>248</v>
      </c>
      <c r="D66" s="2">
        <v>46027</v>
      </c>
      <c r="E66" s="2">
        <v>46030</v>
      </c>
      <c r="F66" s="1" t="s">
        <v>43</v>
      </c>
      <c r="G66" s="1" t="s">
        <v>2</v>
      </c>
      <c r="H66" s="1" t="s">
        <v>3</v>
      </c>
      <c r="I66" s="7">
        <v>17.010000000000002</v>
      </c>
      <c r="J66" s="1" t="s">
        <v>38</v>
      </c>
      <c r="K66" s="1"/>
      <c r="L66" s="1" t="s">
        <v>39</v>
      </c>
      <c r="M66" s="1" t="str">
        <f>INDEX(MCC_Lookup!$B$2:$B$12,MATCH(G66,MCC_Lookup!$A$2:$A$12,0))</f>
        <v>Meals</v>
      </c>
      <c r="N66" s="1" t="str">
        <f>IF(TRIM(H66)="","BLANK",IF(PROPER(TRIM(H66))=TRIM(M66),"MATCH","MISMATCH"))</f>
        <v>MATCH</v>
      </c>
      <c r="O66" s="5" t="str">
        <f>INDEX([1]Employee!$C$2:$C$276,MATCH(B66,[1]Employee!$A$2:$A$276,0))</f>
        <v>HR &amp; Events</v>
      </c>
    </row>
    <row r="67" spans="1:15">
      <c r="A67" s="1" t="s">
        <v>249</v>
      </c>
      <c r="B67" s="1" t="s">
        <v>250</v>
      </c>
      <c r="C67" s="1" t="s">
        <v>251</v>
      </c>
      <c r="D67" s="2">
        <v>46023</v>
      </c>
      <c r="E67" s="2">
        <v>46030</v>
      </c>
      <c r="F67" s="1" t="s">
        <v>83</v>
      </c>
      <c r="G67" s="1" t="s">
        <v>2</v>
      </c>
      <c r="H67" s="1" t="s">
        <v>3</v>
      </c>
      <c r="I67" s="7">
        <v>14.27</v>
      </c>
      <c r="J67" s="1" t="s">
        <v>38</v>
      </c>
      <c r="K67" s="1"/>
      <c r="L67" s="1" t="s">
        <v>39</v>
      </c>
      <c r="M67" s="1" t="str">
        <f>INDEX(MCC_Lookup!$B$2:$B$12,MATCH(G67,MCC_Lookup!$A$2:$A$12,0))</f>
        <v>Meals</v>
      </c>
      <c r="N67" s="1" t="str">
        <f>IF(TRIM(H67)="","BLANK",IF(PROPER(TRIM(H67))=TRIM(M67),"MATCH","MISMATCH"))</f>
        <v>MATCH</v>
      </c>
      <c r="O67" s="5" t="str">
        <f>INDEX([1]Employee!$C$2:$C$276,MATCH(B67,[1]Employee!$A$2:$A$276,0))</f>
        <v>Sales &amp; Marketing</v>
      </c>
    </row>
    <row r="68" spans="1:15">
      <c r="A68" s="1" t="s">
        <v>252</v>
      </c>
      <c r="B68" s="1" t="s">
        <v>253</v>
      </c>
      <c r="C68" s="1"/>
      <c r="D68" s="2">
        <v>46025</v>
      </c>
      <c r="E68" s="2">
        <v>46030</v>
      </c>
      <c r="F68" s="1" t="s">
        <v>124</v>
      </c>
      <c r="G68" s="1" t="s">
        <v>17</v>
      </c>
      <c r="H68" s="1" t="s">
        <v>16</v>
      </c>
      <c r="I68" s="7">
        <v>96.16</v>
      </c>
      <c r="J68" s="1" t="s">
        <v>38</v>
      </c>
      <c r="K68" s="1"/>
      <c r="L68" s="1" t="s">
        <v>39</v>
      </c>
      <c r="M68" s="1" t="str">
        <f>INDEX(MCC_Lookup!$B$2:$B$12,MATCH(G68,MCC_Lookup!$A$2:$A$12,0))</f>
        <v>Entertainment</v>
      </c>
      <c r="N68" s="1" t="str">
        <f>IF(TRIM(H68)="","BLANK",IF(PROPER(TRIM(H68))=TRIM(M68),"MATCH","MISMATCH"))</f>
        <v>MATCH</v>
      </c>
      <c r="O68" s="5" t="str">
        <f>INDEX([1]Employee!$C$2:$C$276,MATCH(B68,[1]Employee!$A$2:$A$276,0))</f>
        <v>Claims</v>
      </c>
    </row>
    <row r="69" spans="1:15">
      <c r="A69" s="1" t="s">
        <v>254</v>
      </c>
      <c r="B69" s="1" t="s">
        <v>255</v>
      </c>
      <c r="C69" s="1" t="s">
        <v>256</v>
      </c>
      <c r="D69" s="2">
        <v>46029</v>
      </c>
      <c r="E69" s="2">
        <v>46030</v>
      </c>
      <c r="F69" s="1" t="s">
        <v>79</v>
      </c>
      <c r="G69" s="1" t="s">
        <v>13</v>
      </c>
      <c r="H69" s="1" t="s">
        <v>14</v>
      </c>
      <c r="I69" s="7">
        <v>245.82</v>
      </c>
      <c r="J69" s="1" t="s">
        <v>38</v>
      </c>
      <c r="K69" s="1"/>
      <c r="L69" s="1" t="s">
        <v>48</v>
      </c>
      <c r="M69" s="1" t="str">
        <f>INDEX(MCC_Lookup!$B$2:$B$12,MATCH(G69,MCC_Lookup!$A$2:$A$12,0))</f>
        <v>Software</v>
      </c>
      <c r="N69" s="1" t="str">
        <f>IF(TRIM(H69)="","BLANK",IF(PROPER(TRIM(H69))=TRIM(M69),"MATCH","MISMATCH"))</f>
        <v>MATCH</v>
      </c>
      <c r="O69" s="5" t="str">
        <f>INDEX([1]Employee!$C$2:$C$276,MATCH(B69,[1]Employee!$A$2:$A$276,0))</f>
        <v>Claims</v>
      </c>
    </row>
    <row r="70" spans="1:15">
      <c r="A70" s="1" t="s">
        <v>257</v>
      </c>
      <c r="B70" s="1" t="s">
        <v>67</v>
      </c>
      <c r="C70" s="1" t="s">
        <v>258</v>
      </c>
      <c r="D70" s="2">
        <v>46028</v>
      </c>
      <c r="E70" s="2">
        <v>46030</v>
      </c>
      <c r="F70" s="1" t="s">
        <v>259</v>
      </c>
      <c r="G70" s="1" t="s">
        <v>20</v>
      </c>
      <c r="H70" s="1" t="s">
        <v>19</v>
      </c>
      <c r="I70" s="7">
        <v>592.55999999999995</v>
      </c>
      <c r="J70" s="1" t="s">
        <v>38</v>
      </c>
      <c r="K70" s="1"/>
      <c r="L70" s="1" t="s">
        <v>39</v>
      </c>
      <c r="M70" s="1" t="str">
        <f>INDEX(MCC_Lookup!$B$2:$B$12,MATCH(G70,MCC_Lookup!$A$2:$A$12,0))</f>
        <v>Events</v>
      </c>
      <c r="N70" s="1" t="str">
        <f>IF(TRIM(H70)="","BLANK",IF(PROPER(TRIM(H70))=TRIM(M70),"MATCH","MISMATCH"))</f>
        <v>MATCH</v>
      </c>
      <c r="O70" s="5" t="str">
        <f>INDEX([1]Employee!$C$2:$C$276,MATCH(B70,[1]Employee!$A$2:$A$276,0))</f>
        <v>Sales &amp; Marketing</v>
      </c>
    </row>
    <row r="71" spans="1:15">
      <c r="A71" s="1" t="s">
        <v>260</v>
      </c>
      <c r="B71" s="1" t="s">
        <v>261</v>
      </c>
      <c r="C71" s="1" t="s">
        <v>262</v>
      </c>
      <c r="D71" s="2">
        <v>46029</v>
      </c>
      <c r="E71" s="2">
        <v>46031</v>
      </c>
      <c r="F71" s="1" t="s">
        <v>65</v>
      </c>
      <c r="G71" s="1" t="s">
        <v>18</v>
      </c>
      <c r="H71" s="1" t="s">
        <v>19</v>
      </c>
      <c r="I71" s="7">
        <v>493.78</v>
      </c>
      <c r="J71" s="1" t="s">
        <v>38</v>
      </c>
      <c r="K71" s="1"/>
      <c r="L71" s="1" t="s">
        <v>39</v>
      </c>
      <c r="M71" s="1" t="str">
        <f>INDEX(MCC_Lookup!$B$2:$B$12,MATCH(G71,MCC_Lookup!$A$2:$A$12,0))</f>
        <v>Events</v>
      </c>
      <c r="N71" s="1" t="str">
        <f>IF(TRIM(H71)="","BLANK",IF(PROPER(TRIM(H71))=TRIM(M71),"MATCH","MISMATCH"))</f>
        <v>MATCH</v>
      </c>
      <c r="O71" s="5" t="str">
        <f>INDEX([1]Employee!$C$2:$C$276,MATCH(B71,[1]Employee!$A$2:$A$276,0))</f>
        <v>Sales &amp; Marketing</v>
      </c>
    </row>
    <row r="72" spans="1:15">
      <c r="A72" s="1" t="s">
        <v>263</v>
      </c>
      <c r="B72" s="1" t="s">
        <v>264</v>
      </c>
      <c r="C72" s="1" t="s">
        <v>265</v>
      </c>
      <c r="D72" s="2">
        <v>46030</v>
      </c>
      <c r="E72" s="2">
        <v>46031</v>
      </c>
      <c r="F72" s="1" t="s">
        <v>109</v>
      </c>
      <c r="G72" s="1" t="s">
        <v>18</v>
      </c>
      <c r="H72" s="1" t="s">
        <v>19</v>
      </c>
      <c r="I72" s="7">
        <v>215.05</v>
      </c>
      <c r="J72" s="1" t="s">
        <v>38</v>
      </c>
      <c r="K72" s="1"/>
      <c r="L72" s="1" t="s">
        <v>48</v>
      </c>
      <c r="M72" s="1" t="str">
        <f>INDEX(MCC_Lookup!$B$2:$B$12,MATCH(G72,MCC_Lookup!$A$2:$A$12,0))</f>
        <v>Events</v>
      </c>
      <c r="N72" s="1" t="str">
        <f>IF(TRIM(H72)="","BLANK",IF(PROPER(TRIM(H72))=TRIM(M72),"MATCH","MISMATCH"))</f>
        <v>MATCH</v>
      </c>
      <c r="O72" s="5" t="str">
        <f>INDEX([1]Employee!$C$2:$C$276,MATCH(B72,[1]Employee!$A$2:$A$276,0))</f>
        <v>Finance</v>
      </c>
    </row>
    <row r="73" spans="1:15">
      <c r="A73" s="1" t="s">
        <v>266</v>
      </c>
      <c r="B73" s="1" t="s">
        <v>267</v>
      </c>
      <c r="C73" s="1" t="s">
        <v>268</v>
      </c>
      <c r="D73" s="2">
        <v>46023</v>
      </c>
      <c r="E73" s="2">
        <v>46031</v>
      </c>
      <c r="F73" s="1" t="s">
        <v>109</v>
      </c>
      <c r="G73" s="1" t="s">
        <v>18</v>
      </c>
      <c r="H73" s="1" t="s">
        <v>269</v>
      </c>
      <c r="I73" s="7">
        <v>95.24</v>
      </c>
      <c r="J73" s="1" t="s">
        <v>38</v>
      </c>
      <c r="K73" s="1"/>
      <c r="L73" s="1" t="s">
        <v>39</v>
      </c>
      <c r="M73" s="1" t="str">
        <f>INDEX(MCC_Lookup!$B$2:$B$12,MATCH(G73,MCC_Lookup!$A$2:$A$12,0))</f>
        <v>Events</v>
      </c>
      <c r="N73" s="1" t="str">
        <f>IF(TRIM(H73)="","BLANK",IF(PROPER(TRIM(H73))=TRIM(M73),"MATCH","MISMATCH"))</f>
        <v>MISMATCH</v>
      </c>
      <c r="O73" s="5" t="str">
        <f>INDEX([1]Employee!$C$2:$C$276,MATCH(B73,[1]Employee!$A$2:$A$276,0))</f>
        <v>Claims</v>
      </c>
    </row>
    <row r="74" spans="1:15">
      <c r="A74" s="1" t="s">
        <v>270</v>
      </c>
      <c r="B74" s="1" t="s">
        <v>271</v>
      </c>
      <c r="C74" s="1" t="s">
        <v>272</v>
      </c>
      <c r="D74" s="2">
        <v>46024</v>
      </c>
      <c r="E74" s="2">
        <v>46031</v>
      </c>
      <c r="F74" s="1" t="s">
        <v>106</v>
      </c>
      <c r="G74" s="1" t="s">
        <v>13</v>
      </c>
      <c r="H74" s="1" t="s">
        <v>14</v>
      </c>
      <c r="I74" s="7">
        <v>128.69</v>
      </c>
      <c r="J74" s="1" t="s">
        <v>38</v>
      </c>
      <c r="K74" s="1"/>
      <c r="L74" s="1" t="s">
        <v>48</v>
      </c>
      <c r="M74" s="1" t="str">
        <f>INDEX(MCC_Lookup!$B$2:$B$12,MATCH(G74,MCC_Lookup!$A$2:$A$12,0))</f>
        <v>Software</v>
      </c>
      <c r="N74" s="1" t="str">
        <f>IF(TRIM(H74)="","BLANK",IF(PROPER(TRIM(H74))=TRIM(M74),"MATCH","MISMATCH"))</f>
        <v>MATCH</v>
      </c>
      <c r="O74" s="5" t="str">
        <f>INDEX([1]Employee!$C$2:$C$276,MATCH(B74,[1]Employee!$A$2:$A$276,0))</f>
        <v>Customer Support</v>
      </c>
    </row>
    <row r="75" spans="1:15">
      <c r="A75" s="1" t="s">
        <v>273</v>
      </c>
      <c r="B75" s="1" t="s">
        <v>274</v>
      </c>
      <c r="C75" s="1" t="s">
        <v>275</v>
      </c>
      <c r="D75" s="2">
        <v>46026</v>
      </c>
      <c r="E75" s="2">
        <v>46031</v>
      </c>
      <c r="F75" s="1" t="s">
        <v>52</v>
      </c>
      <c r="G75" s="1" t="s">
        <v>15</v>
      </c>
      <c r="H75" s="1" t="s">
        <v>16</v>
      </c>
      <c r="I75" s="7">
        <v>36.49</v>
      </c>
      <c r="J75" s="1" t="s">
        <v>38</v>
      </c>
      <c r="K75" s="1"/>
      <c r="L75" s="1" t="s">
        <v>39</v>
      </c>
      <c r="M75" s="1" t="str">
        <f>INDEX(MCC_Lookup!$B$2:$B$12,MATCH(G75,MCC_Lookup!$A$2:$A$12,0))</f>
        <v>Entertainment</v>
      </c>
      <c r="N75" s="1" t="str">
        <f>IF(TRIM(H75)="","BLANK",IF(PROPER(TRIM(H75))=TRIM(M75),"MATCH","MISMATCH"))</f>
        <v>MATCH</v>
      </c>
      <c r="O75" s="5" t="str">
        <f>INDEX([1]Employee!$C$2:$C$276,MATCH(B75,[1]Employee!$A$2:$A$276,0))</f>
        <v>Finance</v>
      </c>
    </row>
    <row r="76" spans="1:15">
      <c r="A76" s="1" t="s">
        <v>276</v>
      </c>
      <c r="B76" s="1" t="s">
        <v>277</v>
      </c>
      <c r="C76" s="1" t="s">
        <v>278</v>
      </c>
      <c r="D76" s="2">
        <v>46024</v>
      </c>
      <c r="E76" s="2">
        <v>46031</v>
      </c>
      <c r="F76" s="1" t="s">
        <v>52</v>
      </c>
      <c r="G76" s="1" t="s">
        <v>15</v>
      </c>
      <c r="H76" s="1" t="s">
        <v>16</v>
      </c>
      <c r="I76" s="7">
        <v>32.630000000000003</v>
      </c>
      <c r="J76" s="1" t="s">
        <v>38</v>
      </c>
      <c r="K76" s="1"/>
      <c r="L76" s="1" t="s">
        <v>39</v>
      </c>
      <c r="M76" s="1" t="str">
        <f>INDEX(MCC_Lookup!$B$2:$B$12,MATCH(G76,MCC_Lookup!$A$2:$A$12,0))</f>
        <v>Entertainment</v>
      </c>
      <c r="N76" s="1" t="str">
        <f>IF(TRIM(H76)="","BLANK",IF(PROPER(TRIM(H76))=TRIM(M76),"MATCH","MISMATCH"))</f>
        <v>MATCH</v>
      </c>
      <c r="O76" s="5" t="str">
        <f>INDEX([1]Employee!$C$2:$C$276,MATCH(B76,[1]Employee!$A$2:$A$276,0))</f>
        <v>Claims</v>
      </c>
    </row>
    <row r="77" spans="1:15">
      <c r="A77" s="1" t="s">
        <v>279</v>
      </c>
      <c r="B77" s="1" t="s">
        <v>280</v>
      </c>
      <c r="C77" s="1" t="s">
        <v>281</v>
      </c>
      <c r="D77" s="2">
        <v>46029</v>
      </c>
      <c r="E77" s="2">
        <v>46031</v>
      </c>
      <c r="F77" s="1" t="s">
        <v>173</v>
      </c>
      <c r="G77" s="1" t="s">
        <v>2</v>
      </c>
      <c r="H77" s="1" t="s">
        <v>3</v>
      </c>
      <c r="I77" s="7">
        <v>84.56</v>
      </c>
      <c r="J77" s="1" t="s">
        <v>38</v>
      </c>
      <c r="K77" s="1"/>
      <c r="L77" s="1" t="s">
        <v>39</v>
      </c>
      <c r="M77" s="1" t="str">
        <f>INDEX(MCC_Lookup!$B$2:$B$12,MATCH(G77,MCC_Lookup!$A$2:$A$12,0))</f>
        <v>Meals</v>
      </c>
      <c r="N77" s="1" t="str">
        <f>IF(TRIM(H77)="","BLANK",IF(PROPER(TRIM(H77))=TRIM(M77),"MATCH","MISMATCH"))</f>
        <v>MATCH</v>
      </c>
      <c r="O77" s="5" t="str">
        <f>INDEX([1]Employee!$C$2:$C$276,MATCH(B77,[1]Employee!$A$2:$A$276,0))</f>
        <v>Claims</v>
      </c>
    </row>
    <row r="78" spans="1:15">
      <c r="A78" s="1" t="s">
        <v>282</v>
      </c>
      <c r="B78" s="1" t="s">
        <v>280</v>
      </c>
      <c r="C78" s="1" t="s">
        <v>283</v>
      </c>
      <c r="D78" s="2">
        <v>46023</v>
      </c>
      <c r="E78" s="2">
        <v>46031</v>
      </c>
      <c r="F78" s="1" t="s">
        <v>242</v>
      </c>
      <c r="G78" s="1" t="s">
        <v>13</v>
      </c>
      <c r="H78" s="1" t="s">
        <v>14</v>
      </c>
      <c r="I78" s="7">
        <v>55.06</v>
      </c>
      <c r="J78" s="1" t="s">
        <v>38</v>
      </c>
      <c r="K78" s="1"/>
      <c r="L78" s="1" t="s">
        <v>39</v>
      </c>
      <c r="M78" s="1" t="str">
        <f>INDEX(MCC_Lookup!$B$2:$B$12,MATCH(G78,MCC_Lookup!$A$2:$A$12,0))</f>
        <v>Software</v>
      </c>
      <c r="N78" s="1" t="str">
        <f>IF(TRIM(H78)="","BLANK",IF(PROPER(TRIM(H78))=TRIM(M78),"MATCH","MISMATCH"))</f>
        <v>MATCH</v>
      </c>
      <c r="O78" s="5" t="str">
        <f>INDEX([1]Employee!$C$2:$C$276,MATCH(B78,[1]Employee!$A$2:$A$276,0))</f>
        <v>Claims</v>
      </c>
    </row>
    <row r="79" spans="1:15">
      <c r="A79" s="1" t="s">
        <v>284</v>
      </c>
      <c r="B79" s="1" t="s">
        <v>90</v>
      </c>
      <c r="C79" s="1" t="s">
        <v>285</v>
      </c>
      <c r="D79" s="2">
        <v>46023</v>
      </c>
      <c r="E79" s="2">
        <v>46031</v>
      </c>
      <c r="F79" s="1" t="s">
        <v>173</v>
      </c>
      <c r="G79" s="1" t="s">
        <v>2</v>
      </c>
      <c r="H79" s="1" t="s">
        <v>3</v>
      </c>
      <c r="I79" s="7">
        <v>37.1</v>
      </c>
      <c r="J79" s="1" t="s">
        <v>38</v>
      </c>
      <c r="K79" s="1"/>
      <c r="L79" s="1" t="s">
        <v>39</v>
      </c>
      <c r="M79" s="1" t="str">
        <f>INDEX(MCC_Lookup!$B$2:$B$12,MATCH(G79,MCC_Lookup!$A$2:$A$12,0))</f>
        <v>Meals</v>
      </c>
      <c r="N79" s="1" t="str">
        <f>IF(TRIM(H79)="","BLANK",IF(PROPER(TRIM(H79))=TRIM(M79),"MATCH","MISMATCH"))</f>
        <v>MATCH</v>
      </c>
      <c r="O79" s="5" t="str">
        <f>INDEX([1]Employee!$C$2:$C$276,MATCH(B79,[1]Employee!$A$2:$A$276,0))</f>
        <v>Sales &amp; Marketing</v>
      </c>
    </row>
    <row r="80" spans="1:15">
      <c r="A80" s="1" t="s">
        <v>286</v>
      </c>
      <c r="B80" s="1" t="s">
        <v>35</v>
      </c>
      <c r="C80" s="1" t="s">
        <v>287</v>
      </c>
      <c r="D80" s="2">
        <v>46025</v>
      </c>
      <c r="E80" s="2">
        <v>46031</v>
      </c>
      <c r="F80" s="1" t="s">
        <v>106</v>
      </c>
      <c r="G80" s="1" t="s">
        <v>13</v>
      </c>
      <c r="H80" s="1" t="s">
        <v>14</v>
      </c>
      <c r="I80" s="7">
        <v>236.9</v>
      </c>
      <c r="J80" s="1" t="s">
        <v>38</v>
      </c>
      <c r="K80" s="1"/>
      <c r="L80" s="1" t="s">
        <v>39</v>
      </c>
      <c r="M80" s="1" t="str">
        <f>INDEX(MCC_Lookup!$B$2:$B$12,MATCH(G80,MCC_Lookup!$A$2:$A$12,0))</f>
        <v>Software</v>
      </c>
      <c r="N80" s="1" t="str">
        <f>IF(TRIM(H80)="","BLANK",IF(PROPER(TRIM(H80))=TRIM(M80),"MATCH","MISMATCH"))</f>
        <v>MATCH</v>
      </c>
      <c r="O80" s="5" t="str">
        <f>INDEX([1]Employee!$C$2:$C$276,MATCH(B80,[1]Employee!$A$2:$A$276,0))</f>
        <v>Sales &amp; Marketing</v>
      </c>
    </row>
    <row r="81" spans="1:15">
      <c r="A81" s="1" t="s">
        <v>288</v>
      </c>
      <c r="B81" s="1" t="s">
        <v>289</v>
      </c>
      <c r="C81" s="1" t="s">
        <v>290</v>
      </c>
      <c r="D81" s="2">
        <v>46023</v>
      </c>
      <c r="E81" s="2">
        <v>46031</v>
      </c>
      <c r="F81" s="1" t="s">
        <v>61</v>
      </c>
      <c r="G81" s="1" t="s">
        <v>13</v>
      </c>
      <c r="H81" s="1" t="s">
        <v>14</v>
      </c>
      <c r="I81" s="7">
        <v>60.08</v>
      </c>
      <c r="J81" s="1" t="s">
        <v>38</v>
      </c>
      <c r="K81" s="1"/>
      <c r="L81" s="1" t="s">
        <v>39</v>
      </c>
      <c r="M81" s="1" t="str">
        <f>INDEX(MCC_Lookup!$B$2:$B$12,MATCH(G81,MCC_Lookup!$A$2:$A$12,0))</f>
        <v>Software</v>
      </c>
      <c r="N81" s="1" t="str">
        <f>IF(TRIM(H81)="","BLANK",IF(PROPER(TRIM(H81))=TRIM(M81),"MATCH","MISMATCH"))</f>
        <v>MATCH</v>
      </c>
      <c r="O81" s="5" t="str">
        <f>INDEX([1]Employee!$C$2:$C$276,MATCH(B81,[1]Employee!$A$2:$A$276,0))</f>
        <v>Finance</v>
      </c>
    </row>
    <row r="82" spans="1:15">
      <c r="A82" s="1" t="s">
        <v>291</v>
      </c>
      <c r="B82" s="1" t="s">
        <v>292</v>
      </c>
      <c r="C82" s="1" t="s">
        <v>293</v>
      </c>
      <c r="D82" s="2">
        <v>46024</v>
      </c>
      <c r="E82" s="2">
        <v>46031</v>
      </c>
      <c r="F82" s="1" t="s">
        <v>99</v>
      </c>
      <c r="G82" s="1" t="s">
        <v>2</v>
      </c>
      <c r="H82" s="1" t="s">
        <v>138</v>
      </c>
      <c r="I82" s="7">
        <v>58.27</v>
      </c>
      <c r="J82" s="1" t="s">
        <v>38</v>
      </c>
      <c r="K82" s="1"/>
      <c r="L82" s="1" t="s">
        <v>39</v>
      </c>
      <c r="M82" s="1" t="str">
        <f>INDEX(MCC_Lookup!$B$2:$B$12,MATCH(G82,MCC_Lookup!$A$2:$A$12,0))</f>
        <v>Meals</v>
      </c>
      <c r="N82" s="1" t="str">
        <f>IF(TRIM(H82)="","BLANK",IF(PROPER(TRIM(H82))=TRIM(M82),"MATCH","MISMATCH"))</f>
        <v>MATCH</v>
      </c>
      <c r="O82" s="5" t="str">
        <f>INDEX([1]Employee!$C$2:$C$276,MATCH(B82,[1]Employee!$A$2:$A$276,0))</f>
        <v>Sales &amp; Marketing</v>
      </c>
    </row>
    <row r="83" spans="1:15">
      <c r="A83" s="1" t="s">
        <v>294</v>
      </c>
      <c r="B83" s="1" t="s">
        <v>104</v>
      </c>
      <c r="C83" s="1"/>
      <c r="D83" s="2">
        <v>46026</v>
      </c>
      <c r="E83" s="2">
        <v>46031</v>
      </c>
      <c r="F83" s="1" t="s">
        <v>120</v>
      </c>
      <c r="G83" s="1" t="s">
        <v>12</v>
      </c>
      <c r="H83" s="1" t="s">
        <v>295</v>
      </c>
      <c r="I83" s="7">
        <v>172.22</v>
      </c>
      <c r="J83" s="1" t="s">
        <v>38</v>
      </c>
      <c r="K83" s="1"/>
      <c r="L83" s="1" t="s">
        <v>39</v>
      </c>
      <c r="M83" s="1" t="str">
        <f>INDEX(MCC_Lookup!$B$2:$B$12,MATCH(G83,MCC_Lookup!$A$2:$A$12,0))</f>
        <v>Office Supplies</v>
      </c>
      <c r="N83" s="1" t="str">
        <f>IF(TRIM(H83)="","BLANK",IF(PROPER(TRIM(H83))=TRIM(M83),"MATCH","MISMATCH"))</f>
        <v>MATCH</v>
      </c>
      <c r="O83" s="5" t="str">
        <f>INDEX([1]Employee!$C$2:$C$276,MATCH(B83,[1]Employee!$A$2:$A$276,0))</f>
        <v>Sales &amp; Marketing</v>
      </c>
    </row>
    <row r="84" spans="1:15">
      <c r="A84" s="1" t="s">
        <v>296</v>
      </c>
      <c r="B84" s="1" t="s">
        <v>297</v>
      </c>
      <c r="C84" s="1" t="s">
        <v>298</v>
      </c>
      <c r="D84" s="2">
        <v>46030</v>
      </c>
      <c r="E84" s="2">
        <v>46032</v>
      </c>
      <c r="F84" s="1" t="s">
        <v>242</v>
      </c>
      <c r="G84" s="1" t="s">
        <v>13</v>
      </c>
      <c r="H84" s="1" t="s">
        <v>14</v>
      </c>
      <c r="I84" s="7">
        <v>40.76</v>
      </c>
      <c r="J84" s="1" t="s">
        <v>38</v>
      </c>
      <c r="K84" s="1"/>
      <c r="L84" s="1" t="s">
        <v>39</v>
      </c>
      <c r="M84" s="1" t="str">
        <f>INDEX(MCC_Lookup!$B$2:$B$12,MATCH(G84,MCC_Lookup!$A$2:$A$12,0))</f>
        <v>Software</v>
      </c>
      <c r="N84" s="1" t="str">
        <f>IF(TRIM(H84)="","BLANK",IF(PROPER(TRIM(H84))=TRIM(M84),"MATCH","MISMATCH"))</f>
        <v>MATCH</v>
      </c>
      <c r="O84" s="5" t="str">
        <f>INDEX([1]Employee!$C$2:$C$276,MATCH(B84,[1]Employee!$A$2:$A$276,0))</f>
        <v>Underwriting</v>
      </c>
    </row>
    <row r="85" spans="1:15">
      <c r="A85" s="1" t="s">
        <v>299</v>
      </c>
      <c r="B85" s="1" t="s">
        <v>300</v>
      </c>
      <c r="C85" s="1" t="s">
        <v>301</v>
      </c>
      <c r="D85" s="2">
        <v>46029</v>
      </c>
      <c r="E85" s="2">
        <v>46032</v>
      </c>
      <c r="F85" s="1" t="s">
        <v>76</v>
      </c>
      <c r="G85" s="1" t="s">
        <v>13</v>
      </c>
      <c r="H85" s="1" t="s">
        <v>14</v>
      </c>
      <c r="I85" s="7">
        <v>297.31</v>
      </c>
      <c r="J85" s="1" t="s">
        <v>38</v>
      </c>
      <c r="K85" s="1"/>
      <c r="L85" s="1" t="s">
        <v>39</v>
      </c>
      <c r="M85" s="1" t="str">
        <f>INDEX(MCC_Lookup!$B$2:$B$12,MATCH(G85,MCC_Lookup!$A$2:$A$12,0))</f>
        <v>Software</v>
      </c>
      <c r="N85" s="1" t="str">
        <f>IF(TRIM(H85)="","BLANK",IF(PROPER(TRIM(H85))=TRIM(M85),"MATCH","MISMATCH"))</f>
        <v>MATCH</v>
      </c>
      <c r="O85" s="5" t="str">
        <f>INDEX([1]Employee!$C$2:$C$276,MATCH(B85,[1]Employee!$A$2:$A$276,0))</f>
        <v>Sales &amp; Marketing</v>
      </c>
    </row>
    <row r="86" spans="1:15">
      <c r="A86" s="1" t="s">
        <v>302</v>
      </c>
      <c r="B86" s="1" t="s">
        <v>303</v>
      </c>
      <c r="C86" s="1" t="s">
        <v>304</v>
      </c>
      <c r="D86" s="2">
        <v>46029</v>
      </c>
      <c r="E86" s="2">
        <v>46032</v>
      </c>
      <c r="F86" s="1" t="s">
        <v>305</v>
      </c>
      <c r="G86" s="1" t="s">
        <v>2</v>
      </c>
      <c r="H86" s="1" t="s">
        <v>3</v>
      </c>
      <c r="I86" s="7">
        <v>14.32</v>
      </c>
      <c r="J86" s="1" t="s">
        <v>38</v>
      </c>
      <c r="K86" s="1"/>
      <c r="L86" s="1" t="s">
        <v>39</v>
      </c>
      <c r="M86" s="1" t="str">
        <f>INDEX(MCC_Lookup!$B$2:$B$12,MATCH(G86,MCC_Lookup!$A$2:$A$12,0))</f>
        <v>Meals</v>
      </c>
      <c r="N86" s="1" t="str">
        <f>IF(TRIM(H86)="","BLANK",IF(PROPER(TRIM(H86))=TRIM(M86),"MATCH","MISMATCH"))</f>
        <v>MATCH</v>
      </c>
      <c r="O86" s="5" t="str">
        <f>INDEX([1]Employee!$C$2:$C$276,MATCH(B86,[1]Employee!$A$2:$A$276,0))</f>
        <v>Sales &amp; Marketing</v>
      </c>
    </row>
    <row r="87" spans="1:15">
      <c r="A87" s="1" t="s">
        <v>306</v>
      </c>
      <c r="B87" s="1" t="s">
        <v>307</v>
      </c>
      <c r="C87" s="1" t="s">
        <v>308</v>
      </c>
      <c r="D87" s="2">
        <v>46032</v>
      </c>
      <c r="E87" s="2">
        <v>46032</v>
      </c>
      <c r="F87" s="1" t="s">
        <v>309</v>
      </c>
      <c r="G87" s="1" t="s">
        <v>6</v>
      </c>
      <c r="H87" s="1" t="s">
        <v>269</v>
      </c>
      <c r="I87" s="7">
        <v>260.24</v>
      </c>
      <c r="J87" s="1" t="s">
        <v>38</v>
      </c>
      <c r="K87" s="1"/>
      <c r="L87" s="1" t="s">
        <v>39</v>
      </c>
      <c r="M87" s="1" t="str">
        <f>INDEX(MCC_Lookup!$B$2:$B$12,MATCH(G87,MCC_Lookup!$A$2:$A$12,0))</f>
        <v>Lodging</v>
      </c>
      <c r="N87" s="1" t="str">
        <f>IF(TRIM(H87)="","BLANK",IF(PROPER(TRIM(H87))=TRIM(M87),"MATCH","MISMATCH"))</f>
        <v>MISMATCH</v>
      </c>
      <c r="O87" s="5" t="str">
        <f>INDEX([1]Employee!$C$2:$C$276,MATCH(B87,[1]Employee!$A$2:$A$276,0))</f>
        <v>Finance</v>
      </c>
    </row>
    <row r="88" spans="1:15">
      <c r="A88" s="1" t="s">
        <v>310</v>
      </c>
      <c r="B88" s="1" t="s">
        <v>182</v>
      </c>
      <c r="C88" s="1" t="s">
        <v>311</v>
      </c>
      <c r="D88" s="2">
        <v>46025</v>
      </c>
      <c r="E88" s="2">
        <v>46032</v>
      </c>
      <c r="F88" s="1" t="s">
        <v>109</v>
      </c>
      <c r="G88" s="1" t="s">
        <v>18</v>
      </c>
      <c r="H88" s="1" t="s">
        <v>312</v>
      </c>
      <c r="I88" s="7">
        <v>262.77</v>
      </c>
      <c r="J88" s="1" t="s">
        <v>38</v>
      </c>
      <c r="K88" s="1"/>
      <c r="L88" s="1" t="s">
        <v>39</v>
      </c>
      <c r="M88" s="1" t="str">
        <f>INDEX(MCC_Lookup!$B$2:$B$12,MATCH(G88,MCC_Lookup!$A$2:$A$12,0))</f>
        <v>Events</v>
      </c>
      <c r="N88" s="1" t="str">
        <f>IF(TRIM(H88)="","BLANK",IF(PROPER(TRIM(H88))=TRIM(M88),"MATCH","MISMATCH"))</f>
        <v>MATCH</v>
      </c>
      <c r="O88" s="5" t="str">
        <f>INDEX([1]Employee!$C$2:$C$276,MATCH(B88,[1]Employee!$A$2:$A$276,0))</f>
        <v>Sales &amp; Marketing</v>
      </c>
    </row>
    <row r="89" spans="1:15">
      <c r="A89" s="1" t="s">
        <v>313</v>
      </c>
      <c r="B89" s="1" t="s">
        <v>314</v>
      </c>
      <c r="C89" s="1" t="s">
        <v>315</v>
      </c>
      <c r="D89" s="2">
        <v>46024</v>
      </c>
      <c r="E89" s="2">
        <v>46032</v>
      </c>
      <c r="F89" s="1" t="s">
        <v>116</v>
      </c>
      <c r="G89" s="1" t="s">
        <v>2</v>
      </c>
      <c r="H89" s="1" t="s">
        <v>3</v>
      </c>
      <c r="I89" s="7">
        <v>19.329999999999998</v>
      </c>
      <c r="J89" s="1" t="s">
        <v>38</v>
      </c>
      <c r="K89" s="1"/>
      <c r="L89" s="1" t="s">
        <v>39</v>
      </c>
      <c r="M89" s="1" t="str">
        <f>INDEX(MCC_Lookup!$B$2:$B$12,MATCH(G89,MCC_Lookup!$A$2:$A$12,0))</f>
        <v>Meals</v>
      </c>
      <c r="N89" s="1" t="str">
        <f>IF(TRIM(H89)="","BLANK",IF(PROPER(TRIM(H89))=TRIM(M89),"MATCH","MISMATCH"))</f>
        <v>MATCH</v>
      </c>
      <c r="O89" s="5" t="str">
        <f>INDEX([1]Employee!$C$2:$C$276,MATCH(B89,[1]Employee!$A$2:$A$276,0))</f>
        <v>Sales &amp; Marketing</v>
      </c>
    </row>
    <row r="90" spans="1:15">
      <c r="A90" s="1" t="s">
        <v>316</v>
      </c>
      <c r="B90" s="1" t="s">
        <v>317</v>
      </c>
      <c r="C90" s="1" t="s">
        <v>318</v>
      </c>
      <c r="D90" s="2">
        <v>46032</v>
      </c>
      <c r="E90" s="2">
        <v>46032</v>
      </c>
      <c r="F90" s="1" t="s">
        <v>106</v>
      </c>
      <c r="G90" s="1" t="s">
        <v>13</v>
      </c>
      <c r="H90" s="1" t="s">
        <v>192</v>
      </c>
      <c r="I90" s="7">
        <v>118.06</v>
      </c>
      <c r="J90" s="1" t="s">
        <v>38</v>
      </c>
      <c r="K90" s="1"/>
      <c r="L90" s="1" t="s">
        <v>48</v>
      </c>
      <c r="M90" s="1" t="str">
        <f>INDEX(MCC_Lookup!$B$2:$B$12,MATCH(G90,MCC_Lookup!$A$2:$A$12,0))</f>
        <v>Software</v>
      </c>
      <c r="N90" s="1" t="str">
        <f>IF(TRIM(H90)="","BLANK",IF(PROPER(TRIM(H90))=TRIM(M90),"MATCH","MISMATCH"))</f>
        <v>MATCH</v>
      </c>
      <c r="O90" s="5" t="str">
        <f>INDEX([1]Employee!$C$2:$C$276,MATCH(B90,[1]Employee!$A$2:$A$276,0))</f>
        <v>Sales &amp; Marketing</v>
      </c>
    </row>
    <row r="91" spans="1:15">
      <c r="A91" s="1" t="s">
        <v>319</v>
      </c>
      <c r="B91" s="1" t="s">
        <v>317</v>
      </c>
      <c r="C91" s="1" t="s">
        <v>320</v>
      </c>
      <c r="D91" s="2">
        <v>46031</v>
      </c>
      <c r="E91" s="2">
        <v>46032</v>
      </c>
      <c r="F91" s="1" t="s">
        <v>116</v>
      </c>
      <c r="G91" s="1" t="s">
        <v>2</v>
      </c>
      <c r="H91" s="1" t="s">
        <v>154</v>
      </c>
      <c r="I91" s="7">
        <v>10.119999999999999</v>
      </c>
      <c r="J91" s="1" t="s">
        <v>38</v>
      </c>
      <c r="K91" s="1"/>
      <c r="L91" s="1" t="s">
        <v>39</v>
      </c>
      <c r="M91" s="1" t="str">
        <f>INDEX(MCC_Lookup!$B$2:$B$12,MATCH(G91,MCC_Lookup!$A$2:$A$12,0))</f>
        <v>Meals</v>
      </c>
      <c r="N91" s="1" t="str">
        <f>IF(TRIM(H91)="","BLANK",IF(PROPER(TRIM(H91))=TRIM(M91),"MATCH","MISMATCH"))</f>
        <v>MATCH</v>
      </c>
      <c r="O91" s="5" t="str">
        <f>INDEX([1]Employee!$C$2:$C$276,MATCH(B91,[1]Employee!$A$2:$A$276,0))</f>
        <v>Sales &amp; Marketing</v>
      </c>
    </row>
    <row r="92" spans="1:15">
      <c r="A92" s="1" t="s">
        <v>321</v>
      </c>
      <c r="B92" s="1" t="s">
        <v>322</v>
      </c>
      <c r="C92" s="1" t="s">
        <v>323</v>
      </c>
      <c r="D92" s="2">
        <v>46024</v>
      </c>
      <c r="E92" s="2">
        <v>46032</v>
      </c>
      <c r="F92" s="1" t="s">
        <v>56</v>
      </c>
      <c r="G92" s="1" t="s">
        <v>4</v>
      </c>
      <c r="H92" s="1" t="s">
        <v>5</v>
      </c>
      <c r="I92" s="7">
        <v>340.39</v>
      </c>
      <c r="J92" s="1" t="s">
        <v>38</v>
      </c>
      <c r="K92" s="1"/>
      <c r="L92" s="1" t="s">
        <v>39</v>
      </c>
      <c r="M92" s="1" t="str">
        <f>INDEX(MCC_Lookup!$B$2:$B$12,MATCH(G92,MCC_Lookup!$A$2:$A$12,0))</f>
        <v>Travel</v>
      </c>
      <c r="N92" s="1" t="str">
        <f>IF(TRIM(H92)="","BLANK",IF(PROPER(TRIM(H92))=TRIM(M92),"MATCH","MISMATCH"))</f>
        <v>MATCH</v>
      </c>
      <c r="O92" s="5" t="str">
        <f>INDEX([1]Employee!$C$2:$C$276,MATCH(B92,[1]Employee!$A$2:$A$276,0))</f>
        <v>Customer Support</v>
      </c>
    </row>
    <row r="93" spans="1:15">
      <c r="A93" s="1" t="s">
        <v>324</v>
      </c>
      <c r="B93" s="1" t="s">
        <v>325</v>
      </c>
      <c r="C93" s="1" t="s">
        <v>326</v>
      </c>
      <c r="D93" s="2">
        <v>46026</v>
      </c>
      <c r="E93" s="2">
        <v>46032</v>
      </c>
      <c r="F93" s="1" t="s">
        <v>47</v>
      </c>
      <c r="G93" s="1" t="s">
        <v>6</v>
      </c>
      <c r="H93" s="1" t="s">
        <v>7</v>
      </c>
      <c r="I93" s="7">
        <v>191.28</v>
      </c>
      <c r="J93" s="1" t="s">
        <v>38</v>
      </c>
      <c r="K93" s="1"/>
      <c r="L93" s="1" t="s">
        <v>39</v>
      </c>
      <c r="M93" s="1" t="str">
        <f>INDEX(MCC_Lookup!$B$2:$B$12,MATCH(G93,MCC_Lookup!$A$2:$A$12,0))</f>
        <v>Lodging</v>
      </c>
      <c r="N93" s="1" t="str">
        <f>IF(TRIM(H93)="","BLANK",IF(PROPER(TRIM(H93))=TRIM(M93),"MATCH","MISMATCH"))</f>
        <v>MATCH</v>
      </c>
      <c r="O93" s="5" t="str">
        <f>INDEX([1]Employee!$C$2:$C$276,MATCH(B93,[1]Employee!$A$2:$A$276,0))</f>
        <v>Sales &amp; Marketing</v>
      </c>
    </row>
    <row r="94" spans="1:15">
      <c r="A94" s="1" t="s">
        <v>327</v>
      </c>
      <c r="B94" s="1" t="s">
        <v>328</v>
      </c>
      <c r="C94" s="1" t="s">
        <v>329</v>
      </c>
      <c r="D94" s="2">
        <v>46023</v>
      </c>
      <c r="E94" s="2">
        <v>46032</v>
      </c>
      <c r="F94" s="1" t="s">
        <v>52</v>
      </c>
      <c r="G94" s="1" t="s">
        <v>15</v>
      </c>
      <c r="H94" s="1" t="s">
        <v>16</v>
      </c>
      <c r="I94" s="7">
        <v>54.54</v>
      </c>
      <c r="J94" s="1" t="s">
        <v>38</v>
      </c>
      <c r="K94" s="1"/>
      <c r="L94" s="1" t="s">
        <v>39</v>
      </c>
      <c r="M94" s="1" t="str">
        <f>INDEX(MCC_Lookup!$B$2:$B$12,MATCH(G94,MCC_Lookup!$A$2:$A$12,0))</f>
        <v>Entertainment</v>
      </c>
      <c r="N94" s="1" t="str">
        <f>IF(TRIM(H94)="","BLANK",IF(PROPER(TRIM(H94))=TRIM(M94),"MATCH","MISMATCH"))</f>
        <v>MATCH</v>
      </c>
      <c r="O94" s="5" t="str">
        <f>INDEX([1]Employee!$C$2:$C$276,MATCH(B94,[1]Employee!$A$2:$A$276,0))</f>
        <v>Underwriting</v>
      </c>
    </row>
    <row r="95" spans="1:15">
      <c r="A95" s="1" t="s">
        <v>330</v>
      </c>
      <c r="B95" s="1" t="s">
        <v>280</v>
      </c>
      <c r="C95" s="1" t="s">
        <v>331</v>
      </c>
      <c r="D95" s="2">
        <v>46031</v>
      </c>
      <c r="E95" s="2">
        <v>46032</v>
      </c>
      <c r="F95" s="1" t="s">
        <v>109</v>
      </c>
      <c r="G95" s="1" t="s">
        <v>18</v>
      </c>
      <c r="H95" s="1" t="s">
        <v>332</v>
      </c>
      <c r="I95" s="7">
        <v>81.41</v>
      </c>
      <c r="J95" s="1" t="s">
        <v>38</v>
      </c>
      <c r="K95" s="1"/>
      <c r="L95" s="1" t="s">
        <v>39</v>
      </c>
      <c r="M95" s="1" t="str">
        <f>INDEX(MCC_Lookup!$B$2:$B$12,MATCH(G95,MCC_Lookup!$A$2:$A$12,0))</f>
        <v>Events</v>
      </c>
      <c r="N95" s="1" t="str">
        <f>IF(TRIM(H95)="","BLANK",IF(PROPER(TRIM(H95))=TRIM(M95),"MATCH","MISMATCH"))</f>
        <v>MATCH</v>
      </c>
      <c r="O95" s="5" t="str">
        <f>INDEX([1]Employee!$C$2:$C$276,MATCH(B95,[1]Employee!$A$2:$A$276,0))</f>
        <v>Claims</v>
      </c>
    </row>
    <row r="96" spans="1:15">
      <c r="A96" s="1" t="s">
        <v>333</v>
      </c>
      <c r="B96" s="1" t="s">
        <v>261</v>
      </c>
      <c r="C96" s="1" t="s">
        <v>334</v>
      </c>
      <c r="D96" s="2">
        <v>46031</v>
      </c>
      <c r="E96" s="2">
        <v>46032</v>
      </c>
      <c r="F96" s="1" t="s">
        <v>124</v>
      </c>
      <c r="G96" s="1" t="s">
        <v>17</v>
      </c>
      <c r="H96" s="1" t="s">
        <v>16</v>
      </c>
      <c r="I96" s="7">
        <v>173.95</v>
      </c>
      <c r="J96" s="1" t="s">
        <v>38</v>
      </c>
      <c r="K96" s="1"/>
      <c r="L96" s="1" t="s">
        <v>39</v>
      </c>
      <c r="M96" s="1" t="str">
        <f>INDEX(MCC_Lookup!$B$2:$B$12,MATCH(G96,MCC_Lookup!$A$2:$A$12,0))</f>
        <v>Entertainment</v>
      </c>
      <c r="N96" s="1" t="str">
        <f>IF(TRIM(H96)="","BLANK",IF(PROPER(TRIM(H96))=TRIM(M96),"MATCH","MISMATCH"))</f>
        <v>MATCH</v>
      </c>
      <c r="O96" s="5" t="str">
        <f>INDEX([1]Employee!$C$2:$C$276,MATCH(B96,[1]Employee!$A$2:$A$276,0))</f>
        <v>Sales &amp; Marketing</v>
      </c>
    </row>
    <row r="97" spans="1:15">
      <c r="A97" s="1" t="s">
        <v>335</v>
      </c>
      <c r="B97" s="1" t="s">
        <v>210</v>
      </c>
      <c r="C97" s="1"/>
      <c r="D97" s="2">
        <v>46031</v>
      </c>
      <c r="E97" s="2">
        <v>46032</v>
      </c>
      <c r="F97" s="1" t="s">
        <v>173</v>
      </c>
      <c r="G97" s="1" t="s">
        <v>2</v>
      </c>
      <c r="H97" s="1" t="s">
        <v>138</v>
      </c>
      <c r="I97" s="7">
        <v>69.819999999999993</v>
      </c>
      <c r="J97" s="1" t="s">
        <v>111</v>
      </c>
      <c r="K97" s="1" t="s">
        <v>229</v>
      </c>
      <c r="L97" s="1" t="s">
        <v>48</v>
      </c>
      <c r="M97" s="1" t="str">
        <f>INDEX(MCC_Lookup!$B$2:$B$12,MATCH(G97,MCC_Lookup!$A$2:$A$12,0))</f>
        <v>Meals</v>
      </c>
      <c r="N97" s="1" t="str">
        <f>IF(TRIM(H97)="","BLANK",IF(PROPER(TRIM(H97))=TRIM(M97),"MATCH","MISMATCH"))</f>
        <v>MATCH</v>
      </c>
      <c r="O97" s="5" t="str">
        <f>INDEX([1]Employee!$C$2:$C$276,MATCH(B97,[1]Employee!$A$2:$A$276,0))</f>
        <v>Sales &amp; Marketing</v>
      </c>
    </row>
    <row r="98" spans="1:15">
      <c r="A98" s="1" t="s">
        <v>336</v>
      </c>
      <c r="B98" s="1" t="s">
        <v>210</v>
      </c>
      <c r="C98" s="1" t="s">
        <v>337</v>
      </c>
      <c r="D98" s="2">
        <v>46029</v>
      </c>
      <c r="E98" s="2">
        <v>46032</v>
      </c>
      <c r="F98" s="1" t="s">
        <v>69</v>
      </c>
      <c r="G98" s="1" t="s">
        <v>8</v>
      </c>
      <c r="H98" s="1" t="s">
        <v>9</v>
      </c>
      <c r="I98" s="7">
        <v>43.51</v>
      </c>
      <c r="J98" s="1" t="s">
        <v>38</v>
      </c>
      <c r="K98" s="1"/>
      <c r="L98" s="1" t="s">
        <v>39</v>
      </c>
      <c r="M98" s="1" t="str">
        <f>INDEX(MCC_Lookup!$B$2:$B$12,MATCH(G98,MCC_Lookup!$A$2:$A$12,0))</f>
        <v>Transportation</v>
      </c>
      <c r="N98" s="1" t="str">
        <f>IF(TRIM(H98)="","BLANK",IF(PROPER(TRIM(H98))=TRIM(M98),"MATCH","MISMATCH"))</f>
        <v>MATCH</v>
      </c>
      <c r="O98" s="5" t="str">
        <f>INDEX([1]Employee!$C$2:$C$276,MATCH(B98,[1]Employee!$A$2:$A$276,0))</f>
        <v>Sales &amp; Marketing</v>
      </c>
    </row>
    <row r="99" spans="1:15">
      <c r="A99" s="1" t="s">
        <v>338</v>
      </c>
      <c r="B99" s="1" t="s">
        <v>339</v>
      </c>
      <c r="C99" s="1" t="s">
        <v>340</v>
      </c>
      <c r="D99" s="2">
        <v>46028</v>
      </c>
      <c r="E99" s="2">
        <v>46032</v>
      </c>
      <c r="F99" s="1" t="s">
        <v>43</v>
      </c>
      <c r="G99" s="1" t="s">
        <v>2</v>
      </c>
      <c r="H99" s="1" t="s">
        <v>138</v>
      </c>
      <c r="I99" s="7">
        <v>22.16</v>
      </c>
      <c r="J99" s="1" t="s">
        <v>38</v>
      </c>
      <c r="K99" s="1"/>
      <c r="L99" s="1" t="s">
        <v>39</v>
      </c>
      <c r="M99" s="1" t="str">
        <f>INDEX(MCC_Lookup!$B$2:$B$12,MATCH(G99,MCC_Lookup!$A$2:$A$12,0))</f>
        <v>Meals</v>
      </c>
      <c r="N99" s="1" t="str">
        <f>IF(TRIM(H99)="","BLANK",IF(PROPER(TRIM(H99))=TRIM(M99),"MATCH","MISMATCH"))</f>
        <v>MATCH</v>
      </c>
      <c r="O99" s="5" t="str">
        <f>INDEX([1]Employee!$C$2:$C$276,MATCH(B99,[1]Employee!$A$2:$A$276,0))</f>
        <v>Underwriting</v>
      </c>
    </row>
    <row r="100" spans="1:15">
      <c r="A100" s="1" t="s">
        <v>341</v>
      </c>
      <c r="B100" s="1" t="s">
        <v>187</v>
      </c>
      <c r="C100" s="1"/>
      <c r="D100" s="2">
        <v>46026</v>
      </c>
      <c r="E100" s="2">
        <v>46032</v>
      </c>
      <c r="F100" s="1" t="s">
        <v>342</v>
      </c>
      <c r="G100" s="1" t="s">
        <v>8</v>
      </c>
      <c r="H100" s="1" t="s">
        <v>343</v>
      </c>
      <c r="I100" s="7">
        <v>46.87</v>
      </c>
      <c r="J100" s="1" t="s">
        <v>111</v>
      </c>
      <c r="K100" s="1" t="s">
        <v>112</v>
      </c>
      <c r="L100" s="1" t="s">
        <v>39</v>
      </c>
      <c r="M100" s="1" t="str">
        <f>INDEX(MCC_Lookup!$B$2:$B$12,MATCH(G100,MCC_Lookup!$A$2:$A$12,0))</f>
        <v>Transportation</v>
      </c>
      <c r="N100" s="1" t="str">
        <f>IF(TRIM(H100)="","BLANK",IF(PROPER(TRIM(H100))=TRIM(M100),"MATCH","MISMATCH"))</f>
        <v>MATCH</v>
      </c>
      <c r="O100" s="5" t="str">
        <f>INDEX([1]Employee!$C$2:$C$276,MATCH(B100,[1]Employee!$A$2:$A$276,0))</f>
        <v>HR &amp; Events</v>
      </c>
    </row>
    <row r="101" spans="1:15">
      <c r="A101" s="1" t="s">
        <v>344</v>
      </c>
      <c r="B101" s="1" t="s">
        <v>126</v>
      </c>
      <c r="C101" s="1"/>
      <c r="D101" s="2">
        <v>46031</v>
      </c>
      <c r="E101" s="2">
        <v>46032</v>
      </c>
      <c r="F101" s="1" t="s">
        <v>95</v>
      </c>
      <c r="G101" s="1" t="s">
        <v>6</v>
      </c>
      <c r="H101" s="1" t="s">
        <v>7</v>
      </c>
      <c r="I101" s="7">
        <v>147.72</v>
      </c>
      <c r="J101" s="1" t="s">
        <v>111</v>
      </c>
      <c r="K101" s="1" t="s">
        <v>127</v>
      </c>
      <c r="L101" s="1" t="s">
        <v>39</v>
      </c>
      <c r="M101" s="1" t="str">
        <f>INDEX(MCC_Lookup!$B$2:$B$12,MATCH(G101,MCC_Lookup!$A$2:$A$12,0))</f>
        <v>Lodging</v>
      </c>
      <c r="N101" s="1" t="str">
        <f>IF(TRIM(H101)="","BLANK",IF(PROPER(TRIM(H101))=TRIM(M101),"MATCH","MISMATCH"))</f>
        <v>MATCH</v>
      </c>
      <c r="O101" s="5" t="str">
        <f>INDEX([1]Employee!$C$2:$C$276,MATCH(B101,[1]Employee!$A$2:$A$276,0))</f>
        <v>Actuarial &amp; Risk</v>
      </c>
    </row>
    <row r="102" spans="1:15">
      <c r="A102" s="1" t="s">
        <v>345</v>
      </c>
      <c r="B102" s="1" t="s">
        <v>346</v>
      </c>
      <c r="C102" s="1"/>
      <c r="D102" s="2">
        <v>46027</v>
      </c>
      <c r="E102" s="2">
        <v>46032</v>
      </c>
      <c r="F102" s="1" t="s">
        <v>347</v>
      </c>
      <c r="G102" s="1" t="s">
        <v>8</v>
      </c>
      <c r="H102" s="1" t="s">
        <v>9</v>
      </c>
      <c r="I102" s="7">
        <v>13.21</v>
      </c>
      <c r="J102" s="1" t="s">
        <v>38</v>
      </c>
      <c r="K102" s="1"/>
      <c r="L102" s="1" t="s">
        <v>39</v>
      </c>
      <c r="M102" s="1" t="str">
        <f>INDEX(MCC_Lookup!$B$2:$B$12,MATCH(G102,MCC_Lookup!$A$2:$A$12,0))</f>
        <v>Transportation</v>
      </c>
      <c r="N102" s="1" t="str">
        <f>IF(TRIM(H102)="","BLANK",IF(PROPER(TRIM(H102))=TRIM(M102),"MATCH","MISMATCH"))</f>
        <v>MATCH</v>
      </c>
      <c r="O102" s="5" t="str">
        <f>INDEX([1]Employee!$C$2:$C$276,MATCH(B102,[1]Employee!$A$2:$A$276,0))</f>
        <v>Actuarial &amp; Risk</v>
      </c>
    </row>
    <row r="103" spans="1:15">
      <c r="A103" s="1" t="s">
        <v>348</v>
      </c>
      <c r="B103" s="1" t="s">
        <v>349</v>
      </c>
      <c r="C103" s="1" t="s">
        <v>350</v>
      </c>
      <c r="D103" s="2">
        <v>46030</v>
      </c>
      <c r="E103" s="2">
        <v>46032</v>
      </c>
      <c r="F103" s="1" t="s">
        <v>116</v>
      </c>
      <c r="G103" s="1" t="s">
        <v>2</v>
      </c>
      <c r="H103" s="1" t="s">
        <v>3</v>
      </c>
      <c r="I103" s="7">
        <v>13.58</v>
      </c>
      <c r="J103" s="1" t="s">
        <v>38</v>
      </c>
      <c r="K103" s="1"/>
      <c r="L103" s="1" t="s">
        <v>39</v>
      </c>
      <c r="M103" s="1" t="str">
        <f>INDEX(MCC_Lookup!$B$2:$B$12,MATCH(G103,MCC_Lookup!$A$2:$A$12,0))</f>
        <v>Meals</v>
      </c>
      <c r="N103" s="1" t="str">
        <f>IF(TRIM(H103)="","BLANK",IF(PROPER(TRIM(H103))=TRIM(M103),"MATCH","MISMATCH"))</f>
        <v>MATCH</v>
      </c>
      <c r="O103" s="5" t="str">
        <f>INDEX([1]Employee!$C$2:$C$276,MATCH(B103,[1]Employee!$A$2:$A$276,0))</f>
        <v>Sales &amp; Marketing</v>
      </c>
    </row>
    <row r="104" spans="1:15">
      <c r="A104" s="1" t="s">
        <v>351</v>
      </c>
      <c r="B104" s="1" t="s">
        <v>352</v>
      </c>
      <c r="C104" s="1"/>
      <c r="D104" s="2">
        <v>46026</v>
      </c>
      <c r="E104" s="2">
        <v>46033</v>
      </c>
      <c r="F104" s="1" t="s">
        <v>43</v>
      </c>
      <c r="G104" s="1" t="s">
        <v>2</v>
      </c>
      <c r="H104" s="1" t="s">
        <v>3</v>
      </c>
      <c r="I104" s="7">
        <v>12.46</v>
      </c>
      <c r="J104" s="1" t="s">
        <v>38</v>
      </c>
      <c r="K104" s="1"/>
      <c r="L104" s="1" t="s">
        <v>39</v>
      </c>
      <c r="M104" s="1" t="str">
        <f>INDEX(MCC_Lookup!$B$2:$B$12,MATCH(G104,MCC_Lookup!$A$2:$A$12,0))</f>
        <v>Meals</v>
      </c>
      <c r="N104" s="1" t="str">
        <f>IF(TRIM(H104)="","BLANK",IF(PROPER(TRIM(H104))=TRIM(M104),"MATCH","MISMATCH"))</f>
        <v>MATCH</v>
      </c>
      <c r="O104" s="5" t="str">
        <f>INDEX([1]Employee!$C$2:$C$276,MATCH(B104,[1]Employee!$A$2:$A$276,0))</f>
        <v>Sales &amp; Marketing</v>
      </c>
    </row>
    <row r="105" spans="1:15">
      <c r="A105" s="1" t="s">
        <v>353</v>
      </c>
      <c r="B105" s="1" t="s">
        <v>354</v>
      </c>
      <c r="C105" s="1" t="s">
        <v>355</v>
      </c>
      <c r="D105" s="2">
        <v>46029</v>
      </c>
      <c r="E105" s="2">
        <v>46033</v>
      </c>
      <c r="F105" s="1" t="s">
        <v>43</v>
      </c>
      <c r="G105" s="1" t="s">
        <v>2</v>
      </c>
      <c r="H105" s="1" t="s">
        <v>154</v>
      </c>
      <c r="I105" s="7">
        <v>11.2</v>
      </c>
      <c r="J105" s="1" t="s">
        <v>38</v>
      </c>
      <c r="K105" s="1"/>
      <c r="L105" s="1" t="s">
        <v>48</v>
      </c>
      <c r="M105" s="1" t="str">
        <f>INDEX(MCC_Lookup!$B$2:$B$12,MATCH(G105,MCC_Lookup!$A$2:$A$12,0))</f>
        <v>Meals</v>
      </c>
      <c r="N105" s="1" t="str">
        <f>IF(TRIM(H105)="","BLANK",IF(PROPER(TRIM(H105))=TRIM(M105),"MATCH","MISMATCH"))</f>
        <v>MATCH</v>
      </c>
      <c r="O105" s="5" t="str">
        <f>INDEX([1]Employee!$C$2:$C$276,MATCH(B105,[1]Employee!$A$2:$A$276,0))</f>
        <v>Customer Support</v>
      </c>
    </row>
    <row r="106" spans="1:15">
      <c r="A106" s="1" t="s">
        <v>356</v>
      </c>
      <c r="B106" s="1" t="s">
        <v>328</v>
      </c>
      <c r="C106" s="1" t="s">
        <v>357</v>
      </c>
      <c r="D106" s="2">
        <v>46031</v>
      </c>
      <c r="E106" s="2">
        <v>46033</v>
      </c>
      <c r="F106" s="1" t="s">
        <v>109</v>
      </c>
      <c r="G106" s="1" t="s">
        <v>18</v>
      </c>
      <c r="H106" s="1" t="s">
        <v>19</v>
      </c>
      <c r="I106" s="7">
        <v>115.72</v>
      </c>
      <c r="J106" s="1" t="s">
        <v>38</v>
      </c>
      <c r="K106" s="1"/>
      <c r="L106" s="1" t="s">
        <v>39</v>
      </c>
      <c r="M106" s="1" t="str">
        <f>INDEX(MCC_Lookup!$B$2:$B$12,MATCH(G106,MCC_Lookup!$A$2:$A$12,0))</f>
        <v>Events</v>
      </c>
      <c r="N106" s="1" t="str">
        <f>IF(TRIM(H106)="","BLANK",IF(PROPER(TRIM(H106))=TRIM(M106),"MATCH","MISMATCH"))</f>
        <v>MATCH</v>
      </c>
      <c r="O106" s="5" t="str">
        <f>INDEX([1]Employee!$C$2:$C$276,MATCH(B106,[1]Employee!$A$2:$A$276,0))</f>
        <v>Underwriting</v>
      </c>
    </row>
    <row r="107" spans="1:15">
      <c r="A107" s="1" t="s">
        <v>358</v>
      </c>
      <c r="B107" s="1" t="s">
        <v>328</v>
      </c>
      <c r="C107" s="1" t="s">
        <v>359</v>
      </c>
      <c r="D107" s="2">
        <v>46023</v>
      </c>
      <c r="E107" s="2">
        <v>46033</v>
      </c>
      <c r="F107" s="1" t="s">
        <v>92</v>
      </c>
      <c r="G107" s="1" t="s">
        <v>10</v>
      </c>
      <c r="H107" s="1" t="s">
        <v>3</v>
      </c>
      <c r="I107" s="7">
        <v>117.24</v>
      </c>
      <c r="J107" s="1" t="s">
        <v>38</v>
      </c>
      <c r="K107" s="1"/>
      <c r="L107" s="1" t="s">
        <v>39</v>
      </c>
      <c r="M107" s="1" t="str">
        <f>INDEX(MCC_Lookup!$B$2:$B$12,MATCH(G107,MCC_Lookup!$A$2:$A$12,0))</f>
        <v>Office Supplies</v>
      </c>
      <c r="N107" s="1" t="str">
        <f>IF(TRIM(H107)="","BLANK",IF(PROPER(TRIM(H107))=TRIM(M107),"MATCH","MISMATCH"))</f>
        <v>MISMATCH</v>
      </c>
      <c r="O107" s="5" t="str">
        <f>INDEX([1]Employee!$C$2:$C$276,MATCH(B107,[1]Employee!$A$2:$A$276,0))</f>
        <v>Underwriting</v>
      </c>
    </row>
    <row r="108" spans="1:15">
      <c r="A108" s="1" t="s">
        <v>360</v>
      </c>
      <c r="B108" s="1" t="s">
        <v>325</v>
      </c>
      <c r="C108" s="1" t="s">
        <v>361</v>
      </c>
      <c r="D108" s="2">
        <v>46030</v>
      </c>
      <c r="E108" s="2">
        <v>46033</v>
      </c>
      <c r="F108" s="1" t="s">
        <v>362</v>
      </c>
      <c r="G108" s="1" t="s">
        <v>2</v>
      </c>
      <c r="H108" s="1" t="s">
        <v>3</v>
      </c>
      <c r="I108" s="7">
        <v>97.36</v>
      </c>
      <c r="J108" s="1" t="s">
        <v>38</v>
      </c>
      <c r="K108" s="1"/>
      <c r="L108" s="1" t="s">
        <v>39</v>
      </c>
      <c r="M108" s="1" t="str">
        <f>INDEX(MCC_Lookup!$B$2:$B$12,MATCH(G108,MCC_Lookup!$A$2:$A$12,0))</f>
        <v>Meals</v>
      </c>
      <c r="N108" s="1" t="str">
        <f>IF(TRIM(H108)="","BLANK",IF(PROPER(TRIM(H108))=TRIM(M108),"MATCH","MISMATCH"))</f>
        <v>MATCH</v>
      </c>
      <c r="O108" s="5" t="str">
        <f>INDEX([1]Employee!$C$2:$C$276,MATCH(B108,[1]Employee!$A$2:$A$276,0))</f>
        <v>Sales &amp; Marketing</v>
      </c>
    </row>
    <row r="109" spans="1:15">
      <c r="A109" s="1" t="s">
        <v>363</v>
      </c>
      <c r="B109" s="1" t="s">
        <v>364</v>
      </c>
      <c r="C109" s="1"/>
      <c r="D109" s="2">
        <v>46027</v>
      </c>
      <c r="E109" s="2">
        <v>46033</v>
      </c>
      <c r="F109" s="1" t="s">
        <v>56</v>
      </c>
      <c r="G109" s="1" t="s">
        <v>4</v>
      </c>
      <c r="H109" s="1" t="s">
        <v>5</v>
      </c>
      <c r="I109" s="7">
        <v>291.51</v>
      </c>
      <c r="J109" s="1" t="s">
        <v>38</v>
      </c>
      <c r="K109" s="1"/>
      <c r="L109" s="1" t="s">
        <v>39</v>
      </c>
      <c r="M109" s="1" t="str">
        <f>INDEX(MCC_Lookup!$B$2:$B$12,MATCH(G109,MCC_Lookup!$A$2:$A$12,0))</f>
        <v>Travel</v>
      </c>
      <c r="N109" s="1" t="str">
        <f>IF(TRIM(H109)="","BLANK",IF(PROPER(TRIM(H109))=TRIM(M109),"MATCH","MISMATCH"))</f>
        <v>MATCH</v>
      </c>
      <c r="O109" s="5" t="str">
        <f>INDEX([1]Employee!$C$2:$C$276,MATCH(B109,[1]Employee!$A$2:$A$276,0))</f>
        <v>Sales &amp; Marketing</v>
      </c>
    </row>
    <row r="110" spans="1:15">
      <c r="A110" s="1" t="s">
        <v>365</v>
      </c>
      <c r="B110" s="1" t="s">
        <v>364</v>
      </c>
      <c r="C110" s="1" t="s">
        <v>366</v>
      </c>
      <c r="D110" s="2">
        <v>46025</v>
      </c>
      <c r="E110" s="2">
        <v>46033</v>
      </c>
      <c r="F110" s="1" t="s">
        <v>173</v>
      </c>
      <c r="G110" s="1" t="s">
        <v>2</v>
      </c>
      <c r="H110" s="1"/>
      <c r="I110" s="7">
        <v>39.64</v>
      </c>
      <c r="J110" s="1" t="s">
        <v>38</v>
      </c>
      <c r="K110" s="1"/>
      <c r="L110" s="1" t="s">
        <v>39</v>
      </c>
      <c r="M110" s="1" t="str">
        <f>INDEX(MCC_Lookup!$B$2:$B$12,MATCH(G110,MCC_Lookup!$A$2:$A$12,0))</f>
        <v>Meals</v>
      </c>
      <c r="N110" s="1" t="str">
        <f>IF(TRIM(H110)="","BLANK",IF(PROPER(TRIM(H110))=TRIM(M110),"MATCH","MISMATCH"))</f>
        <v>BLANK</v>
      </c>
      <c r="O110" s="5" t="str">
        <f>INDEX([1]Employee!$C$2:$C$276,MATCH(B110,[1]Employee!$A$2:$A$276,0))</f>
        <v>Sales &amp; Marketing</v>
      </c>
    </row>
    <row r="111" spans="1:15">
      <c r="A111" s="1" t="s">
        <v>367</v>
      </c>
      <c r="B111" s="1" t="s">
        <v>368</v>
      </c>
      <c r="C111" s="1" t="s">
        <v>369</v>
      </c>
      <c r="D111" s="2">
        <v>46028</v>
      </c>
      <c r="E111" s="2">
        <v>46033</v>
      </c>
      <c r="F111" s="1" t="s">
        <v>109</v>
      </c>
      <c r="G111" s="1" t="s">
        <v>18</v>
      </c>
      <c r="H111" s="1" t="s">
        <v>19</v>
      </c>
      <c r="I111" s="7">
        <v>274.55</v>
      </c>
      <c r="J111" s="1" t="s">
        <v>38</v>
      </c>
      <c r="K111" s="1"/>
      <c r="L111" s="1" t="s">
        <v>39</v>
      </c>
      <c r="M111" s="1" t="str">
        <f>INDEX(MCC_Lookup!$B$2:$B$12,MATCH(G111,MCC_Lookup!$A$2:$A$12,0))</f>
        <v>Events</v>
      </c>
      <c r="N111" s="1" t="str">
        <f>IF(TRIM(H111)="","BLANK",IF(PROPER(TRIM(H111))=TRIM(M111),"MATCH","MISMATCH"))</f>
        <v>MATCH</v>
      </c>
      <c r="O111" s="5" t="str">
        <f>INDEX([1]Employee!$C$2:$C$276,MATCH(B111,[1]Employee!$A$2:$A$276,0))</f>
        <v>Actuarial &amp; Risk</v>
      </c>
    </row>
    <row r="112" spans="1:15">
      <c r="A112" s="1" t="s">
        <v>370</v>
      </c>
      <c r="B112" s="1" t="s">
        <v>371</v>
      </c>
      <c r="C112" s="1"/>
      <c r="D112" s="2">
        <v>46032</v>
      </c>
      <c r="E112" s="2">
        <v>46033</v>
      </c>
      <c r="F112" s="1" t="s">
        <v>76</v>
      </c>
      <c r="G112" s="1" t="s">
        <v>13</v>
      </c>
      <c r="H112" s="1" t="s">
        <v>14</v>
      </c>
      <c r="I112" s="7">
        <v>177.77</v>
      </c>
      <c r="J112" s="1" t="s">
        <v>38</v>
      </c>
      <c r="K112" s="1"/>
      <c r="L112" s="1" t="s">
        <v>39</v>
      </c>
      <c r="M112" s="1" t="str">
        <f>INDEX(MCC_Lookup!$B$2:$B$12,MATCH(G112,MCC_Lookup!$A$2:$A$12,0))</f>
        <v>Software</v>
      </c>
      <c r="N112" s="1" t="str">
        <f>IF(TRIM(H112)="","BLANK",IF(PROPER(TRIM(H112))=TRIM(M112),"MATCH","MISMATCH"))</f>
        <v>MATCH</v>
      </c>
      <c r="O112" s="5" t="str">
        <f>INDEX([1]Employee!$C$2:$C$276,MATCH(B112,[1]Employee!$A$2:$A$276,0))</f>
        <v>Customer Support</v>
      </c>
    </row>
    <row r="113" spans="1:15">
      <c r="A113" s="1" t="s">
        <v>372</v>
      </c>
      <c r="B113" s="1" t="s">
        <v>373</v>
      </c>
      <c r="C113" s="1"/>
      <c r="D113" s="2">
        <v>46027</v>
      </c>
      <c r="E113" s="2">
        <v>46033</v>
      </c>
      <c r="F113" s="1" t="s">
        <v>109</v>
      </c>
      <c r="G113" s="1" t="s">
        <v>18</v>
      </c>
      <c r="H113" s="1"/>
      <c r="I113" s="7">
        <v>112.49</v>
      </c>
      <c r="J113" s="1" t="s">
        <v>38</v>
      </c>
      <c r="K113" s="1"/>
      <c r="L113" s="1" t="s">
        <v>39</v>
      </c>
      <c r="M113" s="1" t="str">
        <f>INDEX(MCC_Lookup!$B$2:$B$12,MATCH(G113,MCC_Lookup!$A$2:$A$12,0))</f>
        <v>Events</v>
      </c>
      <c r="N113" s="1" t="str">
        <f>IF(TRIM(H113)="","BLANK",IF(PROPER(TRIM(H113))=TRIM(M113),"MATCH","MISMATCH"))</f>
        <v>BLANK</v>
      </c>
      <c r="O113" s="5" t="str">
        <f>INDEX([1]Employee!$C$2:$C$276,MATCH(B113,[1]Employee!$A$2:$A$276,0))</f>
        <v>Sales &amp; Marketing</v>
      </c>
    </row>
    <row r="114" spans="1:15">
      <c r="A114" s="1" t="s">
        <v>374</v>
      </c>
      <c r="B114" s="1" t="s">
        <v>90</v>
      </c>
      <c r="C114" s="1" t="s">
        <v>375</v>
      </c>
      <c r="D114" s="2">
        <v>46028</v>
      </c>
      <c r="E114" s="2">
        <v>46033</v>
      </c>
      <c r="F114" s="1" t="s">
        <v>242</v>
      </c>
      <c r="G114" s="1" t="s">
        <v>13</v>
      </c>
      <c r="H114" s="1" t="s">
        <v>14</v>
      </c>
      <c r="I114" s="7">
        <v>34.04</v>
      </c>
      <c r="J114" s="1" t="s">
        <v>38</v>
      </c>
      <c r="K114" s="1"/>
      <c r="L114" s="1" t="s">
        <v>39</v>
      </c>
      <c r="M114" s="1" t="str">
        <f>INDEX(MCC_Lookup!$B$2:$B$12,MATCH(G114,MCC_Lookup!$A$2:$A$12,0))</f>
        <v>Software</v>
      </c>
      <c r="N114" s="1" t="str">
        <f>IF(TRIM(H114)="","BLANK",IF(PROPER(TRIM(H114))=TRIM(M114),"MATCH","MISMATCH"))</f>
        <v>MATCH</v>
      </c>
      <c r="O114" s="5" t="str">
        <f>INDEX([1]Employee!$C$2:$C$276,MATCH(B114,[1]Employee!$A$2:$A$276,0))</f>
        <v>Sales &amp; Marketing</v>
      </c>
    </row>
    <row r="115" spans="1:15">
      <c r="A115" s="1" t="s">
        <v>376</v>
      </c>
      <c r="B115" s="1" t="s">
        <v>250</v>
      </c>
      <c r="C115" s="1" t="s">
        <v>377</v>
      </c>
      <c r="D115" s="2">
        <v>46031</v>
      </c>
      <c r="E115" s="2">
        <v>46033</v>
      </c>
      <c r="F115" s="1" t="s">
        <v>79</v>
      </c>
      <c r="G115" s="1" t="s">
        <v>13</v>
      </c>
      <c r="H115" s="1" t="s">
        <v>192</v>
      </c>
      <c r="I115" s="7">
        <v>152.47</v>
      </c>
      <c r="J115" s="1" t="s">
        <v>38</v>
      </c>
      <c r="K115" s="1"/>
      <c r="L115" s="1" t="s">
        <v>39</v>
      </c>
      <c r="M115" s="1" t="str">
        <f>INDEX(MCC_Lookup!$B$2:$B$12,MATCH(G115,MCC_Lookup!$A$2:$A$12,0))</f>
        <v>Software</v>
      </c>
      <c r="N115" s="1" t="str">
        <f>IF(TRIM(H115)="","BLANK",IF(PROPER(TRIM(H115))=TRIM(M115),"MATCH","MISMATCH"))</f>
        <v>MATCH</v>
      </c>
      <c r="O115" s="5" t="str">
        <f>INDEX([1]Employee!$C$2:$C$276,MATCH(B115,[1]Employee!$A$2:$A$276,0))</f>
        <v>Sales &amp; Marketing</v>
      </c>
    </row>
    <row r="116" spans="1:15">
      <c r="A116" s="1" t="s">
        <v>378</v>
      </c>
      <c r="B116" s="1" t="s">
        <v>379</v>
      </c>
      <c r="C116" s="1" t="s">
        <v>380</v>
      </c>
      <c r="D116" s="2">
        <v>46030</v>
      </c>
      <c r="E116" s="2">
        <v>46033</v>
      </c>
      <c r="F116" s="1" t="s">
        <v>305</v>
      </c>
      <c r="G116" s="1" t="s">
        <v>2</v>
      </c>
      <c r="H116" s="1" t="s">
        <v>3</v>
      </c>
      <c r="I116" s="7">
        <v>6.59</v>
      </c>
      <c r="J116" s="1" t="s">
        <v>38</v>
      </c>
      <c r="K116" s="1"/>
      <c r="L116" s="1" t="s">
        <v>39</v>
      </c>
      <c r="M116" s="1" t="str">
        <f>INDEX(MCC_Lookup!$B$2:$B$12,MATCH(G116,MCC_Lookup!$A$2:$A$12,0))</f>
        <v>Meals</v>
      </c>
      <c r="N116" s="1" t="str">
        <f>IF(TRIM(H116)="","BLANK",IF(PROPER(TRIM(H116))=TRIM(M116),"MATCH","MISMATCH"))</f>
        <v>MATCH</v>
      </c>
      <c r="O116" s="5" t="str">
        <f>INDEX([1]Employee!$C$2:$C$276,MATCH(B116,[1]Employee!$A$2:$A$276,0))</f>
        <v>Sales &amp; Marketing</v>
      </c>
    </row>
    <row r="117" spans="1:15">
      <c r="A117" s="1" t="s">
        <v>381</v>
      </c>
      <c r="B117" s="1" t="s">
        <v>382</v>
      </c>
      <c r="C117" s="1" t="s">
        <v>383</v>
      </c>
      <c r="D117" s="2">
        <v>46030</v>
      </c>
      <c r="E117" s="2">
        <v>46033</v>
      </c>
      <c r="F117" s="1" t="s">
        <v>65</v>
      </c>
      <c r="G117" s="1" t="s">
        <v>18</v>
      </c>
      <c r="H117" s="1" t="s">
        <v>19</v>
      </c>
      <c r="I117" s="7">
        <v>291.48</v>
      </c>
      <c r="J117" s="1" t="s">
        <v>38</v>
      </c>
      <c r="K117" s="1"/>
      <c r="L117" s="1" t="s">
        <v>39</v>
      </c>
      <c r="M117" s="1" t="str">
        <f>INDEX(MCC_Lookup!$B$2:$B$12,MATCH(G117,MCC_Lookup!$A$2:$A$12,0))</f>
        <v>Events</v>
      </c>
      <c r="N117" s="1" t="str">
        <f>IF(TRIM(H117)="","BLANK",IF(PROPER(TRIM(H117))=TRIM(M117),"MATCH","MISMATCH"))</f>
        <v>MATCH</v>
      </c>
      <c r="O117" s="5" t="str">
        <f>INDEX([1]Employee!$C$2:$C$276,MATCH(B117,[1]Employee!$A$2:$A$276,0))</f>
        <v>Sales &amp; Marketing</v>
      </c>
    </row>
    <row r="118" spans="1:15">
      <c r="A118" s="1" t="s">
        <v>384</v>
      </c>
      <c r="B118" s="1" t="s">
        <v>303</v>
      </c>
      <c r="C118" s="1" t="s">
        <v>385</v>
      </c>
      <c r="D118" s="2">
        <v>46025</v>
      </c>
      <c r="E118" s="2">
        <v>46033</v>
      </c>
      <c r="F118" s="1" t="s">
        <v>124</v>
      </c>
      <c r="G118" s="1" t="s">
        <v>17</v>
      </c>
      <c r="H118" s="1" t="s">
        <v>16</v>
      </c>
      <c r="I118" s="7">
        <v>136.47</v>
      </c>
      <c r="J118" s="1" t="s">
        <v>38</v>
      </c>
      <c r="K118" s="1"/>
      <c r="L118" s="1" t="s">
        <v>39</v>
      </c>
      <c r="M118" s="1" t="str">
        <f>INDEX(MCC_Lookup!$B$2:$B$12,MATCH(G118,MCC_Lookup!$A$2:$A$12,0))</f>
        <v>Entertainment</v>
      </c>
      <c r="N118" s="1" t="str">
        <f>IF(TRIM(H118)="","BLANK",IF(PROPER(TRIM(H118))=TRIM(M118),"MATCH","MISMATCH"))</f>
        <v>MATCH</v>
      </c>
      <c r="O118" s="5" t="str">
        <f>INDEX([1]Employee!$C$2:$C$276,MATCH(B118,[1]Employee!$A$2:$A$276,0))</f>
        <v>Sales &amp; Marketing</v>
      </c>
    </row>
    <row r="119" spans="1:15">
      <c r="A119" s="1" t="s">
        <v>386</v>
      </c>
      <c r="B119" s="1" t="s">
        <v>387</v>
      </c>
      <c r="C119" s="1" t="s">
        <v>388</v>
      </c>
      <c r="D119" s="2">
        <v>46025</v>
      </c>
      <c r="E119" s="2">
        <v>46033</v>
      </c>
      <c r="F119" s="1" t="s">
        <v>69</v>
      </c>
      <c r="G119" s="1" t="s">
        <v>8</v>
      </c>
      <c r="H119" s="1" t="s">
        <v>9</v>
      </c>
      <c r="I119" s="7">
        <v>12.91</v>
      </c>
      <c r="J119" s="1" t="s">
        <v>38</v>
      </c>
      <c r="K119" s="1"/>
      <c r="L119" s="1" t="s">
        <v>39</v>
      </c>
      <c r="M119" s="1" t="str">
        <f>INDEX(MCC_Lookup!$B$2:$B$12,MATCH(G119,MCC_Lookup!$A$2:$A$12,0))</f>
        <v>Transportation</v>
      </c>
      <c r="N119" s="1" t="str">
        <f>IF(TRIM(H119)="","BLANK",IF(PROPER(TRIM(H119))=TRIM(M119),"MATCH","MISMATCH"))</f>
        <v>MATCH</v>
      </c>
      <c r="O119" s="5" t="str">
        <f>INDEX([1]Employee!$C$2:$C$276,MATCH(B119,[1]Employee!$A$2:$A$276,0))</f>
        <v>IT &amp; Platform Engineering</v>
      </c>
    </row>
    <row r="120" spans="1:15">
      <c r="A120" s="1" t="s">
        <v>389</v>
      </c>
      <c r="B120" s="1" t="s">
        <v>108</v>
      </c>
      <c r="C120" s="1"/>
      <c r="D120" s="2">
        <v>46032</v>
      </c>
      <c r="E120" s="2">
        <v>46033</v>
      </c>
      <c r="F120" s="1" t="s">
        <v>47</v>
      </c>
      <c r="G120" s="1" t="s">
        <v>6</v>
      </c>
      <c r="H120" s="1" t="s">
        <v>7</v>
      </c>
      <c r="I120" s="7">
        <v>266.16000000000003</v>
      </c>
      <c r="J120" s="1" t="s">
        <v>111</v>
      </c>
      <c r="K120" s="1" t="s">
        <v>112</v>
      </c>
      <c r="L120" s="1" t="s">
        <v>39</v>
      </c>
      <c r="M120" s="1" t="str">
        <f>INDEX(MCC_Lookup!$B$2:$B$12,MATCH(G120,MCC_Lookup!$A$2:$A$12,0))</f>
        <v>Lodging</v>
      </c>
      <c r="N120" s="1" t="str">
        <f>IF(TRIM(H120)="","BLANK",IF(PROPER(TRIM(H120))=TRIM(M120),"MATCH","MISMATCH"))</f>
        <v>MATCH</v>
      </c>
      <c r="O120" s="5" t="str">
        <f>INDEX([1]Employee!$C$2:$C$276,MATCH(B120,[1]Employee!$A$2:$A$276,0))</f>
        <v>Sales &amp; Marketing</v>
      </c>
    </row>
    <row r="121" spans="1:15">
      <c r="A121" s="1" t="s">
        <v>390</v>
      </c>
      <c r="B121" s="1" t="s">
        <v>391</v>
      </c>
      <c r="C121" s="1" t="s">
        <v>392</v>
      </c>
      <c r="D121" s="2">
        <v>46028</v>
      </c>
      <c r="E121" s="2">
        <v>46033</v>
      </c>
      <c r="F121" s="1" t="s">
        <v>347</v>
      </c>
      <c r="G121" s="1" t="s">
        <v>8</v>
      </c>
      <c r="H121" s="1" t="s">
        <v>9</v>
      </c>
      <c r="I121" s="7">
        <v>26.5</v>
      </c>
      <c r="J121" s="1" t="s">
        <v>38</v>
      </c>
      <c r="K121" s="1"/>
      <c r="L121" s="1" t="s">
        <v>39</v>
      </c>
      <c r="M121" s="1" t="str">
        <f>INDEX(MCC_Lookup!$B$2:$B$12,MATCH(G121,MCC_Lookup!$A$2:$A$12,0))</f>
        <v>Transportation</v>
      </c>
      <c r="N121" s="1" t="str">
        <f>IF(TRIM(H121)="","BLANK",IF(PROPER(TRIM(H121))=TRIM(M121),"MATCH","MISMATCH"))</f>
        <v>MATCH</v>
      </c>
      <c r="O121" s="5" t="str">
        <f>INDEX([1]Employee!$C$2:$C$276,MATCH(B121,[1]Employee!$A$2:$A$276,0))</f>
        <v>Customer Support</v>
      </c>
    </row>
    <row r="122" spans="1:15">
      <c r="A122" s="1" t="s">
        <v>393</v>
      </c>
      <c r="B122" s="1" t="s">
        <v>394</v>
      </c>
      <c r="C122" s="1" t="s">
        <v>395</v>
      </c>
      <c r="D122" s="2">
        <v>46024</v>
      </c>
      <c r="E122" s="2">
        <v>46033</v>
      </c>
      <c r="F122" s="1" t="s">
        <v>47</v>
      </c>
      <c r="G122" s="1" t="s">
        <v>6</v>
      </c>
      <c r="H122" s="1" t="s">
        <v>7</v>
      </c>
      <c r="I122" s="7">
        <v>340.15</v>
      </c>
      <c r="J122" s="1" t="s">
        <v>38</v>
      </c>
      <c r="K122" s="1"/>
      <c r="L122" s="1" t="s">
        <v>39</v>
      </c>
      <c r="M122" s="1" t="str">
        <f>INDEX(MCC_Lookup!$B$2:$B$12,MATCH(G122,MCC_Lookup!$A$2:$A$12,0))</f>
        <v>Lodging</v>
      </c>
      <c r="N122" s="1" t="str">
        <f>IF(TRIM(H122)="","BLANK",IF(PROPER(TRIM(H122))=TRIM(M122),"MATCH","MISMATCH"))</f>
        <v>MATCH</v>
      </c>
      <c r="O122" s="5" t="str">
        <f>INDEX([1]Employee!$C$2:$C$276,MATCH(B122,[1]Employee!$A$2:$A$276,0))</f>
        <v>IT &amp; Platform Engineering</v>
      </c>
    </row>
    <row r="123" spans="1:15">
      <c r="A123" s="1" t="s">
        <v>396</v>
      </c>
      <c r="B123" s="1" t="s">
        <v>397</v>
      </c>
      <c r="C123" s="1"/>
      <c r="D123" s="2">
        <v>46033</v>
      </c>
      <c r="E123" s="2">
        <v>46033</v>
      </c>
      <c r="F123" s="1" t="s">
        <v>177</v>
      </c>
      <c r="G123" s="1" t="s">
        <v>13</v>
      </c>
      <c r="H123" s="1" t="s">
        <v>14</v>
      </c>
      <c r="I123" s="7">
        <v>40.19</v>
      </c>
      <c r="J123" s="1" t="s">
        <v>38</v>
      </c>
      <c r="K123" s="1"/>
      <c r="L123" s="1" t="s">
        <v>39</v>
      </c>
      <c r="M123" s="1" t="str">
        <f>INDEX(MCC_Lookup!$B$2:$B$12,MATCH(G123,MCC_Lookup!$A$2:$A$12,0))</f>
        <v>Software</v>
      </c>
      <c r="N123" s="1" t="str">
        <f>IF(TRIM(H123)="","BLANK",IF(PROPER(TRIM(H123))=TRIM(M123),"MATCH","MISMATCH"))</f>
        <v>MATCH</v>
      </c>
      <c r="O123" s="5" t="str">
        <f>INDEX([1]Employee!$C$2:$C$276,MATCH(B123,[1]Employee!$A$2:$A$276,0))</f>
        <v>Finance</v>
      </c>
    </row>
    <row r="124" spans="1:15">
      <c r="A124" s="1" t="s">
        <v>398</v>
      </c>
      <c r="B124" s="1" t="s">
        <v>399</v>
      </c>
      <c r="C124" s="1" t="s">
        <v>400</v>
      </c>
      <c r="D124" s="2">
        <v>46028</v>
      </c>
      <c r="E124" s="2">
        <v>46033</v>
      </c>
      <c r="F124" s="1" t="s">
        <v>116</v>
      </c>
      <c r="G124" s="1" t="s">
        <v>2</v>
      </c>
      <c r="H124" s="1" t="s">
        <v>3</v>
      </c>
      <c r="I124" s="7">
        <v>10.74</v>
      </c>
      <c r="J124" s="1" t="s">
        <v>38</v>
      </c>
      <c r="K124" s="1"/>
      <c r="L124" s="1" t="s">
        <v>39</v>
      </c>
      <c r="M124" s="1" t="str">
        <f>INDEX(MCC_Lookup!$B$2:$B$12,MATCH(G124,MCC_Lookup!$A$2:$A$12,0))</f>
        <v>Meals</v>
      </c>
      <c r="N124" s="1" t="str">
        <f>IF(TRIM(H124)="","BLANK",IF(PROPER(TRIM(H124))=TRIM(M124),"MATCH","MISMATCH"))</f>
        <v>MATCH</v>
      </c>
      <c r="O124" s="5" t="str">
        <f>INDEX([1]Employee!$C$2:$C$276,MATCH(B124,[1]Employee!$A$2:$A$276,0))</f>
        <v>IT &amp; Platform Engineering</v>
      </c>
    </row>
    <row r="125" spans="1:15">
      <c r="A125" s="1" t="s">
        <v>401</v>
      </c>
      <c r="B125" s="1" t="s">
        <v>129</v>
      </c>
      <c r="C125" s="1" t="s">
        <v>402</v>
      </c>
      <c r="D125" s="2">
        <v>46024</v>
      </c>
      <c r="E125" s="2">
        <v>46034</v>
      </c>
      <c r="F125" s="1" t="s">
        <v>52</v>
      </c>
      <c r="G125" s="1" t="s">
        <v>15</v>
      </c>
      <c r="H125" s="1" t="s">
        <v>403</v>
      </c>
      <c r="I125" s="7">
        <v>46.88</v>
      </c>
      <c r="J125" s="1" t="s">
        <v>38</v>
      </c>
      <c r="K125" s="1"/>
      <c r="L125" s="1" t="s">
        <v>39</v>
      </c>
      <c r="M125" s="1" t="str">
        <f>INDEX(MCC_Lookup!$B$2:$B$12,MATCH(G125,MCC_Lookup!$A$2:$A$12,0))</f>
        <v>Entertainment</v>
      </c>
      <c r="N125" s="1" t="str">
        <f>IF(TRIM(H125)="","BLANK",IF(PROPER(TRIM(H125))=TRIM(M125),"MATCH","MISMATCH"))</f>
        <v>MATCH</v>
      </c>
      <c r="O125" s="5" t="str">
        <f>INDEX([1]Employee!$C$2:$C$276,MATCH(B125,[1]Employee!$A$2:$A$276,0))</f>
        <v>Sales &amp; Marketing</v>
      </c>
    </row>
    <row r="126" spans="1:15">
      <c r="A126" s="1" t="s">
        <v>404</v>
      </c>
      <c r="B126" s="1" t="s">
        <v>210</v>
      </c>
      <c r="C126" s="1" t="s">
        <v>405</v>
      </c>
      <c r="D126" s="2">
        <v>46029</v>
      </c>
      <c r="E126" s="2">
        <v>46034</v>
      </c>
      <c r="F126" s="1" t="s">
        <v>173</v>
      </c>
      <c r="G126" s="1" t="s">
        <v>2</v>
      </c>
      <c r="H126" s="1" t="s">
        <v>3</v>
      </c>
      <c r="I126" s="7">
        <v>22.44</v>
      </c>
      <c r="J126" s="1" t="s">
        <v>38</v>
      </c>
      <c r="K126" s="1"/>
      <c r="L126" s="1" t="s">
        <v>48</v>
      </c>
      <c r="M126" s="1" t="str">
        <f>INDEX(MCC_Lookup!$B$2:$B$12,MATCH(G126,MCC_Lookup!$A$2:$A$12,0))</f>
        <v>Meals</v>
      </c>
      <c r="N126" s="1" t="str">
        <f>IF(TRIM(H126)="","BLANK",IF(PROPER(TRIM(H126))=TRIM(M126),"MATCH","MISMATCH"))</f>
        <v>MATCH</v>
      </c>
      <c r="O126" s="5" t="str">
        <f>INDEX([1]Employee!$C$2:$C$276,MATCH(B126,[1]Employee!$A$2:$A$276,0))</f>
        <v>Sales &amp; Marketing</v>
      </c>
    </row>
    <row r="127" spans="1:15">
      <c r="A127" s="1" t="s">
        <v>406</v>
      </c>
      <c r="B127" s="1" t="s">
        <v>407</v>
      </c>
      <c r="C127" s="1" t="s">
        <v>408</v>
      </c>
      <c r="D127" s="2">
        <v>46025</v>
      </c>
      <c r="E127" s="2">
        <v>46034</v>
      </c>
      <c r="F127" s="1" t="s">
        <v>37</v>
      </c>
      <c r="G127" s="1" t="s">
        <v>4</v>
      </c>
      <c r="H127" s="1" t="s">
        <v>5</v>
      </c>
      <c r="I127" s="7">
        <v>150.44</v>
      </c>
      <c r="J127" s="1" t="s">
        <v>38</v>
      </c>
      <c r="K127" s="1"/>
      <c r="L127" s="1" t="s">
        <v>39</v>
      </c>
      <c r="M127" s="1" t="str">
        <f>INDEX(MCC_Lookup!$B$2:$B$12,MATCH(G127,MCC_Lookup!$A$2:$A$12,0))</f>
        <v>Travel</v>
      </c>
      <c r="N127" s="1" t="str">
        <f>IF(TRIM(H127)="","BLANK",IF(PROPER(TRIM(H127))=TRIM(M127),"MATCH","MISMATCH"))</f>
        <v>MATCH</v>
      </c>
      <c r="O127" s="5" t="str">
        <f>INDEX([1]Employee!$C$2:$C$276,MATCH(B127,[1]Employee!$A$2:$A$276,0))</f>
        <v>Executive &amp; Corporate</v>
      </c>
    </row>
    <row r="128" spans="1:15">
      <c r="A128" s="1" t="s">
        <v>409</v>
      </c>
      <c r="B128" s="1" t="s">
        <v>50</v>
      </c>
      <c r="C128" s="1"/>
      <c r="D128" s="2">
        <v>46030</v>
      </c>
      <c r="E128" s="2">
        <v>46034</v>
      </c>
      <c r="F128" s="1" t="s">
        <v>79</v>
      </c>
      <c r="G128" s="1" t="s">
        <v>13</v>
      </c>
      <c r="H128" s="1" t="s">
        <v>14</v>
      </c>
      <c r="I128" s="7">
        <v>229.33</v>
      </c>
      <c r="J128" s="1" t="s">
        <v>111</v>
      </c>
      <c r="K128" s="1" t="s">
        <v>112</v>
      </c>
      <c r="L128" s="1" t="s">
        <v>39</v>
      </c>
      <c r="M128" s="1" t="str">
        <f>INDEX(MCC_Lookup!$B$2:$B$12,MATCH(G128,MCC_Lookup!$A$2:$A$12,0))</f>
        <v>Software</v>
      </c>
      <c r="N128" s="1" t="str">
        <f>IF(TRIM(H128)="","BLANK",IF(PROPER(TRIM(H128))=TRIM(M128),"MATCH","MISMATCH"))</f>
        <v>MATCH</v>
      </c>
      <c r="O128" s="5" t="str">
        <f>INDEX([1]Employee!$C$2:$C$276,MATCH(B128,[1]Employee!$A$2:$A$276,0))</f>
        <v>Sales &amp; Marketing</v>
      </c>
    </row>
    <row r="129" spans="1:15">
      <c r="A129" s="1" t="s">
        <v>410</v>
      </c>
      <c r="B129" s="1" t="s">
        <v>50</v>
      </c>
      <c r="C129" s="1" t="s">
        <v>411</v>
      </c>
      <c r="D129" s="2">
        <v>46031</v>
      </c>
      <c r="E129" s="2">
        <v>46034</v>
      </c>
      <c r="F129" s="1" t="s">
        <v>259</v>
      </c>
      <c r="G129" s="1" t="s">
        <v>20</v>
      </c>
      <c r="H129" s="1" t="s">
        <v>19</v>
      </c>
      <c r="I129" s="7">
        <v>324.45</v>
      </c>
      <c r="J129" s="1" t="s">
        <v>38</v>
      </c>
      <c r="K129" s="1"/>
      <c r="L129" s="1" t="s">
        <v>39</v>
      </c>
      <c r="M129" s="1" t="str">
        <f>INDEX(MCC_Lookup!$B$2:$B$12,MATCH(G129,MCC_Lookup!$A$2:$A$12,0))</f>
        <v>Events</v>
      </c>
      <c r="N129" s="1" t="str">
        <f>IF(TRIM(H129)="","BLANK",IF(PROPER(TRIM(H129))=TRIM(M129),"MATCH","MISMATCH"))</f>
        <v>MATCH</v>
      </c>
      <c r="O129" s="5" t="str">
        <f>INDEX([1]Employee!$C$2:$C$276,MATCH(B129,[1]Employee!$A$2:$A$276,0))</f>
        <v>Sales &amp; Marketing</v>
      </c>
    </row>
    <row r="130" spans="1:15">
      <c r="A130" s="1" t="s">
        <v>412</v>
      </c>
      <c r="B130" s="1" t="s">
        <v>413</v>
      </c>
      <c r="C130" s="1" t="s">
        <v>414</v>
      </c>
      <c r="D130" s="2">
        <v>46024</v>
      </c>
      <c r="E130" s="2">
        <v>46034</v>
      </c>
      <c r="F130" s="1" t="s">
        <v>109</v>
      </c>
      <c r="G130" s="1" t="s">
        <v>18</v>
      </c>
      <c r="H130" s="1" t="s">
        <v>19</v>
      </c>
      <c r="I130" s="7">
        <v>41.58</v>
      </c>
      <c r="J130" s="1" t="s">
        <v>38</v>
      </c>
      <c r="K130" s="1"/>
      <c r="L130" s="1" t="s">
        <v>39</v>
      </c>
      <c r="M130" s="1" t="str">
        <f>INDEX(MCC_Lookup!$B$2:$B$12,MATCH(G130,MCC_Lookup!$A$2:$A$12,0))</f>
        <v>Events</v>
      </c>
      <c r="N130" s="1" t="str">
        <f>IF(TRIM(H130)="","BLANK",IF(PROPER(TRIM(H130))=TRIM(M130),"MATCH","MISMATCH"))</f>
        <v>MATCH</v>
      </c>
      <c r="O130" s="5" t="str">
        <f>INDEX([1]Employee!$C$2:$C$276,MATCH(B130,[1]Employee!$A$2:$A$276,0))</f>
        <v>Claims</v>
      </c>
    </row>
    <row r="131" spans="1:15">
      <c r="A131" s="1" t="s">
        <v>415</v>
      </c>
      <c r="B131" s="1" t="s">
        <v>190</v>
      </c>
      <c r="C131" s="1" t="s">
        <v>416</v>
      </c>
      <c r="D131" s="2">
        <v>46024</v>
      </c>
      <c r="E131" s="2">
        <v>46034</v>
      </c>
      <c r="F131" s="1" t="s">
        <v>92</v>
      </c>
      <c r="G131" s="1" t="s">
        <v>10</v>
      </c>
      <c r="H131" s="1" t="s">
        <v>11</v>
      </c>
      <c r="I131" s="7">
        <v>134.26</v>
      </c>
      <c r="J131" s="1" t="s">
        <v>38</v>
      </c>
      <c r="K131" s="1"/>
      <c r="L131" s="1" t="s">
        <v>39</v>
      </c>
      <c r="M131" s="1" t="str">
        <f>INDEX(MCC_Lookup!$B$2:$B$12,MATCH(G131,MCC_Lookup!$A$2:$A$12,0))</f>
        <v>Office Supplies</v>
      </c>
      <c r="N131" s="1" t="str">
        <f>IF(TRIM(H131)="","BLANK",IF(PROPER(TRIM(H131))=TRIM(M131),"MATCH","MISMATCH"))</f>
        <v>MATCH</v>
      </c>
      <c r="O131" s="5" t="str">
        <f>INDEX([1]Employee!$C$2:$C$276,MATCH(B131,[1]Employee!$A$2:$A$276,0))</f>
        <v>Sales &amp; Marketing</v>
      </c>
    </row>
    <row r="132" spans="1:15">
      <c r="A132" s="1" t="s">
        <v>417</v>
      </c>
      <c r="B132" s="1" t="s">
        <v>314</v>
      </c>
      <c r="C132" s="1" t="s">
        <v>418</v>
      </c>
      <c r="D132" s="2">
        <v>46025</v>
      </c>
      <c r="E132" s="2">
        <v>46034</v>
      </c>
      <c r="F132" s="1" t="s">
        <v>61</v>
      </c>
      <c r="G132" s="1" t="s">
        <v>13</v>
      </c>
      <c r="H132" s="1" t="s">
        <v>419</v>
      </c>
      <c r="I132" s="7">
        <v>82.57</v>
      </c>
      <c r="J132" s="1" t="s">
        <v>38</v>
      </c>
      <c r="K132" s="1"/>
      <c r="L132" s="1" t="s">
        <v>39</v>
      </c>
      <c r="M132" s="1" t="str">
        <f>INDEX(MCC_Lookup!$B$2:$B$12,MATCH(G132,MCC_Lookup!$A$2:$A$12,0))</f>
        <v>Software</v>
      </c>
      <c r="N132" s="1" t="str">
        <f>IF(TRIM(H132)="","BLANK",IF(PROPER(TRIM(H132))=TRIM(M132),"MATCH","MISMATCH"))</f>
        <v>MATCH</v>
      </c>
      <c r="O132" s="5" t="str">
        <f>INDEX([1]Employee!$C$2:$C$276,MATCH(B132,[1]Employee!$A$2:$A$276,0))</f>
        <v>Sales &amp; Marketing</v>
      </c>
    </row>
    <row r="133" spans="1:15">
      <c r="A133" s="1" t="s">
        <v>420</v>
      </c>
      <c r="B133" s="1" t="s">
        <v>156</v>
      </c>
      <c r="C133" s="1" t="s">
        <v>421</v>
      </c>
      <c r="D133" s="2">
        <v>46025</v>
      </c>
      <c r="E133" s="2">
        <v>46034</v>
      </c>
      <c r="F133" s="1" t="s">
        <v>173</v>
      </c>
      <c r="G133" s="1" t="s">
        <v>2</v>
      </c>
      <c r="H133" s="1" t="s">
        <v>3</v>
      </c>
      <c r="I133" s="7">
        <v>47.38</v>
      </c>
      <c r="J133" s="1" t="s">
        <v>38</v>
      </c>
      <c r="K133" s="1"/>
      <c r="L133" s="1" t="s">
        <v>39</v>
      </c>
      <c r="M133" s="1" t="str">
        <f>INDEX(MCC_Lookup!$B$2:$B$12,MATCH(G133,MCC_Lookup!$A$2:$A$12,0))</f>
        <v>Meals</v>
      </c>
      <c r="N133" s="1" t="str">
        <f>IF(TRIM(H133)="","BLANK",IF(PROPER(TRIM(H133))=TRIM(M133),"MATCH","MISMATCH"))</f>
        <v>MATCH</v>
      </c>
      <c r="O133" s="5" t="str">
        <f>INDEX([1]Employee!$C$2:$C$276,MATCH(B133,[1]Employee!$A$2:$A$276,0))</f>
        <v>Sales &amp; Marketing</v>
      </c>
    </row>
    <row r="134" spans="1:15">
      <c r="A134" s="1" t="s">
        <v>422</v>
      </c>
      <c r="B134" s="1" t="s">
        <v>423</v>
      </c>
      <c r="C134" s="1" t="s">
        <v>424</v>
      </c>
      <c r="D134" s="2">
        <v>46031</v>
      </c>
      <c r="E134" s="2">
        <v>46034</v>
      </c>
      <c r="F134" s="1" t="s">
        <v>92</v>
      </c>
      <c r="G134" s="1" t="s">
        <v>10</v>
      </c>
      <c r="H134" s="1" t="s">
        <v>11</v>
      </c>
      <c r="I134" s="7">
        <v>17.62</v>
      </c>
      <c r="J134" s="1" t="s">
        <v>38</v>
      </c>
      <c r="K134" s="1"/>
      <c r="L134" s="1" t="s">
        <v>39</v>
      </c>
      <c r="M134" s="1" t="str">
        <f>INDEX(MCC_Lookup!$B$2:$B$12,MATCH(G134,MCC_Lookup!$A$2:$A$12,0))</f>
        <v>Office Supplies</v>
      </c>
      <c r="N134" s="1" t="str">
        <f>IF(TRIM(H134)="","BLANK",IF(PROPER(TRIM(H134))=TRIM(M134),"MATCH","MISMATCH"))</f>
        <v>MATCH</v>
      </c>
      <c r="O134" s="5" t="str">
        <f>INDEX([1]Employee!$C$2:$C$276,MATCH(B134,[1]Employee!$A$2:$A$276,0))</f>
        <v>Underwriting</v>
      </c>
    </row>
    <row r="135" spans="1:15">
      <c r="A135" s="1" t="s">
        <v>425</v>
      </c>
      <c r="B135" s="1" t="s">
        <v>426</v>
      </c>
      <c r="C135" s="1" t="s">
        <v>427</v>
      </c>
      <c r="D135" s="2">
        <v>46027</v>
      </c>
      <c r="E135" s="2">
        <v>46034</v>
      </c>
      <c r="F135" s="1" t="s">
        <v>43</v>
      </c>
      <c r="G135" s="1" t="s">
        <v>2</v>
      </c>
      <c r="H135" s="1" t="s">
        <v>138</v>
      </c>
      <c r="I135" s="7">
        <v>22.45</v>
      </c>
      <c r="J135" s="1" t="s">
        <v>38</v>
      </c>
      <c r="K135" s="1"/>
      <c r="L135" s="1" t="s">
        <v>39</v>
      </c>
      <c r="M135" s="1" t="str">
        <f>INDEX(MCC_Lookup!$B$2:$B$12,MATCH(G135,MCC_Lookup!$A$2:$A$12,0))</f>
        <v>Meals</v>
      </c>
      <c r="N135" s="1" t="str">
        <f>IF(TRIM(H135)="","BLANK",IF(PROPER(TRIM(H135))=TRIM(M135),"MATCH","MISMATCH"))</f>
        <v>MATCH</v>
      </c>
      <c r="O135" s="5" t="str">
        <f>INDEX([1]Employee!$C$2:$C$276,MATCH(B135,[1]Employee!$A$2:$A$276,0))</f>
        <v>Sales &amp; Marketing</v>
      </c>
    </row>
    <row r="136" spans="1:15">
      <c r="A136" s="1" t="s">
        <v>428</v>
      </c>
      <c r="B136" s="1" t="s">
        <v>352</v>
      </c>
      <c r="C136" s="1" t="s">
        <v>429</v>
      </c>
      <c r="D136" s="2">
        <v>46025</v>
      </c>
      <c r="E136" s="2">
        <v>46034</v>
      </c>
      <c r="F136" s="1" t="s">
        <v>65</v>
      </c>
      <c r="G136" s="1" t="s">
        <v>18</v>
      </c>
      <c r="H136" s="1" t="s">
        <v>19</v>
      </c>
      <c r="I136" s="7">
        <v>108.76</v>
      </c>
      <c r="J136" s="1" t="s">
        <v>38</v>
      </c>
      <c r="K136" s="1"/>
      <c r="L136" s="1" t="s">
        <v>39</v>
      </c>
      <c r="M136" s="1" t="str">
        <f>INDEX(MCC_Lookup!$B$2:$B$12,MATCH(G136,MCC_Lookup!$A$2:$A$12,0))</f>
        <v>Events</v>
      </c>
      <c r="N136" s="1" t="str">
        <f>IF(TRIM(H136)="","BLANK",IF(PROPER(TRIM(H136))=TRIM(M136),"MATCH","MISMATCH"))</f>
        <v>MATCH</v>
      </c>
      <c r="O136" s="5" t="str">
        <f>INDEX([1]Employee!$C$2:$C$276,MATCH(B136,[1]Employee!$A$2:$A$276,0))</f>
        <v>Sales &amp; Marketing</v>
      </c>
    </row>
    <row r="137" spans="1:15">
      <c r="A137" s="1" t="s">
        <v>430</v>
      </c>
      <c r="B137" s="1" t="s">
        <v>352</v>
      </c>
      <c r="C137" s="1" t="s">
        <v>431</v>
      </c>
      <c r="D137" s="2">
        <v>46024</v>
      </c>
      <c r="E137" s="2">
        <v>46034</v>
      </c>
      <c r="F137" s="1" t="s">
        <v>76</v>
      </c>
      <c r="G137" s="1" t="s">
        <v>13</v>
      </c>
      <c r="H137" s="1" t="s">
        <v>7</v>
      </c>
      <c r="I137" s="7">
        <v>318.31</v>
      </c>
      <c r="J137" s="1" t="s">
        <v>38</v>
      </c>
      <c r="K137" s="1"/>
      <c r="L137" s="1" t="s">
        <v>39</v>
      </c>
      <c r="M137" s="1" t="str">
        <f>INDEX(MCC_Lookup!$B$2:$B$12,MATCH(G137,MCC_Lookup!$A$2:$A$12,0))</f>
        <v>Software</v>
      </c>
      <c r="N137" s="1" t="str">
        <f>IF(TRIM(H137)="","BLANK",IF(PROPER(TRIM(H137))=TRIM(M137),"MATCH","MISMATCH"))</f>
        <v>MISMATCH</v>
      </c>
      <c r="O137" s="5" t="str">
        <f>INDEX([1]Employee!$C$2:$C$276,MATCH(B137,[1]Employee!$A$2:$A$276,0))</f>
        <v>Sales &amp; Marketing</v>
      </c>
    </row>
    <row r="138" spans="1:15">
      <c r="A138" s="1" t="s">
        <v>432</v>
      </c>
      <c r="B138" s="1" t="s">
        <v>433</v>
      </c>
      <c r="C138" s="1" t="s">
        <v>434</v>
      </c>
      <c r="D138" s="2">
        <v>46032</v>
      </c>
      <c r="E138" s="2">
        <v>46034</v>
      </c>
      <c r="F138" s="1" t="s">
        <v>72</v>
      </c>
      <c r="G138" s="1" t="s">
        <v>8</v>
      </c>
      <c r="H138" s="1" t="s">
        <v>435</v>
      </c>
      <c r="I138" s="7">
        <v>49.02</v>
      </c>
      <c r="J138" s="1" t="s">
        <v>38</v>
      </c>
      <c r="K138" s="1"/>
      <c r="L138" s="1" t="s">
        <v>48</v>
      </c>
      <c r="M138" s="1" t="str">
        <f>INDEX(MCC_Lookup!$B$2:$B$12,MATCH(G138,MCC_Lookup!$A$2:$A$12,0))</f>
        <v>Transportation</v>
      </c>
      <c r="N138" s="1" t="str">
        <f>IF(TRIM(H138)="","BLANK",IF(PROPER(TRIM(H138))=TRIM(M138),"MATCH","MISMATCH"))</f>
        <v>MATCH</v>
      </c>
      <c r="O138" s="5" t="str">
        <f>INDEX([1]Employee!$C$2:$C$276,MATCH(B138,[1]Employee!$A$2:$A$276,0))</f>
        <v>Sales &amp; Marketing</v>
      </c>
    </row>
    <row r="139" spans="1:15">
      <c r="A139" s="1" t="s">
        <v>436</v>
      </c>
      <c r="B139" s="1" t="s">
        <v>297</v>
      </c>
      <c r="C139" s="1"/>
      <c r="D139" s="2">
        <v>46028</v>
      </c>
      <c r="E139" s="2">
        <v>46034</v>
      </c>
      <c r="F139" s="1" t="s">
        <v>76</v>
      </c>
      <c r="G139" s="1" t="s">
        <v>13</v>
      </c>
      <c r="H139" s="1" t="s">
        <v>14</v>
      </c>
      <c r="I139" s="7">
        <v>318.45</v>
      </c>
      <c r="J139" s="1" t="s">
        <v>111</v>
      </c>
      <c r="K139" s="1" t="s">
        <v>161</v>
      </c>
      <c r="L139" s="1" t="s">
        <v>39</v>
      </c>
      <c r="M139" s="1" t="str">
        <f>INDEX(MCC_Lookup!$B$2:$B$12,MATCH(G139,MCC_Lookup!$A$2:$A$12,0))</f>
        <v>Software</v>
      </c>
      <c r="N139" s="1" t="str">
        <f>IF(TRIM(H139)="","BLANK",IF(PROPER(TRIM(H139))=TRIM(M139),"MATCH","MISMATCH"))</f>
        <v>MATCH</v>
      </c>
      <c r="O139" s="5" t="str">
        <f>INDEX([1]Employee!$C$2:$C$276,MATCH(B139,[1]Employee!$A$2:$A$276,0))</f>
        <v>Underwriting</v>
      </c>
    </row>
    <row r="140" spans="1:15">
      <c r="A140" s="1" t="s">
        <v>437</v>
      </c>
      <c r="B140" s="1" t="s">
        <v>297</v>
      </c>
      <c r="C140" s="1" t="s">
        <v>438</v>
      </c>
      <c r="D140" s="2">
        <v>46026</v>
      </c>
      <c r="E140" s="2">
        <v>46034</v>
      </c>
      <c r="F140" s="1" t="s">
        <v>52</v>
      </c>
      <c r="G140" s="1" t="s">
        <v>15</v>
      </c>
      <c r="H140" s="1" t="s">
        <v>16</v>
      </c>
      <c r="I140" s="7">
        <v>36.479999999999997</v>
      </c>
      <c r="J140" s="1" t="s">
        <v>38</v>
      </c>
      <c r="K140" s="1"/>
      <c r="L140" s="1" t="s">
        <v>39</v>
      </c>
      <c r="M140" s="1" t="str">
        <f>INDEX(MCC_Lookup!$B$2:$B$12,MATCH(G140,MCC_Lookup!$A$2:$A$12,0))</f>
        <v>Entertainment</v>
      </c>
      <c r="N140" s="1" t="str">
        <f>IF(TRIM(H140)="","BLANK",IF(PROPER(TRIM(H140))=TRIM(M140),"MATCH","MISMATCH"))</f>
        <v>MATCH</v>
      </c>
      <c r="O140" s="5" t="str">
        <f>INDEX([1]Employee!$C$2:$C$276,MATCH(B140,[1]Employee!$A$2:$A$276,0))</f>
        <v>Underwriting</v>
      </c>
    </row>
    <row r="141" spans="1:15">
      <c r="A141" s="1" t="s">
        <v>439</v>
      </c>
      <c r="B141" s="1" t="s">
        <v>440</v>
      </c>
      <c r="C141" s="1" t="s">
        <v>441</v>
      </c>
      <c r="D141" s="2">
        <v>46029</v>
      </c>
      <c r="E141" s="2">
        <v>46034</v>
      </c>
      <c r="F141" s="1" t="s">
        <v>177</v>
      </c>
      <c r="G141" s="1" t="s">
        <v>13</v>
      </c>
      <c r="H141" s="1" t="s">
        <v>14</v>
      </c>
      <c r="I141" s="7">
        <v>64.78</v>
      </c>
      <c r="J141" s="1" t="s">
        <v>38</v>
      </c>
      <c r="K141" s="1"/>
      <c r="L141" s="1" t="s">
        <v>39</v>
      </c>
      <c r="M141" s="1" t="str">
        <f>INDEX(MCC_Lookup!$B$2:$B$12,MATCH(G141,MCC_Lookup!$A$2:$A$12,0))</f>
        <v>Software</v>
      </c>
      <c r="N141" s="1" t="str">
        <f>IF(TRIM(H141)="","BLANK",IF(PROPER(TRIM(H141))=TRIM(M141),"MATCH","MISMATCH"))</f>
        <v>MATCH</v>
      </c>
      <c r="O141" s="5" t="str">
        <f>INDEX([1]Employee!$C$2:$C$276,MATCH(B141,[1]Employee!$A$2:$A$276,0))</f>
        <v>Underwriting</v>
      </c>
    </row>
    <row r="142" spans="1:15">
      <c r="A142" s="1" t="s">
        <v>442</v>
      </c>
      <c r="B142" s="1" t="s">
        <v>250</v>
      </c>
      <c r="C142" s="1" t="s">
        <v>443</v>
      </c>
      <c r="D142" s="2">
        <v>46026</v>
      </c>
      <c r="E142" s="2">
        <v>46034</v>
      </c>
      <c r="F142" s="1" t="s">
        <v>83</v>
      </c>
      <c r="G142" s="1" t="s">
        <v>2</v>
      </c>
      <c r="H142" s="1"/>
      <c r="I142" s="7">
        <v>23.23</v>
      </c>
      <c r="J142" s="1" t="s">
        <v>38</v>
      </c>
      <c r="K142" s="1"/>
      <c r="L142" s="1" t="s">
        <v>39</v>
      </c>
      <c r="M142" s="1" t="str">
        <f>INDEX(MCC_Lookup!$B$2:$B$12,MATCH(G142,MCC_Lookup!$A$2:$A$12,0))</f>
        <v>Meals</v>
      </c>
      <c r="N142" s="1" t="str">
        <f>IF(TRIM(H142)="","BLANK",IF(PROPER(TRIM(H142))=TRIM(M142),"MATCH","MISMATCH"))</f>
        <v>BLANK</v>
      </c>
      <c r="O142" s="5" t="str">
        <f>INDEX([1]Employee!$C$2:$C$276,MATCH(B142,[1]Employee!$A$2:$A$276,0))</f>
        <v>Sales &amp; Marketing</v>
      </c>
    </row>
    <row r="143" spans="1:15">
      <c r="A143" s="1" t="s">
        <v>444</v>
      </c>
      <c r="B143" s="1" t="s">
        <v>379</v>
      </c>
      <c r="C143" s="1" t="s">
        <v>445</v>
      </c>
      <c r="D143" s="2">
        <v>46031</v>
      </c>
      <c r="E143" s="2">
        <v>46034</v>
      </c>
      <c r="F143" s="1" t="s">
        <v>47</v>
      </c>
      <c r="G143" s="1" t="s">
        <v>6</v>
      </c>
      <c r="H143" s="1" t="s">
        <v>7</v>
      </c>
      <c r="I143" s="7">
        <v>343.66</v>
      </c>
      <c r="J143" s="1" t="s">
        <v>38</v>
      </c>
      <c r="K143" s="1"/>
      <c r="L143" s="1" t="s">
        <v>39</v>
      </c>
      <c r="M143" s="1" t="str">
        <f>INDEX(MCC_Lookup!$B$2:$B$12,MATCH(G143,MCC_Lookup!$A$2:$A$12,0))</f>
        <v>Lodging</v>
      </c>
      <c r="N143" s="1" t="str">
        <f>IF(TRIM(H143)="","BLANK",IF(PROPER(TRIM(H143))=TRIM(M143),"MATCH","MISMATCH"))</f>
        <v>MATCH</v>
      </c>
      <c r="O143" s="5" t="str">
        <f>INDEX([1]Employee!$C$2:$C$276,MATCH(B143,[1]Employee!$A$2:$A$276,0))</f>
        <v>Sales &amp; Marketing</v>
      </c>
    </row>
    <row r="144" spans="1:15">
      <c r="A144" s="1" t="s">
        <v>446</v>
      </c>
      <c r="B144" s="1" t="s">
        <v>122</v>
      </c>
      <c r="C144" s="1"/>
      <c r="D144" s="2">
        <v>46025</v>
      </c>
      <c r="E144" s="2">
        <v>46034</v>
      </c>
      <c r="F144" s="1" t="s">
        <v>56</v>
      </c>
      <c r="G144" s="1" t="s">
        <v>4</v>
      </c>
      <c r="H144" s="1" t="s">
        <v>5</v>
      </c>
      <c r="I144" s="7">
        <v>573.4</v>
      </c>
      <c r="J144" s="1" t="s">
        <v>38</v>
      </c>
      <c r="K144" s="1"/>
      <c r="L144" s="1" t="s">
        <v>39</v>
      </c>
      <c r="M144" s="1" t="str">
        <f>INDEX(MCC_Lookup!$B$2:$B$12,MATCH(G144,MCC_Lookup!$A$2:$A$12,0))</f>
        <v>Travel</v>
      </c>
      <c r="N144" s="1" t="str">
        <f>IF(TRIM(H144)="","BLANK",IF(PROPER(TRIM(H144))=TRIM(M144),"MATCH","MISMATCH"))</f>
        <v>MATCH</v>
      </c>
      <c r="O144" s="5" t="str">
        <f>INDEX([1]Employee!$C$2:$C$276,MATCH(B144,[1]Employee!$A$2:$A$276,0))</f>
        <v>Sales &amp; Marketing</v>
      </c>
    </row>
    <row r="145" spans="1:15">
      <c r="A145" s="1" t="s">
        <v>447</v>
      </c>
      <c r="B145" s="1" t="s">
        <v>448</v>
      </c>
      <c r="C145" s="1" t="s">
        <v>449</v>
      </c>
      <c r="D145" s="2">
        <v>46031</v>
      </c>
      <c r="E145" s="2">
        <v>46034</v>
      </c>
      <c r="F145" s="1" t="s">
        <v>305</v>
      </c>
      <c r="G145" s="1" t="s">
        <v>2</v>
      </c>
      <c r="H145" s="1" t="s">
        <v>3</v>
      </c>
      <c r="I145" s="7">
        <v>5.61</v>
      </c>
      <c r="J145" s="1" t="s">
        <v>38</v>
      </c>
      <c r="K145" s="1"/>
      <c r="L145" s="1" t="s">
        <v>39</v>
      </c>
      <c r="M145" s="1" t="str">
        <f>INDEX(MCC_Lookup!$B$2:$B$12,MATCH(G145,MCC_Lookup!$A$2:$A$12,0))</f>
        <v>Meals</v>
      </c>
      <c r="N145" s="1" t="str">
        <f>IF(TRIM(H145)="","BLANK",IF(PROPER(TRIM(H145))=TRIM(M145),"MATCH","MISMATCH"))</f>
        <v>MATCH</v>
      </c>
      <c r="O145" s="5" t="str">
        <f>INDEX([1]Employee!$C$2:$C$276,MATCH(B145,[1]Employee!$A$2:$A$276,0))</f>
        <v>Sales &amp; Marketing</v>
      </c>
    </row>
    <row r="146" spans="1:15">
      <c r="A146" s="1" t="s">
        <v>450</v>
      </c>
      <c r="B146" s="1" t="s">
        <v>451</v>
      </c>
      <c r="C146" s="1"/>
      <c r="D146" s="2">
        <v>46031</v>
      </c>
      <c r="E146" s="2">
        <v>46034</v>
      </c>
      <c r="F146" s="1" t="s">
        <v>120</v>
      </c>
      <c r="G146" s="1" t="s">
        <v>12</v>
      </c>
      <c r="H146" s="1" t="s">
        <v>11</v>
      </c>
      <c r="I146" s="7">
        <v>332.49</v>
      </c>
      <c r="J146" s="1" t="s">
        <v>111</v>
      </c>
      <c r="K146" s="1" t="s">
        <v>161</v>
      </c>
      <c r="L146" s="1" t="s">
        <v>48</v>
      </c>
      <c r="M146" s="1" t="str">
        <f>INDEX(MCC_Lookup!$B$2:$B$12,MATCH(G146,MCC_Lookup!$A$2:$A$12,0))</f>
        <v>Office Supplies</v>
      </c>
      <c r="N146" s="1" t="str">
        <f>IF(TRIM(H146)="","BLANK",IF(PROPER(TRIM(H146))=TRIM(M146),"MATCH","MISMATCH"))</f>
        <v>MATCH</v>
      </c>
      <c r="O146" s="5" t="str">
        <f>INDEX([1]Employee!$C$2:$C$276,MATCH(B146,[1]Employee!$A$2:$A$276,0))</f>
        <v>IT &amp; Platform Engineering</v>
      </c>
    </row>
    <row r="147" spans="1:15">
      <c r="A147" s="1" t="s">
        <v>452</v>
      </c>
      <c r="B147" s="1" t="s">
        <v>453</v>
      </c>
      <c r="C147" s="1" t="s">
        <v>454</v>
      </c>
      <c r="D147" s="2">
        <v>46033</v>
      </c>
      <c r="E147" s="2">
        <v>46035</v>
      </c>
      <c r="F147" s="1" t="s">
        <v>72</v>
      </c>
      <c r="G147" s="1" t="s">
        <v>8</v>
      </c>
      <c r="H147" s="1" t="s">
        <v>9</v>
      </c>
      <c r="I147" s="7">
        <v>53.78</v>
      </c>
      <c r="J147" s="1" t="s">
        <v>38</v>
      </c>
      <c r="K147" s="1"/>
      <c r="L147" s="1" t="s">
        <v>39</v>
      </c>
      <c r="M147" s="1" t="str">
        <f>INDEX(MCC_Lookup!$B$2:$B$12,MATCH(G147,MCC_Lookup!$A$2:$A$12,0))</f>
        <v>Transportation</v>
      </c>
      <c r="N147" s="1" t="str">
        <f>IF(TRIM(H147)="","BLANK",IF(PROPER(TRIM(H147))=TRIM(M147),"MATCH","MISMATCH"))</f>
        <v>MATCH</v>
      </c>
      <c r="O147" s="5" t="str">
        <f>INDEX([1]Employee!$C$2:$C$276,MATCH(B147,[1]Employee!$A$2:$A$276,0))</f>
        <v>IT &amp; Platform Engineering</v>
      </c>
    </row>
    <row r="148" spans="1:15">
      <c r="A148" s="1" t="s">
        <v>455</v>
      </c>
      <c r="B148" s="1" t="s">
        <v>352</v>
      </c>
      <c r="C148" s="1"/>
      <c r="D148" s="2">
        <v>46025</v>
      </c>
      <c r="E148" s="2">
        <v>46035</v>
      </c>
      <c r="F148" s="1" t="s">
        <v>65</v>
      </c>
      <c r="G148" s="1" t="s">
        <v>18</v>
      </c>
      <c r="H148" s="1" t="s">
        <v>19</v>
      </c>
      <c r="I148" s="7">
        <v>350.59</v>
      </c>
      <c r="J148" s="1" t="s">
        <v>111</v>
      </c>
      <c r="K148" s="1" t="s">
        <v>112</v>
      </c>
      <c r="L148" s="1" t="s">
        <v>39</v>
      </c>
      <c r="M148" s="1" t="str">
        <f>INDEX(MCC_Lookup!$B$2:$B$12,MATCH(G148,MCC_Lookup!$A$2:$A$12,0))</f>
        <v>Events</v>
      </c>
      <c r="N148" s="1" t="str">
        <f>IF(TRIM(H148)="","BLANK",IF(PROPER(TRIM(H148))=TRIM(M148),"MATCH","MISMATCH"))</f>
        <v>MATCH</v>
      </c>
      <c r="O148" s="5" t="str">
        <f>INDEX([1]Employee!$C$2:$C$276,MATCH(B148,[1]Employee!$A$2:$A$276,0))</f>
        <v>Sales &amp; Marketing</v>
      </c>
    </row>
    <row r="149" spans="1:15">
      <c r="A149" s="1" t="s">
        <v>456</v>
      </c>
      <c r="B149" s="1" t="s">
        <v>179</v>
      </c>
      <c r="C149" s="1" t="s">
        <v>457</v>
      </c>
      <c r="D149" s="2">
        <v>46035</v>
      </c>
      <c r="E149" s="2">
        <v>46035</v>
      </c>
      <c r="F149" s="1" t="s">
        <v>177</v>
      </c>
      <c r="G149" s="1" t="s">
        <v>13</v>
      </c>
      <c r="H149" s="1" t="s">
        <v>14</v>
      </c>
      <c r="I149" s="7">
        <v>42.31</v>
      </c>
      <c r="J149" s="1" t="s">
        <v>38</v>
      </c>
      <c r="K149" s="1"/>
      <c r="L149" s="1" t="s">
        <v>39</v>
      </c>
      <c r="M149" s="1" t="str">
        <f>INDEX(MCC_Lookup!$B$2:$B$12,MATCH(G149,MCC_Lookup!$A$2:$A$12,0))</f>
        <v>Software</v>
      </c>
      <c r="N149" s="1" t="str">
        <f>IF(TRIM(H149)="","BLANK",IF(PROPER(TRIM(H149))=TRIM(M149),"MATCH","MISMATCH"))</f>
        <v>MATCH</v>
      </c>
      <c r="O149" s="5" t="str">
        <f>INDEX([1]Employee!$C$2:$C$276,MATCH(B149,[1]Employee!$A$2:$A$276,0))</f>
        <v>Claims</v>
      </c>
    </row>
    <row r="150" spans="1:15">
      <c r="A150" s="1" t="s">
        <v>458</v>
      </c>
      <c r="B150" s="1" t="s">
        <v>45</v>
      </c>
      <c r="C150" s="1" t="s">
        <v>459</v>
      </c>
      <c r="D150" s="2">
        <v>46032</v>
      </c>
      <c r="E150" s="2">
        <v>46035</v>
      </c>
      <c r="F150" s="1" t="s">
        <v>37</v>
      </c>
      <c r="G150" s="1" t="s">
        <v>4</v>
      </c>
      <c r="H150" s="1" t="s">
        <v>5</v>
      </c>
      <c r="I150" s="7">
        <v>132.51</v>
      </c>
      <c r="J150" s="1" t="s">
        <v>38</v>
      </c>
      <c r="K150" s="1"/>
      <c r="L150" s="1" t="s">
        <v>39</v>
      </c>
      <c r="M150" s="1" t="str">
        <f>INDEX(MCC_Lookup!$B$2:$B$12,MATCH(G150,MCC_Lookup!$A$2:$A$12,0))</f>
        <v>Travel</v>
      </c>
      <c r="N150" s="1" t="str">
        <f>IF(TRIM(H150)="","BLANK",IF(PROPER(TRIM(H150))=TRIM(M150),"MATCH","MISMATCH"))</f>
        <v>MATCH</v>
      </c>
      <c r="O150" s="5" t="str">
        <f>INDEX([1]Employee!$C$2:$C$276,MATCH(B150,[1]Employee!$A$2:$A$276,0))</f>
        <v>IT &amp; Platform Engineering</v>
      </c>
    </row>
    <row r="151" spans="1:15">
      <c r="A151" s="1" t="s">
        <v>460</v>
      </c>
      <c r="B151" s="1" t="s">
        <v>461</v>
      </c>
      <c r="C151" s="1" t="s">
        <v>462</v>
      </c>
      <c r="D151" s="2">
        <v>46032</v>
      </c>
      <c r="E151" s="2">
        <v>46035</v>
      </c>
      <c r="F151" s="1" t="s">
        <v>47</v>
      </c>
      <c r="G151" s="1" t="s">
        <v>6</v>
      </c>
      <c r="H151" s="1" t="s">
        <v>3</v>
      </c>
      <c r="I151" s="7">
        <v>273.25</v>
      </c>
      <c r="J151" s="1" t="s">
        <v>38</v>
      </c>
      <c r="K151" s="1"/>
      <c r="L151" s="1" t="s">
        <v>39</v>
      </c>
      <c r="M151" s="1" t="str">
        <f>INDEX(MCC_Lookup!$B$2:$B$12,MATCH(G151,MCC_Lookup!$A$2:$A$12,0))</f>
        <v>Lodging</v>
      </c>
      <c r="N151" s="1" t="str">
        <f>IF(TRIM(H151)="","BLANK",IF(PROPER(TRIM(H151))=TRIM(M151),"MATCH","MISMATCH"))</f>
        <v>MISMATCH</v>
      </c>
      <c r="O151" s="5" t="str">
        <f>INDEX([1]Employee!$C$2:$C$276,MATCH(B151,[1]Employee!$A$2:$A$276,0))</f>
        <v>Finance</v>
      </c>
    </row>
    <row r="152" spans="1:15">
      <c r="A152" s="1" t="s">
        <v>463</v>
      </c>
      <c r="B152" s="1" t="s">
        <v>303</v>
      </c>
      <c r="C152" s="1" t="s">
        <v>464</v>
      </c>
      <c r="D152" s="2">
        <v>46032</v>
      </c>
      <c r="E152" s="2">
        <v>46035</v>
      </c>
      <c r="F152" s="1" t="s">
        <v>92</v>
      </c>
      <c r="G152" s="1" t="s">
        <v>10</v>
      </c>
      <c r="H152" s="1" t="s">
        <v>11</v>
      </c>
      <c r="I152" s="7">
        <v>91.71</v>
      </c>
      <c r="J152" s="1" t="s">
        <v>38</v>
      </c>
      <c r="K152" s="1"/>
      <c r="L152" s="1" t="s">
        <v>39</v>
      </c>
      <c r="M152" s="1" t="str">
        <f>INDEX(MCC_Lookup!$B$2:$B$12,MATCH(G152,MCC_Lookup!$A$2:$A$12,0))</f>
        <v>Office Supplies</v>
      </c>
      <c r="N152" s="1" t="str">
        <f>IF(TRIM(H152)="","BLANK",IF(PROPER(TRIM(H152))=TRIM(M152),"MATCH","MISMATCH"))</f>
        <v>MATCH</v>
      </c>
      <c r="O152" s="5" t="str">
        <f>INDEX([1]Employee!$C$2:$C$276,MATCH(B152,[1]Employee!$A$2:$A$276,0))</f>
        <v>Sales &amp; Marketing</v>
      </c>
    </row>
    <row r="153" spans="1:15">
      <c r="A153" s="1" t="s">
        <v>465</v>
      </c>
      <c r="B153" s="1" t="s">
        <v>466</v>
      </c>
      <c r="C153" s="1" t="s">
        <v>467</v>
      </c>
      <c r="D153" s="2">
        <v>46027</v>
      </c>
      <c r="E153" s="2">
        <v>46035</v>
      </c>
      <c r="F153" s="1" t="s">
        <v>160</v>
      </c>
      <c r="G153" s="1" t="s">
        <v>6</v>
      </c>
      <c r="H153" s="1" t="s">
        <v>7</v>
      </c>
      <c r="I153" s="7">
        <v>357.02</v>
      </c>
      <c r="J153" s="1" t="s">
        <v>38</v>
      </c>
      <c r="K153" s="1"/>
      <c r="L153" s="1" t="s">
        <v>39</v>
      </c>
      <c r="M153" s="1" t="str">
        <f>INDEX(MCC_Lookup!$B$2:$B$12,MATCH(G153,MCC_Lookup!$A$2:$A$12,0))</f>
        <v>Lodging</v>
      </c>
      <c r="N153" s="1" t="str">
        <f>IF(TRIM(H153)="","BLANK",IF(PROPER(TRIM(H153))=TRIM(M153),"MATCH","MISMATCH"))</f>
        <v>MATCH</v>
      </c>
      <c r="O153" s="5" t="str">
        <f>INDEX([1]Employee!$C$2:$C$276,MATCH(B153,[1]Employee!$A$2:$A$276,0))</f>
        <v>Finance</v>
      </c>
    </row>
    <row r="154" spans="1:15">
      <c r="A154" s="1" t="s">
        <v>468</v>
      </c>
      <c r="B154" s="1" t="s">
        <v>469</v>
      </c>
      <c r="C154" s="1"/>
      <c r="D154" s="2">
        <v>46033</v>
      </c>
      <c r="E154" s="2">
        <v>46035</v>
      </c>
      <c r="F154" s="1" t="s">
        <v>106</v>
      </c>
      <c r="G154" s="1" t="s">
        <v>13</v>
      </c>
      <c r="H154" s="1" t="s">
        <v>470</v>
      </c>
      <c r="I154" s="7">
        <v>66.13</v>
      </c>
      <c r="J154" s="1" t="s">
        <v>111</v>
      </c>
      <c r="K154" s="1" t="s">
        <v>127</v>
      </c>
      <c r="L154" s="1" t="s">
        <v>39</v>
      </c>
      <c r="M154" s="1" t="str">
        <f>INDEX(MCC_Lookup!$B$2:$B$12,MATCH(G154,MCC_Lookup!$A$2:$A$12,0))</f>
        <v>Software</v>
      </c>
      <c r="N154" s="1" t="str">
        <f>IF(TRIM(H154)="","BLANK",IF(PROPER(TRIM(H154))=TRIM(M154),"MATCH","MISMATCH"))</f>
        <v>MATCH</v>
      </c>
      <c r="O154" s="5" t="str">
        <f>INDEX([1]Employee!$C$2:$C$276,MATCH(B154,[1]Employee!$A$2:$A$276,0))</f>
        <v>Sales &amp; Marketing</v>
      </c>
    </row>
    <row r="155" spans="1:15">
      <c r="A155" s="1" t="s">
        <v>471</v>
      </c>
      <c r="B155" s="1" t="s">
        <v>472</v>
      </c>
      <c r="C155" s="1" t="s">
        <v>473</v>
      </c>
      <c r="D155" s="2">
        <v>46031</v>
      </c>
      <c r="E155" s="2">
        <v>46035</v>
      </c>
      <c r="F155" s="1" t="s">
        <v>99</v>
      </c>
      <c r="G155" s="1" t="s">
        <v>2</v>
      </c>
      <c r="H155" s="1" t="s">
        <v>3</v>
      </c>
      <c r="I155" s="7">
        <v>28.59</v>
      </c>
      <c r="J155" s="1" t="s">
        <v>38</v>
      </c>
      <c r="K155" s="1"/>
      <c r="L155" s="1" t="s">
        <v>39</v>
      </c>
      <c r="M155" s="1" t="str">
        <f>INDEX(MCC_Lookup!$B$2:$B$12,MATCH(G155,MCC_Lookup!$A$2:$A$12,0))</f>
        <v>Meals</v>
      </c>
      <c r="N155" s="1" t="str">
        <f>IF(TRIM(H155)="","BLANK",IF(PROPER(TRIM(H155))=TRIM(M155),"MATCH","MISMATCH"))</f>
        <v>MATCH</v>
      </c>
      <c r="O155" s="5" t="str">
        <f>INDEX([1]Employee!$C$2:$C$276,MATCH(B155,[1]Employee!$A$2:$A$276,0))</f>
        <v>Sales &amp; Marketing</v>
      </c>
    </row>
    <row r="156" spans="1:15">
      <c r="A156" s="1" t="s">
        <v>474</v>
      </c>
      <c r="B156" s="1" t="s">
        <v>475</v>
      </c>
      <c r="C156" s="1" t="s">
        <v>476</v>
      </c>
      <c r="D156" s="2">
        <v>46034</v>
      </c>
      <c r="E156" s="2">
        <v>46035</v>
      </c>
      <c r="F156" s="1" t="s">
        <v>177</v>
      </c>
      <c r="G156" s="1" t="s">
        <v>13</v>
      </c>
      <c r="H156" s="1" t="s">
        <v>14</v>
      </c>
      <c r="I156" s="7">
        <v>44.23</v>
      </c>
      <c r="J156" s="1" t="s">
        <v>38</v>
      </c>
      <c r="K156" s="1"/>
      <c r="L156" s="1" t="s">
        <v>39</v>
      </c>
      <c r="M156" s="1" t="str">
        <f>INDEX(MCC_Lookup!$B$2:$B$12,MATCH(G156,MCC_Lookup!$A$2:$A$12,0))</f>
        <v>Software</v>
      </c>
      <c r="N156" s="1" t="str">
        <f>IF(TRIM(H156)="","BLANK",IF(PROPER(TRIM(H156))=TRIM(M156),"MATCH","MISMATCH"))</f>
        <v>MATCH</v>
      </c>
      <c r="O156" s="5" t="str">
        <f>INDEX([1]Employee!$C$2:$C$276,MATCH(B156,[1]Employee!$A$2:$A$276,0))</f>
        <v>Sales &amp; Marketing</v>
      </c>
    </row>
    <row r="157" spans="1:15">
      <c r="A157" s="1" t="s">
        <v>477</v>
      </c>
      <c r="B157" s="1" t="s">
        <v>475</v>
      </c>
      <c r="C157" s="1" t="s">
        <v>478</v>
      </c>
      <c r="D157" s="2">
        <v>46033</v>
      </c>
      <c r="E157" s="2">
        <v>46035</v>
      </c>
      <c r="F157" s="1" t="s">
        <v>242</v>
      </c>
      <c r="G157" s="1" t="s">
        <v>13</v>
      </c>
      <c r="H157" s="1" t="s">
        <v>419</v>
      </c>
      <c r="I157" s="7">
        <v>58.07</v>
      </c>
      <c r="J157" s="1" t="s">
        <v>38</v>
      </c>
      <c r="K157" s="1"/>
      <c r="L157" s="1" t="s">
        <v>39</v>
      </c>
      <c r="M157" s="1" t="str">
        <f>INDEX(MCC_Lookup!$B$2:$B$12,MATCH(G157,MCC_Lookup!$A$2:$A$12,0))</f>
        <v>Software</v>
      </c>
      <c r="N157" s="1" t="str">
        <f>IF(TRIM(H157)="","BLANK",IF(PROPER(TRIM(H157))=TRIM(M157),"MATCH","MISMATCH"))</f>
        <v>MATCH</v>
      </c>
      <c r="O157" s="5" t="str">
        <f>INDEX([1]Employee!$C$2:$C$276,MATCH(B157,[1]Employee!$A$2:$A$276,0))</f>
        <v>Sales &amp; Marketing</v>
      </c>
    </row>
    <row r="158" spans="1:15">
      <c r="A158" s="1" t="s">
        <v>479</v>
      </c>
      <c r="B158" s="1" t="s">
        <v>156</v>
      </c>
      <c r="C158" s="1" t="s">
        <v>480</v>
      </c>
      <c r="D158" s="2">
        <v>46028</v>
      </c>
      <c r="E158" s="2">
        <v>46035</v>
      </c>
      <c r="F158" s="1" t="s">
        <v>116</v>
      </c>
      <c r="G158" s="1" t="s">
        <v>2</v>
      </c>
      <c r="H158" s="1" t="s">
        <v>3</v>
      </c>
      <c r="I158" s="7">
        <v>21.68</v>
      </c>
      <c r="J158" s="1" t="s">
        <v>38</v>
      </c>
      <c r="K158" s="1"/>
      <c r="L158" s="1" t="s">
        <v>39</v>
      </c>
      <c r="M158" s="1" t="str">
        <f>INDEX(MCC_Lookup!$B$2:$B$12,MATCH(G158,MCC_Lookup!$A$2:$A$12,0))</f>
        <v>Meals</v>
      </c>
      <c r="N158" s="1" t="str">
        <f>IF(TRIM(H158)="","BLANK",IF(PROPER(TRIM(H158))=TRIM(M158),"MATCH","MISMATCH"))</f>
        <v>MATCH</v>
      </c>
      <c r="O158" s="5" t="str">
        <f>INDEX([1]Employee!$C$2:$C$276,MATCH(B158,[1]Employee!$A$2:$A$276,0))</f>
        <v>Sales &amp; Marketing</v>
      </c>
    </row>
    <row r="159" spans="1:15">
      <c r="A159" s="1" t="s">
        <v>481</v>
      </c>
      <c r="B159" s="1" t="s">
        <v>90</v>
      </c>
      <c r="C159" s="1"/>
      <c r="D159" s="2">
        <v>46029</v>
      </c>
      <c r="E159" s="2">
        <v>46035</v>
      </c>
      <c r="F159" s="1" t="s">
        <v>56</v>
      </c>
      <c r="G159" s="1" t="s">
        <v>4</v>
      </c>
      <c r="H159" s="1" t="s">
        <v>5</v>
      </c>
      <c r="I159" s="7">
        <v>242.73</v>
      </c>
      <c r="J159" s="1" t="s">
        <v>38</v>
      </c>
      <c r="K159" s="1"/>
      <c r="L159" s="1" t="s">
        <v>39</v>
      </c>
      <c r="M159" s="1" t="str">
        <f>INDEX(MCC_Lookup!$B$2:$B$12,MATCH(G159,MCC_Lookup!$A$2:$A$12,0))</f>
        <v>Travel</v>
      </c>
      <c r="N159" s="1" t="str">
        <f>IF(TRIM(H159)="","BLANK",IF(PROPER(TRIM(H159))=TRIM(M159),"MATCH","MISMATCH"))</f>
        <v>MATCH</v>
      </c>
      <c r="O159" s="5" t="str">
        <f>INDEX([1]Employee!$C$2:$C$276,MATCH(B159,[1]Employee!$A$2:$A$276,0))</f>
        <v>Sales &amp; Marketing</v>
      </c>
    </row>
    <row r="160" spans="1:15">
      <c r="A160" s="1" t="s">
        <v>482</v>
      </c>
      <c r="B160" s="1" t="s">
        <v>118</v>
      </c>
      <c r="C160" s="1"/>
      <c r="D160" s="2">
        <v>46032</v>
      </c>
      <c r="E160" s="2">
        <v>46035</v>
      </c>
      <c r="F160" s="1" t="s">
        <v>483</v>
      </c>
      <c r="G160" s="1" t="s">
        <v>13</v>
      </c>
      <c r="H160" s="1" t="s">
        <v>14</v>
      </c>
      <c r="I160" s="7">
        <v>48.66</v>
      </c>
      <c r="J160" s="1" t="s">
        <v>38</v>
      </c>
      <c r="K160" s="1"/>
      <c r="L160" s="1" t="s">
        <v>39</v>
      </c>
      <c r="M160" s="1" t="str">
        <f>INDEX(MCC_Lookup!$B$2:$B$12,MATCH(G160,MCC_Lookup!$A$2:$A$12,0))</f>
        <v>Software</v>
      </c>
      <c r="N160" s="1" t="str">
        <f>IF(TRIM(H160)="","BLANK",IF(PROPER(TRIM(H160))=TRIM(M160),"MATCH","MISMATCH"))</f>
        <v>MATCH</v>
      </c>
      <c r="O160" s="5" t="str">
        <f>INDEX([1]Employee!$C$2:$C$276,MATCH(B160,[1]Employee!$A$2:$A$276,0))</f>
        <v>Underwriting</v>
      </c>
    </row>
    <row r="161" spans="1:15">
      <c r="A161" s="1" t="s">
        <v>484</v>
      </c>
      <c r="B161" s="1" t="s">
        <v>253</v>
      </c>
      <c r="C161" s="1" t="s">
        <v>485</v>
      </c>
      <c r="D161" s="2">
        <v>46026</v>
      </c>
      <c r="E161" s="2">
        <v>46035</v>
      </c>
      <c r="F161" s="1" t="s">
        <v>37</v>
      </c>
      <c r="G161" s="1" t="s">
        <v>4</v>
      </c>
      <c r="H161" s="1" t="s">
        <v>5</v>
      </c>
      <c r="I161" s="7">
        <v>396.91</v>
      </c>
      <c r="J161" s="1" t="s">
        <v>38</v>
      </c>
      <c r="K161" s="1"/>
      <c r="L161" s="1" t="s">
        <v>39</v>
      </c>
      <c r="M161" s="1" t="str">
        <f>INDEX(MCC_Lookup!$B$2:$B$12,MATCH(G161,MCC_Lookup!$A$2:$A$12,0))</f>
        <v>Travel</v>
      </c>
      <c r="N161" s="1" t="str">
        <f>IF(TRIM(H161)="","BLANK",IF(PROPER(TRIM(H161))=TRIM(M161),"MATCH","MISMATCH"))</f>
        <v>MATCH</v>
      </c>
      <c r="O161" s="5" t="str">
        <f>INDEX([1]Employee!$C$2:$C$276,MATCH(B161,[1]Employee!$A$2:$A$276,0))</f>
        <v>Claims</v>
      </c>
    </row>
    <row r="162" spans="1:15">
      <c r="A162" s="1" t="s">
        <v>486</v>
      </c>
      <c r="B162" s="1" t="s">
        <v>487</v>
      </c>
      <c r="C162" s="1" t="s">
        <v>488</v>
      </c>
      <c r="D162" s="2">
        <v>46032</v>
      </c>
      <c r="E162" s="2">
        <v>46035</v>
      </c>
      <c r="F162" s="1" t="s">
        <v>52</v>
      </c>
      <c r="G162" s="1" t="s">
        <v>15</v>
      </c>
      <c r="H162" s="1" t="s">
        <v>16</v>
      </c>
      <c r="I162" s="7">
        <v>18.77</v>
      </c>
      <c r="J162" s="1" t="s">
        <v>38</v>
      </c>
      <c r="K162" s="1"/>
      <c r="L162" s="1" t="s">
        <v>39</v>
      </c>
      <c r="M162" s="1" t="str">
        <f>INDEX(MCC_Lookup!$B$2:$B$12,MATCH(G162,MCC_Lookup!$A$2:$A$12,0))</f>
        <v>Entertainment</v>
      </c>
      <c r="N162" s="1" t="str">
        <f>IF(TRIM(H162)="","BLANK",IF(PROPER(TRIM(H162))=TRIM(M162),"MATCH","MISMATCH"))</f>
        <v>MATCH</v>
      </c>
      <c r="O162" s="5" t="str">
        <f>INDEX([1]Employee!$C$2:$C$276,MATCH(B162,[1]Employee!$A$2:$A$276,0))</f>
        <v>IT &amp; Platform Engineering</v>
      </c>
    </row>
    <row r="163" spans="1:15">
      <c r="A163" s="1" t="s">
        <v>489</v>
      </c>
      <c r="B163" s="1" t="s">
        <v>490</v>
      </c>
      <c r="C163" s="1" t="s">
        <v>491</v>
      </c>
      <c r="D163" s="2">
        <v>46033</v>
      </c>
      <c r="E163" s="2">
        <v>46035</v>
      </c>
      <c r="F163" s="1" t="s">
        <v>106</v>
      </c>
      <c r="G163" s="1" t="s">
        <v>13</v>
      </c>
      <c r="H163" s="1" t="s">
        <v>14</v>
      </c>
      <c r="I163" s="7">
        <v>87.43</v>
      </c>
      <c r="J163" s="1" t="s">
        <v>38</v>
      </c>
      <c r="K163" s="1"/>
      <c r="L163" s="1" t="s">
        <v>39</v>
      </c>
      <c r="M163" s="1" t="str">
        <f>INDEX(MCC_Lookup!$B$2:$B$12,MATCH(G163,MCC_Lookup!$A$2:$A$12,0))</f>
        <v>Software</v>
      </c>
      <c r="N163" s="1" t="str">
        <f>IF(TRIM(H163)="","BLANK",IF(PROPER(TRIM(H163))=TRIM(M163),"MATCH","MISMATCH"))</f>
        <v>MATCH</v>
      </c>
      <c r="O163" s="5" t="str">
        <f>INDEX([1]Employee!$C$2:$C$276,MATCH(B163,[1]Employee!$A$2:$A$276,0))</f>
        <v>Actuarial &amp; Risk</v>
      </c>
    </row>
    <row r="164" spans="1:15">
      <c r="A164" s="1" t="s">
        <v>492</v>
      </c>
      <c r="B164" s="1" t="s">
        <v>54</v>
      </c>
      <c r="C164" s="1" t="s">
        <v>493</v>
      </c>
      <c r="D164" s="2">
        <v>46025</v>
      </c>
      <c r="E164" s="2">
        <v>46035</v>
      </c>
      <c r="F164" s="1" t="s">
        <v>347</v>
      </c>
      <c r="G164" s="1" t="s">
        <v>8</v>
      </c>
      <c r="H164" s="1" t="s">
        <v>494</v>
      </c>
      <c r="I164" s="7">
        <v>53.13</v>
      </c>
      <c r="J164" s="1" t="s">
        <v>38</v>
      </c>
      <c r="K164" s="1"/>
      <c r="L164" s="1" t="s">
        <v>39</v>
      </c>
      <c r="M164" s="1" t="str">
        <f>INDEX(MCC_Lookup!$B$2:$B$12,MATCH(G164,MCC_Lookup!$A$2:$A$12,0))</f>
        <v>Transportation</v>
      </c>
      <c r="N164" s="1" t="str">
        <f>IF(TRIM(H164)="","BLANK",IF(PROPER(TRIM(H164))=TRIM(M164),"MATCH","MISMATCH"))</f>
        <v>MATCH</v>
      </c>
      <c r="O164" s="5" t="str">
        <f>INDEX([1]Employee!$C$2:$C$276,MATCH(B164,[1]Employee!$A$2:$A$276,0))</f>
        <v>Sales &amp; Marketing</v>
      </c>
    </row>
    <row r="165" spans="1:15">
      <c r="A165" s="1" t="s">
        <v>495</v>
      </c>
      <c r="B165" s="1" t="s">
        <v>496</v>
      </c>
      <c r="C165" s="1" t="s">
        <v>497</v>
      </c>
      <c r="D165" s="2">
        <v>46032</v>
      </c>
      <c r="E165" s="2">
        <v>46035</v>
      </c>
      <c r="F165" s="1" t="s">
        <v>65</v>
      </c>
      <c r="G165" s="1" t="s">
        <v>18</v>
      </c>
      <c r="H165" s="1" t="s">
        <v>332</v>
      </c>
      <c r="I165" s="7">
        <v>496.73</v>
      </c>
      <c r="J165" s="1" t="s">
        <v>38</v>
      </c>
      <c r="K165" s="1"/>
      <c r="L165" s="1" t="s">
        <v>39</v>
      </c>
      <c r="M165" s="1" t="str">
        <f>INDEX(MCC_Lookup!$B$2:$B$12,MATCH(G165,MCC_Lookup!$A$2:$A$12,0))</f>
        <v>Events</v>
      </c>
      <c r="N165" s="1" t="str">
        <f>IF(TRIM(H165)="","BLANK",IF(PROPER(TRIM(H165))=TRIM(M165),"MATCH","MISMATCH"))</f>
        <v>MATCH</v>
      </c>
      <c r="O165" s="5" t="str">
        <f>INDEX([1]Employee!$C$2:$C$276,MATCH(B165,[1]Employee!$A$2:$A$276,0))</f>
        <v>Actuarial &amp; Risk</v>
      </c>
    </row>
    <row r="166" spans="1:15">
      <c r="A166" s="1" t="s">
        <v>498</v>
      </c>
      <c r="B166" s="1" t="s">
        <v>499</v>
      </c>
      <c r="C166" s="1"/>
      <c r="D166" s="2">
        <v>46025</v>
      </c>
      <c r="E166" s="2">
        <v>46035</v>
      </c>
      <c r="F166" s="1" t="s">
        <v>47</v>
      </c>
      <c r="G166" s="1" t="s">
        <v>6</v>
      </c>
      <c r="H166" s="1" t="s">
        <v>7</v>
      </c>
      <c r="I166" s="7">
        <v>377.35</v>
      </c>
      <c r="J166" s="1" t="s">
        <v>38</v>
      </c>
      <c r="K166" s="1"/>
      <c r="L166" s="1" t="s">
        <v>39</v>
      </c>
      <c r="M166" s="1" t="str">
        <f>INDEX(MCC_Lookup!$B$2:$B$12,MATCH(G166,MCC_Lookup!$A$2:$A$12,0))</f>
        <v>Lodging</v>
      </c>
      <c r="N166" s="1" t="str">
        <f>IF(TRIM(H166)="","BLANK",IF(PROPER(TRIM(H166))=TRIM(M166),"MATCH","MISMATCH"))</f>
        <v>MATCH</v>
      </c>
      <c r="O166" s="5" t="str">
        <f>INDEX([1]Employee!$C$2:$C$276,MATCH(B166,[1]Employee!$A$2:$A$276,0))</f>
        <v>Sales &amp; Marketing</v>
      </c>
    </row>
    <row r="167" spans="1:15">
      <c r="A167" s="1" t="s">
        <v>500</v>
      </c>
      <c r="B167" s="1" t="s">
        <v>292</v>
      </c>
      <c r="C167" s="1" t="s">
        <v>501</v>
      </c>
      <c r="D167" s="2">
        <v>46027</v>
      </c>
      <c r="E167" s="2">
        <v>46035</v>
      </c>
      <c r="F167" s="1" t="s">
        <v>116</v>
      </c>
      <c r="G167" s="1" t="s">
        <v>2</v>
      </c>
      <c r="H167" s="1" t="s">
        <v>3</v>
      </c>
      <c r="I167" s="7">
        <v>17.09</v>
      </c>
      <c r="J167" s="1" t="s">
        <v>38</v>
      </c>
      <c r="K167" s="1"/>
      <c r="L167" s="1" t="s">
        <v>39</v>
      </c>
      <c r="M167" s="1" t="str">
        <f>INDEX(MCC_Lookup!$B$2:$B$12,MATCH(G167,MCC_Lookup!$A$2:$A$12,0))</f>
        <v>Meals</v>
      </c>
      <c r="N167" s="1" t="str">
        <f>IF(TRIM(H167)="","BLANK",IF(PROPER(TRIM(H167))=TRIM(M167),"MATCH","MISMATCH"))</f>
        <v>MATCH</v>
      </c>
      <c r="O167" s="5" t="str">
        <f>INDEX([1]Employee!$C$2:$C$276,MATCH(B167,[1]Employee!$A$2:$A$276,0))</f>
        <v>Sales &amp; Marketing</v>
      </c>
    </row>
    <row r="168" spans="1:15">
      <c r="A168" s="1" t="s">
        <v>502</v>
      </c>
      <c r="B168" s="1" t="s">
        <v>133</v>
      </c>
      <c r="C168" s="1" t="s">
        <v>503</v>
      </c>
      <c r="D168" s="2">
        <v>46025</v>
      </c>
      <c r="E168" s="2">
        <v>46035</v>
      </c>
      <c r="F168" s="1" t="s">
        <v>504</v>
      </c>
      <c r="G168" s="1" t="s">
        <v>13</v>
      </c>
      <c r="H168" s="1" t="s">
        <v>470</v>
      </c>
      <c r="I168" s="7">
        <v>40.51</v>
      </c>
      <c r="J168" s="1" t="s">
        <v>38</v>
      </c>
      <c r="K168" s="1"/>
      <c r="L168" s="1" t="s">
        <v>39</v>
      </c>
      <c r="M168" s="1" t="str">
        <f>INDEX(MCC_Lookup!$B$2:$B$12,MATCH(G168,MCC_Lookup!$A$2:$A$12,0))</f>
        <v>Software</v>
      </c>
      <c r="N168" s="1" t="str">
        <f>IF(TRIM(H168)="","BLANK",IF(PROPER(TRIM(H168))=TRIM(M168),"MATCH","MISMATCH"))</f>
        <v>MATCH</v>
      </c>
      <c r="O168" s="5" t="str">
        <f>INDEX([1]Employee!$C$2:$C$276,MATCH(B168,[1]Employee!$A$2:$A$276,0))</f>
        <v>Finance</v>
      </c>
    </row>
    <row r="169" spans="1:15">
      <c r="A169" s="1" t="s">
        <v>505</v>
      </c>
      <c r="B169" s="1" t="s">
        <v>506</v>
      </c>
      <c r="C169" s="1" t="s">
        <v>507</v>
      </c>
      <c r="D169" s="2">
        <v>46033</v>
      </c>
      <c r="E169" s="2">
        <v>46035</v>
      </c>
      <c r="F169" s="1" t="s">
        <v>259</v>
      </c>
      <c r="G169" s="1" t="s">
        <v>20</v>
      </c>
      <c r="H169" s="1" t="s">
        <v>19</v>
      </c>
      <c r="I169" s="7">
        <v>146.44999999999999</v>
      </c>
      <c r="J169" s="1" t="s">
        <v>38</v>
      </c>
      <c r="K169" s="1"/>
      <c r="L169" s="1" t="s">
        <v>39</v>
      </c>
      <c r="M169" s="1" t="str">
        <f>INDEX(MCC_Lookup!$B$2:$B$12,MATCH(G169,MCC_Lookup!$A$2:$A$12,0))</f>
        <v>Events</v>
      </c>
      <c r="N169" s="1" t="str">
        <f>IF(TRIM(H169)="","BLANK",IF(PROPER(TRIM(H169))=TRIM(M169),"MATCH","MISMATCH"))</f>
        <v>MATCH</v>
      </c>
      <c r="O169" s="5" t="str">
        <f>INDEX([1]Employee!$C$2:$C$276,MATCH(B169,[1]Employee!$A$2:$A$276,0))</f>
        <v>Executive &amp; Corporate</v>
      </c>
    </row>
    <row r="170" spans="1:15">
      <c r="A170" s="1" t="s">
        <v>508</v>
      </c>
      <c r="B170" s="1" t="s">
        <v>140</v>
      </c>
      <c r="C170" s="1"/>
      <c r="D170" s="2">
        <v>46029</v>
      </c>
      <c r="E170" s="2">
        <v>46036</v>
      </c>
      <c r="F170" s="1" t="s">
        <v>37</v>
      </c>
      <c r="G170" s="1" t="s">
        <v>4</v>
      </c>
      <c r="H170" s="1" t="s">
        <v>57</v>
      </c>
      <c r="I170" s="7">
        <v>283.02999999999997</v>
      </c>
      <c r="J170" s="1" t="s">
        <v>111</v>
      </c>
      <c r="K170" s="1" t="s">
        <v>112</v>
      </c>
      <c r="L170" s="1" t="s">
        <v>39</v>
      </c>
      <c r="M170" s="1" t="str">
        <f>INDEX(MCC_Lookup!$B$2:$B$12,MATCH(G170,MCC_Lookup!$A$2:$A$12,0))</f>
        <v>Travel</v>
      </c>
      <c r="N170" s="1" t="str">
        <f>IF(TRIM(H170)="","BLANK",IF(PROPER(TRIM(H170))=TRIM(M170),"MATCH","MISMATCH"))</f>
        <v>MATCH</v>
      </c>
      <c r="O170" s="5" t="str">
        <f>INDEX([1]Employee!$C$2:$C$276,MATCH(B170,[1]Employee!$A$2:$A$276,0))</f>
        <v>Finance</v>
      </c>
    </row>
    <row r="171" spans="1:15">
      <c r="A171" s="1" t="s">
        <v>509</v>
      </c>
      <c r="B171" s="1" t="s">
        <v>314</v>
      </c>
      <c r="C171" s="1" t="s">
        <v>510</v>
      </c>
      <c r="D171" s="2">
        <v>46026</v>
      </c>
      <c r="E171" s="2">
        <v>46036</v>
      </c>
      <c r="F171" s="1" t="s">
        <v>69</v>
      </c>
      <c r="G171" s="1" t="s">
        <v>8</v>
      </c>
      <c r="H171" s="1" t="s">
        <v>9</v>
      </c>
      <c r="I171" s="7">
        <v>28.73</v>
      </c>
      <c r="J171" s="1" t="s">
        <v>38</v>
      </c>
      <c r="K171" s="1"/>
      <c r="L171" s="1" t="s">
        <v>39</v>
      </c>
      <c r="M171" s="1" t="str">
        <f>INDEX(MCC_Lookup!$B$2:$B$12,MATCH(G171,MCC_Lookup!$A$2:$A$12,0))</f>
        <v>Transportation</v>
      </c>
      <c r="N171" s="1" t="str">
        <f>IF(TRIM(H171)="","BLANK",IF(PROPER(TRIM(H171))=TRIM(M171),"MATCH","MISMATCH"))</f>
        <v>MATCH</v>
      </c>
      <c r="O171" s="5" t="str">
        <f>INDEX([1]Employee!$C$2:$C$276,MATCH(B171,[1]Employee!$A$2:$A$276,0))</f>
        <v>Sales &amp; Marketing</v>
      </c>
    </row>
    <row r="172" spans="1:15">
      <c r="A172" s="1" t="s">
        <v>511</v>
      </c>
      <c r="B172" s="1" t="s">
        <v>512</v>
      </c>
      <c r="C172" s="1" t="s">
        <v>513</v>
      </c>
      <c r="D172" s="2">
        <v>46028</v>
      </c>
      <c r="E172" s="2">
        <v>46036</v>
      </c>
      <c r="F172" s="1" t="s">
        <v>95</v>
      </c>
      <c r="G172" s="1" t="s">
        <v>6</v>
      </c>
      <c r="H172" s="1" t="s">
        <v>7</v>
      </c>
      <c r="I172" s="7">
        <v>270.89</v>
      </c>
      <c r="J172" s="1" t="s">
        <v>38</v>
      </c>
      <c r="K172" s="1"/>
      <c r="L172" s="1" t="s">
        <v>39</v>
      </c>
      <c r="M172" s="1" t="str">
        <f>INDEX(MCC_Lookup!$B$2:$B$12,MATCH(G172,MCC_Lookup!$A$2:$A$12,0))</f>
        <v>Lodging</v>
      </c>
      <c r="N172" s="1" t="str">
        <f>IF(TRIM(H172)="","BLANK",IF(PROPER(TRIM(H172))=TRIM(M172),"MATCH","MISMATCH"))</f>
        <v>MATCH</v>
      </c>
      <c r="O172" s="5" t="str">
        <f>INDEX([1]Employee!$C$2:$C$276,MATCH(B172,[1]Employee!$A$2:$A$276,0))</f>
        <v>Sales &amp; Marketing</v>
      </c>
    </row>
    <row r="173" spans="1:15">
      <c r="A173" s="1" t="s">
        <v>514</v>
      </c>
      <c r="B173" s="1" t="s">
        <v>515</v>
      </c>
      <c r="C173" s="1" t="s">
        <v>516</v>
      </c>
      <c r="D173" s="2">
        <v>46028</v>
      </c>
      <c r="E173" s="2">
        <v>46036</v>
      </c>
      <c r="F173" s="1" t="s">
        <v>65</v>
      </c>
      <c r="G173" s="1" t="s">
        <v>18</v>
      </c>
      <c r="H173" s="1" t="s">
        <v>517</v>
      </c>
      <c r="I173" s="7">
        <v>362.18</v>
      </c>
      <c r="J173" s="1" t="s">
        <v>38</v>
      </c>
      <c r="K173" s="1"/>
      <c r="L173" s="1" t="s">
        <v>39</v>
      </c>
      <c r="M173" s="1" t="str">
        <f>INDEX(MCC_Lookup!$B$2:$B$12,MATCH(G173,MCC_Lookup!$A$2:$A$12,0))</f>
        <v>Events</v>
      </c>
      <c r="N173" s="1" t="str">
        <f>IF(TRIM(H173)="","BLANK",IF(PROPER(TRIM(H173))=TRIM(M173),"MATCH","MISMATCH"))</f>
        <v>MATCH</v>
      </c>
      <c r="O173" s="5" t="str">
        <f>INDEX([1]Employee!$C$2:$C$276,MATCH(B173,[1]Employee!$A$2:$A$276,0))</f>
        <v>Actuarial &amp; Risk</v>
      </c>
    </row>
    <row r="174" spans="1:15">
      <c r="A174" s="1" t="s">
        <v>518</v>
      </c>
      <c r="B174" s="1" t="s">
        <v>519</v>
      </c>
      <c r="C174" s="1" t="s">
        <v>520</v>
      </c>
      <c r="D174" s="2">
        <v>46030</v>
      </c>
      <c r="E174" s="2">
        <v>46036</v>
      </c>
      <c r="F174" s="1" t="s">
        <v>259</v>
      </c>
      <c r="G174" s="1" t="s">
        <v>20</v>
      </c>
      <c r="H174" s="1" t="s">
        <v>19</v>
      </c>
      <c r="I174" s="7">
        <v>409.34</v>
      </c>
      <c r="J174" s="1" t="s">
        <v>38</v>
      </c>
      <c r="K174" s="1"/>
      <c r="L174" s="1" t="s">
        <v>39</v>
      </c>
      <c r="M174" s="1" t="str">
        <f>INDEX(MCC_Lookup!$B$2:$B$12,MATCH(G174,MCC_Lookup!$A$2:$A$12,0))</f>
        <v>Events</v>
      </c>
      <c r="N174" s="1" t="str">
        <f>IF(TRIM(H174)="","BLANK",IF(PROPER(TRIM(H174))=TRIM(M174),"MATCH","MISMATCH"))</f>
        <v>MATCH</v>
      </c>
      <c r="O174" s="5" t="str">
        <f>INDEX([1]Employee!$C$2:$C$276,MATCH(B174,[1]Employee!$A$2:$A$276,0))</f>
        <v>Customer Support</v>
      </c>
    </row>
    <row r="175" spans="1:15">
      <c r="A175" s="1" t="s">
        <v>521</v>
      </c>
      <c r="B175" s="1" t="s">
        <v>136</v>
      </c>
      <c r="C175" s="1" t="s">
        <v>522</v>
      </c>
      <c r="D175" s="2">
        <v>46031</v>
      </c>
      <c r="E175" s="2">
        <v>46036</v>
      </c>
      <c r="F175" s="1" t="s">
        <v>56</v>
      </c>
      <c r="G175" s="1" t="s">
        <v>4</v>
      </c>
      <c r="H175" s="1" t="s">
        <v>5</v>
      </c>
      <c r="I175" s="7">
        <v>416.99</v>
      </c>
      <c r="J175" s="1" t="s">
        <v>38</v>
      </c>
      <c r="K175" s="1"/>
      <c r="L175" s="1" t="s">
        <v>39</v>
      </c>
      <c r="M175" s="1" t="str">
        <f>INDEX(MCC_Lookup!$B$2:$B$12,MATCH(G175,MCC_Lookup!$A$2:$A$12,0))</f>
        <v>Travel</v>
      </c>
      <c r="N175" s="1" t="str">
        <f>IF(TRIM(H175)="","BLANK",IF(PROPER(TRIM(H175))=TRIM(M175),"MATCH","MISMATCH"))</f>
        <v>MATCH</v>
      </c>
      <c r="O175" s="5" t="str">
        <f>INDEX([1]Employee!$C$2:$C$276,MATCH(B175,[1]Employee!$A$2:$A$276,0))</f>
        <v>Sales &amp; Marketing</v>
      </c>
    </row>
    <row r="176" spans="1:15">
      <c r="A176" s="1" t="s">
        <v>523</v>
      </c>
      <c r="B176" s="1" t="s">
        <v>524</v>
      </c>
      <c r="C176" s="1" t="s">
        <v>525</v>
      </c>
      <c r="D176" s="2">
        <v>46027</v>
      </c>
      <c r="E176" s="2">
        <v>46036</v>
      </c>
      <c r="F176" s="1" t="s">
        <v>72</v>
      </c>
      <c r="G176" s="1" t="s">
        <v>8</v>
      </c>
      <c r="H176" s="1" t="s">
        <v>9</v>
      </c>
      <c r="I176" s="7">
        <v>36.86</v>
      </c>
      <c r="J176" s="1" t="s">
        <v>38</v>
      </c>
      <c r="K176" s="1"/>
      <c r="L176" s="1" t="s">
        <v>48</v>
      </c>
      <c r="M176" s="1" t="str">
        <f>INDEX(MCC_Lookup!$B$2:$B$12,MATCH(G176,MCC_Lookup!$A$2:$A$12,0))</f>
        <v>Transportation</v>
      </c>
      <c r="N176" s="1" t="str">
        <f>IF(TRIM(H176)="","BLANK",IF(PROPER(TRIM(H176))=TRIM(M176),"MATCH","MISMATCH"))</f>
        <v>MATCH</v>
      </c>
      <c r="O176" s="5" t="str">
        <f>INDEX([1]Employee!$C$2:$C$276,MATCH(B176,[1]Employee!$A$2:$A$276,0))</f>
        <v>Claims</v>
      </c>
    </row>
    <row r="177" spans="1:15">
      <c r="A177" s="1" t="s">
        <v>526</v>
      </c>
      <c r="B177" s="1" t="s">
        <v>527</v>
      </c>
      <c r="C177" s="1" t="s">
        <v>528</v>
      </c>
      <c r="D177" s="2">
        <v>46033</v>
      </c>
      <c r="E177" s="2">
        <v>46036</v>
      </c>
      <c r="F177" s="1" t="s">
        <v>177</v>
      </c>
      <c r="G177" s="1" t="s">
        <v>13</v>
      </c>
      <c r="H177" s="1" t="s">
        <v>14</v>
      </c>
      <c r="I177" s="7">
        <v>39.19</v>
      </c>
      <c r="J177" s="1" t="s">
        <v>38</v>
      </c>
      <c r="K177" s="1"/>
      <c r="L177" s="1" t="s">
        <v>39</v>
      </c>
      <c r="M177" s="1" t="str">
        <f>INDEX(MCC_Lookup!$B$2:$B$12,MATCH(G177,MCC_Lookup!$A$2:$A$12,0))</f>
        <v>Software</v>
      </c>
      <c r="N177" s="1" t="str">
        <f>IF(TRIM(H177)="","BLANK",IF(PROPER(TRIM(H177))=TRIM(M177),"MATCH","MISMATCH"))</f>
        <v>MATCH</v>
      </c>
      <c r="O177" s="5" t="str">
        <f>INDEX([1]Employee!$C$2:$C$276,MATCH(B177,[1]Employee!$A$2:$A$276,0))</f>
        <v>Customer Support</v>
      </c>
    </row>
    <row r="178" spans="1:15">
      <c r="A178" s="1" t="s">
        <v>529</v>
      </c>
      <c r="B178" s="1" t="s">
        <v>166</v>
      </c>
      <c r="C178" s="1"/>
      <c r="D178" s="2">
        <v>46034</v>
      </c>
      <c r="E178" s="2">
        <v>46036</v>
      </c>
      <c r="F178" s="1" t="s">
        <v>47</v>
      </c>
      <c r="G178" s="1" t="s">
        <v>6</v>
      </c>
      <c r="H178" s="1" t="s">
        <v>7</v>
      </c>
      <c r="I178" s="7">
        <v>295</v>
      </c>
      <c r="J178" s="1" t="s">
        <v>38</v>
      </c>
      <c r="K178" s="1"/>
      <c r="L178" s="1" t="s">
        <v>39</v>
      </c>
      <c r="M178" s="1" t="str">
        <f>INDEX(MCC_Lookup!$B$2:$B$12,MATCH(G178,MCC_Lookup!$A$2:$A$12,0))</f>
        <v>Lodging</v>
      </c>
      <c r="N178" s="1" t="str">
        <f>IF(TRIM(H178)="","BLANK",IF(PROPER(TRIM(H178))=TRIM(M178),"MATCH","MISMATCH"))</f>
        <v>MATCH</v>
      </c>
      <c r="O178" s="5" t="str">
        <f>INDEX([1]Employee!$C$2:$C$276,MATCH(B178,[1]Employee!$A$2:$A$276,0))</f>
        <v>Actuarial &amp; Risk</v>
      </c>
    </row>
    <row r="179" spans="1:15">
      <c r="A179" s="1" t="s">
        <v>530</v>
      </c>
      <c r="B179" s="1" t="s">
        <v>531</v>
      </c>
      <c r="C179" s="1" t="s">
        <v>532</v>
      </c>
      <c r="D179" s="2">
        <v>46029</v>
      </c>
      <c r="E179" s="2">
        <v>46036</v>
      </c>
      <c r="F179" s="1" t="s">
        <v>79</v>
      </c>
      <c r="G179" s="1" t="s">
        <v>13</v>
      </c>
      <c r="H179" s="1" t="s">
        <v>14</v>
      </c>
      <c r="I179" s="7">
        <v>116.38</v>
      </c>
      <c r="J179" s="1" t="s">
        <v>38</v>
      </c>
      <c r="K179" s="1"/>
      <c r="L179" s="1" t="s">
        <v>39</v>
      </c>
      <c r="M179" s="1" t="str">
        <f>INDEX(MCC_Lookup!$B$2:$B$12,MATCH(G179,MCC_Lookup!$A$2:$A$12,0))</f>
        <v>Software</v>
      </c>
      <c r="N179" s="1" t="str">
        <f>IF(TRIM(H179)="","BLANK",IF(PROPER(TRIM(H179))=TRIM(M179),"MATCH","MISMATCH"))</f>
        <v>MATCH</v>
      </c>
      <c r="O179" s="5" t="str">
        <f>INDEX([1]Employee!$C$2:$C$276,MATCH(B179,[1]Employee!$A$2:$A$276,0))</f>
        <v>Sales &amp; Marketing</v>
      </c>
    </row>
    <row r="180" spans="1:15">
      <c r="A180" s="1" t="s">
        <v>533</v>
      </c>
      <c r="B180" s="1" t="s">
        <v>531</v>
      </c>
      <c r="C180" s="1" t="s">
        <v>534</v>
      </c>
      <c r="D180" s="2">
        <v>46035</v>
      </c>
      <c r="E180" s="2">
        <v>46036</v>
      </c>
      <c r="F180" s="1" t="s">
        <v>72</v>
      </c>
      <c r="G180" s="1" t="s">
        <v>8</v>
      </c>
      <c r="H180" s="1" t="s">
        <v>9</v>
      </c>
      <c r="I180" s="7">
        <v>51.08</v>
      </c>
      <c r="J180" s="1" t="s">
        <v>38</v>
      </c>
      <c r="K180" s="1"/>
      <c r="L180" s="1" t="s">
        <v>39</v>
      </c>
      <c r="M180" s="1" t="str">
        <f>INDEX(MCC_Lookup!$B$2:$B$12,MATCH(G180,MCC_Lookup!$A$2:$A$12,0))</f>
        <v>Transportation</v>
      </c>
      <c r="N180" s="1" t="str">
        <f>IF(TRIM(H180)="","BLANK",IF(PROPER(TRIM(H180))=TRIM(M180),"MATCH","MISMATCH"))</f>
        <v>MATCH</v>
      </c>
      <c r="O180" s="5" t="str">
        <f>INDEX([1]Employee!$C$2:$C$276,MATCH(B180,[1]Employee!$A$2:$A$276,0))</f>
        <v>Sales &amp; Marketing</v>
      </c>
    </row>
    <row r="181" spans="1:15">
      <c r="A181" s="1" t="s">
        <v>535</v>
      </c>
      <c r="B181" s="1" t="s">
        <v>349</v>
      </c>
      <c r="C181" s="1" t="s">
        <v>536</v>
      </c>
      <c r="D181" s="2">
        <v>46036</v>
      </c>
      <c r="E181" s="2">
        <v>46036</v>
      </c>
      <c r="F181" s="1" t="s">
        <v>99</v>
      </c>
      <c r="G181" s="1" t="s">
        <v>2</v>
      </c>
      <c r="H181" s="1" t="s">
        <v>3</v>
      </c>
      <c r="I181" s="7">
        <v>122.62</v>
      </c>
      <c r="J181" s="1" t="s">
        <v>38</v>
      </c>
      <c r="K181" s="1"/>
      <c r="L181" s="1" t="s">
        <v>48</v>
      </c>
      <c r="M181" s="1" t="str">
        <f>INDEX(MCC_Lookup!$B$2:$B$12,MATCH(G181,MCC_Lookup!$A$2:$A$12,0))</f>
        <v>Meals</v>
      </c>
      <c r="N181" s="1" t="str">
        <f>IF(TRIM(H181)="","BLANK",IF(PROPER(TRIM(H181))=TRIM(M181),"MATCH","MISMATCH"))</f>
        <v>MATCH</v>
      </c>
      <c r="O181" s="5" t="str">
        <f>INDEX([1]Employee!$C$2:$C$276,MATCH(B181,[1]Employee!$A$2:$A$276,0))</f>
        <v>Sales &amp; Marketing</v>
      </c>
    </row>
    <row r="182" spans="1:15">
      <c r="A182" s="1" t="s">
        <v>537</v>
      </c>
      <c r="B182" s="1" t="s">
        <v>244</v>
      </c>
      <c r="C182" s="1" t="s">
        <v>538</v>
      </c>
      <c r="D182" s="2">
        <v>46031</v>
      </c>
      <c r="E182" s="2">
        <v>46036</v>
      </c>
      <c r="F182" s="1" t="s">
        <v>52</v>
      </c>
      <c r="G182" s="1" t="s">
        <v>15</v>
      </c>
      <c r="H182" s="1" t="s">
        <v>16</v>
      </c>
      <c r="I182" s="7">
        <v>46.29</v>
      </c>
      <c r="J182" s="1" t="s">
        <v>38</v>
      </c>
      <c r="K182" s="1"/>
      <c r="L182" s="1" t="s">
        <v>39</v>
      </c>
      <c r="M182" s="1" t="str">
        <f>INDEX(MCC_Lookup!$B$2:$B$12,MATCH(G182,MCC_Lookup!$A$2:$A$12,0))</f>
        <v>Entertainment</v>
      </c>
      <c r="N182" s="1" t="str">
        <f>IF(TRIM(H182)="","BLANK",IF(PROPER(TRIM(H182))=TRIM(M182),"MATCH","MISMATCH"))</f>
        <v>MATCH</v>
      </c>
      <c r="O182" s="5" t="str">
        <f>INDEX([1]Employee!$C$2:$C$276,MATCH(B182,[1]Employee!$A$2:$A$276,0))</f>
        <v>Sales &amp; Marketing</v>
      </c>
    </row>
    <row r="183" spans="1:15">
      <c r="A183" s="1" t="s">
        <v>539</v>
      </c>
      <c r="B183" s="1" t="s">
        <v>540</v>
      </c>
      <c r="C183" s="1"/>
      <c r="D183" s="2">
        <v>46032</v>
      </c>
      <c r="E183" s="2">
        <v>46037</v>
      </c>
      <c r="F183" s="1" t="s">
        <v>79</v>
      </c>
      <c r="G183" s="1" t="s">
        <v>13</v>
      </c>
      <c r="H183" s="1" t="s">
        <v>14</v>
      </c>
      <c r="I183" s="7">
        <v>220.17</v>
      </c>
      <c r="J183" s="1" t="s">
        <v>111</v>
      </c>
      <c r="K183" s="1" t="s">
        <v>161</v>
      </c>
      <c r="L183" s="1" t="s">
        <v>39</v>
      </c>
      <c r="M183" s="1" t="str">
        <f>INDEX(MCC_Lookup!$B$2:$B$12,MATCH(G183,MCC_Lookup!$A$2:$A$12,0))</f>
        <v>Software</v>
      </c>
      <c r="N183" s="1" t="str">
        <f>IF(TRIM(H183)="","BLANK",IF(PROPER(TRIM(H183))=TRIM(M183),"MATCH","MISMATCH"))</f>
        <v>MATCH</v>
      </c>
      <c r="O183" s="5" t="str">
        <f>INDEX([1]Employee!$C$2:$C$276,MATCH(B183,[1]Employee!$A$2:$A$276,0))</f>
        <v>Underwriting</v>
      </c>
    </row>
    <row r="184" spans="1:15">
      <c r="A184" s="1" t="s">
        <v>541</v>
      </c>
      <c r="B184" s="1" t="s">
        <v>542</v>
      </c>
      <c r="C184" s="1" t="s">
        <v>543</v>
      </c>
      <c r="D184" s="2">
        <v>46036</v>
      </c>
      <c r="E184" s="2">
        <v>46037</v>
      </c>
      <c r="F184" s="1" t="s">
        <v>259</v>
      </c>
      <c r="G184" s="1" t="s">
        <v>20</v>
      </c>
      <c r="H184" s="1" t="s">
        <v>517</v>
      </c>
      <c r="I184" s="7">
        <v>86.59</v>
      </c>
      <c r="J184" s="1" t="s">
        <v>38</v>
      </c>
      <c r="K184" s="1"/>
      <c r="L184" s="1" t="s">
        <v>39</v>
      </c>
      <c r="M184" s="1" t="str">
        <f>INDEX(MCC_Lookup!$B$2:$B$12,MATCH(G184,MCC_Lookup!$A$2:$A$12,0))</f>
        <v>Events</v>
      </c>
      <c r="N184" s="1" t="str">
        <f>IF(TRIM(H184)="","BLANK",IF(PROPER(TRIM(H184))=TRIM(M184),"MATCH","MISMATCH"))</f>
        <v>MATCH</v>
      </c>
      <c r="O184" s="5" t="str">
        <f>INDEX([1]Employee!$C$2:$C$276,MATCH(B184,[1]Employee!$A$2:$A$276,0))</f>
        <v>Underwriting</v>
      </c>
    </row>
    <row r="185" spans="1:15">
      <c r="A185" s="1" t="s">
        <v>544</v>
      </c>
      <c r="B185" s="1" t="s">
        <v>297</v>
      </c>
      <c r="C185" s="1" t="s">
        <v>545</v>
      </c>
      <c r="D185" s="2">
        <v>46031</v>
      </c>
      <c r="E185" s="2">
        <v>46037</v>
      </c>
      <c r="F185" s="1" t="s">
        <v>43</v>
      </c>
      <c r="G185" s="1" t="s">
        <v>2</v>
      </c>
      <c r="H185" s="1" t="s">
        <v>3</v>
      </c>
      <c r="I185" s="7">
        <v>15.02</v>
      </c>
      <c r="J185" s="1" t="s">
        <v>38</v>
      </c>
      <c r="K185" s="1"/>
      <c r="L185" s="1" t="s">
        <v>39</v>
      </c>
      <c r="M185" s="1" t="str">
        <f>INDEX(MCC_Lookup!$B$2:$B$12,MATCH(G185,MCC_Lookup!$A$2:$A$12,0))</f>
        <v>Meals</v>
      </c>
      <c r="N185" s="1" t="str">
        <f>IF(TRIM(H185)="","BLANK",IF(PROPER(TRIM(H185))=TRIM(M185),"MATCH","MISMATCH"))</f>
        <v>MATCH</v>
      </c>
      <c r="O185" s="5" t="str">
        <f>INDEX([1]Employee!$C$2:$C$276,MATCH(B185,[1]Employee!$A$2:$A$276,0))</f>
        <v>Underwriting</v>
      </c>
    </row>
    <row r="186" spans="1:15">
      <c r="A186" s="1" t="s">
        <v>546</v>
      </c>
      <c r="B186" s="1" t="s">
        <v>547</v>
      </c>
      <c r="C186" s="1" t="s">
        <v>548</v>
      </c>
      <c r="D186" s="2">
        <v>46032</v>
      </c>
      <c r="E186" s="2">
        <v>46037</v>
      </c>
      <c r="F186" s="1" t="s">
        <v>177</v>
      </c>
      <c r="G186" s="1" t="s">
        <v>13</v>
      </c>
      <c r="H186" s="1" t="s">
        <v>14</v>
      </c>
      <c r="I186" s="7">
        <v>50.01</v>
      </c>
      <c r="J186" s="1" t="s">
        <v>38</v>
      </c>
      <c r="K186" s="1"/>
      <c r="L186" s="1" t="s">
        <v>39</v>
      </c>
      <c r="M186" s="1" t="str">
        <f>INDEX(MCC_Lookup!$B$2:$B$12,MATCH(G186,MCC_Lookup!$A$2:$A$12,0))</f>
        <v>Software</v>
      </c>
      <c r="N186" s="1" t="str">
        <f>IF(TRIM(H186)="","BLANK",IF(PROPER(TRIM(H186))=TRIM(M186),"MATCH","MISMATCH"))</f>
        <v>MATCH</v>
      </c>
      <c r="O186" s="5" t="str">
        <f>INDEX([1]Employee!$C$2:$C$276,MATCH(B186,[1]Employee!$A$2:$A$276,0))</f>
        <v>Sales &amp; Marketing</v>
      </c>
    </row>
    <row r="187" spans="1:15">
      <c r="A187" s="1" t="s">
        <v>549</v>
      </c>
      <c r="B187" s="1" t="s">
        <v>550</v>
      </c>
      <c r="C187" s="1" t="s">
        <v>551</v>
      </c>
      <c r="D187" s="2">
        <v>46027</v>
      </c>
      <c r="E187" s="2">
        <v>46037</v>
      </c>
      <c r="F187" s="1" t="s">
        <v>76</v>
      </c>
      <c r="G187" s="1" t="s">
        <v>13</v>
      </c>
      <c r="H187" s="1" t="s">
        <v>14</v>
      </c>
      <c r="I187" s="7">
        <v>384.95</v>
      </c>
      <c r="J187" s="1" t="s">
        <v>38</v>
      </c>
      <c r="K187" s="1"/>
      <c r="L187" s="1" t="s">
        <v>39</v>
      </c>
      <c r="M187" s="1" t="str">
        <f>INDEX(MCC_Lookup!$B$2:$B$12,MATCH(G187,MCC_Lookup!$A$2:$A$12,0))</f>
        <v>Software</v>
      </c>
      <c r="N187" s="1" t="str">
        <f>IF(TRIM(H187)="","BLANK",IF(PROPER(TRIM(H187))=TRIM(M187),"MATCH","MISMATCH"))</f>
        <v>MATCH</v>
      </c>
      <c r="O187" s="5" t="str">
        <f>INDEX([1]Employee!$C$2:$C$276,MATCH(B187,[1]Employee!$A$2:$A$276,0))</f>
        <v>Sales &amp; Marketing</v>
      </c>
    </row>
    <row r="188" spans="1:15">
      <c r="A188" s="1" t="s">
        <v>552</v>
      </c>
      <c r="B188" s="1" t="s">
        <v>553</v>
      </c>
      <c r="C188" s="1" t="s">
        <v>554</v>
      </c>
      <c r="D188" s="2">
        <v>46030</v>
      </c>
      <c r="E188" s="2">
        <v>46037</v>
      </c>
      <c r="F188" s="1" t="s">
        <v>37</v>
      </c>
      <c r="G188" s="1" t="s">
        <v>4</v>
      </c>
      <c r="H188" s="1" t="s">
        <v>5</v>
      </c>
      <c r="I188" s="7">
        <v>335.42</v>
      </c>
      <c r="J188" s="1" t="s">
        <v>38</v>
      </c>
      <c r="K188" s="1"/>
      <c r="L188" s="1" t="s">
        <v>48</v>
      </c>
      <c r="M188" s="1" t="str">
        <f>INDEX(MCC_Lookup!$B$2:$B$12,MATCH(G188,MCC_Lookup!$A$2:$A$12,0))</f>
        <v>Travel</v>
      </c>
      <c r="N188" s="1" t="str">
        <f>IF(TRIM(H188)="","BLANK",IF(PROPER(TRIM(H188))=TRIM(M188),"MATCH","MISMATCH"))</f>
        <v>MATCH</v>
      </c>
      <c r="O188" s="5" t="str">
        <f>INDEX([1]Employee!$C$2:$C$276,MATCH(B188,[1]Employee!$A$2:$A$276,0))</f>
        <v>Claims</v>
      </c>
    </row>
    <row r="189" spans="1:15">
      <c r="A189" s="1" t="s">
        <v>555</v>
      </c>
      <c r="B189" s="1" t="s">
        <v>373</v>
      </c>
      <c r="C189" s="1" t="s">
        <v>556</v>
      </c>
      <c r="D189" s="2">
        <v>46032</v>
      </c>
      <c r="E189" s="2">
        <v>46037</v>
      </c>
      <c r="F189" s="1" t="s">
        <v>347</v>
      </c>
      <c r="G189" s="1" t="s">
        <v>8</v>
      </c>
      <c r="H189" s="1" t="s">
        <v>343</v>
      </c>
      <c r="I189" s="7">
        <v>38.479999999999997</v>
      </c>
      <c r="J189" s="1" t="s">
        <v>38</v>
      </c>
      <c r="K189" s="1"/>
      <c r="L189" s="1" t="s">
        <v>39</v>
      </c>
      <c r="M189" s="1" t="str">
        <f>INDEX(MCC_Lookup!$B$2:$B$12,MATCH(G189,MCC_Lookup!$A$2:$A$12,0))</f>
        <v>Transportation</v>
      </c>
      <c r="N189" s="1" t="str">
        <f>IF(TRIM(H189)="","BLANK",IF(PROPER(TRIM(H189))=TRIM(M189),"MATCH","MISMATCH"))</f>
        <v>MATCH</v>
      </c>
      <c r="O189" s="5" t="str">
        <f>INDEX([1]Employee!$C$2:$C$276,MATCH(B189,[1]Employee!$A$2:$A$276,0))</f>
        <v>Sales &amp; Marketing</v>
      </c>
    </row>
    <row r="190" spans="1:15">
      <c r="A190" s="1" t="s">
        <v>557</v>
      </c>
      <c r="B190" s="1" t="s">
        <v>558</v>
      </c>
      <c r="C190" s="1"/>
      <c r="D190" s="2">
        <v>46033</v>
      </c>
      <c r="E190" s="2">
        <v>46037</v>
      </c>
      <c r="F190" s="1" t="s">
        <v>69</v>
      </c>
      <c r="G190" s="1" t="s">
        <v>8</v>
      </c>
      <c r="H190" s="1" t="s">
        <v>9</v>
      </c>
      <c r="I190" s="7">
        <v>40.83</v>
      </c>
      <c r="J190" s="1" t="s">
        <v>111</v>
      </c>
      <c r="K190" s="1" t="s">
        <v>229</v>
      </c>
      <c r="L190" s="1" t="s">
        <v>39</v>
      </c>
      <c r="M190" s="1" t="str">
        <f>INDEX(MCC_Lookup!$B$2:$B$12,MATCH(G190,MCC_Lookup!$A$2:$A$12,0))</f>
        <v>Transportation</v>
      </c>
      <c r="N190" s="1" t="str">
        <f>IF(TRIM(H190)="","BLANK",IF(PROPER(TRIM(H190))=TRIM(M190),"MATCH","MISMATCH"))</f>
        <v>MATCH</v>
      </c>
      <c r="O190" s="5" t="str">
        <f>INDEX([1]Employee!$C$2:$C$276,MATCH(B190,[1]Employee!$A$2:$A$276,0))</f>
        <v>Claims</v>
      </c>
    </row>
    <row r="191" spans="1:15">
      <c r="A191" s="1" t="s">
        <v>559</v>
      </c>
      <c r="B191" s="1" t="s">
        <v>426</v>
      </c>
      <c r="C191" s="1"/>
      <c r="D191" s="2">
        <v>46035</v>
      </c>
      <c r="E191" s="2">
        <v>46037</v>
      </c>
      <c r="F191" s="1" t="s">
        <v>83</v>
      </c>
      <c r="G191" s="1" t="s">
        <v>2</v>
      </c>
      <c r="H191" s="1" t="s">
        <v>138</v>
      </c>
      <c r="I191" s="7">
        <v>16.59</v>
      </c>
      <c r="J191" s="1" t="s">
        <v>38</v>
      </c>
      <c r="K191" s="1"/>
      <c r="L191" s="1" t="s">
        <v>48</v>
      </c>
      <c r="M191" s="1" t="str">
        <f>INDEX(MCC_Lookup!$B$2:$B$12,MATCH(G191,MCC_Lookup!$A$2:$A$12,0))</f>
        <v>Meals</v>
      </c>
      <c r="N191" s="1" t="str">
        <f>IF(TRIM(H191)="","BLANK",IF(PROPER(TRIM(H191))=TRIM(M191),"MATCH","MISMATCH"))</f>
        <v>MATCH</v>
      </c>
      <c r="O191" s="5" t="str">
        <f>INDEX([1]Employee!$C$2:$C$276,MATCH(B191,[1]Employee!$A$2:$A$276,0))</f>
        <v>Sales &amp; Marketing</v>
      </c>
    </row>
    <row r="192" spans="1:15">
      <c r="A192" s="1" t="s">
        <v>560</v>
      </c>
      <c r="B192" s="1" t="s">
        <v>101</v>
      </c>
      <c r="C192" s="1" t="s">
        <v>561</v>
      </c>
      <c r="D192" s="2">
        <v>46027</v>
      </c>
      <c r="E192" s="2">
        <v>46037</v>
      </c>
      <c r="F192" s="1" t="s">
        <v>259</v>
      </c>
      <c r="G192" s="1" t="s">
        <v>20</v>
      </c>
      <c r="H192" s="1" t="s">
        <v>19</v>
      </c>
      <c r="I192" s="7">
        <v>472.91</v>
      </c>
      <c r="J192" s="1" t="s">
        <v>38</v>
      </c>
      <c r="K192" s="1"/>
      <c r="L192" s="1" t="s">
        <v>39</v>
      </c>
      <c r="M192" s="1" t="str">
        <f>INDEX(MCC_Lookup!$B$2:$B$12,MATCH(G192,MCC_Lookup!$A$2:$A$12,0))</f>
        <v>Events</v>
      </c>
      <c r="N192" s="1" t="str">
        <f>IF(TRIM(H192)="","BLANK",IF(PROPER(TRIM(H192))=TRIM(M192),"MATCH","MISMATCH"))</f>
        <v>MATCH</v>
      </c>
      <c r="O192" s="5" t="str">
        <f>INDEX([1]Employee!$C$2:$C$276,MATCH(B192,[1]Employee!$A$2:$A$276,0))</f>
        <v>Underwriting</v>
      </c>
    </row>
    <row r="193" spans="1:15">
      <c r="A193" s="1" t="s">
        <v>562</v>
      </c>
      <c r="B193" s="1" t="s">
        <v>292</v>
      </c>
      <c r="C193" s="1"/>
      <c r="D193" s="2">
        <v>46030</v>
      </c>
      <c r="E193" s="2">
        <v>46037</v>
      </c>
      <c r="F193" s="1" t="s">
        <v>52</v>
      </c>
      <c r="G193" s="1" t="s">
        <v>15</v>
      </c>
      <c r="H193" s="1" t="s">
        <v>403</v>
      </c>
      <c r="I193" s="7">
        <v>42.21</v>
      </c>
      <c r="J193" s="1" t="s">
        <v>38</v>
      </c>
      <c r="K193" s="1"/>
      <c r="L193" s="1" t="s">
        <v>48</v>
      </c>
      <c r="M193" s="1" t="str">
        <f>INDEX(MCC_Lookup!$B$2:$B$12,MATCH(G193,MCC_Lookup!$A$2:$A$12,0))</f>
        <v>Entertainment</v>
      </c>
      <c r="N193" s="1" t="str">
        <f>IF(TRIM(H193)="","BLANK",IF(PROPER(TRIM(H193))=TRIM(M193),"MATCH","MISMATCH"))</f>
        <v>MATCH</v>
      </c>
      <c r="O193" s="5" t="str">
        <f>INDEX([1]Employee!$C$2:$C$276,MATCH(B193,[1]Employee!$A$2:$A$276,0))</f>
        <v>Sales &amp; Marketing</v>
      </c>
    </row>
    <row r="194" spans="1:15">
      <c r="A194" s="1" t="s">
        <v>563</v>
      </c>
      <c r="B194" s="1" t="s">
        <v>564</v>
      </c>
      <c r="C194" s="1" t="s">
        <v>565</v>
      </c>
      <c r="D194" s="2">
        <v>46036</v>
      </c>
      <c r="E194" s="2">
        <v>46037</v>
      </c>
      <c r="F194" s="1" t="s">
        <v>201</v>
      </c>
      <c r="G194" s="1" t="s">
        <v>4</v>
      </c>
      <c r="H194" s="1" t="s">
        <v>5</v>
      </c>
      <c r="I194" s="7">
        <v>557.80999999999995</v>
      </c>
      <c r="J194" s="1" t="s">
        <v>38</v>
      </c>
      <c r="K194" s="1"/>
      <c r="L194" s="1" t="s">
        <v>39</v>
      </c>
      <c r="M194" s="1" t="str">
        <f>INDEX(MCC_Lookup!$B$2:$B$12,MATCH(G194,MCC_Lookup!$A$2:$A$12,0))</f>
        <v>Travel</v>
      </c>
      <c r="N194" s="1" t="str">
        <f>IF(TRIM(H194)="","BLANK",IF(PROPER(TRIM(H194))=TRIM(M194),"MATCH","MISMATCH"))</f>
        <v>MATCH</v>
      </c>
      <c r="O194" s="5" t="str">
        <f>INDEX([1]Employee!$C$2:$C$276,MATCH(B194,[1]Employee!$A$2:$A$276,0))</f>
        <v>Sales &amp; Marketing</v>
      </c>
    </row>
    <row r="195" spans="1:15">
      <c r="A195" s="1" t="s">
        <v>566</v>
      </c>
      <c r="B195" s="1" t="s">
        <v>564</v>
      </c>
      <c r="C195" s="1" t="s">
        <v>567</v>
      </c>
      <c r="D195" s="2">
        <v>46027</v>
      </c>
      <c r="E195" s="2">
        <v>46037</v>
      </c>
      <c r="F195" s="1" t="s">
        <v>43</v>
      </c>
      <c r="G195" s="1" t="s">
        <v>2</v>
      </c>
      <c r="H195" s="1" t="s">
        <v>3</v>
      </c>
      <c r="I195" s="7">
        <v>21.12</v>
      </c>
      <c r="J195" s="1" t="s">
        <v>38</v>
      </c>
      <c r="K195" s="1"/>
      <c r="L195" s="1" t="s">
        <v>39</v>
      </c>
      <c r="M195" s="1" t="str">
        <f>INDEX(MCC_Lookup!$B$2:$B$12,MATCH(G195,MCC_Lookup!$A$2:$A$12,0))</f>
        <v>Meals</v>
      </c>
      <c r="N195" s="1" t="str">
        <f>IF(TRIM(H195)="","BLANK",IF(PROPER(TRIM(H195))=TRIM(M195),"MATCH","MISMATCH"))</f>
        <v>MATCH</v>
      </c>
      <c r="O195" s="5" t="str">
        <f>INDEX([1]Employee!$C$2:$C$276,MATCH(B195,[1]Employee!$A$2:$A$276,0))</f>
        <v>Sales &amp; Marketing</v>
      </c>
    </row>
    <row r="196" spans="1:15">
      <c r="A196" s="1" t="s">
        <v>568</v>
      </c>
      <c r="B196" s="1" t="s">
        <v>407</v>
      </c>
      <c r="C196" s="1" t="s">
        <v>569</v>
      </c>
      <c r="D196" s="2">
        <v>46033</v>
      </c>
      <c r="E196" s="2">
        <v>46037</v>
      </c>
      <c r="F196" s="1" t="s">
        <v>305</v>
      </c>
      <c r="G196" s="1" t="s">
        <v>2</v>
      </c>
      <c r="H196" s="1" t="s">
        <v>3</v>
      </c>
      <c r="I196" s="7">
        <v>8.2799999999999994</v>
      </c>
      <c r="J196" s="1" t="s">
        <v>38</v>
      </c>
      <c r="K196" s="1"/>
      <c r="L196" s="1" t="s">
        <v>39</v>
      </c>
      <c r="M196" s="1" t="str">
        <f>INDEX(MCC_Lookup!$B$2:$B$12,MATCH(G196,MCC_Lookup!$A$2:$A$12,0))</f>
        <v>Meals</v>
      </c>
      <c r="N196" s="1" t="str">
        <f>IF(TRIM(H196)="","BLANK",IF(PROPER(TRIM(H196))=TRIM(M196),"MATCH","MISMATCH"))</f>
        <v>MATCH</v>
      </c>
      <c r="O196" s="5" t="str">
        <f>INDEX([1]Employee!$C$2:$C$276,MATCH(B196,[1]Employee!$A$2:$A$276,0))</f>
        <v>Executive &amp; Corporate</v>
      </c>
    </row>
    <row r="197" spans="1:15">
      <c r="A197" s="1" t="s">
        <v>570</v>
      </c>
      <c r="B197" s="1" t="s">
        <v>571</v>
      </c>
      <c r="C197" s="1" t="s">
        <v>572</v>
      </c>
      <c r="D197" s="2">
        <v>46028</v>
      </c>
      <c r="E197" s="2">
        <v>46037</v>
      </c>
      <c r="F197" s="1" t="s">
        <v>573</v>
      </c>
      <c r="G197" s="1" t="s">
        <v>18</v>
      </c>
      <c r="H197" s="1" t="s">
        <v>332</v>
      </c>
      <c r="I197" s="7">
        <v>377.9</v>
      </c>
      <c r="J197" s="1" t="s">
        <v>38</v>
      </c>
      <c r="K197" s="1"/>
      <c r="L197" s="1" t="s">
        <v>39</v>
      </c>
      <c r="M197" s="1" t="str">
        <f>INDEX(MCC_Lookup!$B$2:$B$12,MATCH(G197,MCC_Lookup!$A$2:$A$12,0))</f>
        <v>Events</v>
      </c>
      <c r="N197" s="1" t="str">
        <f>IF(TRIM(H197)="","BLANK",IF(PROPER(TRIM(H197))=TRIM(M197),"MATCH","MISMATCH"))</f>
        <v>MATCH</v>
      </c>
      <c r="O197" s="5" t="str">
        <f>INDEX([1]Employee!$C$2:$C$276,MATCH(B197,[1]Employee!$A$2:$A$276,0))</f>
        <v>Finance</v>
      </c>
    </row>
    <row r="198" spans="1:15">
      <c r="A198" s="1" t="s">
        <v>574</v>
      </c>
      <c r="B198" s="1" t="s">
        <v>575</v>
      </c>
      <c r="C198" s="1" t="s">
        <v>576</v>
      </c>
      <c r="D198" s="2">
        <v>46034</v>
      </c>
      <c r="E198" s="2">
        <v>46037</v>
      </c>
      <c r="F198" s="1" t="s">
        <v>124</v>
      </c>
      <c r="G198" s="1" t="s">
        <v>17</v>
      </c>
      <c r="H198" s="1" t="s">
        <v>16</v>
      </c>
      <c r="I198" s="7">
        <v>183.04</v>
      </c>
      <c r="J198" s="1" t="s">
        <v>38</v>
      </c>
      <c r="K198" s="1"/>
      <c r="L198" s="1" t="s">
        <v>39</v>
      </c>
      <c r="M198" s="1" t="str">
        <f>INDEX(MCC_Lookup!$B$2:$B$12,MATCH(G198,MCC_Lookup!$A$2:$A$12,0))</f>
        <v>Entertainment</v>
      </c>
      <c r="N198" s="1" t="str">
        <f>IF(TRIM(H198)="","BLANK",IF(PROPER(TRIM(H198))=TRIM(M198),"MATCH","MISMATCH"))</f>
        <v>MATCH</v>
      </c>
      <c r="O198" s="5" t="str">
        <f>INDEX([1]Employee!$C$2:$C$276,MATCH(B198,[1]Employee!$A$2:$A$276,0))</f>
        <v>Underwriting</v>
      </c>
    </row>
    <row r="199" spans="1:15">
      <c r="A199" s="1" t="s">
        <v>577</v>
      </c>
      <c r="B199" s="1" t="s">
        <v>45</v>
      </c>
      <c r="C199" s="1" t="s">
        <v>578</v>
      </c>
      <c r="D199" s="2">
        <v>46034</v>
      </c>
      <c r="E199" s="2">
        <v>46037</v>
      </c>
      <c r="F199" s="1" t="s">
        <v>124</v>
      </c>
      <c r="G199" s="1" t="s">
        <v>17</v>
      </c>
      <c r="H199" s="1" t="s">
        <v>403</v>
      </c>
      <c r="I199" s="7">
        <v>221.58</v>
      </c>
      <c r="J199" s="1" t="s">
        <v>38</v>
      </c>
      <c r="K199" s="1"/>
      <c r="L199" s="1" t="s">
        <v>39</v>
      </c>
      <c r="M199" s="1" t="str">
        <f>INDEX(MCC_Lookup!$B$2:$B$12,MATCH(G199,MCC_Lookup!$A$2:$A$12,0))</f>
        <v>Entertainment</v>
      </c>
      <c r="N199" s="1" t="str">
        <f>IF(TRIM(H199)="","BLANK",IF(PROPER(TRIM(H199))=TRIM(M199),"MATCH","MISMATCH"))</f>
        <v>MATCH</v>
      </c>
      <c r="O199" s="5" t="str">
        <f>INDEX([1]Employee!$C$2:$C$276,MATCH(B199,[1]Employee!$A$2:$A$276,0))</f>
        <v>IT &amp; Platform Engineering</v>
      </c>
    </row>
    <row r="200" spans="1:15">
      <c r="A200" s="1" t="s">
        <v>579</v>
      </c>
      <c r="B200" s="1" t="s">
        <v>506</v>
      </c>
      <c r="C200" s="1"/>
      <c r="D200" s="2">
        <v>46036</v>
      </c>
      <c r="E200" s="2">
        <v>46037</v>
      </c>
      <c r="F200" s="1" t="s">
        <v>47</v>
      </c>
      <c r="G200" s="1" t="s">
        <v>6</v>
      </c>
      <c r="H200" s="1" t="s">
        <v>7</v>
      </c>
      <c r="I200" s="7">
        <v>150.72999999999999</v>
      </c>
      <c r="J200" s="1" t="s">
        <v>38</v>
      </c>
      <c r="K200" s="1"/>
      <c r="L200" s="1" t="s">
        <v>39</v>
      </c>
      <c r="M200" s="1" t="str">
        <f>INDEX(MCC_Lookup!$B$2:$B$12,MATCH(G200,MCC_Lookup!$A$2:$A$12,0))</f>
        <v>Lodging</v>
      </c>
      <c r="N200" s="1" t="str">
        <f>IF(TRIM(H200)="","BLANK",IF(PROPER(TRIM(H200))=TRIM(M200),"MATCH","MISMATCH"))</f>
        <v>MATCH</v>
      </c>
      <c r="O200" s="5" t="str">
        <f>INDEX([1]Employee!$C$2:$C$276,MATCH(B200,[1]Employee!$A$2:$A$276,0))</f>
        <v>Executive &amp; Corporate</v>
      </c>
    </row>
    <row r="201" spans="1:15">
      <c r="A201" s="1" t="s">
        <v>580</v>
      </c>
      <c r="B201" s="1" t="s">
        <v>349</v>
      </c>
      <c r="C201" s="1" t="s">
        <v>581</v>
      </c>
      <c r="D201" s="2">
        <v>46029</v>
      </c>
      <c r="E201" s="2">
        <v>46037</v>
      </c>
      <c r="F201" s="1" t="s">
        <v>124</v>
      </c>
      <c r="G201" s="1" t="s">
        <v>17</v>
      </c>
      <c r="H201" s="1" t="s">
        <v>16</v>
      </c>
      <c r="I201" s="7">
        <v>209.69</v>
      </c>
      <c r="J201" s="1" t="s">
        <v>38</v>
      </c>
      <c r="K201" s="1"/>
      <c r="L201" s="1" t="s">
        <v>39</v>
      </c>
      <c r="M201" s="1" t="str">
        <f>INDEX(MCC_Lookup!$B$2:$B$12,MATCH(G201,MCC_Lookup!$A$2:$A$12,0))</f>
        <v>Entertainment</v>
      </c>
      <c r="N201" s="1" t="str">
        <f>IF(TRIM(H201)="","BLANK",IF(PROPER(TRIM(H201))=TRIM(M201),"MATCH","MISMATCH"))</f>
        <v>MATCH</v>
      </c>
      <c r="O201" s="5" t="str">
        <f>INDEX([1]Employee!$C$2:$C$276,MATCH(B201,[1]Employee!$A$2:$A$276,0))</f>
        <v>Sales &amp; Marketing</v>
      </c>
    </row>
    <row r="202" spans="1:15">
      <c r="A202" s="1" t="s">
        <v>582</v>
      </c>
      <c r="B202" s="1" t="s">
        <v>67</v>
      </c>
      <c r="C202" s="1" t="s">
        <v>583</v>
      </c>
      <c r="D202" s="2">
        <v>46030</v>
      </c>
      <c r="E202" s="2">
        <v>46037</v>
      </c>
      <c r="F202" s="1" t="s">
        <v>109</v>
      </c>
      <c r="G202" s="1" t="s">
        <v>18</v>
      </c>
      <c r="H202" s="1" t="s">
        <v>19</v>
      </c>
      <c r="I202" s="7">
        <v>90.44</v>
      </c>
      <c r="J202" s="1" t="s">
        <v>38</v>
      </c>
      <c r="K202" s="1"/>
      <c r="L202" s="1" t="s">
        <v>39</v>
      </c>
      <c r="M202" s="1" t="str">
        <f>INDEX(MCC_Lookup!$B$2:$B$12,MATCH(G202,MCC_Lookup!$A$2:$A$12,0))</f>
        <v>Events</v>
      </c>
      <c r="N202" s="1" t="str">
        <f>IF(TRIM(H202)="","BLANK",IF(PROPER(TRIM(H202))=TRIM(M202),"MATCH","MISMATCH"))</f>
        <v>MATCH</v>
      </c>
      <c r="O202" s="5" t="str">
        <f>INDEX([1]Employee!$C$2:$C$276,MATCH(B202,[1]Employee!$A$2:$A$276,0))</f>
        <v>Sales &amp; Marketing</v>
      </c>
    </row>
    <row r="203" spans="1:15">
      <c r="A203" s="1" t="s">
        <v>584</v>
      </c>
      <c r="B203" s="1" t="s">
        <v>585</v>
      </c>
      <c r="C203" s="1" t="s">
        <v>586</v>
      </c>
      <c r="D203" s="2">
        <v>46037</v>
      </c>
      <c r="E203" s="2">
        <v>46038</v>
      </c>
      <c r="F203" s="1" t="s">
        <v>76</v>
      </c>
      <c r="G203" s="1" t="s">
        <v>13</v>
      </c>
      <c r="H203" s="1" t="s">
        <v>14</v>
      </c>
      <c r="I203" s="7">
        <v>167.16</v>
      </c>
      <c r="J203" s="1" t="s">
        <v>38</v>
      </c>
      <c r="K203" s="1"/>
      <c r="L203" s="1" t="s">
        <v>39</v>
      </c>
      <c r="M203" s="1" t="str">
        <f>INDEX(MCC_Lookup!$B$2:$B$12,MATCH(G203,MCC_Lookup!$A$2:$A$12,0))</f>
        <v>Software</v>
      </c>
      <c r="N203" s="1" t="str">
        <f>IF(TRIM(H203)="","BLANK",IF(PROPER(TRIM(H203))=TRIM(M203),"MATCH","MISMATCH"))</f>
        <v>MATCH</v>
      </c>
      <c r="O203" s="5" t="str">
        <f>INDEX([1]Employee!$C$2:$C$276,MATCH(B203,[1]Employee!$A$2:$A$276,0))</f>
        <v>Customer Support</v>
      </c>
    </row>
    <row r="204" spans="1:15">
      <c r="A204" s="1" t="s">
        <v>587</v>
      </c>
      <c r="B204" s="1" t="s">
        <v>588</v>
      </c>
      <c r="C204" s="1" t="s">
        <v>589</v>
      </c>
      <c r="D204" s="2">
        <v>46028</v>
      </c>
      <c r="E204" s="2">
        <v>46038</v>
      </c>
      <c r="F204" s="1" t="s">
        <v>56</v>
      </c>
      <c r="G204" s="1" t="s">
        <v>4</v>
      </c>
      <c r="H204" s="1" t="s">
        <v>5</v>
      </c>
      <c r="I204" s="7">
        <v>448.02</v>
      </c>
      <c r="J204" s="1" t="s">
        <v>38</v>
      </c>
      <c r="K204" s="1"/>
      <c r="L204" s="1" t="s">
        <v>39</v>
      </c>
      <c r="M204" s="1" t="str">
        <f>INDEX(MCC_Lookup!$B$2:$B$12,MATCH(G204,MCC_Lookup!$A$2:$A$12,0))</f>
        <v>Travel</v>
      </c>
      <c r="N204" s="1" t="str">
        <f>IF(TRIM(H204)="","BLANK",IF(PROPER(TRIM(H204))=TRIM(M204),"MATCH","MISMATCH"))</f>
        <v>MATCH</v>
      </c>
      <c r="O204" s="5" t="str">
        <f>INDEX([1]Employee!$C$2:$C$276,MATCH(B204,[1]Employee!$A$2:$A$276,0))</f>
        <v>Claims</v>
      </c>
    </row>
    <row r="205" spans="1:15">
      <c r="A205" s="1" t="s">
        <v>590</v>
      </c>
      <c r="B205" s="1" t="s">
        <v>364</v>
      </c>
      <c r="C205" s="1" t="s">
        <v>591</v>
      </c>
      <c r="D205" s="2">
        <v>46030</v>
      </c>
      <c r="E205" s="2">
        <v>46038</v>
      </c>
      <c r="F205" s="1" t="s">
        <v>43</v>
      </c>
      <c r="G205" s="1" t="s">
        <v>2</v>
      </c>
      <c r="H205" s="1" t="s">
        <v>3</v>
      </c>
      <c r="I205" s="7">
        <v>23.13</v>
      </c>
      <c r="J205" s="1" t="s">
        <v>38</v>
      </c>
      <c r="K205" s="1"/>
      <c r="L205" s="1" t="s">
        <v>39</v>
      </c>
      <c r="M205" s="1" t="str">
        <f>INDEX(MCC_Lookup!$B$2:$B$12,MATCH(G205,MCC_Lookup!$A$2:$A$12,0))</f>
        <v>Meals</v>
      </c>
      <c r="N205" s="1" t="str">
        <f>IF(TRIM(H205)="","BLANK",IF(PROPER(TRIM(H205))=TRIM(M205),"MATCH","MISMATCH"))</f>
        <v>MATCH</v>
      </c>
      <c r="O205" s="5" t="str">
        <f>INDEX([1]Employee!$C$2:$C$276,MATCH(B205,[1]Employee!$A$2:$A$276,0))</f>
        <v>Sales &amp; Marketing</v>
      </c>
    </row>
    <row r="206" spans="1:15">
      <c r="A206" s="1" t="s">
        <v>592</v>
      </c>
      <c r="B206" s="1" t="s">
        <v>593</v>
      </c>
      <c r="C206" s="1"/>
      <c r="D206" s="2">
        <v>46032</v>
      </c>
      <c r="E206" s="2">
        <v>46038</v>
      </c>
      <c r="F206" s="1" t="s">
        <v>37</v>
      </c>
      <c r="G206" s="1" t="s">
        <v>4</v>
      </c>
      <c r="H206" s="1" t="s">
        <v>5</v>
      </c>
      <c r="I206" s="7">
        <v>238.37</v>
      </c>
      <c r="J206" s="1" t="s">
        <v>38</v>
      </c>
      <c r="K206" s="1"/>
      <c r="L206" s="1" t="s">
        <v>39</v>
      </c>
      <c r="M206" s="1" t="str">
        <f>INDEX(MCC_Lookup!$B$2:$B$12,MATCH(G206,MCC_Lookup!$A$2:$A$12,0))</f>
        <v>Travel</v>
      </c>
      <c r="N206" s="1" t="str">
        <f>IF(TRIM(H206)="","BLANK",IF(PROPER(TRIM(H206))=TRIM(M206),"MATCH","MISMATCH"))</f>
        <v>MATCH</v>
      </c>
      <c r="O206" s="5" t="str">
        <f>INDEX([1]Employee!$C$2:$C$276,MATCH(B206,[1]Employee!$A$2:$A$276,0))</f>
        <v>Sales &amp; Marketing</v>
      </c>
    </row>
    <row r="207" spans="1:15">
      <c r="A207" s="1" t="s">
        <v>594</v>
      </c>
      <c r="B207" s="1" t="s">
        <v>595</v>
      </c>
      <c r="C207" s="1"/>
      <c r="D207" s="2">
        <v>46030</v>
      </c>
      <c r="E207" s="2">
        <v>46038</v>
      </c>
      <c r="F207" s="1" t="s">
        <v>106</v>
      </c>
      <c r="G207" s="1" t="s">
        <v>13</v>
      </c>
      <c r="H207" s="1" t="s">
        <v>14</v>
      </c>
      <c r="I207" s="7">
        <v>50.14</v>
      </c>
      <c r="J207" s="1" t="s">
        <v>38</v>
      </c>
      <c r="K207" s="1"/>
      <c r="L207" s="1" t="s">
        <v>39</v>
      </c>
      <c r="M207" s="1" t="str">
        <f>INDEX(MCC_Lookup!$B$2:$B$12,MATCH(G207,MCC_Lookup!$A$2:$A$12,0))</f>
        <v>Software</v>
      </c>
      <c r="N207" s="1" t="str">
        <f>IF(TRIM(H207)="","BLANK",IF(PROPER(TRIM(H207))=TRIM(M207),"MATCH","MISMATCH"))</f>
        <v>MATCH</v>
      </c>
      <c r="O207" s="5" t="str">
        <f>INDEX([1]Employee!$C$2:$C$276,MATCH(B207,[1]Employee!$A$2:$A$276,0))</f>
        <v>Executive &amp; Corporate</v>
      </c>
    </row>
    <row r="208" spans="1:15">
      <c r="A208" s="1" t="s">
        <v>596</v>
      </c>
      <c r="B208" s="1" t="s">
        <v>597</v>
      </c>
      <c r="C208" s="1" t="s">
        <v>598</v>
      </c>
      <c r="D208" s="2">
        <v>46033</v>
      </c>
      <c r="E208" s="2">
        <v>46038</v>
      </c>
      <c r="F208" s="1" t="s">
        <v>65</v>
      </c>
      <c r="G208" s="1" t="s">
        <v>18</v>
      </c>
      <c r="H208" s="1" t="s">
        <v>19</v>
      </c>
      <c r="I208" s="7">
        <v>187.49</v>
      </c>
      <c r="J208" s="1" t="s">
        <v>38</v>
      </c>
      <c r="K208" s="1"/>
      <c r="L208" s="1" t="s">
        <v>39</v>
      </c>
      <c r="M208" s="1" t="str">
        <f>INDEX(MCC_Lookup!$B$2:$B$12,MATCH(G208,MCC_Lookup!$A$2:$A$12,0))</f>
        <v>Events</v>
      </c>
      <c r="N208" s="1" t="str">
        <f>IF(TRIM(H208)="","BLANK",IF(PROPER(TRIM(H208))=TRIM(M208),"MATCH","MISMATCH"))</f>
        <v>MATCH</v>
      </c>
      <c r="O208" s="5" t="str">
        <f>INDEX([1]Employee!$C$2:$C$276,MATCH(B208,[1]Employee!$A$2:$A$276,0))</f>
        <v>Sales &amp; Marketing</v>
      </c>
    </row>
    <row r="209" spans="1:15">
      <c r="A209" s="1" t="s">
        <v>599</v>
      </c>
      <c r="B209" s="1" t="s">
        <v>600</v>
      </c>
      <c r="C209" s="1" t="s">
        <v>601</v>
      </c>
      <c r="D209" s="2">
        <v>46034</v>
      </c>
      <c r="E209" s="2">
        <v>46038</v>
      </c>
      <c r="F209" s="1" t="s">
        <v>92</v>
      </c>
      <c r="G209" s="1" t="s">
        <v>10</v>
      </c>
      <c r="H209" s="1" t="s">
        <v>11</v>
      </c>
      <c r="I209" s="7">
        <v>101.05</v>
      </c>
      <c r="J209" s="1" t="s">
        <v>38</v>
      </c>
      <c r="K209" s="1"/>
      <c r="L209" s="1" t="s">
        <v>39</v>
      </c>
      <c r="M209" s="1" t="str">
        <f>INDEX(MCC_Lookup!$B$2:$B$12,MATCH(G209,MCC_Lookup!$A$2:$A$12,0))</f>
        <v>Office Supplies</v>
      </c>
      <c r="N209" s="1" t="str">
        <f>IF(TRIM(H209)="","BLANK",IF(PROPER(TRIM(H209))=TRIM(M209),"MATCH","MISMATCH"))</f>
        <v>MATCH</v>
      </c>
      <c r="O209" s="5" t="str">
        <f>INDEX([1]Employee!$C$2:$C$276,MATCH(B209,[1]Employee!$A$2:$A$276,0))</f>
        <v>Actuarial &amp; Risk</v>
      </c>
    </row>
    <row r="210" spans="1:15">
      <c r="A210" s="1" t="s">
        <v>602</v>
      </c>
      <c r="B210" s="1" t="s">
        <v>603</v>
      </c>
      <c r="C210" s="1" t="s">
        <v>604</v>
      </c>
      <c r="D210" s="2">
        <v>46028</v>
      </c>
      <c r="E210" s="2">
        <v>46038</v>
      </c>
      <c r="F210" s="1" t="s">
        <v>242</v>
      </c>
      <c r="G210" s="1" t="s">
        <v>13</v>
      </c>
      <c r="H210" s="1" t="s">
        <v>14</v>
      </c>
      <c r="I210" s="7">
        <v>32.229999999999997</v>
      </c>
      <c r="J210" s="1" t="s">
        <v>38</v>
      </c>
      <c r="K210" s="1"/>
      <c r="L210" s="1" t="s">
        <v>39</v>
      </c>
      <c r="M210" s="1" t="str">
        <f>INDEX(MCC_Lookup!$B$2:$B$12,MATCH(G210,MCC_Lookup!$A$2:$A$12,0))</f>
        <v>Software</v>
      </c>
      <c r="N210" s="1" t="str">
        <f>IF(TRIM(H210)="","BLANK",IF(PROPER(TRIM(H210))=TRIM(M210),"MATCH","MISMATCH"))</f>
        <v>MATCH</v>
      </c>
      <c r="O210" s="5" t="str">
        <f>INDEX([1]Employee!$C$2:$C$276,MATCH(B210,[1]Employee!$A$2:$A$276,0))</f>
        <v>Underwriting</v>
      </c>
    </row>
    <row r="211" spans="1:15">
      <c r="A211" s="1" t="s">
        <v>605</v>
      </c>
      <c r="B211" s="1" t="s">
        <v>108</v>
      </c>
      <c r="C211" s="1" t="s">
        <v>606</v>
      </c>
      <c r="D211" s="2">
        <v>46034</v>
      </c>
      <c r="E211" s="2">
        <v>46038</v>
      </c>
      <c r="F211" s="1" t="s">
        <v>259</v>
      </c>
      <c r="G211" s="1" t="s">
        <v>20</v>
      </c>
      <c r="H211" s="1" t="s">
        <v>19</v>
      </c>
      <c r="I211" s="7">
        <v>675.31</v>
      </c>
      <c r="J211" s="1" t="s">
        <v>38</v>
      </c>
      <c r="K211" s="1"/>
      <c r="L211" s="1" t="s">
        <v>48</v>
      </c>
      <c r="M211" s="1" t="str">
        <f>INDEX(MCC_Lookup!$B$2:$B$12,MATCH(G211,MCC_Lookup!$A$2:$A$12,0))</f>
        <v>Events</v>
      </c>
      <c r="N211" s="1" t="str">
        <f>IF(TRIM(H211)="","BLANK",IF(PROPER(TRIM(H211))=TRIM(M211),"MATCH","MISMATCH"))</f>
        <v>MATCH</v>
      </c>
      <c r="O211" s="5" t="str">
        <f>INDEX([1]Employee!$C$2:$C$276,MATCH(B211,[1]Employee!$A$2:$A$276,0))</f>
        <v>Sales &amp; Marketing</v>
      </c>
    </row>
    <row r="212" spans="1:15">
      <c r="A212" s="1" t="s">
        <v>607</v>
      </c>
      <c r="B212" s="1" t="s">
        <v>608</v>
      </c>
      <c r="C212" s="1"/>
      <c r="D212" s="2">
        <v>46031</v>
      </c>
      <c r="E212" s="2">
        <v>46038</v>
      </c>
      <c r="F212" s="1" t="s">
        <v>305</v>
      </c>
      <c r="G212" s="1" t="s">
        <v>2</v>
      </c>
      <c r="H212" s="1" t="s">
        <v>138</v>
      </c>
      <c r="I212" s="7">
        <v>8.3699999999999992</v>
      </c>
      <c r="J212" s="1" t="s">
        <v>111</v>
      </c>
      <c r="K212" s="1" t="s">
        <v>112</v>
      </c>
      <c r="L212" s="1" t="s">
        <v>39</v>
      </c>
      <c r="M212" s="1" t="str">
        <f>INDEX(MCC_Lookup!$B$2:$B$12,MATCH(G212,MCC_Lookup!$A$2:$A$12,0))</f>
        <v>Meals</v>
      </c>
      <c r="N212" s="1" t="str">
        <f>IF(TRIM(H212)="","BLANK",IF(PROPER(TRIM(H212))=TRIM(M212),"MATCH","MISMATCH"))</f>
        <v>MATCH</v>
      </c>
      <c r="O212" s="5" t="str">
        <f>INDEX([1]Employee!$C$2:$C$276,MATCH(B212,[1]Employee!$A$2:$A$276,0))</f>
        <v>IT &amp; Platform Engineering</v>
      </c>
    </row>
    <row r="213" spans="1:15">
      <c r="A213" s="1" t="s">
        <v>609</v>
      </c>
      <c r="B213" s="1" t="s">
        <v>610</v>
      </c>
      <c r="C213" s="1" t="s">
        <v>611</v>
      </c>
      <c r="D213" s="2">
        <v>46030</v>
      </c>
      <c r="E213" s="2">
        <v>46038</v>
      </c>
      <c r="F213" s="1" t="s">
        <v>61</v>
      </c>
      <c r="G213" s="1" t="s">
        <v>13</v>
      </c>
      <c r="H213" s="1"/>
      <c r="I213" s="7">
        <v>38.450000000000003</v>
      </c>
      <c r="J213" s="1" t="s">
        <v>38</v>
      </c>
      <c r="K213" s="1"/>
      <c r="L213" s="1" t="s">
        <v>39</v>
      </c>
      <c r="M213" s="1" t="str">
        <f>INDEX(MCC_Lookup!$B$2:$B$12,MATCH(G213,MCC_Lookup!$A$2:$A$12,0))</f>
        <v>Software</v>
      </c>
      <c r="N213" s="1" t="str">
        <f>IF(TRIM(H213)="","BLANK",IF(PROPER(TRIM(H213))=TRIM(M213),"MATCH","MISMATCH"))</f>
        <v>BLANK</v>
      </c>
      <c r="O213" s="5" t="str">
        <f>INDEX([1]Employee!$C$2:$C$276,MATCH(B213,[1]Employee!$A$2:$A$276,0))</f>
        <v>Actuarial &amp; Risk</v>
      </c>
    </row>
    <row r="214" spans="1:15">
      <c r="A214" s="1" t="s">
        <v>612</v>
      </c>
      <c r="B214" s="1" t="s">
        <v>156</v>
      </c>
      <c r="C214" s="1" t="s">
        <v>613</v>
      </c>
      <c r="D214" s="2">
        <v>46034</v>
      </c>
      <c r="E214" s="2">
        <v>46038</v>
      </c>
      <c r="F214" s="1" t="s">
        <v>259</v>
      </c>
      <c r="G214" s="1" t="s">
        <v>20</v>
      </c>
      <c r="H214" s="1" t="s">
        <v>19</v>
      </c>
      <c r="I214" s="7">
        <v>462.86</v>
      </c>
      <c r="J214" s="1" t="s">
        <v>38</v>
      </c>
      <c r="K214" s="1"/>
      <c r="L214" s="1" t="s">
        <v>39</v>
      </c>
      <c r="M214" s="1" t="str">
        <f>INDEX(MCC_Lookup!$B$2:$B$12,MATCH(G214,MCC_Lookup!$A$2:$A$12,0))</f>
        <v>Events</v>
      </c>
      <c r="N214" s="1" t="str">
        <f>IF(TRIM(H214)="","BLANK",IF(PROPER(TRIM(H214))=TRIM(M214),"MATCH","MISMATCH"))</f>
        <v>MATCH</v>
      </c>
      <c r="O214" s="5" t="str">
        <f>INDEX([1]Employee!$C$2:$C$276,MATCH(B214,[1]Employee!$A$2:$A$276,0))</f>
        <v>Sales &amp; Marketing</v>
      </c>
    </row>
    <row r="215" spans="1:15">
      <c r="A215" s="1" t="s">
        <v>614</v>
      </c>
      <c r="B215" s="1" t="s">
        <v>615</v>
      </c>
      <c r="C215" s="1" t="s">
        <v>616</v>
      </c>
      <c r="D215" s="2">
        <v>46032</v>
      </c>
      <c r="E215" s="2">
        <v>46039</v>
      </c>
      <c r="F215" s="1" t="s">
        <v>56</v>
      </c>
      <c r="G215" s="1" t="s">
        <v>4</v>
      </c>
      <c r="H215" s="1" t="s">
        <v>5</v>
      </c>
      <c r="I215" s="7">
        <v>416.58</v>
      </c>
      <c r="J215" s="1" t="s">
        <v>38</v>
      </c>
      <c r="K215" s="1"/>
      <c r="L215" s="1" t="s">
        <v>39</v>
      </c>
      <c r="M215" s="1" t="str">
        <f>INDEX(MCC_Lookup!$B$2:$B$12,MATCH(G215,MCC_Lookup!$A$2:$A$12,0))</f>
        <v>Travel</v>
      </c>
      <c r="N215" s="1" t="str">
        <f>IF(TRIM(H215)="","BLANK",IF(PROPER(TRIM(H215))=TRIM(M215),"MATCH","MISMATCH"))</f>
        <v>MATCH</v>
      </c>
      <c r="O215" s="5" t="str">
        <f>INDEX([1]Employee!$C$2:$C$276,MATCH(B215,[1]Employee!$A$2:$A$276,0))</f>
        <v>Underwriting</v>
      </c>
    </row>
    <row r="216" spans="1:15">
      <c r="A216" s="1" t="s">
        <v>617</v>
      </c>
      <c r="B216" s="1" t="s">
        <v>87</v>
      </c>
      <c r="C216" s="1" t="s">
        <v>618</v>
      </c>
      <c r="D216" s="2">
        <v>46034</v>
      </c>
      <c r="E216" s="2">
        <v>46039</v>
      </c>
      <c r="F216" s="1" t="s">
        <v>99</v>
      </c>
      <c r="G216" s="1" t="s">
        <v>2</v>
      </c>
      <c r="H216" s="1" t="s">
        <v>3</v>
      </c>
      <c r="I216" s="7">
        <v>79.42</v>
      </c>
      <c r="J216" s="1" t="s">
        <v>38</v>
      </c>
      <c r="K216" s="1"/>
      <c r="L216" s="1" t="s">
        <v>39</v>
      </c>
      <c r="M216" s="1" t="str">
        <f>INDEX(MCC_Lookup!$B$2:$B$12,MATCH(G216,MCC_Lookup!$A$2:$A$12,0))</f>
        <v>Meals</v>
      </c>
      <c r="N216" s="1" t="str">
        <f>IF(TRIM(H216)="","BLANK",IF(PROPER(TRIM(H216))=TRIM(M216),"MATCH","MISMATCH"))</f>
        <v>MATCH</v>
      </c>
      <c r="O216" s="5" t="str">
        <f>INDEX([1]Employee!$C$2:$C$276,MATCH(B216,[1]Employee!$A$2:$A$276,0))</f>
        <v>HR &amp; Events</v>
      </c>
    </row>
    <row r="217" spans="1:15">
      <c r="A217" s="1" t="s">
        <v>619</v>
      </c>
      <c r="B217" s="1" t="s">
        <v>382</v>
      </c>
      <c r="C217" s="1" t="s">
        <v>620</v>
      </c>
      <c r="D217" s="2">
        <v>46039</v>
      </c>
      <c r="E217" s="2">
        <v>46039</v>
      </c>
      <c r="F217" s="1" t="s">
        <v>76</v>
      </c>
      <c r="G217" s="1" t="s">
        <v>13</v>
      </c>
      <c r="H217" s="1" t="s">
        <v>14</v>
      </c>
      <c r="I217" s="7">
        <v>155.31</v>
      </c>
      <c r="J217" s="1" t="s">
        <v>38</v>
      </c>
      <c r="K217" s="1"/>
      <c r="L217" s="1" t="s">
        <v>39</v>
      </c>
      <c r="M217" s="1" t="str">
        <f>INDEX(MCC_Lookup!$B$2:$B$12,MATCH(G217,MCC_Lookup!$A$2:$A$12,0))</f>
        <v>Software</v>
      </c>
      <c r="N217" s="1" t="str">
        <f>IF(TRIM(H217)="","BLANK",IF(PROPER(TRIM(H217))=TRIM(M217),"MATCH","MISMATCH"))</f>
        <v>MATCH</v>
      </c>
      <c r="O217" s="5" t="str">
        <f>INDEX([1]Employee!$C$2:$C$276,MATCH(B217,[1]Employee!$A$2:$A$276,0))</f>
        <v>Sales &amp; Marketing</v>
      </c>
    </row>
    <row r="218" spans="1:15">
      <c r="A218" s="1" t="s">
        <v>621</v>
      </c>
      <c r="B218" s="1" t="s">
        <v>171</v>
      </c>
      <c r="C218" s="1"/>
      <c r="D218" s="2">
        <v>46030</v>
      </c>
      <c r="E218" s="2">
        <v>46039</v>
      </c>
      <c r="F218" s="1" t="s">
        <v>120</v>
      </c>
      <c r="G218" s="1" t="s">
        <v>12</v>
      </c>
      <c r="H218" s="1" t="s">
        <v>11</v>
      </c>
      <c r="I218" s="7">
        <v>179.76</v>
      </c>
      <c r="J218" s="1" t="s">
        <v>111</v>
      </c>
      <c r="K218" s="1" t="s">
        <v>229</v>
      </c>
      <c r="L218" s="1" t="s">
        <v>39</v>
      </c>
      <c r="M218" s="1" t="str">
        <f>INDEX(MCC_Lookup!$B$2:$B$12,MATCH(G218,MCC_Lookup!$A$2:$A$12,0))</f>
        <v>Office Supplies</v>
      </c>
      <c r="N218" s="1" t="str">
        <f>IF(TRIM(H218)="","BLANK",IF(PROPER(TRIM(H218))=TRIM(M218),"MATCH","MISMATCH"))</f>
        <v>MATCH</v>
      </c>
      <c r="O218" s="5" t="str">
        <f>INDEX([1]Employee!$C$2:$C$276,MATCH(B218,[1]Employee!$A$2:$A$276,0))</f>
        <v>Claims</v>
      </c>
    </row>
    <row r="219" spans="1:15">
      <c r="A219" s="1" t="s">
        <v>622</v>
      </c>
      <c r="B219" s="1" t="s">
        <v>623</v>
      </c>
      <c r="C219" s="1" t="s">
        <v>624</v>
      </c>
      <c r="D219" s="2">
        <v>46033</v>
      </c>
      <c r="E219" s="2">
        <v>46039</v>
      </c>
      <c r="F219" s="1" t="s">
        <v>72</v>
      </c>
      <c r="G219" s="1" t="s">
        <v>8</v>
      </c>
      <c r="H219" s="1" t="s">
        <v>9</v>
      </c>
      <c r="I219" s="7">
        <v>45.6</v>
      </c>
      <c r="J219" s="1" t="s">
        <v>38</v>
      </c>
      <c r="K219" s="1"/>
      <c r="L219" s="1" t="s">
        <v>39</v>
      </c>
      <c r="M219" s="1" t="str">
        <f>INDEX(MCC_Lookup!$B$2:$B$12,MATCH(G219,MCC_Lookup!$A$2:$A$12,0))</f>
        <v>Transportation</v>
      </c>
      <c r="N219" s="1" t="str">
        <f>IF(TRIM(H219)="","BLANK",IF(PROPER(TRIM(H219))=TRIM(M219),"MATCH","MISMATCH"))</f>
        <v>MATCH</v>
      </c>
      <c r="O219" s="5" t="str">
        <f>INDEX([1]Employee!$C$2:$C$276,MATCH(B219,[1]Employee!$A$2:$A$276,0))</f>
        <v>Underwriting</v>
      </c>
    </row>
    <row r="220" spans="1:15">
      <c r="A220" s="1" t="s">
        <v>625</v>
      </c>
      <c r="B220" s="1" t="s">
        <v>149</v>
      </c>
      <c r="C220" s="1" t="s">
        <v>626</v>
      </c>
      <c r="D220" s="2">
        <v>46036</v>
      </c>
      <c r="E220" s="2">
        <v>46039</v>
      </c>
      <c r="F220" s="1" t="s">
        <v>242</v>
      </c>
      <c r="G220" s="1" t="s">
        <v>13</v>
      </c>
      <c r="H220" s="1" t="s">
        <v>14</v>
      </c>
      <c r="I220" s="7">
        <v>43.27</v>
      </c>
      <c r="J220" s="1" t="s">
        <v>38</v>
      </c>
      <c r="K220" s="1"/>
      <c r="L220" s="1" t="s">
        <v>39</v>
      </c>
      <c r="M220" s="1" t="str">
        <f>INDEX(MCC_Lookup!$B$2:$B$12,MATCH(G220,MCC_Lookup!$A$2:$A$12,0))</f>
        <v>Software</v>
      </c>
      <c r="N220" s="1" t="str">
        <f>IF(TRIM(H220)="","BLANK",IF(PROPER(TRIM(H220))=TRIM(M220),"MATCH","MISMATCH"))</f>
        <v>MATCH</v>
      </c>
      <c r="O220" s="5" t="str">
        <f>INDEX([1]Employee!$C$2:$C$276,MATCH(B220,[1]Employee!$A$2:$A$276,0))</f>
        <v>Sales &amp; Marketing</v>
      </c>
    </row>
    <row r="221" spans="1:15">
      <c r="A221" s="1" t="s">
        <v>627</v>
      </c>
      <c r="B221" s="1" t="s">
        <v>94</v>
      </c>
      <c r="C221" s="1"/>
      <c r="D221" s="2">
        <v>46029</v>
      </c>
      <c r="E221" s="2">
        <v>46039</v>
      </c>
      <c r="F221" s="1" t="s">
        <v>83</v>
      </c>
      <c r="G221" s="1" t="s">
        <v>2</v>
      </c>
      <c r="H221" s="1" t="s">
        <v>3</v>
      </c>
      <c r="I221" s="7">
        <v>22.51</v>
      </c>
      <c r="J221" s="1" t="s">
        <v>111</v>
      </c>
      <c r="K221" s="1" t="s">
        <v>229</v>
      </c>
      <c r="L221" s="1" t="s">
        <v>39</v>
      </c>
      <c r="M221" s="1" t="str">
        <f>INDEX(MCC_Lookup!$B$2:$B$12,MATCH(G221,MCC_Lookup!$A$2:$A$12,0))</f>
        <v>Meals</v>
      </c>
      <c r="N221" s="1" t="str">
        <f>IF(TRIM(H221)="","BLANK",IF(PROPER(TRIM(H221))=TRIM(M221),"MATCH","MISMATCH"))</f>
        <v>MATCH</v>
      </c>
      <c r="O221" s="5" t="str">
        <f>INDEX([1]Employee!$C$2:$C$276,MATCH(B221,[1]Employee!$A$2:$A$276,0))</f>
        <v>IT &amp; Platform Engineering</v>
      </c>
    </row>
    <row r="222" spans="1:15">
      <c r="A222" s="1" t="s">
        <v>628</v>
      </c>
      <c r="B222" s="1" t="s">
        <v>74</v>
      </c>
      <c r="C222" s="1" t="s">
        <v>629</v>
      </c>
      <c r="D222" s="2">
        <v>46037</v>
      </c>
      <c r="E222" s="2">
        <v>46039</v>
      </c>
      <c r="F222" s="1" t="s">
        <v>76</v>
      </c>
      <c r="G222" s="1" t="s">
        <v>13</v>
      </c>
      <c r="H222" s="1" t="s">
        <v>7</v>
      </c>
      <c r="I222" s="7">
        <v>395.5</v>
      </c>
      <c r="J222" s="1" t="s">
        <v>38</v>
      </c>
      <c r="K222" s="1"/>
      <c r="L222" s="1" t="s">
        <v>48</v>
      </c>
      <c r="M222" s="1" t="str">
        <f>INDEX(MCC_Lookup!$B$2:$B$12,MATCH(G222,MCC_Lookup!$A$2:$A$12,0))</f>
        <v>Software</v>
      </c>
      <c r="N222" s="1" t="str">
        <f>IF(TRIM(H222)="","BLANK",IF(PROPER(TRIM(H222))=TRIM(M222),"MATCH","MISMATCH"))</f>
        <v>MISMATCH</v>
      </c>
      <c r="O222" s="5" t="str">
        <f>INDEX([1]Employee!$C$2:$C$276,MATCH(B222,[1]Employee!$A$2:$A$276,0))</f>
        <v>Underwriting</v>
      </c>
    </row>
    <row r="223" spans="1:15">
      <c r="A223" s="1" t="s">
        <v>630</v>
      </c>
      <c r="B223" s="1" t="s">
        <v>631</v>
      </c>
      <c r="C223" s="1" t="s">
        <v>632</v>
      </c>
      <c r="D223" s="2">
        <v>46038</v>
      </c>
      <c r="E223" s="2">
        <v>46039</v>
      </c>
      <c r="F223" s="1" t="s">
        <v>242</v>
      </c>
      <c r="G223" s="1" t="s">
        <v>13</v>
      </c>
      <c r="H223" s="1"/>
      <c r="I223" s="7">
        <v>17.32</v>
      </c>
      <c r="J223" s="1" t="s">
        <v>38</v>
      </c>
      <c r="K223" s="1"/>
      <c r="L223" s="1" t="s">
        <v>39</v>
      </c>
      <c r="M223" s="1" t="str">
        <f>INDEX(MCC_Lookup!$B$2:$B$12,MATCH(G223,MCC_Lookup!$A$2:$A$12,0))</f>
        <v>Software</v>
      </c>
      <c r="N223" s="1" t="str">
        <f>IF(TRIM(H223)="","BLANK",IF(PROPER(TRIM(H223))=TRIM(M223),"MATCH","MISMATCH"))</f>
        <v>BLANK</v>
      </c>
      <c r="O223" s="5" t="str">
        <f>INDEX([1]Employee!$C$2:$C$276,MATCH(B223,[1]Employee!$A$2:$A$276,0))</f>
        <v>Claims</v>
      </c>
    </row>
    <row r="224" spans="1:15">
      <c r="A224" s="1" t="s">
        <v>633</v>
      </c>
      <c r="B224" s="1" t="s">
        <v>433</v>
      </c>
      <c r="C224" s="1" t="s">
        <v>634</v>
      </c>
      <c r="D224" s="2">
        <v>46029</v>
      </c>
      <c r="E224" s="2">
        <v>46039</v>
      </c>
      <c r="F224" s="1" t="s">
        <v>43</v>
      </c>
      <c r="G224" s="1" t="s">
        <v>2</v>
      </c>
      <c r="H224" s="1" t="s">
        <v>3</v>
      </c>
      <c r="I224" s="7">
        <v>22.98</v>
      </c>
      <c r="J224" s="1" t="s">
        <v>38</v>
      </c>
      <c r="K224" s="1"/>
      <c r="L224" s="1" t="s">
        <v>39</v>
      </c>
      <c r="M224" s="1" t="str">
        <f>INDEX(MCC_Lookup!$B$2:$B$12,MATCH(G224,MCC_Lookup!$A$2:$A$12,0))</f>
        <v>Meals</v>
      </c>
      <c r="N224" s="1" t="str">
        <f>IF(TRIM(H224)="","BLANK",IF(PROPER(TRIM(H224))=TRIM(M224),"MATCH","MISMATCH"))</f>
        <v>MATCH</v>
      </c>
      <c r="O224" s="5" t="str">
        <f>INDEX([1]Employee!$C$2:$C$276,MATCH(B224,[1]Employee!$A$2:$A$276,0))</f>
        <v>Sales &amp; Marketing</v>
      </c>
    </row>
    <row r="225" spans="1:15">
      <c r="A225" s="1" t="s">
        <v>635</v>
      </c>
      <c r="B225" s="1" t="s">
        <v>59</v>
      </c>
      <c r="C225" s="1"/>
      <c r="D225" s="2">
        <v>46035</v>
      </c>
      <c r="E225" s="2">
        <v>46039</v>
      </c>
      <c r="F225" s="1" t="s">
        <v>99</v>
      </c>
      <c r="G225" s="1" t="s">
        <v>2</v>
      </c>
      <c r="H225" s="1" t="s">
        <v>3</v>
      </c>
      <c r="I225" s="7">
        <v>25.19</v>
      </c>
      <c r="J225" s="1" t="s">
        <v>38</v>
      </c>
      <c r="K225" s="1"/>
      <c r="L225" s="1" t="s">
        <v>39</v>
      </c>
      <c r="M225" s="1" t="str">
        <f>INDEX(MCC_Lookup!$B$2:$B$12,MATCH(G225,MCC_Lookup!$A$2:$A$12,0))</f>
        <v>Meals</v>
      </c>
      <c r="N225" s="1" t="str">
        <f>IF(TRIM(H225)="","BLANK",IF(PROPER(TRIM(H225))=TRIM(M225),"MATCH","MISMATCH"))</f>
        <v>MATCH</v>
      </c>
      <c r="O225" s="5" t="str">
        <f>INDEX([1]Employee!$C$2:$C$276,MATCH(B225,[1]Employee!$A$2:$A$276,0))</f>
        <v>Sales &amp; Marketing</v>
      </c>
    </row>
    <row r="226" spans="1:15">
      <c r="A226" s="1" t="s">
        <v>636</v>
      </c>
      <c r="B226" s="1" t="s">
        <v>637</v>
      </c>
      <c r="C226" s="1" t="s">
        <v>638</v>
      </c>
      <c r="D226" s="2">
        <v>46029</v>
      </c>
      <c r="E226" s="2">
        <v>46039</v>
      </c>
      <c r="F226" s="1" t="s">
        <v>69</v>
      </c>
      <c r="G226" s="1" t="s">
        <v>8</v>
      </c>
      <c r="H226" s="1" t="s">
        <v>9</v>
      </c>
      <c r="I226" s="7">
        <v>24.48</v>
      </c>
      <c r="J226" s="1" t="s">
        <v>38</v>
      </c>
      <c r="K226" s="1"/>
      <c r="L226" s="1" t="s">
        <v>39</v>
      </c>
      <c r="M226" s="1" t="str">
        <f>INDEX(MCC_Lookup!$B$2:$B$12,MATCH(G226,MCC_Lookup!$A$2:$A$12,0))</f>
        <v>Transportation</v>
      </c>
      <c r="N226" s="1" t="str">
        <f>IF(TRIM(H226)="","BLANK",IF(PROPER(TRIM(H226))=TRIM(M226),"MATCH","MISMATCH"))</f>
        <v>MATCH</v>
      </c>
      <c r="O226" s="5" t="str">
        <f>INDEX([1]Employee!$C$2:$C$276,MATCH(B226,[1]Employee!$A$2:$A$276,0))</f>
        <v>Actuarial &amp; Risk</v>
      </c>
    </row>
    <row r="227" spans="1:15">
      <c r="A227" s="1" t="s">
        <v>639</v>
      </c>
      <c r="B227" s="1" t="s">
        <v>640</v>
      </c>
      <c r="C227" s="1" t="s">
        <v>641</v>
      </c>
      <c r="D227" s="2">
        <v>46039</v>
      </c>
      <c r="E227" s="2">
        <v>46039</v>
      </c>
      <c r="F227" s="1" t="s">
        <v>305</v>
      </c>
      <c r="G227" s="1" t="s">
        <v>2</v>
      </c>
      <c r="H227" s="1" t="s">
        <v>3</v>
      </c>
      <c r="I227" s="7">
        <v>10.18</v>
      </c>
      <c r="J227" s="1" t="s">
        <v>38</v>
      </c>
      <c r="K227" s="1"/>
      <c r="L227" s="1" t="s">
        <v>39</v>
      </c>
      <c r="M227" s="1" t="str">
        <f>INDEX(MCC_Lookup!$B$2:$B$12,MATCH(G227,MCC_Lookup!$A$2:$A$12,0))</f>
        <v>Meals</v>
      </c>
      <c r="N227" s="1" t="str">
        <f>IF(TRIM(H227)="","BLANK",IF(PROPER(TRIM(H227))=TRIM(M227),"MATCH","MISMATCH"))</f>
        <v>MATCH</v>
      </c>
      <c r="O227" s="5" t="str">
        <f>INDEX([1]Employee!$C$2:$C$276,MATCH(B227,[1]Employee!$A$2:$A$276,0))</f>
        <v>Underwriting</v>
      </c>
    </row>
    <row r="228" spans="1:15">
      <c r="A228" s="1" t="s">
        <v>642</v>
      </c>
      <c r="B228" s="1" t="s">
        <v>643</v>
      </c>
      <c r="C228" s="1" t="s">
        <v>644</v>
      </c>
      <c r="D228" s="2">
        <v>46035</v>
      </c>
      <c r="E228" s="2">
        <v>46039</v>
      </c>
      <c r="F228" s="1" t="s">
        <v>99</v>
      </c>
      <c r="G228" s="1" t="s">
        <v>2</v>
      </c>
      <c r="H228" s="1" t="s">
        <v>3</v>
      </c>
      <c r="I228" s="7">
        <v>125.81</v>
      </c>
      <c r="J228" s="1" t="s">
        <v>38</v>
      </c>
      <c r="K228" s="1"/>
      <c r="L228" s="1" t="s">
        <v>39</v>
      </c>
      <c r="M228" s="1" t="str">
        <f>INDEX(MCC_Lookup!$B$2:$B$12,MATCH(G228,MCC_Lookup!$A$2:$A$12,0))</f>
        <v>Meals</v>
      </c>
      <c r="N228" s="1" t="str">
        <f>IF(TRIM(H228)="","BLANK",IF(PROPER(TRIM(H228))=TRIM(M228),"MATCH","MISMATCH"))</f>
        <v>MATCH</v>
      </c>
      <c r="O228" s="5" t="str">
        <f>INDEX([1]Employee!$C$2:$C$276,MATCH(B228,[1]Employee!$A$2:$A$276,0))</f>
        <v>Sales &amp; Marketing</v>
      </c>
    </row>
    <row r="229" spans="1:15">
      <c r="A229" s="1" t="s">
        <v>645</v>
      </c>
      <c r="B229" s="1" t="s">
        <v>199</v>
      </c>
      <c r="C229" s="1" t="s">
        <v>646</v>
      </c>
      <c r="D229" s="2">
        <v>46035</v>
      </c>
      <c r="E229" s="2">
        <v>46039</v>
      </c>
      <c r="F229" s="1" t="s">
        <v>242</v>
      </c>
      <c r="G229" s="1" t="s">
        <v>13</v>
      </c>
      <c r="H229" s="1" t="s">
        <v>14</v>
      </c>
      <c r="I229" s="7">
        <v>59.02</v>
      </c>
      <c r="J229" s="1" t="s">
        <v>38</v>
      </c>
      <c r="K229" s="1"/>
      <c r="L229" s="1" t="s">
        <v>39</v>
      </c>
      <c r="M229" s="1" t="str">
        <f>INDEX(MCC_Lookup!$B$2:$B$12,MATCH(G229,MCC_Lookup!$A$2:$A$12,0))</f>
        <v>Software</v>
      </c>
      <c r="N229" s="1" t="str">
        <f>IF(TRIM(H229)="","BLANK",IF(PROPER(TRIM(H229))=TRIM(M229),"MATCH","MISMATCH"))</f>
        <v>MATCH</v>
      </c>
      <c r="O229" s="5" t="str">
        <f>INDEX([1]Employee!$C$2:$C$276,MATCH(B229,[1]Employee!$A$2:$A$276,0))</f>
        <v>Sales &amp; Marketing</v>
      </c>
    </row>
    <row r="230" spans="1:15">
      <c r="A230" s="1" t="s">
        <v>647</v>
      </c>
      <c r="B230" s="1" t="s">
        <v>648</v>
      </c>
      <c r="C230" s="1" t="s">
        <v>649</v>
      </c>
      <c r="D230" s="2">
        <v>46035</v>
      </c>
      <c r="E230" s="2">
        <v>46039</v>
      </c>
      <c r="F230" s="1" t="s">
        <v>347</v>
      </c>
      <c r="G230" s="1" t="s">
        <v>8</v>
      </c>
      <c r="H230" s="1" t="s">
        <v>9</v>
      </c>
      <c r="I230" s="7">
        <v>19.84</v>
      </c>
      <c r="J230" s="1" t="s">
        <v>38</v>
      </c>
      <c r="K230" s="1"/>
      <c r="L230" s="1" t="s">
        <v>39</v>
      </c>
      <c r="M230" s="1" t="str">
        <f>INDEX(MCC_Lookup!$B$2:$B$12,MATCH(G230,MCC_Lookup!$A$2:$A$12,0))</f>
        <v>Transportation</v>
      </c>
      <c r="N230" s="1" t="str">
        <f>IF(TRIM(H230)="","BLANK",IF(PROPER(TRIM(H230))=TRIM(M230),"MATCH","MISMATCH"))</f>
        <v>MATCH</v>
      </c>
      <c r="O230" s="5" t="str">
        <f>INDEX([1]Employee!$C$2:$C$276,MATCH(B230,[1]Employee!$A$2:$A$276,0))</f>
        <v>Sales &amp; Marketing</v>
      </c>
    </row>
    <row r="231" spans="1:15">
      <c r="A231" s="1" t="s">
        <v>650</v>
      </c>
      <c r="B231" s="1" t="s">
        <v>651</v>
      </c>
      <c r="C231" s="1" t="s">
        <v>652</v>
      </c>
      <c r="D231" s="2">
        <v>46033</v>
      </c>
      <c r="E231" s="2">
        <v>46040</v>
      </c>
      <c r="F231" s="1" t="s">
        <v>242</v>
      </c>
      <c r="G231" s="1" t="s">
        <v>13</v>
      </c>
      <c r="H231" s="1" t="s">
        <v>14</v>
      </c>
      <c r="I231" s="7">
        <v>21.93</v>
      </c>
      <c r="J231" s="1" t="s">
        <v>38</v>
      </c>
      <c r="K231" s="1"/>
      <c r="L231" s="1" t="s">
        <v>39</v>
      </c>
      <c r="M231" s="1" t="str">
        <f>INDEX(MCC_Lookup!$B$2:$B$12,MATCH(G231,MCC_Lookup!$A$2:$A$12,0))</f>
        <v>Software</v>
      </c>
      <c r="N231" s="1" t="str">
        <f>IF(TRIM(H231)="","BLANK",IF(PROPER(TRIM(H231))=TRIM(M231),"MATCH","MISMATCH"))</f>
        <v>MATCH</v>
      </c>
      <c r="O231" s="5" t="str">
        <f>INDEX([1]Employee!$C$2:$C$276,MATCH(B231,[1]Employee!$A$2:$A$276,0))</f>
        <v>IT &amp; Platform Engineering</v>
      </c>
    </row>
    <row r="232" spans="1:15">
      <c r="A232" s="1" t="s">
        <v>653</v>
      </c>
      <c r="B232" s="1" t="s">
        <v>564</v>
      </c>
      <c r="C232" s="1" t="s">
        <v>654</v>
      </c>
      <c r="D232" s="2">
        <v>46032</v>
      </c>
      <c r="E232" s="2">
        <v>46040</v>
      </c>
      <c r="F232" s="1" t="s">
        <v>72</v>
      </c>
      <c r="G232" s="1" t="s">
        <v>8</v>
      </c>
      <c r="H232" s="1" t="s">
        <v>9</v>
      </c>
      <c r="I232" s="7">
        <v>12.47</v>
      </c>
      <c r="J232" s="1" t="s">
        <v>38</v>
      </c>
      <c r="K232" s="1"/>
      <c r="L232" s="1" t="s">
        <v>39</v>
      </c>
      <c r="M232" s="1" t="str">
        <f>INDEX(MCC_Lookup!$B$2:$B$12,MATCH(G232,MCC_Lookup!$A$2:$A$12,0))</f>
        <v>Transportation</v>
      </c>
      <c r="N232" s="1" t="str">
        <f>IF(TRIM(H232)="","BLANK",IF(PROPER(TRIM(H232))=TRIM(M232),"MATCH","MISMATCH"))</f>
        <v>MATCH</v>
      </c>
      <c r="O232" s="5" t="str">
        <f>INDEX([1]Employee!$C$2:$C$276,MATCH(B232,[1]Employee!$A$2:$A$276,0))</f>
        <v>Sales &amp; Marketing</v>
      </c>
    </row>
    <row r="233" spans="1:15">
      <c r="A233" s="1" t="s">
        <v>655</v>
      </c>
      <c r="B233" s="1" t="s">
        <v>656</v>
      </c>
      <c r="C233" s="1" t="s">
        <v>657</v>
      </c>
      <c r="D233" s="2">
        <v>46034</v>
      </c>
      <c r="E233" s="2">
        <v>46040</v>
      </c>
      <c r="F233" s="1" t="s">
        <v>106</v>
      </c>
      <c r="G233" s="1" t="s">
        <v>13</v>
      </c>
      <c r="H233" s="1" t="s">
        <v>14</v>
      </c>
      <c r="I233" s="7">
        <v>183.9</v>
      </c>
      <c r="J233" s="1" t="s">
        <v>38</v>
      </c>
      <c r="K233" s="1"/>
      <c r="L233" s="1" t="s">
        <v>39</v>
      </c>
      <c r="M233" s="1" t="str">
        <f>INDEX(MCC_Lookup!$B$2:$B$12,MATCH(G233,MCC_Lookup!$A$2:$A$12,0))</f>
        <v>Software</v>
      </c>
      <c r="N233" s="1" t="str">
        <f>IF(TRIM(H233)="","BLANK",IF(PROPER(TRIM(H233))=TRIM(M233),"MATCH","MISMATCH"))</f>
        <v>MATCH</v>
      </c>
      <c r="O233" s="5" t="str">
        <f>INDEX([1]Employee!$C$2:$C$276,MATCH(B233,[1]Employee!$A$2:$A$276,0))</f>
        <v>Claims</v>
      </c>
    </row>
    <row r="234" spans="1:15">
      <c r="A234" s="1" t="s">
        <v>658</v>
      </c>
      <c r="B234" s="1" t="s">
        <v>41</v>
      </c>
      <c r="C234" s="1"/>
      <c r="D234" s="2">
        <v>46033</v>
      </c>
      <c r="E234" s="2">
        <v>46040</v>
      </c>
      <c r="F234" s="1" t="s">
        <v>259</v>
      </c>
      <c r="G234" s="1" t="s">
        <v>20</v>
      </c>
      <c r="H234" s="1" t="s">
        <v>19</v>
      </c>
      <c r="I234" s="7">
        <v>506.21</v>
      </c>
      <c r="J234" s="1" t="s">
        <v>38</v>
      </c>
      <c r="K234" s="1"/>
      <c r="L234" s="1" t="s">
        <v>39</v>
      </c>
      <c r="M234" s="1" t="str">
        <f>INDEX(MCC_Lookup!$B$2:$B$12,MATCH(G234,MCC_Lookup!$A$2:$A$12,0))</f>
        <v>Events</v>
      </c>
      <c r="N234" s="1" t="str">
        <f>IF(TRIM(H234)="","BLANK",IF(PROPER(TRIM(H234))=TRIM(M234),"MATCH","MISMATCH"))</f>
        <v>MATCH</v>
      </c>
      <c r="O234" s="5" t="str">
        <f>INDEX([1]Employee!$C$2:$C$276,MATCH(B234,[1]Employee!$A$2:$A$276,0))</f>
        <v>Sales &amp; Marketing</v>
      </c>
    </row>
    <row r="235" spans="1:15">
      <c r="A235" s="1" t="s">
        <v>659</v>
      </c>
      <c r="B235" s="1" t="s">
        <v>210</v>
      </c>
      <c r="C235" s="1"/>
      <c r="D235" s="2">
        <v>46035</v>
      </c>
      <c r="E235" s="2">
        <v>46040</v>
      </c>
      <c r="F235" s="1" t="s">
        <v>99</v>
      </c>
      <c r="G235" s="1" t="s">
        <v>2</v>
      </c>
      <c r="H235" s="1" t="s">
        <v>3</v>
      </c>
      <c r="I235" s="7">
        <v>60.89</v>
      </c>
      <c r="J235" s="1" t="s">
        <v>38</v>
      </c>
      <c r="K235" s="1"/>
      <c r="L235" s="1" t="s">
        <v>39</v>
      </c>
      <c r="M235" s="1" t="str">
        <f>INDEX(MCC_Lookup!$B$2:$B$12,MATCH(G235,MCC_Lookup!$A$2:$A$12,0))</f>
        <v>Meals</v>
      </c>
      <c r="N235" s="1" t="str">
        <f>IF(TRIM(H235)="","BLANK",IF(PROPER(TRIM(H235))=TRIM(M235),"MATCH","MISMATCH"))</f>
        <v>MATCH</v>
      </c>
      <c r="O235" s="5" t="str">
        <f>INDEX([1]Employee!$C$2:$C$276,MATCH(B235,[1]Employee!$A$2:$A$276,0))</f>
        <v>Sales &amp; Marketing</v>
      </c>
    </row>
    <row r="236" spans="1:15">
      <c r="A236" s="1" t="s">
        <v>660</v>
      </c>
      <c r="B236" s="1" t="s">
        <v>661</v>
      </c>
      <c r="C236" s="1" t="s">
        <v>662</v>
      </c>
      <c r="D236" s="2">
        <v>46036</v>
      </c>
      <c r="E236" s="2">
        <v>46040</v>
      </c>
      <c r="F236" s="1" t="s">
        <v>201</v>
      </c>
      <c r="G236" s="1" t="s">
        <v>4</v>
      </c>
      <c r="H236" s="1" t="s">
        <v>5</v>
      </c>
      <c r="I236" s="7">
        <v>531.5</v>
      </c>
      <c r="J236" s="1" t="s">
        <v>38</v>
      </c>
      <c r="K236" s="1"/>
      <c r="L236" s="1" t="s">
        <v>39</v>
      </c>
      <c r="M236" s="1" t="str">
        <f>INDEX(MCC_Lookup!$B$2:$B$12,MATCH(G236,MCC_Lookup!$A$2:$A$12,0))</f>
        <v>Travel</v>
      </c>
      <c r="N236" s="1" t="str">
        <f>IF(TRIM(H236)="","BLANK",IF(PROPER(TRIM(H236))=TRIM(M236),"MATCH","MISMATCH"))</f>
        <v>MATCH</v>
      </c>
      <c r="O236" s="5" t="str">
        <f>INDEX([1]Employee!$C$2:$C$276,MATCH(B236,[1]Employee!$A$2:$A$276,0))</f>
        <v>Sales &amp; Marketing</v>
      </c>
    </row>
    <row r="237" spans="1:15">
      <c r="A237" s="1" t="s">
        <v>663</v>
      </c>
      <c r="B237" s="1" t="s">
        <v>664</v>
      </c>
      <c r="C237" s="1" t="s">
        <v>665</v>
      </c>
      <c r="D237" s="2">
        <v>46035</v>
      </c>
      <c r="E237" s="2">
        <v>46040</v>
      </c>
      <c r="F237" s="1" t="s">
        <v>72</v>
      </c>
      <c r="G237" s="1" t="s">
        <v>8</v>
      </c>
      <c r="H237" s="1" t="s">
        <v>9</v>
      </c>
      <c r="I237" s="7">
        <v>64.64</v>
      </c>
      <c r="J237" s="1" t="s">
        <v>38</v>
      </c>
      <c r="K237" s="1"/>
      <c r="L237" s="1" t="s">
        <v>39</v>
      </c>
      <c r="M237" s="1" t="str">
        <f>INDEX(MCC_Lookup!$B$2:$B$12,MATCH(G237,MCC_Lookup!$A$2:$A$12,0))</f>
        <v>Transportation</v>
      </c>
      <c r="N237" s="1" t="str">
        <f>IF(TRIM(H237)="","BLANK",IF(PROPER(TRIM(H237))=TRIM(M237),"MATCH","MISMATCH"))</f>
        <v>MATCH</v>
      </c>
      <c r="O237" s="5" t="str">
        <f>INDEX([1]Employee!$C$2:$C$276,MATCH(B237,[1]Employee!$A$2:$A$276,0))</f>
        <v>Actuarial &amp; Risk</v>
      </c>
    </row>
    <row r="238" spans="1:15">
      <c r="A238" s="1" t="s">
        <v>666</v>
      </c>
      <c r="B238" s="1" t="s">
        <v>667</v>
      </c>
      <c r="C238" s="1" t="s">
        <v>668</v>
      </c>
      <c r="D238" s="2">
        <v>46033</v>
      </c>
      <c r="E238" s="2">
        <v>46040</v>
      </c>
      <c r="F238" s="1" t="s">
        <v>56</v>
      </c>
      <c r="G238" s="1" t="s">
        <v>4</v>
      </c>
      <c r="H238" s="1" t="s">
        <v>5</v>
      </c>
      <c r="I238" s="7">
        <v>194.59</v>
      </c>
      <c r="J238" s="1" t="s">
        <v>38</v>
      </c>
      <c r="K238" s="1"/>
      <c r="L238" s="1" t="s">
        <v>39</v>
      </c>
      <c r="M238" s="1" t="str">
        <f>INDEX(MCC_Lookup!$B$2:$B$12,MATCH(G238,MCC_Lookup!$A$2:$A$12,0))</f>
        <v>Travel</v>
      </c>
      <c r="N238" s="1" t="str">
        <f>IF(TRIM(H238)="","BLANK",IF(PROPER(TRIM(H238))=TRIM(M238),"MATCH","MISMATCH"))</f>
        <v>MATCH</v>
      </c>
      <c r="O238" s="5" t="str">
        <f>INDEX([1]Employee!$C$2:$C$276,MATCH(B238,[1]Employee!$A$2:$A$276,0))</f>
        <v>Sales &amp; Marketing</v>
      </c>
    </row>
    <row r="239" spans="1:15">
      <c r="A239" s="1" t="s">
        <v>669</v>
      </c>
      <c r="B239" s="1" t="s">
        <v>373</v>
      </c>
      <c r="C239" s="1"/>
      <c r="D239" s="2">
        <v>46038</v>
      </c>
      <c r="E239" s="2">
        <v>46040</v>
      </c>
      <c r="F239" s="1" t="s">
        <v>106</v>
      </c>
      <c r="G239" s="1" t="s">
        <v>13</v>
      </c>
      <c r="H239" s="1" t="s">
        <v>419</v>
      </c>
      <c r="I239" s="7">
        <v>122.62</v>
      </c>
      <c r="J239" s="1" t="s">
        <v>38</v>
      </c>
      <c r="K239" s="1"/>
      <c r="L239" s="1" t="s">
        <v>39</v>
      </c>
      <c r="M239" s="1" t="str">
        <f>INDEX(MCC_Lookup!$B$2:$B$12,MATCH(G239,MCC_Lookup!$A$2:$A$12,0))</f>
        <v>Software</v>
      </c>
      <c r="N239" s="1" t="str">
        <f>IF(TRIM(H239)="","BLANK",IF(PROPER(TRIM(H239))=TRIM(M239),"MATCH","MISMATCH"))</f>
        <v>MATCH</v>
      </c>
      <c r="O239" s="5" t="str">
        <f>INDEX([1]Employee!$C$2:$C$276,MATCH(B239,[1]Employee!$A$2:$A$276,0))</f>
        <v>Sales &amp; Marketing</v>
      </c>
    </row>
    <row r="240" spans="1:15">
      <c r="A240" s="1" t="s">
        <v>670</v>
      </c>
      <c r="B240" s="1" t="s">
        <v>261</v>
      </c>
      <c r="C240" s="1" t="s">
        <v>671</v>
      </c>
      <c r="D240" s="2">
        <v>46039</v>
      </c>
      <c r="E240" s="2">
        <v>46040</v>
      </c>
      <c r="F240" s="1" t="s">
        <v>259</v>
      </c>
      <c r="G240" s="1" t="s">
        <v>20</v>
      </c>
      <c r="H240" s="1" t="s">
        <v>19</v>
      </c>
      <c r="I240" s="7">
        <v>226.59</v>
      </c>
      <c r="J240" s="1" t="s">
        <v>38</v>
      </c>
      <c r="K240" s="1"/>
      <c r="L240" s="1" t="s">
        <v>39</v>
      </c>
      <c r="M240" s="1" t="str">
        <f>INDEX(MCC_Lookup!$B$2:$B$12,MATCH(G240,MCC_Lookup!$A$2:$A$12,0))</f>
        <v>Events</v>
      </c>
      <c r="N240" s="1" t="str">
        <f>IF(TRIM(H240)="","BLANK",IF(PROPER(TRIM(H240))=TRIM(M240),"MATCH","MISMATCH"))</f>
        <v>MATCH</v>
      </c>
      <c r="O240" s="5" t="str">
        <f>INDEX([1]Employee!$C$2:$C$276,MATCH(B240,[1]Employee!$A$2:$A$276,0))</f>
        <v>Sales &amp; Marketing</v>
      </c>
    </row>
    <row r="241" spans="1:15">
      <c r="A241" s="1" t="s">
        <v>672</v>
      </c>
      <c r="B241" s="1" t="s">
        <v>673</v>
      </c>
      <c r="C241" s="1" t="s">
        <v>674</v>
      </c>
      <c r="D241" s="2">
        <v>46036</v>
      </c>
      <c r="E241" s="2">
        <v>46040</v>
      </c>
      <c r="F241" s="1" t="s">
        <v>173</v>
      </c>
      <c r="G241" s="1" t="s">
        <v>2</v>
      </c>
      <c r="H241" s="1" t="s">
        <v>138</v>
      </c>
      <c r="I241" s="7">
        <v>65.25</v>
      </c>
      <c r="J241" s="1" t="s">
        <v>38</v>
      </c>
      <c r="K241" s="1"/>
      <c r="L241" s="1" t="s">
        <v>39</v>
      </c>
      <c r="M241" s="1" t="str">
        <f>INDEX(MCC_Lookup!$B$2:$B$12,MATCH(G241,MCC_Lookup!$A$2:$A$12,0))</f>
        <v>Meals</v>
      </c>
      <c r="N241" s="1" t="str">
        <f>IF(TRIM(H241)="","BLANK",IF(PROPER(TRIM(H241))=TRIM(M241),"MATCH","MISMATCH"))</f>
        <v>MATCH</v>
      </c>
      <c r="O241" s="5" t="str">
        <f>INDEX([1]Employee!$C$2:$C$276,MATCH(B241,[1]Employee!$A$2:$A$276,0))</f>
        <v>HR &amp; Events</v>
      </c>
    </row>
    <row r="242" spans="1:15">
      <c r="A242" s="1" t="s">
        <v>675</v>
      </c>
      <c r="B242" s="1" t="s">
        <v>542</v>
      </c>
      <c r="C242" s="1"/>
      <c r="D242" s="2">
        <v>46036</v>
      </c>
      <c r="E242" s="2">
        <v>46040</v>
      </c>
      <c r="F242" s="1" t="s">
        <v>305</v>
      </c>
      <c r="G242" s="1" t="s">
        <v>2</v>
      </c>
      <c r="H242" s="1" t="s">
        <v>3</v>
      </c>
      <c r="I242" s="7">
        <v>11.41</v>
      </c>
      <c r="J242" s="1" t="s">
        <v>38</v>
      </c>
      <c r="K242" s="1"/>
      <c r="L242" s="1" t="s">
        <v>39</v>
      </c>
      <c r="M242" s="1" t="str">
        <f>INDEX(MCC_Lookup!$B$2:$B$12,MATCH(G242,MCC_Lookup!$A$2:$A$12,0))</f>
        <v>Meals</v>
      </c>
      <c r="N242" s="1" t="str">
        <f>IF(TRIM(H242)="","BLANK",IF(PROPER(TRIM(H242))=TRIM(M242),"MATCH","MISMATCH"))</f>
        <v>MATCH</v>
      </c>
      <c r="O242" s="5" t="str">
        <f>INDEX([1]Employee!$C$2:$C$276,MATCH(B242,[1]Employee!$A$2:$A$276,0))</f>
        <v>Underwriting</v>
      </c>
    </row>
    <row r="243" spans="1:15">
      <c r="A243" s="1" t="s">
        <v>676</v>
      </c>
      <c r="B243" s="1" t="s">
        <v>677</v>
      </c>
      <c r="C243" s="1"/>
      <c r="D243" s="2">
        <v>46031</v>
      </c>
      <c r="E243" s="2">
        <v>46040</v>
      </c>
      <c r="F243" s="1" t="s">
        <v>79</v>
      </c>
      <c r="G243" s="1" t="s">
        <v>13</v>
      </c>
      <c r="H243" s="1" t="s">
        <v>14</v>
      </c>
      <c r="I243" s="7">
        <v>191.08</v>
      </c>
      <c r="J243" s="1" t="s">
        <v>111</v>
      </c>
      <c r="K243" s="1" t="s">
        <v>161</v>
      </c>
      <c r="L243" s="1" t="s">
        <v>48</v>
      </c>
      <c r="M243" s="1" t="str">
        <f>INDEX(MCC_Lookup!$B$2:$B$12,MATCH(G243,MCC_Lookup!$A$2:$A$12,0))</f>
        <v>Software</v>
      </c>
      <c r="N243" s="1" t="str">
        <f>IF(TRIM(H243)="","BLANK",IF(PROPER(TRIM(H243))=TRIM(M243),"MATCH","MISMATCH"))</f>
        <v>MATCH</v>
      </c>
      <c r="O243" s="5" t="str">
        <f>INDEX([1]Employee!$C$2:$C$276,MATCH(B243,[1]Employee!$A$2:$A$276,0))</f>
        <v>Sales &amp; Marketing</v>
      </c>
    </row>
    <row r="244" spans="1:15">
      <c r="A244" s="1" t="s">
        <v>678</v>
      </c>
      <c r="B244" s="1" t="s">
        <v>679</v>
      </c>
      <c r="C244" s="1"/>
      <c r="D244" s="2">
        <v>46039</v>
      </c>
      <c r="E244" s="2">
        <v>46040</v>
      </c>
      <c r="F244" s="1" t="s">
        <v>61</v>
      </c>
      <c r="G244" s="1" t="s">
        <v>13</v>
      </c>
      <c r="H244" s="1" t="s">
        <v>9</v>
      </c>
      <c r="I244" s="7">
        <v>72.81</v>
      </c>
      <c r="J244" s="1" t="s">
        <v>111</v>
      </c>
      <c r="K244" s="1" t="s">
        <v>127</v>
      </c>
      <c r="L244" s="1" t="s">
        <v>39</v>
      </c>
      <c r="M244" s="1" t="str">
        <f>INDEX(MCC_Lookup!$B$2:$B$12,MATCH(G244,MCC_Lookup!$A$2:$A$12,0))</f>
        <v>Software</v>
      </c>
      <c r="N244" s="1" t="str">
        <f>IF(TRIM(H244)="","BLANK",IF(PROPER(TRIM(H244))=TRIM(M244),"MATCH","MISMATCH"))</f>
        <v>MISMATCH</v>
      </c>
      <c r="O244" s="5" t="str">
        <f>INDEX([1]Employee!$C$2:$C$276,MATCH(B244,[1]Employee!$A$2:$A$276,0))</f>
        <v>Sales &amp; Marketing</v>
      </c>
    </row>
    <row r="245" spans="1:15">
      <c r="A245" s="1" t="s">
        <v>680</v>
      </c>
      <c r="B245" s="1" t="s">
        <v>681</v>
      </c>
      <c r="C245" s="1" t="s">
        <v>682</v>
      </c>
      <c r="D245" s="2">
        <v>46040</v>
      </c>
      <c r="E245" s="2">
        <v>46041</v>
      </c>
      <c r="F245" s="1" t="s">
        <v>259</v>
      </c>
      <c r="G245" s="1" t="s">
        <v>20</v>
      </c>
      <c r="H245" s="1" t="s">
        <v>19</v>
      </c>
      <c r="I245" s="7">
        <v>319.77999999999997</v>
      </c>
      <c r="J245" s="1" t="s">
        <v>38</v>
      </c>
      <c r="K245" s="1"/>
      <c r="L245" s="1" t="s">
        <v>39</v>
      </c>
      <c r="M245" s="1" t="str">
        <f>INDEX(MCC_Lookup!$B$2:$B$12,MATCH(G245,MCC_Lookup!$A$2:$A$12,0))</f>
        <v>Events</v>
      </c>
      <c r="N245" s="1" t="str">
        <f>IF(TRIM(H245)="","BLANK",IF(PROPER(TRIM(H245))=TRIM(M245),"MATCH","MISMATCH"))</f>
        <v>MATCH</v>
      </c>
      <c r="O245" s="5" t="str">
        <f>INDEX([1]Employee!$C$2:$C$276,MATCH(B245,[1]Employee!$A$2:$A$276,0))</f>
        <v>Underwriting</v>
      </c>
    </row>
    <row r="246" spans="1:15">
      <c r="A246" s="1" t="s">
        <v>683</v>
      </c>
      <c r="B246" s="1" t="s">
        <v>684</v>
      </c>
      <c r="C246" s="1" t="s">
        <v>685</v>
      </c>
      <c r="D246" s="2">
        <v>46038</v>
      </c>
      <c r="E246" s="2">
        <v>46041</v>
      </c>
      <c r="F246" s="1" t="s">
        <v>37</v>
      </c>
      <c r="G246" s="1" t="s">
        <v>4</v>
      </c>
      <c r="H246" s="1" t="s">
        <v>5</v>
      </c>
      <c r="I246" s="7">
        <v>243.58</v>
      </c>
      <c r="J246" s="1" t="s">
        <v>38</v>
      </c>
      <c r="K246" s="1"/>
      <c r="L246" s="1" t="s">
        <v>39</v>
      </c>
      <c r="M246" s="1" t="str">
        <f>INDEX(MCC_Lookup!$B$2:$B$12,MATCH(G246,MCC_Lookup!$A$2:$A$12,0))</f>
        <v>Travel</v>
      </c>
      <c r="N246" s="1" t="str">
        <f>IF(TRIM(H246)="","BLANK",IF(PROPER(TRIM(H246))=TRIM(M246),"MATCH","MISMATCH"))</f>
        <v>MATCH</v>
      </c>
      <c r="O246" s="5" t="str">
        <f>INDEX([1]Employee!$C$2:$C$276,MATCH(B246,[1]Employee!$A$2:$A$276,0))</f>
        <v>Underwriting</v>
      </c>
    </row>
    <row r="247" spans="1:15">
      <c r="A247" s="1" t="s">
        <v>686</v>
      </c>
      <c r="B247" s="1" t="s">
        <v>687</v>
      </c>
      <c r="C247" s="1" t="s">
        <v>688</v>
      </c>
      <c r="D247" s="2">
        <v>46039</v>
      </c>
      <c r="E247" s="2">
        <v>46041</v>
      </c>
      <c r="F247" s="1" t="s">
        <v>99</v>
      </c>
      <c r="G247" s="1" t="s">
        <v>2</v>
      </c>
      <c r="H247" s="1" t="s">
        <v>138</v>
      </c>
      <c r="I247" s="7">
        <v>108.89</v>
      </c>
      <c r="J247" s="1" t="s">
        <v>38</v>
      </c>
      <c r="K247" s="1"/>
      <c r="L247" s="1" t="s">
        <v>39</v>
      </c>
      <c r="M247" s="1" t="str">
        <f>INDEX(MCC_Lookup!$B$2:$B$12,MATCH(G247,MCC_Lookup!$A$2:$A$12,0))</f>
        <v>Meals</v>
      </c>
      <c r="N247" s="1" t="str">
        <f>IF(TRIM(H247)="","BLANK",IF(PROPER(TRIM(H247))=TRIM(M247),"MATCH","MISMATCH"))</f>
        <v>MATCH</v>
      </c>
      <c r="O247" s="5" t="str">
        <f>INDEX([1]Employee!$C$2:$C$276,MATCH(B247,[1]Employee!$A$2:$A$276,0))</f>
        <v>Executive &amp; Corporate</v>
      </c>
    </row>
    <row r="248" spans="1:15">
      <c r="A248" s="1" t="s">
        <v>689</v>
      </c>
      <c r="B248" s="1" t="s">
        <v>182</v>
      </c>
      <c r="C248" s="1"/>
      <c r="D248" s="2">
        <v>46037</v>
      </c>
      <c r="E248" s="2">
        <v>46041</v>
      </c>
      <c r="F248" s="1" t="s">
        <v>124</v>
      </c>
      <c r="G248" s="1" t="s">
        <v>17</v>
      </c>
      <c r="H248" s="1" t="s">
        <v>690</v>
      </c>
      <c r="I248" s="7">
        <v>157.91</v>
      </c>
      <c r="J248" s="1" t="s">
        <v>111</v>
      </c>
      <c r="K248" s="1" t="s">
        <v>161</v>
      </c>
      <c r="L248" s="1" t="s">
        <v>39</v>
      </c>
      <c r="M248" s="1" t="str">
        <f>INDEX(MCC_Lookup!$B$2:$B$12,MATCH(G248,MCC_Lookup!$A$2:$A$12,0))</f>
        <v>Entertainment</v>
      </c>
      <c r="N248" s="1" t="str">
        <f>IF(TRIM(H248)="","BLANK",IF(PROPER(TRIM(H248))=TRIM(M248),"MATCH","MISMATCH"))</f>
        <v>MATCH</v>
      </c>
      <c r="O248" s="5" t="str">
        <f>INDEX([1]Employee!$C$2:$C$276,MATCH(B248,[1]Employee!$A$2:$A$276,0))</f>
        <v>Sales &amp; Marketing</v>
      </c>
    </row>
    <row r="249" spans="1:15">
      <c r="A249" s="1" t="s">
        <v>691</v>
      </c>
      <c r="B249" s="1" t="s">
        <v>136</v>
      </c>
      <c r="C249" s="1" t="s">
        <v>692</v>
      </c>
      <c r="D249" s="2">
        <v>46033</v>
      </c>
      <c r="E249" s="2">
        <v>46041</v>
      </c>
      <c r="F249" s="1" t="s">
        <v>43</v>
      </c>
      <c r="G249" s="1" t="s">
        <v>2</v>
      </c>
      <c r="H249" s="1" t="s">
        <v>154</v>
      </c>
      <c r="I249" s="7">
        <v>6.56</v>
      </c>
      <c r="J249" s="1" t="s">
        <v>38</v>
      </c>
      <c r="K249" s="1"/>
      <c r="L249" s="1" t="s">
        <v>39</v>
      </c>
      <c r="M249" s="1" t="str">
        <f>INDEX(MCC_Lookup!$B$2:$B$12,MATCH(G249,MCC_Lookup!$A$2:$A$12,0))</f>
        <v>Meals</v>
      </c>
      <c r="N249" s="1" t="str">
        <f>IF(TRIM(H249)="","BLANK",IF(PROPER(TRIM(H249))=TRIM(M249),"MATCH","MISMATCH"))</f>
        <v>MATCH</v>
      </c>
      <c r="O249" s="5" t="str">
        <f>INDEX([1]Employee!$C$2:$C$276,MATCH(B249,[1]Employee!$A$2:$A$276,0))</f>
        <v>Sales &amp; Marketing</v>
      </c>
    </row>
    <row r="250" spans="1:15">
      <c r="A250" s="1" t="s">
        <v>693</v>
      </c>
      <c r="B250" s="1" t="s">
        <v>136</v>
      </c>
      <c r="C250" s="1" t="s">
        <v>694</v>
      </c>
      <c r="D250" s="2">
        <v>46041</v>
      </c>
      <c r="E250" s="2">
        <v>46041</v>
      </c>
      <c r="F250" s="1" t="s">
        <v>106</v>
      </c>
      <c r="G250" s="1" t="s">
        <v>13</v>
      </c>
      <c r="H250" s="1" t="s">
        <v>470</v>
      </c>
      <c r="I250" s="7">
        <v>115.58</v>
      </c>
      <c r="J250" s="1" t="s">
        <v>38</v>
      </c>
      <c r="K250" s="1"/>
      <c r="L250" s="1" t="s">
        <v>39</v>
      </c>
      <c r="M250" s="1" t="str">
        <f>INDEX(MCC_Lookup!$B$2:$B$12,MATCH(G250,MCC_Lookup!$A$2:$A$12,0))</f>
        <v>Software</v>
      </c>
      <c r="N250" s="1" t="str">
        <f>IF(TRIM(H250)="","BLANK",IF(PROPER(TRIM(H250))=TRIM(M250),"MATCH","MISMATCH"))</f>
        <v>MATCH</v>
      </c>
      <c r="O250" s="5" t="str">
        <f>INDEX([1]Employee!$C$2:$C$276,MATCH(B250,[1]Employee!$A$2:$A$276,0))</f>
        <v>Sales &amp; Marketing</v>
      </c>
    </row>
    <row r="251" spans="1:15">
      <c r="A251" s="1" t="s">
        <v>695</v>
      </c>
      <c r="B251" s="1" t="s">
        <v>136</v>
      </c>
      <c r="C251" s="1" t="s">
        <v>696</v>
      </c>
      <c r="D251" s="2">
        <v>46031</v>
      </c>
      <c r="E251" s="2">
        <v>46041</v>
      </c>
      <c r="F251" s="1" t="s">
        <v>72</v>
      </c>
      <c r="G251" s="1" t="s">
        <v>8</v>
      </c>
      <c r="H251" s="1" t="s">
        <v>9</v>
      </c>
      <c r="I251" s="7">
        <v>56.34</v>
      </c>
      <c r="J251" s="1" t="s">
        <v>38</v>
      </c>
      <c r="K251" s="1"/>
      <c r="L251" s="1" t="s">
        <v>39</v>
      </c>
      <c r="M251" s="1" t="str">
        <f>INDEX(MCC_Lookup!$B$2:$B$12,MATCH(G251,MCC_Lookup!$A$2:$A$12,0))</f>
        <v>Transportation</v>
      </c>
      <c r="N251" s="1" t="str">
        <f>IF(TRIM(H251)="","BLANK",IF(PROPER(TRIM(H251))=TRIM(M251),"MATCH","MISMATCH"))</f>
        <v>MATCH</v>
      </c>
      <c r="O251" s="5" t="str">
        <f>INDEX([1]Employee!$C$2:$C$276,MATCH(B251,[1]Employee!$A$2:$A$276,0))</f>
        <v>Sales &amp; Marketing</v>
      </c>
    </row>
    <row r="252" spans="1:15">
      <c r="A252" s="1" t="s">
        <v>697</v>
      </c>
      <c r="B252" s="1" t="s">
        <v>679</v>
      </c>
      <c r="C252" s="1"/>
      <c r="D252" s="2">
        <v>46039</v>
      </c>
      <c r="E252" s="2">
        <v>46041</v>
      </c>
      <c r="F252" s="1" t="s">
        <v>56</v>
      </c>
      <c r="G252" s="1" t="s">
        <v>4</v>
      </c>
      <c r="H252" s="1"/>
      <c r="I252" s="7">
        <v>630.29999999999995</v>
      </c>
      <c r="J252" s="1" t="s">
        <v>111</v>
      </c>
      <c r="K252" s="1" t="s">
        <v>127</v>
      </c>
      <c r="L252" s="1" t="s">
        <v>48</v>
      </c>
      <c r="M252" s="1" t="str">
        <f>INDEX(MCC_Lookup!$B$2:$B$12,MATCH(G252,MCC_Lookup!$A$2:$A$12,0))</f>
        <v>Travel</v>
      </c>
      <c r="N252" s="1" t="str">
        <f>IF(TRIM(H252)="","BLANK",IF(PROPER(TRIM(H252))=TRIM(M252),"MATCH","MISMATCH"))</f>
        <v>BLANK</v>
      </c>
      <c r="O252" s="5" t="str">
        <f>INDEX([1]Employee!$C$2:$C$276,MATCH(B252,[1]Employee!$A$2:$A$276,0))</f>
        <v>Sales &amp; Marketing</v>
      </c>
    </row>
    <row r="253" spans="1:15">
      <c r="A253" s="1" t="s">
        <v>698</v>
      </c>
      <c r="B253" s="1" t="s">
        <v>126</v>
      </c>
      <c r="C253" s="1"/>
      <c r="D253" s="2">
        <v>46032</v>
      </c>
      <c r="E253" s="2">
        <v>46041</v>
      </c>
      <c r="F253" s="1" t="s">
        <v>173</v>
      </c>
      <c r="G253" s="1" t="s">
        <v>2</v>
      </c>
      <c r="H253" s="1" t="s">
        <v>3</v>
      </c>
      <c r="I253" s="7">
        <v>20.55</v>
      </c>
      <c r="J253" s="1" t="s">
        <v>111</v>
      </c>
      <c r="K253" s="1" t="s">
        <v>127</v>
      </c>
      <c r="L253" s="1" t="s">
        <v>39</v>
      </c>
      <c r="M253" s="1" t="str">
        <f>INDEX(MCC_Lookup!$B$2:$B$12,MATCH(G253,MCC_Lookup!$A$2:$A$12,0))</f>
        <v>Meals</v>
      </c>
      <c r="N253" s="1" t="str">
        <f>IF(TRIM(H253)="","BLANK",IF(PROPER(TRIM(H253))=TRIM(M253),"MATCH","MISMATCH"))</f>
        <v>MATCH</v>
      </c>
      <c r="O253" s="5" t="str">
        <f>INDEX([1]Employee!$C$2:$C$276,MATCH(B253,[1]Employee!$A$2:$A$276,0))</f>
        <v>Actuarial &amp; Risk</v>
      </c>
    </row>
    <row r="254" spans="1:15">
      <c r="A254" s="1" t="s">
        <v>699</v>
      </c>
      <c r="B254" s="1" t="s">
        <v>41</v>
      </c>
      <c r="C254" s="1" t="s">
        <v>700</v>
      </c>
      <c r="D254" s="2">
        <v>46033</v>
      </c>
      <c r="E254" s="2">
        <v>46041</v>
      </c>
      <c r="F254" s="1" t="s">
        <v>69</v>
      </c>
      <c r="G254" s="1" t="s">
        <v>8</v>
      </c>
      <c r="H254" s="1" t="s">
        <v>9</v>
      </c>
      <c r="I254" s="7">
        <v>29.76</v>
      </c>
      <c r="J254" s="1" t="s">
        <v>38</v>
      </c>
      <c r="K254" s="1"/>
      <c r="L254" s="1" t="s">
        <v>39</v>
      </c>
      <c r="M254" s="1" t="str">
        <f>INDEX(MCC_Lookup!$B$2:$B$12,MATCH(G254,MCC_Lookup!$A$2:$A$12,0))</f>
        <v>Transportation</v>
      </c>
      <c r="N254" s="1" t="str">
        <f>IF(TRIM(H254)="","BLANK",IF(PROPER(TRIM(H254))=TRIM(M254),"MATCH","MISMATCH"))</f>
        <v>MATCH</v>
      </c>
      <c r="O254" s="5" t="str">
        <f>INDEX([1]Employee!$C$2:$C$276,MATCH(B254,[1]Employee!$A$2:$A$276,0))</f>
        <v>Sales &amp; Marketing</v>
      </c>
    </row>
    <row r="255" spans="1:15">
      <c r="A255" s="1" t="s">
        <v>701</v>
      </c>
      <c r="B255" s="1" t="s">
        <v>194</v>
      </c>
      <c r="C255" s="1" t="s">
        <v>702</v>
      </c>
      <c r="D255" s="2">
        <v>46038</v>
      </c>
      <c r="E255" s="2">
        <v>46041</v>
      </c>
      <c r="F255" s="1" t="s">
        <v>99</v>
      </c>
      <c r="G255" s="1" t="s">
        <v>2</v>
      </c>
      <c r="H255" s="1" t="s">
        <v>3</v>
      </c>
      <c r="I255" s="7">
        <v>90.82</v>
      </c>
      <c r="J255" s="1" t="s">
        <v>38</v>
      </c>
      <c r="K255" s="1"/>
      <c r="L255" s="1" t="s">
        <v>39</v>
      </c>
      <c r="M255" s="1" t="str">
        <f>INDEX(MCC_Lookup!$B$2:$B$12,MATCH(G255,MCC_Lookup!$A$2:$A$12,0))</f>
        <v>Meals</v>
      </c>
      <c r="N255" s="1" t="str">
        <f>IF(TRIM(H255)="","BLANK",IF(PROPER(TRIM(H255))=TRIM(M255),"MATCH","MISMATCH"))</f>
        <v>MATCH</v>
      </c>
      <c r="O255" s="5" t="str">
        <f>INDEX([1]Employee!$C$2:$C$276,MATCH(B255,[1]Employee!$A$2:$A$276,0))</f>
        <v>Claims</v>
      </c>
    </row>
    <row r="256" spans="1:15">
      <c r="A256" s="1" t="s">
        <v>703</v>
      </c>
      <c r="B256" s="1" t="s">
        <v>475</v>
      </c>
      <c r="C256" s="1" t="s">
        <v>704</v>
      </c>
      <c r="D256" s="2">
        <v>46041</v>
      </c>
      <c r="E256" s="2">
        <v>46041</v>
      </c>
      <c r="F256" s="1" t="s">
        <v>83</v>
      </c>
      <c r="G256" s="1" t="s">
        <v>2</v>
      </c>
      <c r="H256" s="1"/>
      <c r="I256" s="7">
        <v>20.36</v>
      </c>
      <c r="J256" s="1" t="s">
        <v>38</v>
      </c>
      <c r="K256" s="1"/>
      <c r="L256" s="1" t="s">
        <v>39</v>
      </c>
      <c r="M256" s="1" t="str">
        <f>INDEX(MCC_Lookup!$B$2:$B$12,MATCH(G256,MCC_Lookup!$A$2:$A$12,0))</f>
        <v>Meals</v>
      </c>
      <c r="N256" s="1" t="str">
        <f>IF(TRIM(H256)="","BLANK",IF(PROPER(TRIM(H256))=TRIM(M256),"MATCH","MISMATCH"))</f>
        <v>BLANK</v>
      </c>
      <c r="O256" s="5" t="str">
        <f>INDEX([1]Employee!$C$2:$C$276,MATCH(B256,[1]Employee!$A$2:$A$276,0))</f>
        <v>Sales &amp; Marketing</v>
      </c>
    </row>
    <row r="257" spans="1:15">
      <c r="A257" s="1" t="s">
        <v>705</v>
      </c>
      <c r="B257" s="1" t="s">
        <v>706</v>
      </c>
      <c r="C257" s="1" t="s">
        <v>707</v>
      </c>
      <c r="D257" s="2">
        <v>46037</v>
      </c>
      <c r="E257" s="2">
        <v>46041</v>
      </c>
      <c r="F257" s="1" t="s">
        <v>305</v>
      </c>
      <c r="G257" s="1" t="s">
        <v>2</v>
      </c>
      <c r="H257" s="1" t="s">
        <v>3</v>
      </c>
      <c r="I257" s="7">
        <v>10.81</v>
      </c>
      <c r="J257" s="1" t="s">
        <v>38</v>
      </c>
      <c r="K257" s="1"/>
      <c r="L257" s="1" t="s">
        <v>39</v>
      </c>
      <c r="M257" s="1" t="str">
        <f>INDEX(MCC_Lookup!$B$2:$B$12,MATCH(G257,MCC_Lookup!$A$2:$A$12,0))</f>
        <v>Meals</v>
      </c>
      <c r="N257" s="1" t="str">
        <f>IF(TRIM(H257)="","BLANK",IF(PROPER(TRIM(H257))=TRIM(M257),"MATCH","MISMATCH"))</f>
        <v>MATCH</v>
      </c>
      <c r="O257" s="5" t="str">
        <f>INDEX([1]Employee!$C$2:$C$276,MATCH(B257,[1]Employee!$A$2:$A$276,0))</f>
        <v>Underwriting</v>
      </c>
    </row>
    <row r="258" spans="1:15">
      <c r="A258" s="1" t="s">
        <v>708</v>
      </c>
      <c r="B258" s="1" t="s">
        <v>709</v>
      </c>
      <c r="C258" s="1" t="s">
        <v>710</v>
      </c>
      <c r="D258" s="2">
        <v>46035</v>
      </c>
      <c r="E258" s="2">
        <v>46041</v>
      </c>
      <c r="F258" s="1" t="s">
        <v>347</v>
      </c>
      <c r="G258" s="1" t="s">
        <v>8</v>
      </c>
      <c r="H258" s="1"/>
      <c r="I258" s="7">
        <v>47.22</v>
      </c>
      <c r="J258" s="1" t="s">
        <v>38</v>
      </c>
      <c r="K258" s="1"/>
      <c r="L258" s="1" t="s">
        <v>39</v>
      </c>
      <c r="M258" s="1" t="str">
        <f>INDEX(MCC_Lookup!$B$2:$B$12,MATCH(G258,MCC_Lookup!$A$2:$A$12,0))</f>
        <v>Transportation</v>
      </c>
      <c r="N258" s="1" t="str">
        <f>IF(TRIM(H258)="","BLANK",IF(PROPER(TRIM(H258))=TRIM(M258),"MATCH","MISMATCH"))</f>
        <v>BLANK</v>
      </c>
      <c r="O258" s="5" t="str">
        <f>INDEX([1]Employee!$C$2:$C$276,MATCH(B258,[1]Employee!$A$2:$A$276,0))</f>
        <v>Underwriting</v>
      </c>
    </row>
    <row r="259" spans="1:15">
      <c r="A259" s="1" t="s">
        <v>711</v>
      </c>
      <c r="B259" s="1" t="s">
        <v>712</v>
      </c>
      <c r="C259" s="1" t="s">
        <v>713</v>
      </c>
      <c r="D259" s="2">
        <v>46033</v>
      </c>
      <c r="E259" s="2">
        <v>46041</v>
      </c>
      <c r="F259" s="1" t="s">
        <v>201</v>
      </c>
      <c r="G259" s="1" t="s">
        <v>4</v>
      </c>
      <c r="H259" s="1" t="s">
        <v>714</v>
      </c>
      <c r="I259" s="7">
        <v>535.82000000000005</v>
      </c>
      <c r="J259" s="1" t="s">
        <v>38</v>
      </c>
      <c r="K259" s="1"/>
      <c r="L259" s="1" t="s">
        <v>39</v>
      </c>
      <c r="M259" s="1" t="str">
        <f>INDEX(MCC_Lookup!$B$2:$B$12,MATCH(G259,MCC_Lookup!$A$2:$A$12,0))</f>
        <v>Travel</v>
      </c>
      <c r="N259" s="1" t="str">
        <f>IF(TRIM(H259)="","BLANK",IF(PROPER(TRIM(H259))=TRIM(M259),"MATCH","MISMATCH"))</f>
        <v>MATCH</v>
      </c>
      <c r="O259" s="5" t="str">
        <f>INDEX([1]Employee!$C$2:$C$276,MATCH(B259,[1]Employee!$A$2:$A$276,0))</f>
        <v>Underwriting</v>
      </c>
    </row>
    <row r="260" spans="1:15">
      <c r="A260" s="1" t="s">
        <v>715</v>
      </c>
      <c r="B260" s="1" t="s">
        <v>716</v>
      </c>
      <c r="C260" s="1" t="s">
        <v>717</v>
      </c>
      <c r="D260" s="2">
        <v>46036</v>
      </c>
      <c r="E260" s="2">
        <v>46041</v>
      </c>
      <c r="F260" s="1" t="s">
        <v>305</v>
      </c>
      <c r="G260" s="1" t="s">
        <v>2</v>
      </c>
      <c r="H260" s="1" t="s">
        <v>3</v>
      </c>
      <c r="I260" s="7">
        <v>14.12</v>
      </c>
      <c r="J260" s="1" t="s">
        <v>38</v>
      </c>
      <c r="K260" s="1"/>
      <c r="L260" s="1" t="s">
        <v>39</v>
      </c>
      <c r="M260" s="1" t="str">
        <f>INDEX(MCC_Lookup!$B$2:$B$12,MATCH(G260,MCC_Lookup!$A$2:$A$12,0))</f>
        <v>Meals</v>
      </c>
      <c r="N260" s="1" t="str">
        <f>IF(TRIM(H260)="","BLANK",IF(PROPER(TRIM(H260))=TRIM(M260),"MATCH","MISMATCH"))</f>
        <v>MATCH</v>
      </c>
      <c r="O260" s="5" t="str">
        <f>INDEX([1]Employee!$C$2:$C$276,MATCH(B260,[1]Employee!$A$2:$A$276,0))</f>
        <v>Claims</v>
      </c>
    </row>
    <row r="261" spans="1:15">
      <c r="A261" s="1" t="s">
        <v>718</v>
      </c>
      <c r="B261" s="1" t="s">
        <v>440</v>
      </c>
      <c r="C261" s="1" t="s">
        <v>719</v>
      </c>
      <c r="D261" s="2">
        <v>46033</v>
      </c>
      <c r="E261" s="2">
        <v>46041</v>
      </c>
      <c r="F261" s="1" t="s">
        <v>177</v>
      </c>
      <c r="G261" s="1" t="s">
        <v>13</v>
      </c>
      <c r="H261" s="1" t="s">
        <v>14</v>
      </c>
      <c r="I261" s="7">
        <v>24.13</v>
      </c>
      <c r="J261" s="1" t="s">
        <v>38</v>
      </c>
      <c r="K261" s="1"/>
      <c r="L261" s="1" t="s">
        <v>39</v>
      </c>
      <c r="M261" s="1" t="str">
        <f>INDEX(MCC_Lookup!$B$2:$B$12,MATCH(G261,MCC_Lookup!$A$2:$A$12,0))</f>
        <v>Software</v>
      </c>
      <c r="N261" s="1" t="str">
        <f>IF(TRIM(H261)="","BLANK",IF(PROPER(TRIM(H261))=TRIM(M261),"MATCH","MISMATCH"))</f>
        <v>MATCH</v>
      </c>
      <c r="O261" s="5" t="str">
        <f>INDEX([1]Employee!$C$2:$C$276,MATCH(B261,[1]Employee!$A$2:$A$276,0))</f>
        <v>Underwriting</v>
      </c>
    </row>
    <row r="262" spans="1:15">
      <c r="A262" s="1" t="s">
        <v>720</v>
      </c>
      <c r="B262" s="1" t="s">
        <v>640</v>
      </c>
      <c r="C262" s="1" t="s">
        <v>721</v>
      </c>
      <c r="D262" s="2">
        <v>46040</v>
      </c>
      <c r="E262" s="2">
        <v>46041</v>
      </c>
      <c r="F262" s="1" t="s">
        <v>109</v>
      </c>
      <c r="G262" s="1" t="s">
        <v>18</v>
      </c>
      <c r="H262" s="1" t="s">
        <v>19</v>
      </c>
      <c r="I262" s="7">
        <v>51.31</v>
      </c>
      <c r="J262" s="1" t="s">
        <v>38</v>
      </c>
      <c r="K262" s="1"/>
      <c r="L262" s="1" t="s">
        <v>39</v>
      </c>
      <c r="M262" s="1" t="str">
        <f>INDEX(MCC_Lookup!$B$2:$B$12,MATCH(G262,MCC_Lookup!$A$2:$A$12,0))</f>
        <v>Events</v>
      </c>
      <c r="N262" s="1" t="str">
        <f>IF(TRIM(H262)="","BLANK",IF(PROPER(TRIM(H262))=TRIM(M262),"MATCH","MISMATCH"))</f>
        <v>MATCH</v>
      </c>
      <c r="O262" s="5" t="str">
        <f>INDEX([1]Employee!$C$2:$C$276,MATCH(B262,[1]Employee!$A$2:$A$276,0))</f>
        <v>Underwriting</v>
      </c>
    </row>
    <row r="263" spans="1:15">
      <c r="A263" s="1" t="s">
        <v>722</v>
      </c>
      <c r="B263" s="1" t="s">
        <v>271</v>
      </c>
      <c r="C263" s="1" t="s">
        <v>723</v>
      </c>
      <c r="D263" s="2">
        <v>46033</v>
      </c>
      <c r="E263" s="2">
        <v>46041</v>
      </c>
      <c r="F263" s="1" t="s">
        <v>259</v>
      </c>
      <c r="G263" s="1" t="s">
        <v>20</v>
      </c>
      <c r="H263" s="1" t="s">
        <v>517</v>
      </c>
      <c r="I263" s="7">
        <v>308.95</v>
      </c>
      <c r="J263" s="1" t="s">
        <v>38</v>
      </c>
      <c r="K263" s="1"/>
      <c r="L263" s="1" t="s">
        <v>39</v>
      </c>
      <c r="M263" s="1" t="str">
        <f>INDEX(MCC_Lookup!$B$2:$B$12,MATCH(G263,MCC_Lookup!$A$2:$A$12,0))</f>
        <v>Events</v>
      </c>
      <c r="N263" s="1" t="str">
        <f>IF(TRIM(H263)="","BLANK",IF(PROPER(TRIM(H263))=TRIM(M263),"MATCH","MISMATCH"))</f>
        <v>MATCH</v>
      </c>
      <c r="O263" s="5" t="str">
        <f>INDEX([1]Employee!$C$2:$C$276,MATCH(B263,[1]Employee!$A$2:$A$276,0))</f>
        <v>Customer Support</v>
      </c>
    </row>
    <row r="264" spans="1:15">
      <c r="A264" s="1" t="s">
        <v>724</v>
      </c>
      <c r="B264" s="1" t="s">
        <v>210</v>
      </c>
      <c r="C264" s="1" t="s">
        <v>725</v>
      </c>
      <c r="D264" s="2">
        <v>46038</v>
      </c>
      <c r="E264" s="2">
        <v>46041</v>
      </c>
      <c r="F264" s="1" t="s">
        <v>47</v>
      </c>
      <c r="G264" s="1" t="s">
        <v>6</v>
      </c>
      <c r="H264" s="1" t="s">
        <v>726</v>
      </c>
      <c r="I264" s="7">
        <v>285.27999999999997</v>
      </c>
      <c r="J264" s="1" t="s">
        <v>38</v>
      </c>
      <c r="K264" s="1"/>
      <c r="L264" s="1" t="s">
        <v>39</v>
      </c>
      <c r="M264" s="1" t="str">
        <f>INDEX(MCC_Lookup!$B$2:$B$12,MATCH(G264,MCC_Lookup!$A$2:$A$12,0))</f>
        <v>Lodging</v>
      </c>
      <c r="N264" s="1" t="str">
        <f>IF(TRIM(H264)="","BLANK",IF(PROPER(TRIM(H264))=TRIM(M264),"MATCH","MISMATCH"))</f>
        <v>MATCH</v>
      </c>
      <c r="O264" s="5" t="str">
        <f>INDEX([1]Employee!$C$2:$C$276,MATCH(B264,[1]Employee!$A$2:$A$276,0))</f>
        <v>Sales &amp; Marketing</v>
      </c>
    </row>
    <row r="265" spans="1:15">
      <c r="A265" s="1" t="s">
        <v>727</v>
      </c>
      <c r="B265" s="1" t="s">
        <v>210</v>
      </c>
      <c r="C265" s="1" t="s">
        <v>728</v>
      </c>
      <c r="D265" s="2">
        <v>46041</v>
      </c>
      <c r="E265" s="2">
        <v>46041</v>
      </c>
      <c r="F265" s="1" t="s">
        <v>52</v>
      </c>
      <c r="G265" s="1" t="s">
        <v>15</v>
      </c>
      <c r="H265" s="1" t="s">
        <v>16</v>
      </c>
      <c r="I265" s="7">
        <v>23.77</v>
      </c>
      <c r="J265" s="1" t="s">
        <v>38</v>
      </c>
      <c r="K265" s="1"/>
      <c r="L265" s="1" t="s">
        <v>39</v>
      </c>
      <c r="M265" s="1" t="str">
        <f>INDEX(MCC_Lookup!$B$2:$B$12,MATCH(G265,MCC_Lookup!$A$2:$A$12,0))</f>
        <v>Entertainment</v>
      </c>
      <c r="N265" s="1" t="str">
        <f>IF(TRIM(H265)="","BLANK",IF(PROPER(TRIM(H265))=TRIM(M265),"MATCH","MISMATCH"))</f>
        <v>MATCH</v>
      </c>
      <c r="O265" s="5" t="str">
        <f>INDEX([1]Employee!$C$2:$C$276,MATCH(B265,[1]Employee!$A$2:$A$276,0))</f>
        <v>Sales &amp; Marketing</v>
      </c>
    </row>
    <row r="266" spans="1:15">
      <c r="A266" s="1" t="s">
        <v>729</v>
      </c>
      <c r="B266" s="1" t="s">
        <v>136</v>
      </c>
      <c r="C266" s="1" t="s">
        <v>730</v>
      </c>
      <c r="D266" s="2">
        <v>46033</v>
      </c>
      <c r="E266" s="2">
        <v>46042</v>
      </c>
      <c r="F266" s="1" t="s">
        <v>92</v>
      </c>
      <c r="G266" s="1" t="s">
        <v>10</v>
      </c>
      <c r="H266" s="1" t="s">
        <v>11</v>
      </c>
      <c r="I266" s="7">
        <v>111.24</v>
      </c>
      <c r="J266" s="1" t="s">
        <v>38</v>
      </c>
      <c r="K266" s="1"/>
      <c r="L266" s="1" t="s">
        <v>39</v>
      </c>
      <c r="M266" s="1" t="str">
        <f>INDEX(MCC_Lookup!$B$2:$B$12,MATCH(G266,MCC_Lookup!$A$2:$A$12,0))</f>
        <v>Office Supplies</v>
      </c>
      <c r="N266" s="1" t="str">
        <f>IF(TRIM(H266)="","BLANK",IF(PROPER(TRIM(H266))=TRIM(M266),"MATCH","MISMATCH"))</f>
        <v>MATCH</v>
      </c>
      <c r="O266" s="5" t="str">
        <f>INDEX([1]Employee!$C$2:$C$276,MATCH(B266,[1]Employee!$A$2:$A$276,0))</f>
        <v>Sales &amp; Marketing</v>
      </c>
    </row>
    <row r="267" spans="1:15">
      <c r="A267" s="1" t="s">
        <v>731</v>
      </c>
      <c r="B267" s="1" t="s">
        <v>732</v>
      </c>
      <c r="C267" s="1" t="s">
        <v>733</v>
      </c>
      <c r="D267" s="2">
        <v>46040</v>
      </c>
      <c r="E267" s="2">
        <v>46042</v>
      </c>
      <c r="F267" s="1" t="s">
        <v>56</v>
      </c>
      <c r="G267" s="1" t="s">
        <v>4</v>
      </c>
      <c r="H267" s="1" t="s">
        <v>734</v>
      </c>
      <c r="I267" s="7">
        <v>279.68</v>
      </c>
      <c r="J267" s="1" t="s">
        <v>38</v>
      </c>
      <c r="K267" s="1"/>
      <c r="L267" s="1" t="s">
        <v>39</v>
      </c>
      <c r="M267" s="1" t="str">
        <f>INDEX(MCC_Lookup!$B$2:$B$12,MATCH(G267,MCC_Lookup!$A$2:$A$12,0))</f>
        <v>Travel</v>
      </c>
      <c r="N267" s="1" t="str">
        <f>IF(TRIM(H267)="","BLANK",IF(PROPER(TRIM(H267))=TRIM(M267),"MATCH","MISMATCH"))</f>
        <v>MATCH</v>
      </c>
      <c r="O267" s="5" t="str">
        <f>INDEX([1]Employee!$C$2:$C$276,MATCH(B267,[1]Employee!$A$2:$A$276,0))</f>
        <v>Underwriting</v>
      </c>
    </row>
    <row r="268" spans="1:15">
      <c r="A268" s="1" t="s">
        <v>735</v>
      </c>
      <c r="B268" s="1" t="s">
        <v>387</v>
      </c>
      <c r="C268" s="1" t="s">
        <v>736</v>
      </c>
      <c r="D268" s="2">
        <v>46038</v>
      </c>
      <c r="E268" s="2">
        <v>46042</v>
      </c>
      <c r="F268" s="1" t="s">
        <v>56</v>
      </c>
      <c r="G268" s="1" t="s">
        <v>4</v>
      </c>
      <c r="H268" s="1" t="s">
        <v>5</v>
      </c>
      <c r="I268" s="7">
        <v>479.79</v>
      </c>
      <c r="J268" s="1" t="s">
        <v>38</v>
      </c>
      <c r="K268" s="1"/>
      <c r="L268" s="1" t="s">
        <v>39</v>
      </c>
      <c r="M268" s="1" t="str">
        <f>INDEX(MCC_Lookup!$B$2:$B$12,MATCH(G268,MCC_Lookup!$A$2:$A$12,0))</f>
        <v>Travel</v>
      </c>
      <c r="N268" s="1" t="str">
        <f>IF(TRIM(H268)="","BLANK",IF(PROPER(TRIM(H268))=TRIM(M268),"MATCH","MISMATCH"))</f>
        <v>MATCH</v>
      </c>
      <c r="O268" s="5" t="str">
        <f>INDEX([1]Employee!$C$2:$C$276,MATCH(B268,[1]Employee!$A$2:$A$276,0))</f>
        <v>IT &amp; Platform Engineering</v>
      </c>
    </row>
    <row r="269" spans="1:15">
      <c r="A269" s="1" t="s">
        <v>737</v>
      </c>
      <c r="B269" s="1" t="s">
        <v>738</v>
      </c>
      <c r="C269" s="1" t="s">
        <v>739</v>
      </c>
      <c r="D269" s="2">
        <v>46035</v>
      </c>
      <c r="E269" s="2">
        <v>46042</v>
      </c>
      <c r="F269" s="1" t="s">
        <v>109</v>
      </c>
      <c r="G269" s="1" t="s">
        <v>18</v>
      </c>
      <c r="H269" s="1" t="s">
        <v>312</v>
      </c>
      <c r="I269" s="7">
        <v>182.12</v>
      </c>
      <c r="J269" s="1" t="s">
        <v>38</v>
      </c>
      <c r="K269" s="1"/>
      <c r="L269" s="1" t="s">
        <v>39</v>
      </c>
      <c r="M269" s="1" t="str">
        <f>INDEX(MCC_Lookup!$B$2:$B$12,MATCH(G269,MCC_Lookup!$A$2:$A$12,0))</f>
        <v>Events</v>
      </c>
      <c r="N269" s="1" t="str">
        <f>IF(TRIM(H269)="","BLANK",IF(PROPER(TRIM(H269))=TRIM(M269),"MATCH","MISMATCH"))</f>
        <v>MATCH</v>
      </c>
      <c r="O269" s="5" t="str">
        <f>INDEX([1]Employee!$C$2:$C$276,MATCH(B269,[1]Employee!$A$2:$A$276,0))</f>
        <v>Sales &amp; Marketing</v>
      </c>
    </row>
    <row r="270" spans="1:15">
      <c r="A270" s="1" t="s">
        <v>740</v>
      </c>
      <c r="B270" s="1" t="s">
        <v>741</v>
      </c>
      <c r="C270" s="1"/>
      <c r="D270" s="2">
        <v>46033</v>
      </c>
      <c r="E270" s="2">
        <v>46042</v>
      </c>
      <c r="F270" s="1" t="s">
        <v>61</v>
      </c>
      <c r="G270" s="1" t="s">
        <v>13</v>
      </c>
      <c r="H270" s="1" t="s">
        <v>14</v>
      </c>
      <c r="I270" s="7">
        <v>38.04</v>
      </c>
      <c r="J270" s="1" t="s">
        <v>38</v>
      </c>
      <c r="K270" s="1"/>
      <c r="L270" s="1" t="s">
        <v>39</v>
      </c>
      <c r="M270" s="1" t="str">
        <f>INDEX(MCC_Lookup!$B$2:$B$12,MATCH(G270,MCC_Lookup!$A$2:$A$12,0))</f>
        <v>Software</v>
      </c>
      <c r="N270" s="1" t="str">
        <f>IF(TRIM(H270)="","BLANK",IF(PROPER(TRIM(H270))=TRIM(M270),"MATCH","MISMATCH"))</f>
        <v>MATCH</v>
      </c>
      <c r="O270" s="5" t="str">
        <f>INDEX([1]Employee!$C$2:$C$276,MATCH(B270,[1]Employee!$A$2:$A$276,0))</f>
        <v>Customer Support</v>
      </c>
    </row>
    <row r="271" spans="1:15">
      <c r="A271" s="1" t="s">
        <v>742</v>
      </c>
      <c r="B271" s="1" t="s">
        <v>352</v>
      </c>
      <c r="C271" s="1" t="s">
        <v>743</v>
      </c>
      <c r="D271" s="2">
        <v>46035</v>
      </c>
      <c r="E271" s="2">
        <v>46042</v>
      </c>
      <c r="F271" s="1" t="s">
        <v>47</v>
      </c>
      <c r="G271" s="1" t="s">
        <v>6</v>
      </c>
      <c r="H271" s="1" t="s">
        <v>7</v>
      </c>
      <c r="I271" s="7">
        <v>183.6</v>
      </c>
      <c r="J271" s="1" t="s">
        <v>38</v>
      </c>
      <c r="K271" s="1"/>
      <c r="L271" s="1" t="s">
        <v>39</v>
      </c>
      <c r="M271" s="1" t="str">
        <f>INDEX(MCC_Lookup!$B$2:$B$12,MATCH(G271,MCC_Lookup!$A$2:$A$12,0))</f>
        <v>Lodging</v>
      </c>
      <c r="N271" s="1" t="str">
        <f>IF(TRIM(H271)="","BLANK",IF(PROPER(TRIM(H271))=TRIM(M271),"MATCH","MISMATCH"))</f>
        <v>MATCH</v>
      </c>
      <c r="O271" s="5" t="str">
        <f>INDEX([1]Employee!$C$2:$C$276,MATCH(B271,[1]Employee!$A$2:$A$276,0))</f>
        <v>Sales &amp; Marketing</v>
      </c>
    </row>
    <row r="272" spans="1:15">
      <c r="A272" s="1" t="s">
        <v>744</v>
      </c>
      <c r="B272" s="1" t="s">
        <v>210</v>
      </c>
      <c r="C272" s="1" t="s">
        <v>745</v>
      </c>
      <c r="D272" s="2">
        <v>46035</v>
      </c>
      <c r="E272" s="2">
        <v>46042</v>
      </c>
      <c r="F272" s="1" t="s">
        <v>52</v>
      </c>
      <c r="G272" s="1" t="s">
        <v>15</v>
      </c>
      <c r="H272" s="1" t="s">
        <v>690</v>
      </c>
      <c r="I272" s="7">
        <v>30.44</v>
      </c>
      <c r="J272" s="1" t="s">
        <v>38</v>
      </c>
      <c r="K272" s="1"/>
      <c r="L272" s="1" t="s">
        <v>39</v>
      </c>
      <c r="M272" s="1" t="str">
        <f>INDEX(MCC_Lookup!$B$2:$B$12,MATCH(G272,MCC_Lookup!$A$2:$A$12,0))</f>
        <v>Entertainment</v>
      </c>
      <c r="N272" s="1" t="str">
        <f>IF(TRIM(H272)="","BLANK",IF(PROPER(TRIM(H272))=TRIM(M272),"MATCH","MISMATCH"))</f>
        <v>MATCH</v>
      </c>
      <c r="O272" s="5" t="str">
        <f>INDEX([1]Employee!$C$2:$C$276,MATCH(B272,[1]Employee!$A$2:$A$276,0))</f>
        <v>Sales &amp; Marketing</v>
      </c>
    </row>
    <row r="273" spans="1:15">
      <c r="A273" s="1" t="s">
        <v>746</v>
      </c>
      <c r="B273" s="1" t="s">
        <v>182</v>
      </c>
      <c r="C273" s="1" t="s">
        <v>747</v>
      </c>
      <c r="D273" s="2">
        <v>46033</v>
      </c>
      <c r="E273" s="2">
        <v>46042</v>
      </c>
      <c r="F273" s="1" t="s">
        <v>92</v>
      </c>
      <c r="G273" s="1" t="s">
        <v>10</v>
      </c>
      <c r="H273" s="1" t="s">
        <v>11</v>
      </c>
      <c r="I273" s="7">
        <v>143.87</v>
      </c>
      <c r="J273" s="1" t="s">
        <v>38</v>
      </c>
      <c r="K273" s="1"/>
      <c r="L273" s="1" t="s">
        <v>48</v>
      </c>
      <c r="M273" s="1" t="str">
        <f>INDEX(MCC_Lookup!$B$2:$B$12,MATCH(G273,MCC_Lookup!$A$2:$A$12,0))</f>
        <v>Office Supplies</v>
      </c>
      <c r="N273" s="1" t="str">
        <f>IF(TRIM(H273)="","BLANK",IF(PROPER(TRIM(H273))=TRIM(M273),"MATCH","MISMATCH"))</f>
        <v>MATCH</v>
      </c>
      <c r="O273" s="5" t="str">
        <f>INDEX([1]Employee!$C$2:$C$276,MATCH(B273,[1]Employee!$A$2:$A$276,0))</f>
        <v>Sales &amp; Marketing</v>
      </c>
    </row>
    <row r="274" spans="1:15">
      <c r="A274" s="1" t="s">
        <v>748</v>
      </c>
      <c r="B274" s="1" t="s">
        <v>749</v>
      </c>
      <c r="C274" s="1" t="s">
        <v>750</v>
      </c>
      <c r="D274" s="2">
        <v>46034</v>
      </c>
      <c r="E274" s="2">
        <v>46042</v>
      </c>
      <c r="F274" s="1" t="s">
        <v>106</v>
      </c>
      <c r="G274" s="1" t="s">
        <v>13</v>
      </c>
      <c r="H274" s="1" t="s">
        <v>14</v>
      </c>
      <c r="I274" s="7">
        <v>130.9</v>
      </c>
      <c r="J274" s="1" t="s">
        <v>38</v>
      </c>
      <c r="K274" s="1"/>
      <c r="L274" s="1" t="s">
        <v>39</v>
      </c>
      <c r="M274" s="1" t="str">
        <f>INDEX(MCC_Lookup!$B$2:$B$12,MATCH(G274,MCC_Lookup!$A$2:$A$12,0))</f>
        <v>Software</v>
      </c>
      <c r="N274" s="1" t="str">
        <f>IF(TRIM(H274)="","BLANK",IF(PROPER(TRIM(H274))=TRIM(M274),"MATCH","MISMATCH"))</f>
        <v>MATCH</v>
      </c>
      <c r="O274" s="5" t="str">
        <f>INDEX([1]Employee!$C$2:$C$276,MATCH(B274,[1]Employee!$A$2:$A$276,0))</f>
        <v>Actuarial &amp; Risk</v>
      </c>
    </row>
    <row r="275" spans="1:15">
      <c r="A275" s="1" t="s">
        <v>751</v>
      </c>
      <c r="B275" s="1" t="s">
        <v>307</v>
      </c>
      <c r="C275" s="1" t="s">
        <v>752</v>
      </c>
      <c r="D275" s="2">
        <v>46041</v>
      </c>
      <c r="E275" s="2">
        <v>46042</v>
      </c>
      <c r="F275" s="1" t="s">
        <v>65</v>
      </c>
      <c r="G275" s="1" t="s">
        <v>18</v>
      </c>
      <c r="H275" s="1" t="s">
        <v>5</v>
      </c>
      <c r="I275" s="7">
        <v>149.71</v>
      </c>
      <c r="J275" s="1" t="s">
        <v>38</v>
      </c>
      <c r="K275" s="1"/>
      <c r="L275" s="1" t="s">
        <v>39</v>
      </c>
      <c r="M275" s="1" t="str">
        <f>INDEX(MCC_Lookup!$B$2:$B$12,MATCH(G275,MCC_Lookup!$A$2:$A$12,0))</f>
        <v>Events</v>
      </c>
      <c r="N275" s="1" t="str">
        <f>IF(TRIM(H275)="","BLANK",IF(PROPER(TRIM(H275))=TRIM(M275),"MATCH","MISMATCH"))</f>
        <v>MISMATCH</v>
      </c>
      <c r="O275" s="5" t="str">
        <f>INDEX([1]Employee!$C$2:$C$276,MATCH(B275,[1]Employee!$A$2:$A$276,0))</f>
        <v>Finance</v>
      </c>
    </row>
    <row r="276" spans="1:15">
      <c r="A276" s="1" t="s">
        <v>753</v>
      </c>
      <c r="B276" s="1" t="s">
        <v>379</v>
      </c>
      <c r="C276" s="1" t="s">
        <v>754</v>
      </c>
      <c r="D276" s="2">
        <v>46035</v>
      </c>
      <c r="E276" s="2">
        <v>46042</v>
      </c>
      <c r="F276" s="1" t="s">
        <v>259</v>
      </c>
      <c r="G276" s="1" t="s">
        <v>20</v>
      </c>
      <c r="H276" s="1" t="s">
        <v>16</v>
      </c>
      <c r="I276" s="7">
        <v>355.37</v>
      </c>
      <c r="J276" s="1" t="s">
        <v>38</v>
      </c>
      <c r="K276" s="1"/>
      <c r="L276" s="1" t="s">
        <v>39</v>
      </c>
      <c r="M276" s="1" t="str">
        <f>INDEX(MCC_Lookup!$B$2:$B$12,MATCH(G276,MCC_Lookup!$A$2:$A$12,0))</f>
        <v>Events</v>
      </c>
      <c r="N276" s="1" t="str">
        <f>IF(TRIM(H276)="","BLANK",IF(PROPER(TRIM(H276))=TRIM(M276),"MATCH","MISMATCH"))</f>
        <v>MISMATCH</v>
      </c>
      <c r="O276" s="5" t="str">
        <f>INDEX([1]Employee!$C$2:$C$276,MATCH(B276,[1]Employee!$A$2:$A$276,0))</f>
        <v>Sales &amp; Marketing</v>
      </c>
    </row>
    <row r="277" spans="1:15">
      <c r="A277" s="1" t="s">
        <v>755</v>
      </c>
      <c r="B277" s="1" t="s">
        <v>756</v>
      </c>
      <c r="C277" s="1" t="s">
        <v>757</v>
      </c>
      <c r="D277" s="2">
        <v>46041</v>
      </c>
      <c r="E277" s="2">
        <v>46042</v>
      </c>
      <c r="F277" s="1" t="s">
        <v>37</v>
      </c>
      <c r="G277" s="1" t="s">
        <v>4</v>
      </c>
      <c r="H277" s="1"/>
      <c r="I277" s="7">
        <v>264.66000000000003</v>
      </c>
      <c r="J277" s="1" t="s">
        <v>38</v>
      </c>
      <c r="K277" s="1"/>
      <c r="L277" s="1" t="s">
        <v>39</v>
      </c>
      <c r="M277" s="1" t="str">
        <f>INDEX(MCC_Lookup!$B$2:$B$12,MATCH(G277,MCC_Lookup!$A$2:$A$12,0))</f>
        <v>Travel</v>
      </c>
      <c r="N277" s="1" t="str">
        <f>IF(TRIM(H277)="","BLANK",IF(PROPER(TRIM(H277))=TRIM(M277),"MATCH","MISMATCH"))</f>
        <v>BLANK</v>
      </c>
      <c r="O277" s="5" t="str">
        <f>INDEX([1]Employee!$C$2:$C$276,MATCH(B277,[1]Employee!$A$2:$A$276,0))</f>
        <v>Claims</v>
      </c>
    </row>
    <row r="278" spans="1:15">
      <c r="A278" s="1" t="s">
        <v>758</v>
      </c>
      <c r="B278" s="1" t="s">
        <v>216</v>
      </c>
      <c r="C278" s="1" t="s">
        <v>759</v>
      </c>
      <c r="D278" s="2">
        <v>46041</v>
      </c>
      <c r="E278" s="2">
        <v>46042</v>
      </c>
      <c r="F278" s="1" t="s">
        <v>65</v>
      </c>
      <c r="G278" s="1" t="s">
        <v>18</v>
      </c>
      <c r="H278" s="1" t="s">
        <v>269</v>
      </c>
      <c r="I278" s="7">
        <v>459.56</v>
      </c>
      <c r="J278" s="1" t="s">
        <v>38</v>
      </c>
      <c r="K278" s="1"/>
      <c r="L278" s="1" t="s">
        <v>39</v>
      </c>
      <c r="M278" s="1" t="str">
        <f>INDEX(MCC_Lookup!$B$2:$B$12,MATCH(G278,MCC_Lookup!$A$2:$A$12,0))</f>
        <v>Events</v>
      </c>
      <c r="N278" s="1" t="str">
        <f>IF(TRIM(H278)="","BLANK",IF(PROPER(TRIM(H278))=TRIM(M278),"MATCH","MISMATCH"))</f>
        <v>MISMATCH</v>
      </c>
      <c r="O278" s="5" t="str">
        <f>INDEX([1]Employee!$C$2:$C$276,MATCH(B278,[1]Employee!$A$2:$A$276,0))</f>
        <v>Sales &amp; Marketing</v>
      </c>
    </row>
    <row r="279" spans="1:15">
      <c r="A279" s="1" t="s">
        <v>760</v>
      </c>
      <c r="B279" s="1" t="s">
        <v>761</v>
      </c>
      <c r="C279" s="1"/>
      <c r="D279" s="2">
        <v>46041</v>
      </c>
      <c r="E279" s="2">
        <v>46042</v>
      </c>
      <c r="F279" s="1" t="s">
        <v>242</v>
      </c>
      <c r="G279" s="1" t="s">
        <v>13</v>
      </c>
      <c r="H279" s="1" t="s">
        <v>14</v>
      </c>
      <c r="I279" s="7">
        <v>26.66</v>
      </c>
      <c r="J279" s="1" t="s">
        <v>111</v>
      </c>
      <c r="K279" s="1" t="s">
        <v>112</v>
      </c>
      <c r="L279" s="1" t="s">
        <v>39</v>
      </c>
      <c r="M279" s="1" t="str">
        <f>INDEX(MCC_Lookup!$B$2:$B$12,MATCH(G279,MCC_Lookup!$A$2:$A$12,0))</f>
        <v>Software</v>
      </c>
      <c r="N279" s="1" t="str">
        <f>IF(TRIM(H279)="","BLANK",IF(PROPER(TRIM(H279))=TRIM(M279),"MATCH","MISMATCH"))</f>
        <v>MATCH</v>
      </c>
      <c r="O279" s="5" t="str">
        <f>INDEX([1]Employee!$C$2:$C$276,MATCH(B279,[1]Employee!$A$2:$A$276,0))</f>
        <v>Finance</v>
      </c>
    </row>
    <row r="280" spans="1:15">
      <c r="A280" s="1" t="s">
        <v>762</v>
      </c>
      <c r="B280" s="1" t="s">
        <v>763</v>
      </c>
      <c r="C280" s="1" t="s">
        <v>764</v>
      </c>
      <c r="D280" s="2">
        <v>46032</v>
      </c>
      <c r="E280" s="2">
        <v>46042</v>
      </c>
      <c r="F280" s="1" t="s">
        <v>120</v>
      </c>
      <c r="G280" s="1" t="s">
        <v>12</v>
      </c>
      <c r="H280" s="1" t="s">
        <v>11</v>
      </c>
      <c r="I280" s="7">
        <v>104.55</v>
      </c>
      <c r="J280" s="1" t="s">
        <v>38</v>
      </c>
      <c r="K280" s="1"/>
      <c r="L280" s="1" t="s">
        <v>39</v>
      </c>
      <c r="M280" s="1" t="str">
        <f>INDEX(MCC_Lookup!$B$2:$B$12,MATCH(G280,MCC_Lookup!$A$2:$A$12,0))</f>
        <v>Office Supplies</v>
      </c>
      <c r="N280" s="1" t="str">
        <f>IF(TRIM(H280)="","BLANK",IF(PROPER(TRIM(H280))=TRIM(M280),"MATCH","MISMATCH"))</f>
        <v>MATCH</v>
      </c>
      <c r="O280" s="5" t="str">
        <f>INDEX([1]Employee!$C$2:$C$276,MATCH(B280,[1]Employee!$A$2:$A$276,0))</f>
        <v>Executive &amp; Corporate</v>
      </c>
    </row>
    <row r="281" spans="1:15">
      <c r="A281" s="1" t="s">
        <v>765</v>
      </c>
      <c r="B281" s="1" t="s">
        <v>373</v>
      </c>
      <c r="C281" s="1" t="s">
        <v>766</v>
      </c>
      <c r="D281" s="2">
        <v>46036</v>
      </c>
      <c r="E281" s="2">
        <v>46042</v>
      </c>
      <c r="F281" s="1" t="s">
        <v>120</v>
      </c>
      <c r="G281" s="1" t="s">
        <v>12</v>
      </c>
      <c r="H281" s="1" t="s">
        <v>11</v>
      </c>
      <c r="I281" s="7">
        <v>29.06</v>
      </c>
      <c r="J281" s="1" t="s">
        <v>38</v>
      </c>
      <c r="K281" s="1"/>
      <c r="L281" s="1" t="s">
        <v>39</v>
      </c>
      <c r="M281" s="1" t="str">
        <f>INDEX(MCC_Lookup!$B$2:$B$12,MATCH(G281,MCC_Lookup!$A$2:$A$12,0))</f>
        <v>Office Supplies</v>
      </c>
      <c r="N281" s="1" t="str">
        <f>IF(TRIM(H281)="","BLANK",IF(PROPER(TRIM(H281))=TRIM(M281),"MATCH","MISMATCH"))</f>
        <v>MATCH</v>
      </c>
      <c r="O281" s="5" t="str">
        <f>INDEX([1]Employee!$C$2:$C$276,MATCH(B281,[1]Employee!$A$2:$A$276,0))</f>
        <v>Sales &amp; Marketing</v>
      </c>
    </row>
    <row r="282" spans="1:15">
      <c r="A282" s="1" t="s">
        <v>767</v>
      </c>
      <c r="B282" s="1" t="s">
        <v>314</v>
      </c>
      <c r="C282" s="1" t="s">
        <v>768</v>
      </c>
      <c r="D282" s="2">
        <v>46040</v>
      </c>
      <c r="E282" s="2">
        <v>46042</v>
      </c>
      <c r="F282" s="1" t="s">
        <v>769</v>
      </c>
      <c r="G282" s="1" t="s">
        <v>18</v>
      </c>
      <c r="H282" s="1" t="s">
        <v>19</v>
      </c>
      <c r="I282" s="7">
        <v>137.22</v>
      </c>
      <c r="J282" s="1" t="s">
        <v>38</v>
      </c>
      <c r="K282" s="1"/>
      <c r="L282" s="1" t="s">
        <v>39</v>
      </c>
      <c r="M282" s="1" t="str">
        <f>INDEX(MCC_Lookup!$B$2:$B$12,MATCH(G282,MCC_Lookup!$A$2:$A$12,0))</f>
        <v>Events</v>
      </c>
      <c r="N282" s="1" t="str">
        <f>IF(TRIM(H282)="","BLANK",IF(PROPER(TRIM(H282))=TRIM(M282),"MATCH","MISMATCH"))</f>
        <v>MATCH</v>
      </c>
      <c r="O282" s="5" t="str">
        <f>INDEX([1]Employee!$C$2:$C$276,MATCH(B282,[1]Employee!$A$2:$A$276,0))</f>
        <v>Sales &amp; Marketing</v>
      </c>
    </row>
    <row r="283" spans="1:15">
      <c r="A283" s="1" t="s">
        <v>770</v>
      </c>
      <c r="B283" s="1" t="s">
        <v>196</v>
      </c>
      <c r="C283" s="1"/>
      <c r="D283" s="2">
        <v>46042</v>
      </c>
      <c r="E283" s="2">
        <v>46042</v>
      </c>
      <c r="F283" s="1" t="s">
        <v>79</v>
      </c>
      <c r="G283" s="1" t="s">
        <v>13</v>
      </c>
      <c r="H283" s="1" t="s">
        <v>14</v>
      </c>
      <c r="I283" s="7">
        <v>246.59</v>
      </c>
      <c r="J283" s="1" t="s">
        <v>38</v>
      </c>
      <c r="K283" s="1"/>
      <c r="L283" s="1" t="s">
        <v>39</v>
      </c>
      <c r="M283" s="1" t="str">
        <f>INDEX(MCC_Lookup!$B$2:$B$12,MATCH(G283,MCC_Lookup!$A$2:$A$12,0))</f>
        <v>Software</v>
      </c>
      <c r="N283" s="1" t="str">
        <f>IF(TRIM(H283)="","BLANK",IF(PROPER(TRIM(H283))=TRIM(M283),"MATCH","MISMATCH"))</f>
        <v>MATCH</v>
      </c>
      <c r="O283" s="5" t="str">
        <f>INDEX([1]Employee!$C$2:$C$276,MATCH(B283,[1]Employee!$A$2:$A$276,0))</f>
        <v>Sales &amp; Marketing</v>
      </c>
    </row>
    <row r="284" spans="1:15">
      <c r="A284" s="1" t="s">
        <v>771</v>
      </c>
      <c r="B284" s="1" t="s">
        <v>772</v>
      </c>
      <c r="C284" s="1" t="s">
        <v>773</v>
      </c>
      <c r="D284" s="2">
        <v>46038</v>
      </c>
      <c r="E284" s="2">
        <v>46042</v>
      </c>
      <c r="F284" s="1" t="s">
        <v>79</v>
      </c>
      <c r="G284" s="1" t="s">
        <v>13</v>
      </c>
      <c r="H284" s="1" t="s">
        <v>14</v>
      </c>
      <c r="I284" s="7">
        <v>168.33</v>
      </c>
      <c r="J284" s="1" t="s">
        <v>38</v>
      </c>
      <c r="K284" s="1"/>
      <c r="L284" s="1" t="s">
        <v>39</v>
      </c>
      <c r="M284" s="1" t="str">
        <f>INDEX(MCC_Lookup!$B$2:$B$12,MATCH(G284,MCC_Lookup!$A$2:$A$12,0))</f>
        <v>Software</v>
      </c>
      <c r="N284" s="1" t="str">
        <f>IF(TRIM(H284)="","BLANK",IF(PROPER(TRIM(H284))=TRIM(M284),"MATCH","MISMATCH"))</f>
        <v>MATCH</v>
      </c>
      <c r="O284" s="5" t="str">
        <f>INDEX([1]Employee!$C$2:$C$276,MATCH(B284,[1]Employee!$A$2:$A$276,0))</f>
        <v>Underwriting</v>
      </c>
    </row>
    <row r="285" spans="1:15">
      <c r="A285" s="1" t="s">
        <v>774</v>
      </c>
      <c r="B285" s="1" t="s">
        <v>171</v>
      </c>
      <c r="C285" s="1" t="s">
        <v>775</v>
      </c>
      <c r="D285" s="2">
        <v>46042</v>
      </c>
      <c r="E285" s="2">
        <v>46042</v>
      </c>
      <c r="F285" s="1" t="s">
        <v>72</v>
      </c>
      <c r="G285" s="1" t="s">
        <v>8</v>
      </c>
      <c r="H285" s="1" t="s">
        <v>9</v>
      </c>
      <c r="I285" s="7">
        <v>23.17</v>
      </c>
      <c r="J285" s="1" t="s">
        <v>38</v>
      </c>
      <c r="K285" s="1"/>
      <c r="L285" s="1" t="s">
        <v>39</v>
      </c>
      <c r="M285" s="1" t="str">
        <f>INDEX(MCC_Lookup!$B$2:$B$12,MATCH(G285,MCC_Lookup!$A$2:$A$12,0))</f>
        <v>Transportation</v>
      </c>
      <c r="N285" s="1" t="str">
        <f>IF(TRIM(H285)="","BLANK",IF(PROPER(TRIM(H285))=TRIM(M285),"MATCH","MISMATCH"))</f>
        <v>MATCH</v>
      </c>
      <c r="O285" s="5" t="str">
        <f>INDEX([1]Employee!$C$2:$C$276,MATCH(B285,[1]Employee!$A$2:$A$276,0))</f>
        <v>Claims</v>
      </c>
    </row>
    <row r="286" spans="1:15">
      <c r="A286" s="1" t="s">
        <v>776</v>
      </c>
      <c r="B286" s="1" t="s">
        <v>531</v>
      </c>
      <c r="C286" s="1" t="s">
        <v>777</v>
      </c>
      <c r="D286" s="2">
        <v>46043</v>
      </c>
      <c r="E286" s="2">
        <v>46043</v>
      </c>
      <c r="F286" s="1" t="s">
        <v>65</v>
      </c>
      <c r="G286" s="1" t="s">
        <v>18</v>
      </c>
      <c r="H286" s="1" t="s">
        <v>19</v>
      </c>
      <c r="I286" s="7">
        <v>213.47</v>
      </c>
      <c r="J286" s="1" t="s">
        <v>38</v>
      </c>
      <c r="K286" s="1"/>
      <c r="L286" s="1" t="s">
        <v>39</v>
      </c>
      <c r="M286" s="1" t="str">
        <f>INDEX(MCC_Lookup!$B$2:$B$12,MATCH(G286,MCC_Lookup!$A$2:$A$12,0))</f>
        <v>Events</v>
      </c>
      <c r="N286" s="1" t="str">
        <f>IF(TRIM(H286)="","BLANK",IF(PROPER(TRIM(H286))=TRIM(M286),"MATCH","MISMATCH"))</f>
        <v>MATCH</v>
      </c>
      <c r="O286" s="5" t="str">
        <f>INDEX([1]Employee!$C$2:$C$276,MATCH(B286,[1]Employee!$A$2:$A$276,0))</f>
        <v>Sales &amp; Marketing</v>
      </c>
    </row>
    <row r="287" spans="1:15">
      <c r="A287" s="1" t="s">
        <v>778</v>
      </c>
      <c r="B287" s="1" t="s">
        <v>531</v>
      </c>
      <c r="C287" s="1" t="s">
        <v>779</v>
      </c>
      <c r="D287" s="2">
        <v>46041</v>
      </c>
      <c r="E287" s="2">
        <v>46043</v>
      </c>
      <c r="F287" s="1" t="s">
        <v>56</v>
      </c>
      <c r="G287" s="1" t="s">
        <v>4</v>
      </c>
      <c r="H287" s="1" t="s">
        <v>5</v>
      </c>
      <c r="I287" s="7">
        <v>468.39</v>
      </c>
      <c r="J287" s="1" t="s">
        <v>38</v>
      </c>
      <c r="K287" s="1"/>
      <c r="L287" s="1" t="s">
        <v>39</v>
      </c>
      <c r="M287" s="1" t="str">
        <f>INDEX(MCC_Lookup!$B$2:$B$12,MATCH(G287,MCC_Lookup!$A$2:$A$12,0))</f>
        <v>Travel</v>
      </c>
      <c r="N287" s="1" t="str">
        <f>IF(TRIM(H287)="","BLANK",IF(PROPER(TRIM(H287))=TRIM(M287),"MATCH","MISMATCH"))</f>
        <v>MATCH</v>
      </c>
      <c r="O287" s="5" t="str">
        <f>INDEX([1]Employee!$C$2:$C$276,MATCH(B287,[1]Employee!$A$2:$A$276,0))</f>
        <v>Sales &amp; Marketing</v>
      </c>
    </row>
    <row r="288" spans="1:15">
      <c r="A288" s="1" t="s">
        <v>780</v>
      </c>
      <c r="B288" s="1" t="s">
        <v>41</v>
      </c>
      <c r="C288" s="1"/>
      <c r="D288" s="2">
        <v>46040</v>
      </c>
      <c r="E288" s="2">
        <v>46043</v>
      </c>
      <c r="F288" s="1" t="s">
        <v>43</v>
      </c>
      <c r="G288" s="1" t="s">
        <v>2</v>
      </c>
      <c r="H288" s="1" t="s">
        <v>3</v>
      </c>
      <c r="I288" s="7">
        <v>10.42</v>
      </c>
      <c r="J288" s="1" t="s">
        <v>111</v>
      </c>
      <c r="K288" s="1" t="s">
        <v>112</v>
      </c>
      <c r="L288" s="1" t="s">
        <v>48</v>
      </c>
      <c r="M288" s="1" t="str">
        <f>INDEX(MCC_Lookup!$B$2:$B$12,MATCH(G288,MCC_Lookup!$A$2:$A$12,0))</f>
        <v>Meals</v>
      </c>
      <c r="N288" s="1" t="str">
        <f>IF(TRIM(H288)="","BLANK",IF(PROPER(TRIM(H288))=TRIM(M288),"MATCH","MISMATCH"))</f>
        <v>MATCH</v>
      </c>
      <c r="O288" s="5" t="str">
        <f>INDEX([1]Employee!$C$2:$C$276,MATCH(B288,[1]Employee!$A$2:$A$276,0))</f>
        <v>Sales &amp; Marketing</v>
      </c>
    </row>
    <row r="289" spans="1:15">
      <c r="A289" s="1" t="s">
        <v>781</v>
      </c>
      <c r="B289" s="1" t="s">
        <v>679</v>
      </c>
      <c r="C289" s="1"/>
      <c r="D289" s="2">
        <v>46041</v>
      </c>
      <c r="E289" s="2">
        <v>46043</v>
      </c>
      <c r="F289" s="1" t="s">
        <v>305</v>
      </c>
      <c r="G289" s="1" t="s">
        <v>2</v>
      </c>
      <c r="H289" s="1" t="s">
        <v>3</v>
      </c>
      <c r="I289" s="7">
        <v>16.82</v>
      </c>
      <c r="J289" s="1" t="s">
        <v>111</v>
      </c>
      <c r="K289" s="1" t="s">
        <v>127</v>
      </c>
      <c r="L289" s="1" t="s">
        <v>39</v>
      </c>
      <c r="M289" s="1" t="str">
        <f>INDEX(MCC_Lookup!$B$2:$B$12,MATCH(G289,MCC_Lookup!$A$2:$A$12,0))</f>
        <v>Meals</v>
      </c>
      <c r="N289" s="1" t="str">
        <f>IF(TRIM(H289)="","BLANK",IF(PROPER(TRIM(H289))=TRIM(M289),"MATCH","MISMATCH"))</f>
        <v>MATCH</v>
      </c>
      <c r="O289" s="5" t="str">
        <f>INDEX([1]Employee!$C$2:$C$276,MATCH(B289,[1]Employee!$A$2:$A$276,0))</f>
        <v>Sales &amp; Marketing</v>
      </c>
    </row>
    <row r="290" spans="1:15">
      <c r="A290" s="1" t="s">
        <v>782</v>
      </c>
      <c r="B290" s="1" t="s">
        <v>159</v>
      </c>
      <c r="C290" s="1" t="s">
        <v>783</v>
      </c>
      <c r="D290" s="2">
        <v>46034</v>
      </c>
      <c r="E290" s="2">
        <v>46043</v>
      </c>
      <c r="F290" s="1" t="s">
        <v>61</v>
      </c>
      <c r="G290" s="1" t="s">
        <v>13</v>
      </c>
      <c r="H290" s="1" t="s">
        <v>14</v>
      </c>
      <c r="I290" s="7">
        <v>71.239999999999995</v>
      </c>
      <c r="J290" s="1" t="s">
        <v>38</v>
      </c>
      <c r="K290" s="1"/>
      <c r="L290" s="1" t="s">
        <v>39</v>
      </c>
      <c r="M290" s="1" t="str">
        <f>INDEX(MCC_Lookup!$B$2:$B$12,MATCH(G290,MCC_Lookup!$A$2:$A$12,0))</f>
        <v>Software</v>
      </c>
      <c r="N290" s="1" t="str">
        <f>IF(TRIM(H290)="","BLANK",IF(PROPER(TRIM(H290))=TRIM(M290),"MATCH","MISMATCH"))</f>
        <v>MATCH</v>
      </c>
      <c r="O290" s="5" t="str">
        <f>INDEX([1]Employee!$C$2:$C$276,MATCH(B290,[1]Employee!$A$2:$A$276,0))</f>
        <v>Actuarial &amp; Risk</v>
      </c>
    </row>
    <row r="291" spans="1:15">
      <c r="A291" s="1" t="s">
        <v>784</v>
      </c>
      <c r="B291" s="1" t="s">
        <v>373</v>
      </c>
      <c r="C291" s="1" t="s">
        <v>785</v>
      </c>
      <c r="D291" s="2">
        <v>46040</v>
      </c>
      <c r="E291" s="2">
        <v>46043</v>
      </c>
      <c r="F291" s="1" t="s">
        <v>504</v>
      </c>
      <c r="G291" s="1" t="s">
        <v>13</v>
      </c>
      <c r="H291" s="1" t="s">
        <v>14</v>
      </c>
      <c r="I291" s="7">
        <v>15.29</v>
      </c>
      <c r="J291" s="1" t="s">
        <v>38</v>
      </c>
      <c r="K291" s="1"/>
      <c r="L291" s="1" t="s">
        <v>39</v>
      </c>
      <c r="M291" s="1" t="str">
        <f>INDEX(MCC_Lookup!$B$2:$B$12,MATCH(G291,MCC_Lookup!$A$2:$A$12,0))</f>
        <v>Software</v>
      </c>
      <c r="N291" s="1" t="str">
        <f>IF(TRIM(H291)="","BLANK",IF(PROPER(TRIM(H291))=TRIM(M291),"MATCH","MISMATCH"))</f>
        <v>MATCH</v>
      </c>
      <c r="O291" s="5" t="str">
        <f>INDEX([1]Employee!$C$2:$C$276,MATCH(B291,[1]Employee!$A$2:$A$276,0))</f>
        <v>Sales &amp; Marketing</v>
      </c>
    </row>
    <row r="292" spans="1:15">
      <c r="A292" s="1" t="s">
        <v>786</v>
      </c>
      <c r="B292" s="1" t="s">
        <v>448</v>
      </c>
      <c r="C292" s="1" t="s">
        <v>787</v>
      </c>
      <c r="D292" s="2">
        <v>46042</v>
      </c>
      <c r="E292" s="2">
        <v>46043</v>
      </c>
      <c r="F292" s="1" t="s">
        <v>124</v>
      </c>
      <c r="G292" s="1" t="s">
        <v>17</v>
      </c>
      <c r="H292" s="1" t="s">
        <v>403</v>
      </c>
      <c r="I292" s="7">
        <v>145.63999999999999</v>
      </c>
      <c r="J292" s="1" t="s">
        <v>38</v>
      </c>
      <c r="K292" s="1"/>
      <c r="L292" s="1" t="s">
        <v>39</v>
      </c>
      <c r="M292" s="1" t="str">
        <f>INDEX(MCC_Lookup!$B$2:$B$12,MATCH(G292,MCC_Lookup!$A$2:$A$12,0))</f>
        <v>Entertainment</v>
      </c>
      <c r="N292" s="1" t="str">
        <f>IF(TRIM(H292)="","BLANK",IF(PROPER(TRIM(H292))=TRIM(M292),"MATCH","MISMATCH"))</f>
        <v>MATCH</v>
      </c>
      <c r="O292" s="5" t="str">
        <f>INDEX([1]Employee!$C$2:$C$276,MATCH(B292,[1]Employee!$A$2:$A$276,0))</f>
        <v>Sales &amp; Marketing</v>
      </c>
    </row>
    <row r="293" spans="1:15">
      <c r="A293" s="1" t="s">
        <v>788</v>
      </c>
      <c r="B293" s="1" t="s">
        <v>789</v>
      </c>
      <c r="C293" s="1" t="s">
        <v>790</v>
      </c>
      <c r="D293" s="2">
        <v>46037</v>
      </c>
      <c r="E293" s="2">
        <v>46043</v>
      </c>
      <c r="F293" s="1" t="s">
        <v>106</v>
      </c>
      <c r="G293" s="1" t="s">
        <v>13</v>
      </c>
      <c r="H293" s="1" t="s">
        <v>14</v>
      </c>
      <c r="I293" s="7">
        <v>57.4</v>
      </c>
      <c r="J293" s="1" t="s">
        <v>38</v>
      </c>
      <c r="K293" s="1"/>
      <c r="L293" s="1" t="s">
        <v>39</v>
      </c>
      <c r="M293" s="1" t="str">
        <f>INDEX(MCC_Lookup!$B$2:$B$12,MATCH(G293,MCC_Lookup!$A$2:$A$12,0))</f>
        <v>Software</v>
      </c>
      <c r="N293" s="1" t="str">
        <f>IF(TRIM(H293)="","BLANK",IF(PROPER(TRIM(H293))=TRIM(M293),"MATCH","MISMATCH"))</f>
        <v>MATCH</v>
      </c>
      <c r="O293" s="5" t="str">
        <f>INDEX([1]Employee!$C$2:$C$276,MATCH(B293,[1]Employee!$A$2:$A$276,0))</f>
        <v>Actuarial &amp; Risk</v>
      </c>
    </row>
    <row r="294" spans="1:15">
      <c r="A294" s="1" t="s">
        <v>791</v>
      </c>
      <c r="B294" s="1" t="s">
        <v>792</v>
      </c>
      <c r="C294" s="1" t="s">
        <v>793</v>
      </c>
      <c r="D294" s="2">
        <v>46034</v>
      </c>
      <c r="E294" s="2">
        <v>46043</v>
      </c>
      <c r="F294" s="1" t="s">
        <v>83</v>
      </c>
      <c r="G294" s="1" t="s">
        <v>2</v>
      </c>
      <c r="H294" s="1" t="s">
        <v>794</v>
      </c>
      <c r="I294" s="7">
        <v>29.49</v>
      </c>
      <c r="J294" s="1" t="s">
        <v>38</v>
      </c>
      <c r="K294" s="1"/>
      <c r="L294" s="1" t="s">
        <v>39</v>
      </c>
      <c r="M294" s="1" t="str">
        <f>INDEX(MCC_Lookup!$B$2:$B$12,MATCH(G294,MCC_Lookup!$A$2:$A$12,0))</f>
        <v>Meals</v>
      </c>
      <c r="N294" s="1" t="str">
        <f>IF(TRIM(H294)="","BLANK",IF(PROPER(TRIM(H294))=TRIM(M294),"MATCH","MISMATCH"))</f>
        <v>MATCH</v>
      </c>
      <c r="O294" s="5" t="str">
        <f>INDEX([1]Employee!$C$2:$C$276,MATCH(B294,[1]Employee!$A$2:$A$276,0))</f>
        <v>Underwriting</v>
      </c>
    </row>
    <row r="295" spans="1:15">
      <c r="A295" s="1" t="s">
        <v>795</v>
      </c>
      <c r="B295" s="1" t="s">
        <v>216</v>
      </c>
      <c r="C295" s="1" t="s">
        <v>796</v>
      </c>
      <c r="D295" s="2">
        <v>46033</v>
      </c>
      <c r="E295" s="2">
        <v>46043</v>
      </c>
      <c r="F295" s="1" t="s">
        <v>173</v>
      </c>
      <c r="G295" s="1" t="s">
        <v>2</v>
      </c>
      <c r="H295" s="1" t="s">
        <v>3</v>
      </c>
      <c r="I295" s="7">
        <v>39.39</v>
      </c>
      <c r="J295" s="1" t="s">
        <v>38</v>
      </c>
      <c r="K295" s="1"/>
      <c r="L295" s="1" t="s">
        <v>39</v>
      </c>
      <c r="M295" s="1" t="str">
        <f>INDEX(MCC_Lookup!$B$2:$B$12,MATCH(G295,MCC_Lookup!$A$2:$A$12,0))</f>
        <v>Meals</v>
      </c>
      <c r="N295" s="1" t="str">
        <f>IF(TRIM(H295)="","BLANK",IF(PROPER(TRIM(H295))=TRIM(M295),"MATCH","MISMATCH"))</f>
        <v>MATCH</v>
      </c>
      <c r="O295" s="5" t="str">
        <f>INDEX([1]Employee!$C$2:$C$276,MATCH(B295,[1]Employee!$A$2:$A$276,0))</f>
        <v>Sales &amp; Marketing</v>
      </c>
    </row>
    <row r="296" spans="1:15">
      <c r="A296" s="1" t="s">
        <v>797</v>
      </c>
      <c r="B296" s="1" t="s">
        <v>667</v>
      </c>
      <c r="C296" s="1" t="s">
        <v>798</v>
      </c>
      <c r="D296" s="2">
        <v>46041</v>
      </c>
      <c r="E296" s="2">
        <v>46043</v>
      </c>
      <c r="F296" s="1" t="s">
        <v>43</v>
      </c>
      <c r="G296" s="1" t="s">
        <v>2</v>
      </c>
      <c r="H296" s="1" t="s">
        <v>3</v>
      </c>
      <c r="I296" s="7">
        <v>15.49</v>
      </c>
      <c r="J296" s="1" t="s">
        <v>38</v>
      </c>
      <c r="K296" s="1"/>
      <c r="L296" s="1" t="s">
        <v>39</v>
      </c>
      <c r="M296" s="1" t="str">
        <f>INDEX(MCC_Lookup!$B$2:$B$12,MATCH(G296,MCC_Lookup!$A$2:$A$12,0))</f>
        <v>Meals</v>
      </c>
      <c r="N296" s="1" t="str">
        <f>IF(TRIM(H296)="","BLANK",IF(PROPER(TRIM(H296))=TRIM(M296),"MATCH","MISMATCH"))</f>
        <v>MATCH</v>
      </c>
      <c r="O296" s="5" t="str">
        <f>INDEX([1]Employee!$C$2:$C$276,MATCH(B296,[1]Employee!$A$2:$A$276,0))</f>
        <v>Sales &amp; Marketing</v>
      </c>
    </row>
    <row r="297" spans="1:15">
      <c r="A297" s="1" t="s">
        <v>799</v>
      </c>
      <c r="B297" s="1" t="s">
        <v>118</v>
      </c>
      <c r="C297" s="1"/>
      <c r="D297" s="2">
        <v>46042</v>
      </c>
      <c r="E297" s="2">
        <v>46043</v>
      </c>
      <c r="F297" s="1" t="s">
        <v>47</v>
      </c>
      <c r="G297" s="1" t="s">
        <v>6</v>
      </c>
      <c r="H297" s="1" t="s">
        <v>7</v>
      </c>
      <c r="I297" s="7">
        <v>346.13</v>
      </c>
      <c r="J297" s="1" t="s">
        <v>111</v>
      </c>
      <c r="K297" s="1" t="s">
        <v>229</v>
      </c>
      <c r="L297" s="1" t="s">
        <v>39</v>
      </c>
      <c r="M297" s="1" t="str">
        <f>INDEX(MCC_Lookup!$B$2:$B$12,MATCH(G297,MCC_Lookup!$A$2:$A$12,0))</f>
        <v>Lodging</v>
      </c>
      <c r="N297" s="1" t="str">
        <f>IF(TRIM(H297)="","BLANK",IF(PROPER(TRIM(H297))=TRIM(M297),"MATCH","MISMATCH"))</f>
        <v>MATCH</v>
      </c>
      <c r="O297" s="5" t="str">
        <f>INDEX([1]Employee!$C$2:$C$276,MATCH(B297,[1]Employee!$A$2:$A$276,0))</f>
        <v>Underwriting</v>
      </c>
    </row>
    <row r="298" spans="1:15">
      <c r="A298" s="1" t="s">
        <v>800</v>
      </c>
      <c r="B298" s="1" t="s">
        <v>499</v>
      </c>
      <c r="C298" s="1" t="s">
        <v>801</v>
      </c>
      <c r="D298" s="2">
        <v>46042</v>
      </c>
      <c r="E298" s="2">
        <v>46043</v>
      </c>
      <c r="F298" s="1" t="s">
        <v>116</v>
      </c>
      <c r="G298" s="1" t="s">
        <v>2</v>
      </c>
      <c r="H298" s="1" t="s">
        <v>3</v>
      </c>
      <c r="I298" s="7">
        <v>10.88</v>
      </c>
      <c r="J298" s="1" t="s">
        <v>38</v>
      </c>
      <c r="K298" s="1"/>
      <c r="L298" s="1" t="s">
        <v>39</v>
      </c>
      <c r="M298" s="1" t="str">
        <f>INDEX(MCC_Lookup!$B$2:$B$12,MATCH(G298,MCC_Lookup!$A$2:$A$12,0))</f>
        <v>Meals</v>
      </c>
      <c r="N298" s="1" t="str">
        <f>IF(TRIM(H298)="","BLANK",IF(PROPER(TRIM(H298))=TRIM(M298),"MATCH","MISMATCH"))</f>
        <v>MATCH</v>
      </c>
      <c r="O298" s="5" t="str">
        <f>INDEX([1]Employee!$C$2:$C$276,MATCH(B298,[1]Employee!$A$2:$A$276,0))</f>
        <v>Sales &amp; Marketing</v>
      </c>
    </row>
    <row r="299" spans="1:15">
      <c r="A299" s="1" t="s">
        <v>802</v>
      </c>
      <c r="B299" s="1" t="s">
        <v>527</v>
      </c>
      <c r="C299" s="1" t="s">
        <v>803</v>
      </c>
      <c r="D299" s="2">
        <v>46035</v>
      </c>
      <c r="E299" s="2">
        <v>46043</v>
      </c>
      <c r="F299" s="1" t="s">
        <v>160</v>
      </c>
      <c r="G299" s="1" t="s">
        <v>6</v>
      </c>
      <c r="H299" s="1" t="s">
        <v>7</v>
      </c>
      <c r="I299" s="7">
        <v>325.11</v>
      </c>
      <c r="J299" s="1" t="s">
        <v>38</v>
      </c>
      <c r="K299" s="1"/>
      <c r="L299" s="1" t="s">
        <v>39</v>
      </c>
      <c r="M299" s="1" t="str">
        <f>INDEX(MCC_Lookup!$B$2:$B$12,MATCH(G299,MCC_Lookup!$A$2:$A$12,0))</f>
        <v>Lodging</v>
      </c>
      <c r="N299" s="1" t="str">
        <f>IF(TRIM(H299)="","BLANK",IF(PROPER(TRIM(H299))=TRIM(M299),"MATCH","MISMATCH"))</f>
        <v>MATCH</v>
      </c>
      <c r="O299" s="5" t="str">
        <f>INDEX([1]Employee!$C$2:$C$276,MATCH(B299,[1]Employee!$A$2:$A$276,0))</f>
        <v>Customer Support</v>
      </c>
    </row>
    <row r="300" spans="1:15">
      <c r="A300" s="1" t="s">
        <v>804</v>
      </c>
      <c r="B300" s="1" t="s">
        <v>152</v>
      </c>
      <c r="C300" s="1" t="s">
        <v>805</v>
      </c>
      <c r="D300" s="2">
        <v>46041</v>
      </c>
      <c r="E300" s="2">
        <v>46043</v>
      </c>
      <c r="F300" s="1" t="s">
        <v>177</v>
      </c>
      <c r="G300" s="1" t="s">
        <v>13</v>
      </c>
      <c r="H300" s="1" t="s">
        <v>14</v>
      </c>
      <c r="I300" s="7">
        <v>26.79</v>
      </c>
      <c r="J300" s="1" t="s">
        <v>38</v>
      </c>
      <c r="K300" s="1"/>
      <c r="L300" s="1" t="s">
        <v>39</v>
      </c>
      <c r="M300" s="1" t="str">
        <f>INDEX(MCC_Lookup!$B$2:$B$12,MATCH(G300,MCC_Lookup!$A$2:$A$12,0))</f>
        <v>Software</v>
      </c>
      <c r="N300" s="1" t="str">
        <f>IF(TRIM(H300)="","BLANK",IF(PROPER(TRIM(H300))=TRIM(M300),"MATCH","MISMATCH"))</f>
        <v>MATCH</v>
      </c>
      <c r="O300" s="5" t="str">
        <f>INDEX([1]Employee!$C$2:$C$276,MATCH(B300,[1]Employee!$A$2:$A$276,0))</f>
        <v>Sales &amp; Marketing</v>
      </c>
    </row>
    <row r="301" spans="1:15">
      <c r="A301" s="1" t="s">
        <v>806</v>
      </c>
      <c r="B301" s="1" t="s">
        <v>74</v>
      </c>
      <c r="C301" s="1"/>
      <c r="D301" s="2">
        <v>46037</v>
      </c>
      <c r="E301" s="2">
        <v>46043</v>
      </c>
      <c r="F301" s="1" t="s">
        <v>61</v>
      </c>
      <c r="G301" s="1" t="s">
        <v>13</v>
      </c>
      <c r="H301" s="1" t="s">
        <v>14</v>
      </c>
      <c r="I301" s="7">
        <v>77.12</v>
      </c>
      <c r="J301" s="1" t="s">
        <v>38</v>
      </c>
      <c r="K301" s="1"/>
      <c r="L301" s="1" t="s">
        <v>48</v>
      </c>
      <c r="M301" s="1" t="str">
        <f>INDEX(MCC_Lookup!$B$2:$B$12,MATCH(G301,MCC_Lookup!$A$2:$A$12,0))</f>
        <v>Software</v>
      </c>
      <c r="N301" s="1" t="str">
        <f>IF(TRIM(H301)="","BLANK",IF(PROPER(TRIM(H301))=TRIM(M301),"MATCH","MISMATCH"))</f>
        <v>MATCH</v>
      </c>
      <c r="O301" s="5" t="str">
        <f>INDEX([1]Employee!$C$2:$C$276,MATCH(B301,[1]Employee!$A$2:$A$276,0))</f>
        <v>Underwriting</v>
      </c>
    </row>
    <row r="302" spans="1:15">
      <c r="A302" s="1" t="s">
        <v>807</v>
      </c>
      <c r="B302" s="1" t="s">
        <v>709</v>
      </c>
      <c r="C302" s="1" t="s">
        <v>808</v>
      </c>
      <c r="D302" s="2">
        <v>46033</v>
      </c>
      <c r="E302" s="2">
        <v>46043</v>
      </c>
      <c r="F302" s="1" t="s">
        <v>124</v>
      </c>
      <c r="G302" s="1" t="s">
        <v>17</v>
      </c>
      <c r="H302" s="1" t="s">
        <v>16</v>
      </c>
      <c r="I302" s="7">
        <v>134.18</v>
      </c>
      <c r="J302" s="1" t="s">
        <v>38</v>
      </c>
      <c r="K302" s="1"/>
      <c r="L302" s="1" t="s">
        <v>39</v>
      </c>
      <c r="M302" s="1" t="str">
        <f>INDEX(MCC_Lookup!$B$2:$B$12,MATCH(G302,MCC_Lookup!$A$2:$A$12,0))</f>
        <v>Entertainment</v>
      </c>
      <c r="N302" s="1" t="str">
        <f>IF(TRIM(H302)="","BLANK",IF(PROPER(TRIM(H302))=TRIM(M302),"MATCH","MISMATCH"))</f>
        <v>MATCH</v>
      </c>
      <c r="O302" s="5" t="str">
        <f>INDEX([1]Employee!$C$2:$C$276,MATCH(B302,[1]Employee!$A$2:$A$276,0))</f>
        <v>Underwriting</v>
      </c>
    </row>
    <row r="303" spans="1:15">
      <c r="A303" s="1" t="s">
        <v>809</v>
      </c>
      <c r="B303" s="1" t="s">
        <v>810</v>
      </c>
      <c r="C303" s="1" t="s">
        <v>811</v>
      </c>
      <c r="D303" s="2">
        <v>46034</v>
      </c>
      <c r="E303" s="2">
        <v>46043</v>
      </c>
      <c r="F303" s="1" t="s">
        <v>56</v>
      </c>
      <c r="G303" s="1" t="s">
        <v>4</v>
      </c>
      <c r="H303" s="1" t="s">
        <v>5</v>
      </c>
      <c r="I303" s="7">
        <v>305.44</v>
      </c>
      <c r="J303" s="1" t="s">
        <v>38</v>
      </c>
      <c r="K303" s="1"/>
      <c r="L303" s="1" t="s">
        <v>39</v>
      </c>
      <c r="M303" s="1" t="str">
        <f>INDEX(MCC_Lookup!$B$2:$B$12,MATCH(G303,MCC_Lookup!$A$2:$A$12,0))</f>
        <v>Travel</v>
      </c>
      <c r="N303" s="1" t="str">
        <f>IF(TRIM(H303)="","BLANK",IF(PROPER(TRIM(H303))=TRIM(M303),"MATCH","MISMATCH"))</f>
        <v>MATCH</v>
      </c>
      <c r="O303" s="5" t="str">
        <f>INDEX([1]Employee!$C$2:$C$276,MATCH(B303,[1]Employee!$A$2:$A$276,0))</f>
        <v>Sales &amp; Marketing</v>
      </c>
    </row>
    <row r="304" spans="1:15">
      <c r="A304" s="1" t="s">
        <v>812</v>
      </c>
      <c r="B304" s="1" t="s">
        <v>810</v>
      </c>
      <c r="C304" s="1" t="s">
        <v>813</v>
      </c>
      <c r="D304" s="2">
        <v>46033</v>
      </c>
      <c r="E304" s="2">
        <v>46043</v>
      </c>
      <c r="F304" s="1" t="s">
        <v>72</v>
      </c>
      <c r="G304" s="1" t="s">
        <v>8</v>
      </c>
      <c r="H304" s="1" t="s">
        <v>9</v>
      </c>
      <c r="I304" s="7">
        <v>51.46</v>
      </c>
      <c r="J304" s="1" t="s">
        <v>38</v>
      </c>
      <c r="K304" s="1"/>
      <c r="L304" s="1" t="s">
        <v>39</v>
      </c>
      <c r="M304" s="1" t="str">
        <f>INDEX(MCC_Lookup!$B$2:$B$12,MATCH(G304,MCC_Lookup!$A$2:$A$12,0))</f>
        <v>Transportation</v>
      </c>
      <c r="N304" s="1" t="str">
        <f>IF(TRIM(H304)="","BLANK",IF(PROPER(TRIM(H304))=TRIM(M304),"MATCH","MISMATCH"))</f>
        <v>MATCH</v>
      </c>
      <c r="O304" s="5" t="str">
        <f>INDEX([1]Employee!$C$2:$C$276,MATCH(B304,[1]Employee!$A$2:$A$276,0))</f>
        <v>Sales &amp; Marketing</v>
      </c>
    </row>
    <row r="305" spans="1:15">
      <c r="A305" s="1" t="s">
        <v>814</v>
      </c>
      <c r="B305" s="1" t="s">
        <v>815</v>
      </c>
      <c r="C305" s="1" t="s">
        <v>816</v>
      </c>
      <c r="D305" s="2">
        <v>46043</v>
      </c>
      <c r="E305" s="2">
        <v>46044</v>
      </c>
      <c r="F305" s="1" t="s">
        <v>305</v>
      </c>
      <c r="G305" s="1" t="s">
        <v>2</v>
      </c>
      <c r="H305" s="1" t="s">
        <v>138</v>
      </c>
      <c r="I305" s="7">
        <v>13.31</v>
      </c>
      <c r="J305" s="1" t="s">
        <v>38</v>
      </c>
      <c r="K305" s="1"/>
      <c r="L305" s="1" t="s">
        <v>39</v>
      </c>
      <c r="M305" s="1" t="str">
        <f>INDEX(MCC_Lookup!$B$2:$B$12,MATCH(G305,MCC_Lookup!$A$2:$A$12,0))</f>
        <v>Meals</v>
      </c>
      <c r="N305" s="1" t="str">
        <f>IF(TRIM(H305)="","BLANK",IF(PROPER(TRIM(H305))=TRIM(M305),"MATCH","MISMATCH"))</f>
        <v>MATCH</v>
      </c>
      <c r="O305" s="5" t="str">
        <f>INDEX([1]Employee!$C$2:$C$276,MATCH(B305,[1]Employee!$A$2:$A$276,0))</f>
        <v>Claims</v>
      </c>
    </row>
    <row r="306" spans="1:15">
      <c r="A306" s="1" t="s">
        <v>817</v>
      </c>
      <c r="B306" s="1" t="s">
        <v>314</v>
      </c>
      <c r="C306" s="1"/>
      <c r="D306" s="2">
        <v>46043</v>
      </c>
      <c r="E306" s="2">
        <v>46044</v>
      </c>
      <c r="F306" s="1" t="s">
        <v>116</v>
      </c>
      <c r="G306" s="1" t="s">
        <v>2</v>
      </c>
      <c r="H306" s="1" t="s">
        <v>3</v>
      </c>
      <c r="I306" s="7">
        <v>11.56</v>
      </c>
      <c r="J306" s="1" t="s">
        <v>111</v>
      </c>
      <c r="K306" s="1" t="s">
        <v>161</v>
      </c>
      <c r="L306" s="1" t="s">
        <v>39</v>
      </c>
      <c r="M306" s="1" t="str">
        <f>INDEX(MCC_Lookup!$B$2:$B$12,MATCH(G306,MCC_Lookup!$A$2:$A$12,0))</f>
        <v>Meals</v>
      </c>
      <c r="N306" s="1" t="str">
        <f>IF(TRIM(H306)="","BLANK",IF(PROPER(TRIM(H306))=TRIM(M306),"MATCH","MISMATCH"))</f>
        <v>MATCH</v>
      </c>
      <c r="O306" s="5" t="str">
        <f>INDEX([1]Employee!$C$2:$C$276,MATCH(B306,[1]Employee!$A$2:$A$276,0))</f>
        <v>Sales &amp; Marketing</v>
      </c>
    </row>
    <row r="307" spans="1:15">
      <c r="A307" s="1" t="s">
        <v>818</v>
      </c>
      <c r="B307" s="1" t="s">
        <v>97</v>
      </c>
      <c r="C307" s="1" t="s">
        <v>819</v>
      </c>
      <c r="D307" s="2">
        <v>46042</v>
      </c>
      <c r="E307" s="2">
        <v>46044</v>
      </c>
      <c r="F307" s="1" t="s">
        <v>106</v>
      </c>
      <c r="G307" s="1" t="s">
        <v>13</v>
      </c>
      <c r="H307" s="1" t="s">
        <v>14</v>
      </c>
      <c r="I307" s="7">
        <v>55.42</v>
      </c>
      <c r="J307" s="1" t="s">
        <v>38</v>
      </c>
      <c r="K307" s="1"/>
      <c r="L307" s="1" t="s">
        <v>39</v>
      </c>
      <c r="M307" s="1" t="str">
        <f>INDEX(MCC_Lookup!$B$2:$B$12,MATCH(G307,MCC_Lookup!$A$2:$A$12,0))</f>
        <v>Software</v>
      </c>
      <c r="N307" s="1" t="str">
        <f>IF(TRIM(H307)="","BLANK",IF(PROPER(TRIM(H307))=TRIM(M307),"MATCH","MISMATCH"))</f>
        <v>MATCH</v>
      </c>
      <c r="O307" s="5" t="str">
        <f>INDEX([1]Employee!$C$2:$C$276,MATCH(B307,[1]Employee!$A$2:$A$276,0))</f>
        <v>Sales &amp; Marketing</v>
      </c>
    </row>
    <row r="308" spans="1:15">
      <c r="A308" s="1" t="s">
        <v>820</v>
      </c>
      <c r="B308" s="1" t="s">
        <v>821</v>
      </c>
      <c r="C308" s="1" t="s">
        <v>822</v>
      </c>
      <c r="D308" s="2">
        <v>46034</v>
      </c>
      <c r="E308" s="2">
        <v>46044</v>
      </c>
      <c r="F308" s="1" t="s">
        <v>823</v>
      </c>
      <c r="G308" s="1" t="s">
        <v>4</v>
      </c>
      <c r="H308" s="1" t="s">
        <v>5</v>
      </c>
      <c r="I308" s="7">
        <v>274.04000000000002</v>
      </c>
      <c r="J308" s="1" t="s">
        <v>38</v>
      </c>
      <c r="K308" s="1"/>
      <c r="L308" s="1" t="s">
        <v>39</v>
      </c>
      <c r="M308" s="1" t="str">
        <f>INDEX(MCC_Lookup!$B$2:$B$12,MATCH(G308,MCC_Lookup!$A$2:$A$12,0))</f>
        <v>Travel</v>
      </c>
      <c r="N308" s="1" t="str">
        <f>IF(TRIM(H308)="","BLANK",IF(PROPER(TRIM(H308))=TRIM(M308),"MATCH","MISMATCH"))</f>
        <v>MATCH</v>
      </c>
      <c r="O308" s="5" t="str">
        <f>INDEX([1]Employee!$C$2:$C$276,MATCH(B308,[1]Employee!$A$2:$A$276,0))</f>
        <v>Claims</v>
      </c>
    </row>
    <row r="309" spans="1:15">
      <c r="A309" s="1" t="s">
        <v>824</v>
      </c>
      <c r="B309" s="1" t="s">
        <v>553</v>
      </c>
      <c r="C309" s="1" t="s">
        <v>825</v>
      </c>
      <c r="D309" s="2">
        <v>46036</v>
      </c>
      <c r="E309" s="2">
        <v>46044</v>
      </c>
      <c r="F309" s="1" t="s">
        <v>99</v>
      </c>
      <c r="G309" s="1" t="s">
        <v>2</v>
      </c>
      <c r="H309" s="1"/>
      <c r="I309" s="7">
        <v>33.69</v>
      </c>
      <c r="J309" s="1" t="s">
        <v>38</v>
      </c>
      <c r="K309" s="1"/>
      <c r="L309" s="1" t="s">
        <v>39</v>
      </c>
      <c r="M309" s="1" t="str">
        <f>INDEX(MCC_Lookup!$B$2:$B$12,MATCH(G309,MCC_Lookup!$A$2:$A$12,0))</f>
        <v>Meals</v>
      </c>
      <c r="N309" s="1" t="str">
        <f>IF(TRIM(H309)="","BLANK",IF(PROPER(TRIM(H309))=TRIM(M309),"MATCH","MISMATCH"))</f>
        <v>BLANK</v>
      </c>
      <c r="O309" s="5" t="str">
        <f>INDEX([1]Employee!$C$2:$C$276,MATCH(B309,[1]Employee!$A$2:$A$276,0))</f>
        <v>Claims</v>
      </c>
    </row>
    <row r="310" spans="1:15">
      <c r="A310" s="1" t="s">
        <v>826</v>
      </c>
      <c r="B310" s="1" t="s">
        <v>67</v>
      </c>
      <c r="C310" s="1" t="s">
        <v>827</v>
      </c>
      <c r="D310" s="2">
        <v>46036</v>
      </c>
      <c r="E310" s="2">
        <v>46044</v>
      </c>
      <c r="F310" s="1" t="s">
        <v>242</v>
      </c>
      <c r="G310" s="1" t="s">
        <v>13</v>
      </c>
      <c r="H310" s="1" t="s">
        <v>11</v>
      </c>
      <c r="I310" s="7">
        <v>44.94</v>
      </c>
      <c r="J310" s="1" t="s">
        <v>38</v>
      </c>
      <c r="K310" s="1"/>
      <c r="L310" s="1" t="s">
        <v>39</v>
      </c>
      <c r="M310" s="1" t="str">
        <f>INDEX(MCC_Lookup!$B$2:$B$12,MATCH(G310,MCC_Lookup!$A$2:$A$12,0))</f>
        <v>Software</v>
      </c>
      <c r="N310" s="1" t="str">
        <f>IF(TRIM(H310)="","BLANK",IF(PROPER(TRIM(H310))=TRIM(M310),"MATCH","MISMATCH"))</f>
        <v>MISMATCH</v>
      </c>
      <c r="O310" s="5" t="str">
        <f>INDEX([1]Employee!$C$2:$C$276,MATCH(B310,[1]Employee!$A$2:$A$276,0))</f>
        <v>Sales &amp; Marketing</v>
      </c>
    </row>
    <row r="311" spans="1:15">
      <c r="A311" s="1" t="s">
        <v>828</v>
      </c>
      <c r="B311" s="1" t="s">
        <v>597</v>
      </c>
      <c r="C311" s="1"/>
      <c r="D311" s="2">
        <v>46039</v>
      </c>
      <c r="E311" s="2">
        <v>46044</v>
      </c>
      <c r="F311" s="1" t="s">
        <v>177</v>
      </c>
      <c r="G311" s="1" t="s">
        <v>13</v>
      </c>
      <c r="H311" s="1"/>
      <c r="I311" s="7">
        <v>12.62</v>
      </c>
      <c r="J311" s="1" t="s">
        <v>111</v>
      </c>
      <c r="K311" s="1" t="s">
        <v>112</v>
      </c>
      <c r="L311" s="1" t="s">
        <v>39</v>
      </c>
      <c r="M311" s="1" t="str">
        <f>INDEX(MCC_Lookup!$B$2:$B$12,MATCH(G311,MCC_Lookup!$A$2:$A$12,0))</f>
        <v>Software</v>
      </c>
      <c r="N311" s="1" t="str">
        <f>IF(TRIM(H311)="","BLANK",IF(PROPER(TRIM(H311))=TRIM(M311),"MATCH","MISMATCH"))</f>
        <v>BLANK</v>
      </c>
      <c r="O311" s="5" t="str">
        <f>INDEX([1]Employee!$C$2:$C$276,MATCH(B311,[1]Employee!$A$2:$A$276,0))</f>
        <v>Sales &amp; Marketing</v>
      </c>
    </row>
    <row r="312" spans="1:15">
      <c r="A312" s="1" t="s">
        <v>829</v>
      </c>
      <c r="B312" s="1" t="s">
        <v>187</v>
      </c>
      <c r="C312" s="1" t="s">
        <v>830</v>
      </c>
      <c r="D312" s="2">
        <v>46043</v>
      </c>
      <c r="E312" s="2">
        <v>46044</v>
      </c>
      <c r="F312" s="1" t="s">
        <v>124</v>
      </c>
      <c r="G312" s="1" t="s">
        <v>17</v>
      </c>
      <c r="H312" s="1" t="s">
        <v>14</v>
      </c>
      <c r="I312" s="7">
        <v>154.44</v>
      </c>
      <c r="J312" s="1" t="s">
        <v>38</v>
      </c>
      <c r="K312" s="1"/>
      <c r="L312" s="1" t="s">
        <v>48</v>
      </c>
      <c r="M312" s="1" t="str">
        <f>INDEX(MCC_Lookup!$B$2:$B$12,MATCH(G312,MCC_Lookup!$A$2:$A$12,0))</f>
        <v>Entertainment</v>
      </c>
      <c r="N312" s="1" t="str">
        <f>IF(TRIM(H312)="","BLANK",IF(PROPER(TRIM(H312))=TRIM(M312),"MATCH","MISMATCH"))</f>
        <v>MISMATCH</v>
      </c>
      <c r="O312" s="5" t="str">
        <f>INDEX([1]Employee!$C$2:$C$276,MATCH(B312,[1]Employee!$A$2:$A$276,0))</f>
        <v>HR &amp; Events</v>
      </c>
    </row>
    <row r="313" spans="1:15">
      <c r="A313" s="1" t="s">
        <v>831</v>
      </c>
      <c r="B313" s="1" t="s">
        <v>832</v>
      </c>
      <c r="C313" s="1" t="s">
        <v>833</v>
      </c>
      <c r="D313" s="2">
        <v>46039</v>
      </c>
      <c r="E313" s="2">
        <v>46044</v>
      </c>
      <c r="F313" s="1" t="s">
        <v>109</v>
      </c>
      <c r="G313" s="1" t="s">
        <v>18</v>
      </c>
      <c r="H313" s="1" t="s">
        <v>19</v>
      </c>
      <c r="I313" s="7">
        <v>239.94</v>
      </c>
      <c r="J313" s="1" t="s">
        <v>38</v>
      </c>
      <c r="K313" s="1"/>
      <c r="L313" s="1" t="s">
        <v>48</v>
      </c>
      <c r="M313" s="1" t="str">
        <f>INDEX(MCC_Lookup!$B$2:$B$12,MATCH(G313,MCC_Lookup!$A$2:$A$12,0))</f>
        <v>Events</v>
      </c>
      <c r="N313" s="1" t="str">
        <f>IF(TRIM(H313)="","BLANK",IF(PROPER(TRIM(H313))=TRIM(M313),"MATCH","MISMATCH"))</f>
        <v>MATCH</v>
      </c>
      <c r="O313" s="5" t="str">
        <f>INDEX([1]Employee!$C$2:$C$276,MATCH(B313,[1]Employee!$A$2:$A$276,0))</f>
        <v>Sales &amp; Marketing</v>
      </c>
    </row>
    <row r="314" spans="1:15">
      <c r="A314" s="1" t="s">
        <v>834</v>
      </c>
      <c r="B314" s="1" t="s">
        <v>547</v>
      </c>
      <c r="C314" s="1"/>
      <c r="D314" s="2">
        <v>46044</v>
      </c>
      <c r="E314" s="2">
        <v>46044</v>
      </c>
      <c r="F314" s="1" t="s">
        <v>37</v>
      </c>
      <c r="G314" s="1" t="s">
        <v>4</v>
      </c>
      <c r="H314" s="1" t="s">
        <v>5</v>
      </c>
      <c r="I314" s="7">
        <v>365.89</v>
      </c>
      <c r="J314" s="1" t="s">
        <v>38</v>
      </c>
      <c r="K314" s="1"/>
      <c r="L314" s="1" t="s">
        <v>39</v>
      </c>
      <c r="M314" s="1" t="str">
        <f>INDEX(MCC_Lookup!$B$2:$B$12,MATCH(G314,MCC_Lookup!$A$2:$A$12,0))</f>
        <v>Travel</v>
      </c>
      <c r="N314" s="1" t="str">
        <f>IF(TRIM(H314)="","BLANK",IF(PROPER(TRIM(H314))=TRIM(M314),"MATCH","MISMATCH"))</f>
        <v>MATCH</v>
      </c>
      <c r="O314" s="5" t="str">
        <f>INDEX([1]Employee!$C$2:$C$276,MATCH(B314,[1]Employee!$A$2:$A$276,0))</f>
        <v>Sales &amp; Marketing</v>
      </c>
    </row>
    <row r="315" spans="1:15">
      <c r="A315" s="1" t="s">
        <v>835</v>
      </c>
      <c r="B315" s="1" t="s">
        <v>836</v>
      </c>
      <c r="C315" s="1" t="s">
        <v>837</v>
      </c>
      <c r="D315" s="2">
        <v>46043</v>
      </c>
      <c r="E315" s="2">
        <v>46044</v>
      </c>
      <c r="F315" s="1" t="s">
        <v>61</v>
      </c>
      <c r="G315" s="1" t="s">
        <v>13</v>
      </c>
      <c r="H315" s="1" t="s">
        <v>14</v>
      </c>
      <c r="I315" s="7">
        <v>54.27</v>
      </c>
      <c r="J315" s="1" t="s">
        <v>38</v>
      </c>
      <c r="K315" s="1"/>
      <c r="L315" s="1" t="s">
        <v>39</v>
      </c>
      <c r="M315" s="1" t="str">
        <f>INDEX(MCC_Lookup!$B$2:$B$12,MATCH(G315,MCC_Lookup!$A$2:$A$12,0))</f>
        <v>Software</v>
      </c>
      <c r="N315" s="1" t="str">
        <f>IF(TRIM(H315)="","BLANK",IF(PROPER(TRIM(H315))=TRIM(M315),"MATCH","MISMATCH"))</f>
        <v>MATCH</v>
      </c>
      <c r="O315" s="5" t="str">
        <f>INDEX([1]Employee!$C$2:$C$276,MATCH(B315,[1]Employee!$A$2:$A$276,0))</f>
        <v>Sales &amp; Marketing</v>
      </c>
    </row>
    <row r="316" spans="1:15">
      <c r="A316" s="1" t="s">
        <v>838</v>
      </c>
      <c r="B316" s="1" t="s">
        <v>761</v>
      </c>
      <c r="C316" s="1" t="s">
        <v>839</v>
      </c>
      <c r="D316" s="2">
        <v>46035</v>
      </c>
      <c r="E316" s="2">
        <v>46044</v>
      </c>
      <c r="F316" s="1" t="s">
        <v>47</v>
      </c>
      <c r="G316" s="1" t="s">
        <v>6</v>
      </c>
      <c r="H316" s="1" t="s">
        <v>7</v>
      </c>
      <c r="I316" s="7">
        <v>229.87</v>
      </c>
      <c r="J316" s="1" t="s">
        <v>38</v>
      </c>
      <c r="K316" s="1"/>
      <c r="L316" s="1" t="s">
        <v>39</v>
      </c>
      <c r="M316" s="1" t="str">
        <f>INDEX(MCC_Lookup!$B$2:$B$12,MATCH(G316,MCC_Lookup!$A$2:$A$12,0))</f>
        <v>Lodging</v>
      </c>
      <c r="N316" s="1" t="str">
        <f>IF(TRIM(H316)="","BLANK",IF(PROPER(TRIM(H316))=TRIM(M316),"MATCH","MISMATCH"))</f>
        <v>MATCH</v>
      </c>
      <c r="O316" s="5" t="str">
        <f>INDEX([1]Employee!$C$2:$C$276,MATCH(B316,[1]Employee!$A$2:$A$276,0))</f>
        <v>Finance</v>
      </c>
    </row>
    <row r="317" spans="1:15">
      <c r="A317" s="1" t="s">
        <v>840</v>
      </c>
      <c r="B317" s="1" t="s">
        <v>531</v>
      </c>
      <c r="C317" s="1"/>
      <c r="D317" s="2">
        <v>46043</v>
      </c>
      <c r="E317" s="2">
        <v>46044</v>
      </c>
      <c r="F317" s="1" t="s">
        <v>106</v>
      </c>
      <c r="G317" s="1" t="s">
        <v>13</v>
      </c>
      <c r="H317" s="1" t="s">
        <v>14</v>
      </c>
      <c r="I317" s="7">
        <v>105.85</v>
      </c>
      <c r="J317" s="1" t="s">
        <v>38</v>
      </c>
      <c r="K317" s="1"/>
      <c r="L317" s="1" t="s">
        <v>39</v>
      </c>
      <c r="M317" s="1" t="str">
        <f>INDEX(MCC_Lookup!$B$2:$B$12,MATCH(G317,MCC_Lookup!$A$2:$A$12,0))</f>
        <v>Software</v>
      </c>
      <c r="N317" s="1" t="str">
        <f>IF(TRIM(H317)="","BLANK",IF(PROPER(TRIM(H317))=TRIM(M317),"MATCH","MISMATCH"))</f>
        <v>MATCH</v>
      </c>
      <c r="O317" s="5" t="str">
        <f>INDEX([1]Employee!$C$2:$C$276,MATCH(B317,[1]Employee!$A$2:$A$276,0))</f>
        <v>Sales &amp; Marketing</v>
      </c>
    </row>
    <row r="318" spans="1:15">
      <c r="A318" s="1" t="s">
        <v>841</v>
      </c>
      <c r="B318" s="1" t="s">
        <v>129</v>
      </c>
      <c r="C318" s="1"/>
      <c r="D318" s="2">
        <v>46039</v>
      </c>
      <c r="E318" s="2">
        <v>46044</v>
      </c>
      <c r="F318" s="1" t="s">
        <v>56</v>
      </c>
      <c r="G318" s="1" t="s">
        <v>4</v>
      </c>
      <c r="H318" s="1" t="s">
        <v>5</v>
      </c>
      <c r="I318" s="7">
        <v>266.87</v>
      </c>
      <c r="J318" s="1" t="s">
        <v>38</v>
      </c>
      <c r="K318" s="1"/>
      <c r="L318" s="1" t="s">
        <v>39</v>
      </c>
      <c r="M318" s="1" t="str">
        <f>INDEX(MCC_Lookup!$B$2:$B$12,MATCH(G318,MCC_Lookup!$A$2:$A$12,0))</f>
        <v>Travel</v>
      </c>
      <c r="N318" s="1" t="str">
        <f>IF(TRIM(H318)="","BLANK",IF(PROPER(TRIM(H318))=TRIM(M318),"MATCH","MISMATCH"))</f>
        <v>MATCH</v>
      </c>
      <c r="O318" s="5" t="str">
        <f>INDEX([1]Employee!$C$2:$C$276,MATCH(B318,[1]Employee!$A$2:$A$276,0))</f>
        <v>Sales &amp; Marketing</v>
      </c>
    </row>
    <row r="319" spans="1:15">
      <c r="A319" s="1" t="s">
        <v>842</v>
      </c>
      <c r="B319" s="1" t="s">
        <v>843</v>
      </c>
      <c r="C319" s="1" t="s">
        <v>844</v>
      </c>
      <c r="D319" s="2">
        <v>46036</v>
      </c>
      <c r="E319" s="2">
        <v>46045</v>
      </c>
      <c r="F319" s="1" t="s">
        <v>160</v>
      </c>
      <c r="G319" s="1" t="s">
        <v>6</v>
      </c>
      <c r="H319" s="1" t="s">
        <v>7</v>
      </c>
      <c r="I319" s="7">
        <v>414.25</v>
      </c>
      <c r="J319" s="1" t="s">
        <v>38</v>
      </c>
      <c r="K319" s="1"/>
      <c r="L319" s="1" t="s">
        <v>48</v>
      </c>
      <c r="M319" s="1" t="str">
        <f>INDEX(MCC_Lookup!$B$2:$B$12,MATCH(G319,MCC_Lookup!$A$2:$A$12,0))</f>
        <v>Lodging</v>
      </c>
      <c r="N319" s="1" t="str">
        <f>IF(TRIM(H319)="","BLANK",IF(PROPER(TRIM(H319))=TRIM(M319),"MATCH","MISMATCH"))</f>
        <v>MATCH</v>
      </c>
      <c r="O319" s="5" t="str">
        <f>INDEX([1]Employee!$C$2:$C$276,MATCH(B319,[1]Employee!$A$2:$A$276,0))</f>
        <v>Customer Support</v>
      </c>
    </row>
    <row r="320" spans="1:15">
      <c r="A320" s="1" t="s">
        <v>845</v>
      </c>
      <c r="B320" s="1" t="s">
        <v>846</v>
      </c>
      <c r="C320" s="1" t="s">
        <v>847</v>
      </c>
      <c r="D320" s="2">
        <v>46042</v>
      </c>
      <c r="E320" s="2">
        <v>46045</v>
      </c>
      <c r="F320" s="1" t="s">
        <v>72</v>
      </c>
      <c r="G320" s="1" t="s">
        <v>8</v>
      </c>
      <c r="H320" s="1" t="s">
        <v>9</v>
      </c>
      <c r="I320" s="7">
        <v>17.77</v>
      </c>
      <c r="J320" s="1" t="s">
        <v>38</v>
      </c>
      <c r="K320" s="1"/>
      <c r="L320" s="1" t="s">
        <v>39</v>
      </c>
      <c r="M320" s="1" t="str">
        <f>INDEX(MCC_Lookup!$B$2:$B$12,MATCH(G320,MCC_Lookup!$A$2:$A$12,0))</f>
        <v>Transportation</v>
      </c>
      <c r="N320" s="1" t="str">
        <f>IF(TRIM(H320)="","BLANK",IF(PROPER(TRIM(H320))=TRIM(M320),"MATCH","MISMATCH"))</f>
        <v>MATCH</v>
      </c>
      <c r="O320" s="5" t="str">
        <f>INDEX([1]Employee!$C$2:$C$276,MATCH(B320,[1]Employee!$A$2:$A$276,0))</f>
        <v>Sales &amp; Marketing</v>
      </c>
    </row>
    <row r="321" spans="1:15">
      <c r="A321" s="1" t="s">
        <v>848</v>
      </c>
      <c r="B321" s="1" t="s">
        <v>185</v>
      </c>
      <c r="C321" s="1" t="s">
        <v>849</v>
      </c>
      <c r="D321" s="2">
        <v>46037</v>
      </c>
      <c r="E321" s="2">
        <v>46045</v>
      </c>
      <c r="F321" s="1" t="s">
        <v>160</v>
      </c>
      <c r="G321" s="1" t="s">
        <v>6</v>
      </c>
      <c r="H321" s="1" t="s">
        <v>7</v>
      </c>
      <c r="I321" s="7">
        <v>288.83999999999997</v>
      </c>
      <c r="J321" s="1" t="s">
        <v>38</v>
      </c>
      <c r="K321" s="1"/>
      <c r="L321" s="1" t="s">
        <v>39</v>
      </c>
      <c r="M321" s="1" t="str">
        <f>INDEX(MCC_Lookup!$B$2:$B$12,MATCH(G321,MCC_Lookup!$A$2:$A$12,0))</f>
        <v>Lodging</v>
      </c>
      <c r="N321" s="1" t="str">
        <f>IF(TRIM(H321)="","BLANK",IF(PROPER(TRIM(H321))=TRIM(M321),"MATCH","MISMATCH"))</f>
        <v>MATCH</v>
      </c>
      <c r="O321" s="5" t="str">
        <f>INDEX([1]Employee!$C$2:$C$276,MATCH(B321,[1]Employee!$A$2:$A$276,0))</f>
        <v>Underwriting</v>
      </c>
    </row>
    <row r="322" spans="1:15">
      <c r="A322" s="1" t="s">
        <v>850</v>
      </c>
      <c r="B322" s="1" t="s">
        <v>182</v>
      </c>
      <c r="C322" s="1" t="s">
        <v>851</v>
      </c>
      <c r="D322" s="2">
        <v>46044</v>
      </c>
      <c r="E322" s="2">
        <v>46045</v>
      </c>
      <c r="F322" s="1" t="s">
        <v>43</v>
      </c>
      <c r="G322" s="1" t="s">
        <v>2</v>
      </c>
      <c r="H322" s="1" t="s">
        <v>3</v>
      </c>
      <c r="I322" s="7">
        <v>16.329999999999998</v>
      </c>
      <c r="J322" s="1" t="s">
        <v>38</v>
      </c>
      <c r="K322" s="1"/>
      <c r="L322" s="1" t="s">
        <v>39</v>
      </c>
      <c r="M322" s="1" t="str">
        <f>INDEX(MCC_Lookup!$B$2:$B$12,MATCH(G322,MCC_Lookup!$A$2:$A$12,0))</f>
        <v>Meals</v>
      </c>
      <c r="N322" s="1" t="str">
        <f>IF(TRIM(H322)="","BLANK",IF(PROPER(TRIM(H322))=TRIM(M322),"MATCH","MISMATCH"))</f>
        <v>MATCH</v>
      </c>
      <c r="O322" s="5" t="str">
        <f>INDEX([1]Employee!$C$2:$C$276,MATCH(B322,[1]Employee!$A$2:$A$276,0))</f>
        <v>Sales &amp; Marketing</v>
      </c>
    </row>
    <row r="323" spans="1:15">
      <c r="A323" s="1" t="s">
        <v>852</v>
      </c>
      <c r="B323" s="1" t="s">
        <v>490</v>
      </c>
      <c r="C323" s="1" t="s">
        <v>853</v>
      </c>
      <c r="D323" s="2">
        <v>46042</v>
      </c>
      <c r="E323" s="2">
        <v>46045</v>
      </c>
      <c r="F323" s="1" t="s">
        <v>342</v>
      </c>
      <c r="G323" s="1" t="s">
        <v>8</v>
      </c>
      <c r="H323" s="1" t="s">
        <v>9</v>
      </c>
      <c r="I323" s="7">
        <v>51.82</v>
      </c>
      <c r="J323" s="1" t="s">
        <v>38</v>
      </c>
      <c r="K323" s="1"/>
      <c r="L323" s="1" t="s">
        <v>39</v>
      </c>
      <c r="M323" s="1" t="str">
        <f>INDEX(MCC_Lookup!$B$2:$B$12,MATCH(G323,MCC_Lookup!$A$2:$A$12,0))</f>
        <v>Transportation</v>
      </c>
      <c r="N323" s="1" t="str">
        <f>IF(TRIM(H323)="","BLANK",IF(PROPER(TRIM(H323))=TRIM(M323),"MATCH","MISMATCH"))</f>
        <v>MATCH</v>
      </c>
      <c r="O323" s="5" t="str">
        <f>INDEX([1]Employee!$C$2:$C$276,MATCH(B323,[1]Employee!$A$2:$A$276,0))</f>
        <v>Actuarial &amp; Risk</v>
      </c>
    </row>
    <row r="324" spans="1:15">
      <c r="A324" s="1" t="s">
        <v>854</v>
      </c>
      <c r="B324" s="1" t="s">
        <v>855</v>
      </c>
      <c r="C324" s="1" t="s">
        <v>856</v>
      </c>
      <c r="D324" s="2">
        <v>46037</v>
      </c>
      <c r="E324" s="2">
        <v>46045</v>
      </c>
      <c r="F324" s="1" t="s">
        <v>72</v>
      </c>
      <c r="G324" s="1" t="s">
        <v>8</v>
      </c>
      <c r="H324" s="1" t="s">
        <v>9</v>
      </c>
      <c r="I324" s="7">
        <v>38.28</v>
      </c>
      <c r="J324" s="1" t="s">
        <v>38</v>
      </c>
      <c r="K324" s="1"/>
      <c r="L324" s="1" t="s">
        <v>39</v>
      </c>
      <c r="M324" s="1" t="str">
        <f>INDEX(MCC_Lookup!$B$2:$B$12,MATCH(G324,MCC_Lookup!$A$2:$A$12,0))</f>
        <v>Transportation</v>
      </c>
      <c r="N324" s="1" t="str">
        <f>IF(TRIM(H324)="","BLANK",IF(PROPER(TRIM(H324))=TRIM(M324),"MATCH","MISMATCH"))</f>
        <v>MATCH</v>
      </c>
      <c r="O324" s="5" t="str">
        <f>INDEX([1]Employee!$C$2:$C$276,MATCH(B324,[1]Employee!$A$2:$A$276,0))</f>
        <v>Underwriting</v>
      </c>
    </row>
    <row r="325" spans="1:15">
      <c r="A325" s="1" t="s">
        <v>857</v>
      </c>
      <c r="B325" s="1" t="s">
        <v>136</v>
      </c>
      <c r="C325" s="1" t="s">
        <v>858</v>
      </c>
      <c r="D325" s="2">
        <v>46042</v>
      </c>
      <c r="E325" s="2">
        <v>46045</v>
      </c>
      <c r="F325" s="1" t="s">
        <v>116</v>
      </c>
      <c r="G325" s="1" t="s">
        <v>2</v>
      </c>
      <c r="H325" s="1" t="s">
        <v>3</v>
      </c>
      <c r="I325" s="7">
        <v>20.69</v>
      </c>
      <c r="J325" s="1" t="s">
        <v>38</v>
      </c>
      <c r="K325" s="1"/>
      <c r="L325" s="1" t="s">
        <v>39</v>
      </c>
      <c r="M325" s="1" t="str">
        <f>INDEX(MCC_Lookup!$B$2:$B$12,MATCH(G325,MCC_Lookup!$A$2:$A$12,0))</f>
        <v>Meals</v>
      </c>
      <c r="N325" s="1" t="str">
        <f>IF(TRIM(H325)="","BLANK",IF(PROPER(TRIM(H325))=TRIM(M325),"MATCH","MISMATCH"))</f>
        <v>MATCH</v>
      </c>
      <c r="O325" s="5" t="str">
        <f>INDEX([1]Employee!$C$2:$C$276,MATCH(B325,[1]Employee!$A$2:$A$276,0))</f>
        <v>Sales &amp; Marketing</v>
      </c>
    </row>
    <row r="326" spans="1:15">
      <c r="A326" s="1" t="s">
        <v>859</v>
      </c>
      <c r="B326" s="1" t="s">
        <v>643</v>
      </c>
      <c r="C326" s="1" t="s">
        <v>860</v>
      </c>
      <c r="D326" s="2">
        <v>46043</v>
      </c>
      <c r="E326" s="2">
        <v>46045</v>
      </c>
      <c r="F326" s="1" t="s">
        <v>160</v>
      </c>
      <c r="G326" s="1" t="s">
        <v>6</v>
      </c>
      <c r="H326" s="1" t="s">
        <v>7</v>
      </c>
      <c r="I326" s="7">
        <v>221.41</v>
      </c>
      <c r="J326" s="1" t="s">
        <v>38</v>
      </c>
      <c r="K326" s="1"/>
      <c r="L326" s="1" t="s">
        <v>39</v>
      </c>
      <c r="M326" s="1" t="str">
        <f>INDEX(MCC_Lookup!$B$2:$B$12,MATCH(G326,MCC_Lookup!$A$2:$A$12,0))</f>
        <v>Lodging</v>
      </c>
      <c r="N326" s="1" t="str">
        <f>IF(TRIM(H326)="","BLANK",IF(PROPER(TRIM(H326))=TRIM(M326),"MATCH","MISMATCH"))</f>
        <v>MATCH</v>
      </c>
      <c r="O326" s="5" t="str">
        <f>INDEX([1]Employee!$C$2:$C$276,MATCH(B326,[1]Employee!$A$2:$A$276,0))</f>
        <v>Sales &amp; Marketing</v>
      </c>
    </row>
    <row r="327" spans="1:15">
      <c r="A327" s="1" t="s">
        <v>861</v>
      </c>
      <c r="B327" s="1" t="s">
        <v>146</v>
      </c>
      <c r="C327" s="1" t="s">
        <v>862</v>
      </c>
      <c r="D327" s="2">
        <v>46040</v>
      </c>
      <c r="E327" s="2">
        <v>46045</v>
      </c>
      <c r="F327" s="1" t="s">
        <v>173</v>
      </c>
      <c r="G327" s="1" t="s">
        <v>2</v>
      </c>
      <c r="H327" s="1" t="s">
        <v>154</v>
      </c>
      <c r="I327" s="7">
        <v>66.709999999999994</v>
      </c>
      <c r="J327" s="1" t="s">
        <v>38</v>
      </c>
      <c r="K327" s="1"/>
      <c r="L327" s="1" t="s">
        <v>48</v>
      </c>
      <c r="M327" s="1" t="str">
        <f>INDEX(MCC_Lookup!$B$2:$B$12,MATCH(G327,MCC_Lookup!$A$2:$A$12,0))</f>
        <v>Meals</v>
      </c>
      <c r="N327" s="1" t="str">
        <f>IF(TRIM(H327)="","BLANK",IF(PROPER(TRIM(H327))=TRIM(M327),"MATCH","MISMATCH"))</f>
        <v>MATCH</v>
      </c>
      <c r="O327" s="5" t="str">
        <f>INDEX([1]Employee!$C$2:$C$276,MATCH(B327,[1]Employee!$A$2:$A$276,0))</f>
        <v>HR &amp; Events</v>
      </c>
    </row>
    <row r="328" spans="1:15">
      <c r="A328" s="1" t="s">
        <v>863</v>
      </c>
      <c r="B328" s="1" t="s">
        <v>253</v>
      </c>
      <c r="C328" s="1" t="s">
        <v>864</v>
      </c>
      <c r="D328" s="2">
        <v>46038</v>
      </c>
      <c r="E328" s="2">
        <v>46045</v>
      </c>
      <c r="F328" s="1" t="s">
        <v>52</v>
      </c>
      <c r="G328" s="1" t="s">
        <v>15</v>
      </c>
      <c r="H328" s="1" t="s">
        <v>16</v>
      </c>
      <c r="I328" s="7">
        <v>23.21</v>
      </c>
      <c r="J328" s="1" t="s">
        <v>38</v>
      </c>
      <c r="K328" s="1"/>
      <c r="L328" s="1" t="s">
        <v>39</v>
      </c>
      <c r="M328" s="1" t="str">
        <f>INDEX(MCC_Lookup!$B$2:$B$12,MATCH(G328,MCC_Lookup!$A$2:$A$12,0))</f>
        <v>Entertainment</v>
      </c>
      <c r="N328" s="1" t="str">
        <f>IF(TRIM(H328)="","BLANK",IF(PROPER(TRIM(H328))=TRIM(M328),"MATCH","MISMATCH"))</f>
        <v>MATCH</v>
      </c>
      <c r="O328" s="5" t="str">
        <f>INDEX([1]Employee!$C$2:$C$276,MATCH(B328,[1]Employee!$A$2:$A$276,0))</f>
        <v>Claims</v>
      </c>
    </row>
    <row r="329" spans="1:15">
      <c r="A329" s="1" t="s">
        <v>865</v>
      </c>
      <c r="B329" s="1" t="s">
        <v>317</v>
      </c>
      <c r="C329" s="1" t="s">
        <v>866</v>
      </c>
      <c r="D329" s="2">
        <v>46038</v>
      </c>
      <c r="E329" s="2">
        <v>46045</v>
      </c>
      <c r="F329" s="1" t="s">
        <v>201</v>
      </c>
      <c r="G329" s="1" t="s">
        <v>4</v>
      </c>
      <c r="H329" s="1" t="s">
        <v>5</v>
      </c>
      <c r="I329" s="7">
        <v>301.42</v>
      </c>
      <c r="J329" s="1" t="s">
        <v>38</v>
      </c>
      <c r="K329" s="1"/>
      <c r="L329" s="1" t="s">
        <v>39</v>
      </c>
      <c r="M329" s="1" t="str">
        <f>INDEX(MCC_Lookup!$B$2:$B$12,MATCH(G329,MCC_Lookup!$A$2:$A$12,0))</f>
        <v>Travel</v>
      </c>
      <c r="N329" s="1" t="str">
        <f>IF(TRIM(H329)="","BLANK",IF(PROPER(TRIM(H329))=TRIM(M329),"MATCH","MISMATCH"))</f>
        <v>MATCH</v>
      </c>
      <c r="O329" s="5" t="str">
        <f>INDEX([1]Employee!$C$2:$C$276,MATCH(B329,[1]Employee!$A$2:$A$276,0))</f>
        <v>Sales &amp; Marketing</v>
      </c>
    </row>
    <row r="330" spans="1:15">
      <c r="A330" s="1" t="s">
        <v>867</v>
      </c>
      <c r="B330" s="1" t="s">
        <v>868</v>
      </c>
      <c r="C330" s="1" t="s">
        <v>869</v>
      </c>
      <c r="D330" s="2">
        <v>46045</v>
      </c>
      <c r="E330" s="2">
        <v>46046</v>
      </c>
      <c r="F330" s="1" t="s">
        <v>347</v>
      </c>
      <c r="G330" s="1" t="s">
        <v>8</v>
      </c>
      <c r="H330" s="1" t="s">
        <v>269</v>
      </c>
      <c r="I330" s="7">
        <v>31.55</v>
      </c>
      <c r="J330" s="1" t="s">
        <v>38</v>
      </c>
      <c r="K330" s="1"/>
      <c r="L330" s="1" t="s">
        <v>39</v>
      </c>
      <c r="M330" s="1" t="str">
        <f>INDEX(MCC_Lookup!$B$2:$B$12,MATCH(G330,MCC_Lookup!$A$2:$A$12,0))</f>
        <v>Transportation</v>
      </c>
      <c r="N330" s="1" t="str">
        <f>IF(TRIM(H330)="","BLANK",IF(PROPER(TRIM(H330))=TRIM(M330),"MATCH","MISMATCH"))</f>
        <v>MISMATCH</v>
      </c>
      <c r="O330" s="5" t="str">
        <f>INDEX([1]Employee!$C$2:$C$276,MATCH(B330,[1]Employee!$A$2:$A$276,0))</f>
        <v>Sales &amp; Marketing</v>
      </c>
    </row>
    <row r="331" spans="1:15">
      <c r="A331" s="1" t="s">
        <v>870</v>
      </c>
      <c r="B331" s="1" t="s">
        <v>292</v>
      </c>
      <c r="C331" s="1" t="s">
        <v>871</v>
      </c>
      <c r="D331" s="2">
        <v>46043</v>
      </c>
      <c r="E331" s="2">
        <v>46046</v>
      </c>
      <c r="F331" s="1" t="s">
        <v>92</v>
      </c>
      <c r="G331" s="1" t="s">
        <v>10</v>
      </c>
      <c r="H331" s="1" t="s">
        <v>11</v>
      </c>
      <c r="I331" s="7">
        <v>89.97</v>
      </c>
      <c r="J331" s="1" t="s">
        <v>38</v>
      </c>
      <c r="K331" s="1"/>
      <c r="L331" s="1" t="s">
        <v>39</v>
      </c>
      <c r="M331" s="1" t="str">
        <f>INDEX(MCC_Lookup!$B$2:$B$12,MATCH(G331,MCC_Lookup!$A$2:$A$12,0))</f>
        <v>Office Supplies</v>
      </c>
      <c r="N331" s="1" t="str">
        <f>IF(TRIM(H331)="","BLANK",IF(PROPER(TRIM(H331))=TRIM(M331),"MATCH","MISMATCH"))</f>
        <v>MATCH</v>
      </c>
      <c r="O331" s="5" t="str">
        <f>INDEX([1]Employee!$C$2:$C$276,MATCH(B331,[1]Employee!$A$2:$A$276,0))</f>
        <v>Sales &amp; Marketing</v>
      </c>
    </row>
    <row r="332" spans="1:15">
      <c r="A332" s="1" t="s">
        <v>872</v>
      </c>
      <c r="B332" s="1" t="s">
        <v>255</v>
      </c>
      <c r="C332" s="1" t="s">
        <v>873</v>
      </c>
      <c r="D332" s="2">
        <v>46046</v>
      </c>
      <c r="E332" s="2">
        <v>46046</v>
      </c>
      <c r="F332" s="1" t="s">
        <v>65</v>
      </c>
      <c r="G332" s="1" t="s">
        <v>18</v>
      </c>
      <c r="H332" s="1" t="s">
        <v>19</v>
      </c>
      <c r="I332" s="7">
        <v>483.47</v>
      </c>
      <c r="J332" s="1" t="s">
        <v>38</v>
      </c>
      <c r="K332" s="1"/>
      <c r="L332" s="1" t="s">
        <v>48</v>
      </c>
      <c r="M332" s="1" t="str">
        <f>INDEX(MCC_Lookup!$B$2:$B$12,MATCH(G332,MCC_Lookup!$A$2:$A$12,0))</f>
        <v>Events</v>
      </c>
      <c r="N332" s="1" t="str">
        <f>IF(TRIM(H332)="","BLANK",IF(PROPER(TRIM(H332))=TRIM(M332),"MATCH","MISMATCH"))</f>
        <v>MATCH</v>
      </c>
      <c r="O332" s="5" t="str">
        <f>INDEX([1]Employee!$C$2:$C$276,MATCH(B332,[1]Employee!$A$2:$A$276,0))</f>
        <v>Claims</v>
      </c>
    </row>
    <row r="333" spans="1:15">
      <c r="A333" s="1" t="s">
        <v>874</v>
      </c>
      <c r="B333" s="1" t="s">
        <v>673</v>
      </c>
      <c r="C333" s="1" t="s">
        <v>875</v>
      </c>
      <c r="D333" s="2">
        <v>46040</v>
      </c>
      <c r="E333" s="2">
        <v>46046</v>
      </c>
      <c r="F333" s="1" t="s">
        <v>79</v>
      </c>
      <c r="G333" s="1" t="s">
        <v>13</v>
      </c>
      <c r="H333" s="1" t="s">
        <v>192</v>
      </c>
      <c r="I333" s="7">
        <v>167.78</v>
      </c>
      <c r="J333" s="1" t="s">
        <v>38</v>
      </c>
      <c r="K333" s="1"/>
      <c r="L333" s="1" t="s">
        <v>39</v>
      </c>
      <c r="M333" s="1" t="str">
        <f>INDEX(MCC_Lookup!$B$2:$B$12,MATCH(G333,MCC_Lookup!$A$2:$A$12,0))</f>
        <v>Software</v>
      </c>
      <c r="N333" s="1" t="str">
        <f>IF(TRIM(H333)="","BLANK",IF(PROPER(TRIM(H333))=TRIM(M333),"MATCH","MISMATCH"))</f>
        <v>MATCH</v>
      </c>
      <c r="O333" s="5" t="str">
        <f>INDEX([1]Employee!$C$2:$C$276,MATCH(B333,[1]Employee!$A$2:$A$276,0))</f>
        <v>HR &amp; Events</v>
      </c>
    </row>
    <row r="334" spans="1:15">
      <c r="A334" s="1" t="s">
        <v>876</v>
      </c>
      <c r="B334" s="1" t="s">
        <v>433</v>
      </c>
      <c r="C334" s="1"/>
      <c r="D334" s="2">
        <v>46037</v>
      </c>
      <c r="E334" s="2">
        <v>46046</v>
      </c>
      <c r="F334" s="1" t="s">
        <v>177</v>
      </c>
      <c r="G334" s="1" t="s">
        <v>13</v>
      </c>
      <c r="H334" s="1" t="s">
        <v>192</v>
      </c>
      <c r="I334" s="7">
        <v>29.52</v>
      </c>
      <c r="J334" s="1" t="s">
        <v>111</v>
      </c>
      <c r="K334" s="1" t="s">
        <v>229</v>
      </c>
      <c r="L334" s="1" t="s">
        <v>39</v>
      </c>
      <c r="M334" s="1" t="str">
        <f>INDEX(MCC_Lookup!$B$2:$B$12,MATCH(G334,MCC_Lookup!$A$2:$A$12,0))</f>
        <v>Software</v>
      </c>
      <c r="N334" s="1" t="str">
        <f>IF(TRIM(H334)="","BLANK",IF(PROPER(TRIM(H334))=TRIM(M334),"MATCH","MISMATCH"))</f>
        <v>MATCH</v>
      </c>
      <c r="O334" s="5" t="str">
        <f>INDEX([1]Employee!$C$2:$C$276,MATCH(B334,[1]Employee!$A$2:$A$276,0))</f>
        <v>Sales &amp; Marketing</v>
      </c>
    </row>
    <row r="335" spans="1:15">
      <c r="A335" s="1" t="s">
        <v>877</v>
      </c>
      <c r="B335" s="1" t="s">
        <v>67</v>
      </c>
      <c r="C335" s="1" t="s">
        <v>878</v>
      </c>
      <c r="D335" s="2">
        <v>46041</v>
      </c>
      <c r="E335" s="2">
        <v>46046</v>
      </c>
      <c r="F335" s="1" t="s">
        <v>65</v>
      </c>
      <c r="G335" s="1" t="s">
        <v>18</v>
      </c>
      <c r="H335" s="1" t="s">
        <v>19</v>
      </c>
      <c r="I335" s="7">
        <v>343.58</v>
      </c>
      <c r="J335" s="1" t="s">
        <v>38</v>
      </c>
      <c r="K335" s="1"/>
      <c r="L335" s="1" t="s">
        <v>39</v>
      </c>
      <c r="M335" s="1" t="str">
        <f>INDEX(MCC_Lookup!$B$2:$B$12,MATCH(G335,MCC_Lookup!$A$2:$A$12,0))</f>
        <v>Events</v>
      </c>
      <c r="N335" s="1" t="str">
        <f>IF(TRIM(H335)="","BLANK",IF(PROPER(TRIM(H335))=TRIM(M335),"MATCH","MISMATCH"))</f>
        <v>MATCH</v>
      </c>
      <c r="O335" s="5" t="str">
        <f>INDEX([1]Employee!$C$2:$C$276,MATCH(B335,[1]Employee!$A$2:$A$276,0))</f>
        <v>Sales &amp; Marketing</v>
      </c>
    </row>
    <row r="336" spans="1:15">
      <c r="A336" s="1" t="s">
        <v>879</v>
      </c>
      <c r="B336" s="1" t="s">
        <v>597</v>
      </c>
      <c r="C336" s="1"/>
      <c r="D336" s="2">
        <v>46039</v>
      </c>
      <c r="E336" s="2">
        <v>46046</v>
      </c>
      <c r="F336" s="1" t="s">
        <v>109</v>
      </c>
      <c r="G336" s="1" t="s">
        <v>18</v>
      </c>
      <c r="H336" s="1" t="s">
        <v>19</v>
      </c>
      <c r="I336" s="7">
        <v>190.76</v>
      </c>
      <c r="J336" s="1" t="s">
        <v>111</v>
      </c>
      <c r="K336" s="1" t="s">
        <v>229</v>
      </c>
      <c r="L336" s="1" t="s">
        <v>39</v>
      </c>
      <c r="M336" s="1" t="str">
        <f>INDEX(MCC_Lookup!$B$2:$B$12,MATCH(G336,MCC_Lookup!$A$2:$A$12,0))</f>
        <v>Events</v>
      </c>
      <c r="N336" s="1" t="str">
        <f>IF(TRIM(H336)="","BLANK",IF(PROPER(TRIM(H336))=TRIM(M336),"MATCH","MISMATCH"))</f>
        <v>MATCH</v>
      </c>
      <c r="O336" s="5" t="str">
        <f>INDEX([1]Employee!$C$2:$C$276,MATCH(B336,[1]Employee!$A$2:$A$276,0))</f>
        <v>Sales &amp; Marketing</v>
      </c>
    </row>
    <row r="337" spans="1:15">
      <c r="A337" s="1" t="s">
        <v>880</v>
      </c>
      <c r="B337" s="1" t="s">
        <v>821</v>
      </c>
      <c r="C337" s="1" t="s">
        <v>881</v>
      </c>
      <c r="D337" s="2">
        <v>46041</v>
      </c>
      <c r="E337" s="2">
        <v>46046</v>
      </c>
      <c r="F337" s="1" t="s">
        <v>160</v>
      </c>
      <c r="G337" s="1" t="s">
        <v>6</v>
      </c>
      <c r="H337" s="1" t="s">
        <v>7</v>
      </c>
      <c r="I337" s="7">
        <v>468.84</v>
      </c>
      <c r="J337" s="1" t="s">
        <v>38</v>
      </c>
      <c r="K337" s="1"/>
      <c r="L337" s="1" t="s">
        <v>39</v>
      </c>
      <c r="M337" s="1" t="str">
        <f>INDEX(MCC_Lookup!$B$2:$B$12,MATCH(G337,MCC_Lookup!$A$2:$A$12,0))</f>
        <v>Lodging</v>
      </c>
      <c r="N337" s="1" t="str">
        <f>IF(TRIM(H337)="","BLANK",IF(PROPER(TRIM(H337))=TRIM(M337),"MATCH","MISMATCH"))</f>
        <v>MATCH</v>
      </c>
      <c r="O337" s="5" t="str">
        <f>INDEX([1]Employee!$C$2:$C$276,MATCH(B337,[1]Employee!$A$2:$A$276,0))</f>
        <v>Claims</v>
      </c>
    </row>
    <row r="338" spans="1:15">
      <c r="A338" s="1" t="s">
        <v>882</v>
      </c>
      <c r="B338" s="1" t="s">
        <v>883</v>
      </c>
      <c r="C338" s="1" t="s">
        <v>884</v>
      </c>
      <c r="D338" s="2">
        <v>46044</v>
      </c>
      <c r="E338" s="2">
        <v>46046</v>
      </c>
      <c r="F338" s="1" t="s">
        <v>109</v>
      </c>
      <c r="G338" s="1" t="s">
        <v>18</v>
      </c>
      <c r="H338" s="1" t="s">
        <v>19</v>
      </c>
      <c r="I338" s="7">
        <v>59.24</v>
      </c>
      <c r="J338" s="1" t="s">
        <v>38</v>
      </c>
      <c r="K338" s="1"/>
      <c r="L338" s="1" t="s">
        <v>39</v>
      </c>
      <c r="M338" s="1" t="str">
        <f>INDEX(MCC_Lookup!$B$2:$B$12,MATCH(G338,MCC_Lookup!$A$2:$A$12,0))</f>
        <v>Events</v>
      </c>
      <c r="N338" s="1" t="str">
        <f>IF(TRIM(H338)="","BLANK",IF(PROPER(TRIM(H338))=TRIM(M338),"MATCH","MISMATCH"))</f>
        <v>MATCH</v>
      </c>
      <c r="O338" s="5" t="str">
        <f>INDEX([1]Employee!$C$2:$C$276,MATCH(B338,[1]Employee!$A$2:$A$276,0))</f>
        <v>Actuarial &amp; Risk</v>
      </c>
    </row>
    <row r="339" spans="1:15">
      <c r="A339" s="1" t="s">
        <v>885</v>
      </c>
      <c r="B339" s="1" t="s">
        <v>207</v>
      </c>
      <c r="C339" s="1" t="s">
        <v>886</v>
      </c>
      <c r="D339" s="2">
        <v>46043</v>
      </c>
      <c r="E339" s="2">
        <v>46046</v>
      </c>
      <c r="F339" s="1" t="s">
        <v>120</v>
      </c>
      <c r="G339" s="1" t="s">
        <v>12</v>
      </c>
      <c r="H339" s="1" t="s">
        <v>131</v>
      </c>
      <c r="I339" s="7">
        <v>448.74</v>
      </c>
      <c r="J339" s="1" t="s">
        <v>38</v>
      </c>
      <c r="K339" s="1"/>
      <c r="L339" s="1" t="s">
        <v>39</v>
      </c>
      <c r="M339" s="1" t="str">
        <f>INDEX(MCC_Lookup!$B$2:$B$12,MATCH(G339,MCC_Lookup!$A$2:$A$12,0))</f>
        <v>Office Supplies</v>
      </c>
      <c r="N339" s="1" t="str">
        <f>IF(TRIM(H339)="","BLANK",IF(PROPER(TRIM(H339))=TRIM(M339),"MATCH","MISMATCH"))</f>
        <v>MATCH</v>
      </c>
      <c r="O339" s="5" t="str">
        <f>INDEX([1]Employee!$C$2:$C$276,MATCH(B339,[1]Employee!$A$2:$A$276,0))</f>
        <v>Claims</v>
      </c>
    </row>
    <row r="340" spans="1:15">
      <c r="A340" s="1" t="s">
        <v>887</v>
      </c>
      <c r="B340" s="1" t="s">
        <v>888</v>
      </c>
      <c r="C340" s="1"/>
      <c r="D340" s="2">
        <v>46038</v>
      </c>
      <c r="E340" s="2">
        <v>46046</v>
      </c>
      <c r="F340" s="1" t="s">
        <v>259</v>
      </c>
      <c r="G340" s="1" t="s">
        <v>20</v>
      </c>
      <c r="H340" s="1" t="s">
        <v>19</v>
      </c>
      <c r="I340" s="7">
        <v>116.91</v>
      </c>
      <c r="J340" s="1" t="s">
        <v>38</v>
      </c>
      <c r="K340" s="1"/>
      <c r="L340" s="1" t="s">
        <v>39</v>
      </c>
      <c r="M340" s="1" t="str">
        <f>INDEX(MCC_Lookup!$B$2:$B$12,MATCH(G340,MCC_Lookup!$A$2:$A$12,0))</f>
        <v>Events</v>
      </c>
      <c r="N340" s="1" t="str">
        <f>IF(TRIM(H340)="","BLANK",IF(PROPER(TRIM(H340))=TRIM(M340),"MATCH","MISMATCH"))</f>
        <v>MATCH</v>
      </c>
      <c r="O340" s="5" t="str">
        <f>INDEX([1]Employee!$C$2:$C$276,MATCH(B340,[1]Employee!$A$2:$A$276,0))</f>
        <v>Claims</v>
      </c>
    </row>
    <row r="341" spans="1:15">
      <c r="A341" s="1" t="s">
        <v>889</v>
      </c>
      <c r="B341" s="1" t="s">
        <v>890</v>
      </c>
      <c r="C341" s="1" t="s">
        <v>891</v>
      </c>
      <c r="D341" s="2">
        <v>46044</v>
      </c>
      <c r="E341" s="2">
        <v>46046</v>
      </c>
      <c r="F341" s="1" t="s">
        <v>99</v>
      </c>
      <c r="G341" s="1" t="s">
        <v>2</v>
      </c>
      <c r="H341" s="1" t="s">
        <v>3</v>
      </c>
      <c r="I341" s="7">
        <v>58.29</v>
      </c>
      <c r="J341" s="1" t="s">
        <v>38</v>
      </c>
      <c r="K341" s="1"/>
      <c r="L341" s="1" t="s">
        <v>48</v>
      </c>
      <c r="M341" s="1" t="str">
        <f>INDEX(MCC_Lookup!$B$2:$B$12,MATCH(G341,MCC_Lookup!$A$2:$A$12,0))</f>
        <v>Meals</v>
      </c>
      <c r="N341" s="1" t="str">
        <f>IF(TRIM(H341)="","BLANK",IF(PROPER(TRIM(H341))=TRIM(M341),"MATCH","MISMATCH"))</f>
        <v>MATCH</v>
      </c>
      <c r="O341" s="5" t="str">
        <f>INDEX([1]Employee!$C$2:$C$276,MATCH(B341,[1]Employee!$A$2:$A$276,0))</f>
        <v>Sales &amp; Marketing</v>
      </c>
    </row>
    <row r="342" spans="1:15">
      <c r="A342" s="1" t="s">
        <v>892</v>
      </c>
      <c r="B342" s="1" t="s">
        <v>114</v>
      </c>
      <c r="C342" s="1" t="s">
        <v>893</v>
      </c>
      <c r="D342" s="2">
        <v>46044</v>
      </c>
      <c r="E342" s="2">
        <v>46046</v>
      </c>
      <c r="F342" s="1" t="s">
        <v>56</v>
      </c>
      <c r="G342" s="1" t="s">
        <v>4</v>
      </c>
      <c r="H342" s="1" t="s">
        <v>734</v>
      </c>
      <c r="I342" s="7">
        <v>362.3</v>
      </c>
      <c r="J342" s="1" t="s">
        <v>38</v>
      </c>
      <c r="K342" s="1"/>
      <c r="L342" s="1" t="s">
        <v>39</v>
      </c>
      <c r="M342" s="1" t="str">
        <f>INDEX(MCC_Lookup!$B$2:$B$12,MATCH(G342,MCC_Lookup!$A$2:$A$12,0))</f>
        <v>Travel</v>
      </c>
      <c r="N342" s="1" t="str">
        <f>IF(TRIM(H342)="","BLANK",IF(PROPER(TRIM(H342))=TRIM(M342),"MATCH","MISMATCH"))</f>
        <v>MATCH</v>
      </c>
      <c r="O342" s="5" t="str">
        <f>INDEX([1]Employee!$C$2:$C$276,MATCH(B342,[1]Employee!$A$2:$A$276,0))</f>
        <v>Underwriting</v>
      </c>
    </row>
    <row r="343" spans="1:15">
      <c r="A343" s="1" t="s">
        <v>894</v>
      </c>
      <c r="B343" s="1" t="s">
        <v>832</v>
      </c>
      <c r="C343" s="1" t="s">
        <v>895</v>
      </c>
      <c r="D343" s="2">
        <v>46036</v>
      </c>
      <c r="E343" s="2">
        <v>46046</v>
      </c>
      <c r="F343" s="1" t="s">
        <v>160</v>
      </c>
      <c r="G343" s="1" t="s">
        <v>6</v>
      </c>
      <c r="H343" s="1" t="s">
        <v>7</v>
      </c>
      <c r="I343" s="7">
        <v>411.22</v>
      </c>
      <c r="J343" s="1" t="s">
        <v>38</v>
      </c>
      <c r="K343" s="1"/>
      <c r="L343" s="1" t="s">
        <v>39</v>
      </c>
      <c r="M343" s="1" t="str">
        <f>INDEX(MCC_Lookup!$B$2:$B$12,MATCH(G343,MCC_Lookup!$A$2:$A$12,0))</f>
        <v>Lodging</v>
      </c>
      <c r="N343" s="1" t="str">
        <f>IF(TRIM(H343)="","BLANK",IF(PROPER(TRIM(H343))=TRIM(M343),"MATCH","MISMATCH"))</f>
        <v>MATCH</v>
      </c>
      <c r="O343" s="5" t="str">
        <f>INDEX([1]Employee!$C$2:$C$276,MATCH(B343,[1]Employee!$A$2:$A$276,0))</f>
        <v>Sales &amp; Marketing</v>
      </c>
    </row>
    <row r="344" spans="1:15">
      <c r="A344" s="1" t="s">
        <v>896</v>
      </c>
      <c r="B344" s="1" t="s">
        <v>94</v>
      </c>
      <c r="C344" s="1" t="s">
        <v>897</v>
      </c>
      <c r="D344" s="2">
        <v>46041</v>
      </c>
      <c r="E344" s="2">
        <v>46046</v>
      </c>
      <c r="F344" s="1" t="s">
        <v>160</v>
      </c>
      <c r="G344" s="1" t="s">
        <v>6</v>
      </c>
      <c r="H344" s="1"/>
      <c r="I344" s="7">
        <v>274.5</v>
      </c>
      <c r="J344" s="1" t="s">
        <v>38</v>
      </c>
      <c r="K344" s="1"/>
      <c r="L344" s="1" t="s">
        <v>48</v>
      </c>
      <c r="M344" s="1" t="str">
        <f>INDEX(MCC_Lookup!$B$2:$B$12,MATCH(G344,MCC_Lookup!$A$2:$A$12,0))</f>
        <v>Lodging</v>
      </c>
      <c r="N344" s="1" t="str">
        <f>IF(TRIM(H344)="","BLANK",IF(PROPER(TRIM(H344))=TRIM(M344),"MATCH","MISMATCH"))</f>
        <v>BLANK</v>
      </c>
      <c r="O344" s="5" t="str">
        <f>INDEX([1]Employee!$C$2:$C$276,MATCH(B344,[1]Employee!$A$2:$A$276,0))</f>
        <v>IT &amp; Platform Engineering</v>
      </c>
    </row>
    <row r="345" spans="1:15">
      <c r="A345" s="1" t="s">
        <v>898</v>
      </c>
      <c r="B345" s="1" t="s">
        <v>899</v>
      </c>
      <c r="C345" s="1" t="s">
        <v>900</v>
      </c>
      <c r="D345" s="2">
        <v>46036</v>
      </c>
      <c r="E345" s="2">
        <v>46046</v>
      </c>
      <c r="F345" s="1" t="s">
        <v>79</v>
      </c>
      <c r="G345" s="1" t="s">
        <v>13</v>
      </c>
      <c r="H345" s="1" t="s">
        <v>14</v>
      </c>
      <c r="I345" s="7">
        <v>119.53</v>
      </c>
      <c r="J345" s="1" t="s">
        <v>38</v>
      </c>
      <c r="K345" s="1"/>
      <c r="L345" s="1" t="s">
        <v>39</v>
      </c>
      <c r="M345" s="1" t="str">
        <f>INDEX(MCC_Lookup!$B$2:$B$12,MATCH(G345,MCC_Lookup!$A$2:$A$12,0))</f>
        <v>Software</v>
      </c>
      <c r="N345" s="1" t="str">
        <f>IF(TRIM(H345)="","BLANK",IF(PROPER(TRIM(H345))=TRIM(M345),"MATCH","MISMATCH"))</f>
        <v>MATCH</v>
      </c>
      <c r="O345" s="5" t="str">
        <f>INDEX([1]Employee!$C$2:$C$276,MATCH(B345,[1]Employee!$A$2:$A$276,0))</f>
        <v>IT &amp; Platform Engineering</v>
      </c>
    </row>
    <row r="346" spans="1:15">
      <c r="A346" s="1" t="s">
        <v>901</v>
      </c>
      <c r="B346" s="1" t="s">
        <v>902</v>
      </c>
      <c r="C346" s="1"/>
      <c r="D346" s="2">
        <v>46046</v>
      </c>
      <c r="E346" s="2">
        <v>46046</v>
      </c>
      <c r="F346" s="1" t="s">
        <v>47</v>
      </c>
      <c r="G346" s="1" t="s">
        <v>6</v>
      </c>
      <c r="H346" s="1" t="s">
        <v>7</v>
      </c>
      <c r="I346" s="7">
        <v>158.38</v>
      </c>
      <c r="J346" s="1" t="s">
        <v>38</v>
      </c>
      <c r="K346" s="1"/>
      <c r="L346" s="1" t="s">
        <v>39</v>
      </c>
      <c r="M346" s="1" t="str">
        <f>INDEX(MCC_Lookup!$B$2:$B$12,MATCH(G346,MCC_Lookup!$A$2:$A$12,0))</f>
        <v>Lodging</v>
      </c>
      <c r="N346" s="1" t="str">
        <f>IF(TRIM(H346)="","BLANK",IF(PROPER(TRIM(H346))=TRIM(M346),"MATCH","MISMATCH"))</f>
        <v>MATCH</v>
      </c>
      <c r="O346" s="5" t="str">
        <f>INDEX([1]Employee!$C$2:$C$276,MATCH(B346,[1]Employee!$A$2:$A$276,0))</f>
        <v>HR &amp; Events</v>
      </c>
    </row>
    <row r="347" spans="1:15">
      <c r="A347" s="1" t="s">
        <v>903</v>
      </c>
      <c r="B347" s="1" t="s">
        <v>231</v>
      </c>
      <c r="C347" s="1" t="s">
        <v>904</v>
      </c>
      <c r="D347" s="2">
        <v>46040</v>
      </c>
      <c r="E347" s="2">
        <v>46047</v>
      </c>
      <c r="F347" s="1" t="s">
        <v>72</v>
      </c>
      <c r="G347" s="1" t="s">
        <v>8</v>
      </c>
      <c r="H347" s="1"/>
      <c r="I347" s="7">
        <v>38.75</v>
      </c>
      <c r="J347" s="1" t="s">
        <v>38</v>
      </c>
      <c r="K347" s="1"/>
      <c r="L347" s="1" t="s">
        <v>39</v>
      </c>
      <c r="M347" s="1" t="str">
        <f>INDEX(MCC_Lookup!$B$2:$B$12,MATCH(G347,MCC_Lookup!$A$2:$A$12,0))</f>
        <v>Transportation</v>
      </c>
      <c r="N347" s="1" t="str">
        <f>IF(TRIM(H347)="","BLANK",IF(PROPER(TRIM(H347))=TRIM(M347),"MATCH","MISMATCH"))</f>
        <v>BLANK</v>
      </c>
      <c r="O347" s="5" t="str">
        <f>INDEX([1]Employee!$C$2:$C$276,MATCH(B347,[1]Employee!$A$2:$A$276,0))</f>
        <v>Finance</v>
      </c>
    </row>
    <row r="348" spans="1:15">
      <c r="A348" s="1" t="s">
        <v>905</v>
      </c>
      <c r="B348" s="1" t="s">
        <v>314</v>
      </c>
      <c r="C348" s="1" t="s">
        <v>906</v>
      </c>
      <c r="D348" s="2">
        <v>46047</v>
      </c>
      <c r="E348" s="2">
        <v>46047</v>
      </c>
      <c r="F348" s="1" t="s">
        <v>305</v>
      </c>
      <c r="G348" s="1" t="s">
        <v>2</v>
      </c>
      <c r="H348" s="1" t="s">
        <v>3</v>
      </c>
      <c r="I348" s="7">
        <v>5.01</v>
      </c>
      <c r="J348" s="1" t="s">
        <v>38</v>
      </c>
      <c r="K348" s="1"/>
      <c r="L348" s="1" t="s">
        <v>48</v>
      </c>
      <c r="M348" s="1" t="str">
        <f>INDEX(MCC_Lookup!$B$2:$B$12,MATCH(G348,MCC_Lookup!$A$2:$A$12,0))</f>
        <v>Meals</v>
      </c>
      <c r="N348" s="1" t="str">
        <f>IF(TRIM(H348)="","BLANK",IF(PROPER(TRIM(H348))=TRIM(M348),"MATCH","MISMATCH"))</f>
        <v>MATCH</v>
      </c>
      <c r="O348" s="5" t="str">
        <f>INDEX([1]Employee!$C$2:$C$276,MATCH(B348,[1]Employee!$A$2:$A$276,0))</f>
        <v>Sales &amp; Marketing</v>
      </c>
    </row>
    <row r="349" spans="1:15">
      <c r="A349" s="1" t="s">
        <v>907</v>
      </c>
      <c r="B349" s="1" t="s">
        <v>908</v>
      </c>
      <c r="C349" s="1" t="s">
        <v>909</v>
      </c>
      <c r="D349" s="2">
        <v>46044</v>
      </c>
      <c r="E349" s="2">
        <v>46047</v>
      </c>
      <c r="F349" s="1" t="s">
        <v>43</v>
      </c>
      <c r="G349" s="1" t="s">
        <v>2</v>
      </c>
      <c r="H349" s="1" t="s">
        <v>3</v>
      </c>
      <c r="I349" s="7">
        <v>21.44</v>
      </c>
      <c r="J349" s="1" t="s">
        <v>38</v>
      </c>
      <c r="K349" s="1"/>
      <c r="L349" s="1" t="s">
        <v>39</v>
      </c>
      <c r="M349" s="1" t="str">
        <f>INDEX(MCC_Lookup!$B$2:$B$12,MATCH(G349,MCC_Lookup!$A$2:$A$12,0))</f>
        <v>Meals</v>
      </c>
      <c r="N349" s="1" t="str">
        <f>IF(TRIM(H349)="","BLANK",IF(PROPER(TRIM(H349))=TRIM(M349),"MATCH","MISMATCH"))</f>
        <v>MATCH</v>
      </c>
      <c r="O349" s="5" t="str">
        <f>INDEX([1]Employee!$C$2:$C$276,MATCH(B349,[1]Employee!$A$2:$A$276,0))</f>
        <v>Claims</v>
      </c>
    </row>
    <row r="350" spans="1:15">
      <c r="A350" s="1" t="s">
        <v>910</v>
      </c>
      <c r="B350" s="1" t="s">
        <v>108</v>
      </c>
      <c r="C350" s="1" t="s">
        <v>911</v>
      </c>
      <c r="D350" s="2">
        <v>46040</v>
      </c>
      <c r="E350" s="2">
        <v>46047</v>
      </c>
      <c r="F350" s="1" t="s">
        <v>47</v>
      </c>
      <c r="G350" s="1" t="s">
        <v>6</v>
      </c>
      <c r="H350" s="1" t="s">
        <v>7</v>
      </c>
      <c r="I350" s="7">
        <v>368.54</v>
      </c>
      <c r="J350" s="1" t="s">
        <v>38</v>
      </c>
      <c r="K350" s="1"/>
      <c r="L350" s="1" t="s">
        <v>39</v>
      </c>
      <c r="M350" s="1" t="str">
        <f>INDEX(MCC_Lookup!$B$2:$B$12,MATCH(G350,MCC_Lookup!$A$2:$A$12,0))</f>
        <v>Lodging</v>
      </c>
      <c r="N350" s="1" t="str">
        <f>IF(TRIM(H350)="","BLANK",IF(PROPER(TRIM(H350))=TRIM(M350),"MATCH","MISMATCH"))</f>
        <v>MATCH</v>
      </c>
      <c r="O350" s="5" t="str">
        <f>INDEX([1]Employee!$C$2:$C$276,MATCH(B350,[1]Employee!$A$2:$A$276,0))</f>
        <v>Sales &amp; Marketing</v>
      </c>
    </row>
    <row r="351" spans="1:15">
      <c r="A351" s="1" t="s">
        <v>912</v>
      </c>
      <c r="B351" s="1" t="s">
        <v>373</v>
      </c>
      <c r="C351" s="1" t="s">
        <v>913</v>
      </c>
      <c r="D351" s="2">
        <v>46045</v>
      </c>
      <c r="E351" s="2">
        <v>46047</v>
      </c>
      <c r="F351" s="1" t="s">
        <v>120</v>
      </c>
      <c r="G351" s="1" t="s">
        <v>12</v>
      </c>
      <c r="H351" s="1" t="s">
        <v>11</v>
      </c>
      <c r="I351" s="7">
        <v>466.63</v>
      </c>
      <c r="J351" s="1" t="s">
        <v>38</v>
      </c>
      <c r="K351" s="1"/>
      <c r="L351" s="1" t="s">
        <v>39</v>
      </c>
      <c r="M351" s="1" t="str">
        <f>INDEX(MCC_Lookup!$B$2:$B$12,MATCH(G351,MCC_Lookup!$A$2:$A$12,0))</f>
        <v>Office Supplies</v>
      </c>
      <c r="N351" s="1" t="str">
        <f>IF(TRIM(H351)="","BLANK",IF(PROPER(TRIM(H351))=TRIM(M351),"MATCH","MISMATCH"))</f>
        <v>MATCH</v>
      </c>
      <c r="O351" s="5" t="str">
        <f>INDEX([1]Employee!$C$2:$C$276,MATCH(B351,[1]Employee!$A$2:$A$276,0))</f>
        <v>Sales &amp; Marketing</v>
      </c>
    </row>
    <row r="352" spans="1:15">
      <c r="A352" s="1" t="s">
        <v>914</v>
      </c>
      <c r="B352" s="1" t="s">
        <v>915</v>
      </c>
      <c r="C352" s="1"/>
      <c r="D352" s="2">
        <v>46037</v>
      </c>
      <c r="E352" s="2">
        <v>46047</v>
      </c>
      <c r="F352" s="1" t="s">
        <v>37</v>
      </c>
      <c r="G352" s="1" t="s">
        <v>4</v>
      </c>
      <c r="H352" s="1" t="s">
        <v>5</v>
      </c>
      <c r="I352" s="7">
        <v>316.37</v>
      </c>
      <c r="J352" s="1" t="s">
        <v>38</v>
      </c>
      <c r="K352" s="1"/>
      <c r="L352" s="1" t="s">
        <v>39</v>
      </c>
      <c r="M352" s="1" t="str">
        <f>INDEX(MCC_Lookup!$B$2:$B$12,MATCH(G352,MCC_Lookup!$A$2:$A$12,0))</f>
        <v>Travel</v>
      </c>
      <c r="N352" s="1" t="str">
        <f>IF(TRIM(H352)="","BLANK",IF(PROPER(TRIM(H352))=TRIM(M352),"MATCH","MISMATCH"))</f>
        <v>MATCH</v>
      </c>
      <c r="O352" s="5" t="str">
        <f>INDEX([1]Employee!$C$2:$C$276,MATCH(B352,[1]Employee!$A$2:$A$276,0))</f>
        <v>Sales &amp; Marketing</v>
      </c>
    </row>
    <row r="353" spans="1:15">
      <c r="A353" s="1" t="s">
        <v>916</v>
      </c>
      <c r="B353" s="1" t="s">
        <v>59</v>
      </c>
      <c r="C353" s="1" t="s">
        <v>917</v>
      </c>
      <c r="D353" s="2">
        <v>46042</v>
      </c>
      <c r="E353" s="2">
        <v>46047</v>
      </c>
      <c r="F353" s="1" t="s">
        <v>109</v>
      </c>
      <c r="G353" s="1" t="s">
        <v>18</v>
      </c>
      <c r="H353" s="1"/>
      <c r="I353" s="7">
        <v>160.55000000000001</v>
      </c>
      <c r="J353" s="1" t="s">
        <v>38</v>
      </c>
      <c r="K353" s="1"/>
      <c r="L353" s="1" t="s">
        <v>48</v>
      </c>
      <c r="M353" s="1" t="str">
        <f>INDEX(MCC_Lookup!$B$2:$B$12,MATCH(G353,MCC_Lookup!$A$2:$A$12,0))</f>
        <v>Events</v>
      </c>
      <c r="N353" s="1" t="str">
        <f>IF(TRIM(H353)="","BLANK",IF(PROPER(TRIM(H353))=TRIM(M353),"MATCH","MISMATCH"))</f>
        <v>BLANK</v>
      </c>
      <c r="O353" s="5" t="str">
        <f>INDEX([1]Employee!$C$2:$C$276,MATCH(B353,[1]Employee!$A$2:$A$276,0))</f>
        <v>Sales &amp; Marketing</v>
      </c>
    </row>
    <row r="354" spans="1:15">
      <c r="A354" s="1" t="s">
        <v>918</v>
      </c>
      <c r="B354" s="1" t="s">
        <v>836</v>
      </c>
      <c r="C354" s="1" t="s">
        <v>919</v>
      </c>
      <c r="D354" s="2">
        <v>46045</v>
      </c>
      <c r="E354" s="2">
        <v>46047</v>
      </c>
      <c r="F354" s="1" t="s">
        <v>43</v>
      </c>
      <c r="G354" s="1" t="s">
        <v>2</v>
      </c>
      <c r="H354" s="1" t="s">
        <v>3</v>
      </c>
      <c r="I354" s="7">
        <v>7.09</v>
      </c>
      <c r="J354" s="1" t="s">
        <v>38</v>
      </c>
      <c r="K354" s="1"/>
      <c r="L354" s="1" t="s">
        <v>39</v>
      </c>
      <c r="M354" s="1" t="str">
        <f>INDEX(MCC_Lookup!$B$2:$B$12,MATCH(G354,MCC_Lookup!$A$2:$A$12,0))</f>
        <v>Meals</v>
      </c>
      <c r="N354" s="1" t="str">
        <f>IF(TRIM(H354)="","BLANK",IF(PROPER(TRIM(H354))=TRIM(M354),"MATCH","MISMATCH"))</f>
        <v>MATCH</v>
      </c>
      <c r="O354" s="5" t="str">
        <f>INDEX([1]Employee!$C$2:$C$276,MATCH(B354,[1]Employee!$A$2:$A$276,0))</f>
        <v>Sales &amp; Marketing</v>
      </c>
    </row>
    <row r="355" spans="1:15">
      <c r="A355" s="1" t="s">
        <v>920</v>
      </c>
      <c r="B355" s="1" t="s">
        <v>490</v>
      </c>
      <c r="C355" s="1" t="s">
        <v>921</v>
      </c>
      <c r="D355" s="2">
        <v>46041</v>
      </c>
      <c r="E355" s="2">
        <v>46047</v>
      </c>
      <c r="F355" s="1" t="s">
        <v>56</v>
      </c>
      <c r="G355" s="1" t="s">
        <v>4</v>
      </c>
      <c r="H355" s="1" t="s">
        <v>5</v>
      </c>
      <c r="I355" s="7">
        <v>236.3</v>
      </c>
      <c r="J355" s="1" t="s">
        <v>38</v>
      </c>
      <c r="K355" s="1"/>
      <c r="L355" s="1" t="s">
        <v>39</v>
      </c>
      <c r="M355" s="1" t="str">
        <f>INDEX(MCC_Lookup!$B$2:$B$12,MATCH(G355,MCC_Lookup!$A$2:$A$12,0))</f>
        <v>Travel</v>
      </c>
      <c r="N355" s="1" t="str">
        <f>IF(TRIM(H355)="","BLANK",IF(PROPER(TRIM(H355))=TRIM(M355),"MATCH","MISMATCH"))</f>
        <v>MATCH</v>
      </c>
      <c r="O355" s="5" t="str">
        <f>INDEX([1]Employee!$C$2:$C$276,MATCH(B355,[1]Employee!$A$2:$A$276,0))</f>
        <v>Actuarial &amp; Risk</v>
      </c>
    </row>
    <row r="356" spans="1:15">
      <c r="A356" s="1" t="s">
        <v>922</v>
      </c>
      <c r="B356" s="1" t="s">
        <v>553</v>
      </c>
      <c r="C356" s="1"/>
      <c r="D356" s="2">
        <v>46041</v>
      </c>
      <c r="E356" s="2">
        <v>46047</v>
      </c>
      <c r="F356" s="1" t="s">
        <v>61</v>
      </c>
      <c r="G356" s="1" t="s">
        <v>13</v>
      </c>
      <c r="H356" s="1" t="s">
        <v>14</v>
      </c>
      <c r="I356" s="7">
        <v>49.69</v>
      </c>
      <c r="J356" s="1" t="s">
        <v>111</v>
      </c>
      <c r="K356" s="1" t="s">
        <v>229</v>
      </c>
      <c r="L356" s="1" t="s">
        <v>39</v>
      </c>
      <c r="M356" s="1" t="str">
        <f>INDEX(MCC_Lookup!$B$2:$B$12,MATCH(G356,MCC_Lookup!$A$2:$A$12,0))</f>
        <v>Software</v>
      </c>
      <c r="N356" s="1" t="str">
        <f>IF(TRIM(H356)="","BLANK",IF(PROPER(TRIM(H356))=TRIM(M356),"MATCH","MISMATCH"))</f>
        <v>MATCH</v>
      </c>
      <c r="O356" s="5" t="str">
        <f>INDEX([1]Employee!$C$2:$C$276,MATCH(B356,[1]Employee!$A$2:$A$276,0))</f>
        <v>Claims</v>
      </c>
    </row>
    <row r="357" spans="1:15">
      <c r="A357" s="1" t="s">
        <v>923</v>
      </c>
      <c r="B357" s="1" t="s">
        <v>924</v>
      </c>
      <c r="C357" s="1" t="s">
        <v>925</v>
      </c>
      <c r="D357" s="2">
        <v>46043</v>
      </c>
      <c r="E357" s="2">
        <v>46047</v>
      </c>
      <c r="F357" s="1" t="s">
        <v>201</v>
      </c>
      <c r="G357" s="1" t="s">
        <v>4</v>
      </c>
      <c r="H357" s="1" t="s">
        <v>5</v>
      </c>
      <c r="I357" s="7">
        <v>297.82</v>
      </c>
      <c r="J357" s="1" t="s">
        <v>38</v>
      </c>
      <c r="K357" s="1"/>
      <c r="L357" s="1" t="s">
        <v>39</v>
      </c>
      <c r="M357" s="1" t="str">
        <f>INDEX(MCC_Lookup!$B$2:$B$12,MATCH(G357,MCC_Lookup!$A$2:$A$12,0))</f>
        <v>Travel</v>
      </c>
      <c r="N357" s="1" t="str">
        <f>IF(TRIM(H357)="","BLANK",IF(PROPER(TRIM(H357))=TRIM(M357),"MATCH","MISMATCH"))</f>
        <v>MATCH</v>
      </c>
      <c r="O357" s="5" t="str">
        <f>INDEX([1]Employee!$C$2:$C$276,MATCH(B357,[1]Employee!$A$2:$A$276,0))</f>
        <v>HR &amp; Events</v>
      </c>
    </row>
    <row r="358" spans="1:15">
      <c r="A358" s="1" t="s">
        <v>926</v>
      </c>
      <c r="B358" s="1" t="s">
        <v>888</v>
      </c>
      <c r="C358" s="1" t="s">
        <v>927</v>
      </c>
      <c r="D358" s="2">
        <v>46040</v>
      </c>
      <c r="E358" s="2">
        <v>46047</v>
      </c>
      <c r="F358" s="1" t="s">
        <v>43</v>
      </c>
      <c r="G358" s="1" t="s">
        <v>2</v>
      </c>
      <c r="H358" s="1" t="s">
        <v>3</v>
      </c>
      <c r="I358" s="7">
        <v>19.62</v>
      </c>
      <c r="J358" s="1" t="s">
        <v>38</v>
      </c>
      <c r="K358" s="1"/>
      <c r="L358" s="1" t="s">
        <v>39</v>
      </c>
      <c r="M358" s="1" t="str">
        <f>INDEX(MCC_Lookup!$B$2:$B$12,MATCH(G358,MCC_Lookup!$A$2:$A$12,0))</f>
        <v>Meals</v>
      </c>
      <c r="N358" s="1" t="str">
        <f>IF(TRIM(H358)="","BLANK",IF(PROPER(TRIM(H358))=TRIM(M358),"MATCH","MISMATCH"))</f>
        <v>MATCH</v>
      </c>
      <c r="O358" s="5" t="str">
        <f>INDEX([1]Employee!$C$2:$C$276,MATCH(B358,[1]Employee!$A$2:$A$276,0))</f>
        <v>Claims</v>
      </c>
    </row>
    <row r="359" spans="1:15">
      <c r="A359" s="1" t="s">
        <v>928</v>
      </c>
      <c r="B359" s="1" t="s">
        <v>63</v>
      </c>
      <c r="C359" s="1" t="s">
        <v>929</v>
      </c>
      <c r="D359" s="2">
        <v>46037</v>
      </c>
      <c r="E359" s="2">
        <v>46047</v>
      </c>
      <c r="F359" s="1" t="s">
        <v>69</v>
      </c>
      <c r="G359" s="1" t="s">
        <v>8</v>
      </c>
      <c r="H359" s="1" t="s">
        <v>9</v>
      </c>
      <c r="I359" s="7">
        <v>12.43</v>
      </c>
      <c r="J359" s="1" t="s">
        <v>38</v>
      </c>
      <c r="K359" s="1"/>
      <c r="L359" s="1" t="s">
        <v>39</v>
      </c>
      <c r="M359" s="1" t="str">
        <f>INDEX(MCC_Lookup!$B$2:$B$12,MATCH(G359,MCC_Lookup!$A$2:$A$12,0))</f>
        <v>Transportation</v>
      </c>
      <c r="N359" s="1" t="str">
        <f>IF(TRIM(H359)="","BLANK",IF(PROPER(TRIM(H359))=TRIM(M359),"MATCH","MISMATCH"))</f>
        <v>MATCH</v>
      </c>
      <c r="O359" s="5" t="str">
        <f>INDEX([1]Employee!$C$2:$C$276,MATCH(B359,[1]Employee!$A$2:$A$276,0))</f>
        <v>Sales &amp; Marketing</v>
      </c>
    </row>
    <row r="360" spans="1:15">
      <c r="A360" s="1" t="s">
        <v>930</v>
      </c>
      <c r="B360" s="1" t="s">
        <v>931</v>
      </c>
      <c r="C360" s="1" t="s">
        <v>932</v>
      </c>
      <c r="D360" s="2">
        <v>46044</v>
      </c>
      <c r="E360" s="2">
        <v>46047</v>
      </c>
      <c r="F360" s="1" t="s">
        <v>56</v>
      </c>
      <c r="G360" s="1" t="s">
        <v>4</v>
      </c>
      <c r="H360" s="1" t="s">
        <v>5</v>
      </c>
      <c r="I360" s="7">
        <v>266.41000000000003</v>
      </c>
      <c r="J360" s="1" t="s">
        <v>38</v>
      </c>
      <c r="K360" s="1"/>
      <c r="L360" s="1" t="s">
        <v>39</v>
      </c>
      <c r="M360" s="1" t="str">
        <f>INDEX(MCC_Lookup!$B$2:$B$12,MATCH(G360,MCC_Lookup!$A$2:$A$12,0))</f>
        <v>Travel</v>
      </c>
      <c r="N360" s="1" t="str">
        <f>IF(TRIM(H360)="","BLANK",IF(PROPER(TRIM(H360))=TRIM(M360),"MATCH","MISMATCH"))</f>
        <v>MATCH</v>
      </c>
      <c r="O360" s="5" t="str">
        <f>INDEX([1]Employee!$C$2:$C$276,MATCH(B360,[1]Employee!$A$2:$A$276,0))</f>
        <v>Finance</v>
      </c>
    </row>
    <row r="361" spans="1:15">
      <c r="A361" s="1" t="s">
        <v>933</v>
      </c>
      <c r="B361" s="1" t="s">
        <v>190</v>
      </c>
      <c r="C361" s="1"/>
      <c r="D361" s="2">
        <v>46042</v>
      </c>
      <c r="E361" s="2">
        <v>46047</v>
      </c>
      <c r="F361" s="1" t="s">
        <v>69</v>
      </c>
      <c r="G361" s="1" t="s">
        <v>8</v>
      </c>
      <c r="H361" s="1" t="s">
        <v>435</v>
      </c>
      <c r="I361" s="7">
        <v>37.01</v>
      </c>
      <c r="J361" s="1" t="s">
        <v>38</v>
      </c>
      <c r="K361" s="1"/>
      <c r="L361" s="1" t="s">
        <v>48</v>
      </c>
      <c r="M361" s="1" t="str">
        <f>INDEX(MCC_Lookup!$B$2:$B$12,MATCH(G361,MCC_Lookup!$A$2:$A$12,0))</f>
        <v>Transportation</v>
      </c>
      <c r="N361" s="1" t="str">
        <f>IF(TRIM(H361)="","BLANK",IF(PROPER(TRIM(H361))=TRIM(M361),"MATCH","MISMATCH"))</f>
        <v>MATCH</v>
      </c>
      <c r="O361" s="5" t="str">
        <f>INDEX([1]Employee!$C$2:$C$276,MATCH(B361,[1]Employee!$A$2:$A$276,0))</f>
        <v>Sales &amp; Marketing</v>
      </c>
    </row>
    <row r="362" spans="1:15">
      <c r="A362" s="1" t="s">
        <v>934</v>
      </c>
      <c r="B362" s="1" t="s">
        <v>349</v>
      </c>
      <c r="C362" s="1" t="s">
        <v>935</v>
      </c>
      <c r="D362" s="2">
        <v>46037</v>
      </c>
      <c r="E362" s="2">
        <v>46047</v>
      </c>
      <c r="F362" s="1" t="s">
        <v>109</v>
      </c>
      <c r="G362" s="1" t="s">
        <v>18</v>
      </c>
      <c r="H362" s="1" t="s">
        <v>19</v>
      </c>
      <c r="I362" s="7">
        <v>224.19</v>
      </c>
      <c r="J362" s="1" t="s">
        <v>38</v>
      </c>
      <c r="K362" s="1"/>
      <c r="L362" s="1" t="s">
        <v>39</v>
      </c>
      <c r="M362" s="1" t="str">
        <f>INDEX(MCC_Lookup!$B$2:$B$12,MATCH(G362,MCC_Lookup!$A$2:$A$12,0))</f>
        <v>Events</v>
      </c>
      <c r="N362" s="1" t="str">
        <f>IF(TRIM(H362)="","BLANK",IF(PROPER(TRIM(H362))=TRIM(M362),"MATCH","MISMATCH"))</f>
        <v>MATCH</v>
      </c>
      <c r="O362" s="5" t="str">
        <f>INDEX([1]Employee!$C$2:$C$276,MATCH(B362,[1]Employee!$A$2:$A$276,0))</f>
        <v>Sales &amp; Marketing</v>
      </c>
    </row>
    <row r="363" spans="1:15">
      <c r="A363" s="1" t="s">
        <v>936</v>
      </c>
      <c r="B363" s="1" t="s">
        <v>821</v>
      </c>
      <c r="C363" s="1" t="s">
        <v>937</v>
      </c>
      <c r="D363" s="2">
        <v>46047</v>
      </c>
      <c r="E363" s="2">
        <v>46047</v>
      </c>
      <c r="F363" s="1" t="s">
        <v>56</v>
      </c>
      <c r="G363" s="1" t="s">
        <v>4</v>
      </c>
      <c r="H363" s="1" t="s">
        <v>5</v>
      </c>
      <c r="I363" s="7">
        <v>281.5</v>
      </c>
      <c r="J363" s="1" t="s">
        <v>38</v>
      </c>
      <c r="K363" s="1"/>
      <c r="L363" s="1" t="s">
        <v>39</v>
      </c>
      <c r="M363" s="1" t="str">
        <f>INDEX(MCC_Lookup!$B$2:$B$12,MATCH(G363,MCC_Lookup!$A$2:$A$12,0))</f>
        <v>Travel</v>
      </c>
      <c r="N363" s="1" t="str">
        <f>IF(TRIM(H363)="","BLANK",IF(PROPER(TRIM(H363))=TRIM(M363),"MATCH","MISMATCH"))</f>
        <v>MATCH</v>
      </c>
      <c r="O363" s="5" t="str">
        <f>INDEX([1]Employee!$C$2:$C$276,MATCH(B363,[1]Employee!$A$2:$A$276,0))</f>
        <v>Claims</v>
      </c>
    </row>
    <row r="364" spans="1:15">
      <c r="A364" s="1" t="s">
        <v>938</v>
      </c>
      <c r="B364" s="1" t="s">
        <v>661</v>
      </c>
      <c r="C364" s="1" t="s">
        <v>939</v>
      </c>
      <c r="D364" s="2">
        <v>46043</v>
      </c>
      <c r="E364" s="2">
        <v>46047</v>
      </c>
      <c r="F364" s="1" t="s">
        <v>56</v>
      </c>
      <c r="G364" s="1" t="s">
        <v>4</v>
      </c>
      <c r="H364" s="1" t="s">
        <v>57</v>
      </c>
      <c r="I364" s="7">
        <v>598.29</v>
      </c>
      <c r="J364" s="1" t="s">
        <v>38</v>
      </c>
      <c r="K364" s="1"/>
      <c r="L364" s="1" t="s">
        <v>39</v>
      </c>
      <c r="M364" s="1" t="str">
        <f>INDEX(MCC_Lookup!$B$2:$B$12,MATCH(G364,MCC_Lookup!$A$2:$A$12,0))</f>
        <v>Travel</v>
      </c>
      <c r="N364" s="1" t="str">
        <f>IF(TRIM(H364)="","BLANK",IF(PROPER(TRIM(H364))=TRIM(M364),"MATCH","MISMATCH"))</f>
        <v>MATCH</v>
      </c>
      <c r="O364" s="5" t="str">
        <f>INDEX([1]Employee!$C$2:$C$276,MATCH(B364,[1]Employee!$A$2:$A$276,0))</f>
        <v>Sales &amp; Marketing</v>
      </c>
    </row>
    <row r="365" spans="1:15">
      <c r="A365" s="1" t="s">
        <v>940</v>
      </c>
      <c r="B365" s="1" t="s">
        <v>261</v>
      </c>
      <c r="C365" s="1" t="s">
        <v>941</v>
      </c>
      <c r="D365" s="2">
        <v>46040</v>
      </c>
      <c r="E365" s="2">
        <v>46047</v>
      </c>
      <c r="F365" s="1" t="s">
        <v>259</v>
      </c>
      <c r="G365" s="1" t="s">
        <v>20</v>
      </c>
      <c r="H365" s="1" t="s">
        <v>19</v>
      </c>
      <c r="I365" s="7">
        <v>600.97</v>
      </c>
      <c r="J365" s="1" t="s">
        <v>38</v>
      </c>
      <c r="K365" s="1"/>
      <c r="L365" s="1" t="s">
        <v>48</v>
      </c>
      <c r="M365" s="1" t="str">
        <f>INDEX(MCC_Lookup!$B$2:$B$12,MATCH(G365,MCC_Lookup!$A$2:$A$12,0))</f>
        <v>Events</v>
      </c>
      <c r="N365" s="1" t="str">
        <f>IF(TRIM(H365)="","BLANK",IF(PROPER(TRIM(H365))=TRIM(M365),"MATCH","MISMATCH"))</f>
        <v>MATCH</v>
      </c>
      <c r="O365" s="5" t="str">
        <f>INDEX([1]Employee!$C$2:$C$276,MATCH(B365,[1]Employee!$A$2:$A$276,0))</f>
        <v>Sales &amp; Marketing</v>
      </c>
    </row>
    <row r="366" spans="1:15">
      <c r="A366" s="1" t="s">
        <v>942</v>
      </c>
      <c r="B366" s="1" t="s">
        <v>597</v>
      </c>
      <c r="C366" s="1" t="s">
        <v>943</v>
      </c>
      <c r="D366" s="2">
        <v>46040</v>
      </c>
      <c r="E366" s="2">
        <v>46047</v>
      </c>
      <c r="F366" s="1" t="s">
        <v>177</v>
      </c>
      <c r="G366" s="1" t="s">
        <v>13</v>
      </c>
      <c r="H366" s="1" t="s">
        <v>14</v>
      </c>
      <c r="I366" s="7">
        <v>22.91</v>
      </c>
      <c r="J366" s="1" t="s">
        <v>38</v>
      </c>
      <c r="K366" s="1"/>
      <c r="L366" s="1" t="s">
        <v>39</v>
      </c>
      <c r="M366" s="1" t="str">
        <f>INDEX(MCC_Lookup!$B$2:$B$12,MATCH(G366,MCC_Lookup!$A$2:$A$12,0))</f>
        <v>Software</v>
      </c>
      <c r="N366" s="1" t="str">
        <f>IF(TRIM(H366)="","BLANK",IF(PROPER(TRIM(H366))=TRIM(M366),"MATCH","MISMATCH"))</f>
        <v>MATCH</v>
      </c>
      <c r="O366" s="5" t="str">
        <f>INDEX([1]Employee!$C$2:$C$276,MATCH(B366,[1]Employee!$A$2:$A$276,0))</f>
        <v>Sales &amp; Marketing</v>
      </c>
    </row>
    <row r="367" spans="1:15">
      <c r="A367" s="1" t="s">
        <v>944</v>
      </c>
      <c r="B367" s="1" t="s">
        <v>810</v>
      </c>
      <c r="C367" s="1" t="s">
        <v>945</v>
      </c>
      <c r="D367" s="2">
        <v>46037</v>
      </c>
      <c r="E367" s="2">
        <v>46047</v>
      </c>
      <c r="F367" s="1" t="s">
        <v>79</v>
      </c>
      <c r="G367" s="1" t="s">
        <v>13</v>
      </c>
      <c r="H367" s="1" t="s">
        <v>14</v>
      </c>
      <c r="I367" s="7">
        <v>242.84</v>
      </c>
      <c r="J367" s="1" t="s">
        <v>38</v>
      </c>
      <c r="K367" s="1"/>
      <c r="L367" s="1" t="s">
        <v>39</v>
      </c>
      <c r="M367" s="1" t="str">
        <f>INDEX(MCC_Lookup!$B$2:$B$12,MATCH(G367,MCC_Lookup!$A$2:$A$12,0))</f>
        <v>Software</v>
      </c>
      <c r="N367" s="1" t="str">
        <f>IF(TRIM(H367)="","BLANK",IF(PROPER(TRIM(H367))=TRIM(M367),"MATCH","MISMATCH"))</f>
        <v>MATCH</v>
      </c>
      <c r="O367" s="5" t="str">
        <f>INDEX([1]Employee!$C$2:$C$276,MATCH(B367,[1]Employee!$A$2:$A$276,0))</f>
        <v>Sales &amp; Marketing</v>
      </c>
    </row>
    <row r="368" spans="1:15">
      <c r="A368" s="1" t="s">
        <v>946</v>
      </c>
      <c r="B368" s="1" t="s">
        <v>947</v>
      </c>
      <c r="C368" s="1" t="s">
        <v>948</v>
      </c>
      <c r="D368" s="2">
        <v>46040</v>
      </c>
      <c r="E368" s="2">
        <v>46048</v>
      </c>
      <c r="F368" s="1" t="s">
        <v>116</v>
      </c>
      <c r="G368" s="1" t="s">
        <v>2</v>
      </c>
      <c r="H368" s="1" t="s">
        <v>154</v>
      </c>
      <c r="I368" s="7">
        <v>20.239999999999998</v>
      </c>
      <c r="J368" s="1" t="s">
        <v>38</v>
      </c>
      <c r="K368" s="1"/>
      <c r="L368" s="1" t="s">
        <v>39</v>
      </c>
      <c r="M368" s="1" t="str">
        <f>INDEX(MCC_Lookup!$B$2:$B$12,MATCH(G368,MCC_Lookup!$A$2:$A$12,0))</f>
        <v>Meals</v>
      </c>
      <c r="N368" s="1" t="str">
        <f>IF(TRIM(H368)="","BLANK",IF(PROPER(TRIM(H368))=TRIM(M368),"MATCH","MISMATCH"))</f>
        <v>MATCH</v>
      </c>
      <c r="O368" s="5" t="str">
        <f>INDEX([1]Employee!$C$2:$C$276,MATCH(B368,[1]Employee!$A$2:$A$276,0))</f>
        <v>Sales &amp; Marketing</v>
      </c>
    </row>
    <row r="369" spans="1:15">
      <c r="A369" s="1" t="s">
        <v>949</v>
      </c>
      <c r="B369" s="1" t="s">
        <v>328</v>
      </c>
      <c r="C369" s="1" t="s">
        <v>950</v>
      </c>
      <c r="D369" s="2">
        <v>46043</v>
      </c>
      <c r="E369" s="2">
        <v>46048</v>
      </c>
      <c r="F369" s="1" t="s">
        <v>242</v>
      </c>
      <c r="G369" s="1" t="s">
        <v>13</v>
      </c>
      <c r="H369" s="1" t="s">
        <v>14</v>
      </c>
      <c r="I369" s="7">
        <v>43.97</v>
      </c>
      <c r="J369" s="1" t="s">
        <v>38</v>
      </c>
      <c r="K369" s="1"/>
      <c r="L369" s="1" t="s">
        <v>39</v>
      </c>
      <c r="M369" s="1" t="str">
        <f>INDEX(MCC_Lookup!$B$2:$B$12,MATCH(G369,MCC_Lookup!$A$2:$A$12,0))</f>
        <v>Software</v>
      </c>
      <c r="N369" s="1" t="str">
        <f>IF(TRIM(H369)="","BLANK",IF(PROPER(TRIM(H369))=TRIM(M369),"MATCH","MISMATCH"))</f>
        <v>MATCH</v>
      </c>
      <c r="O369" s="5" t="str">
        <f>INDEX([1]Employee!$C$2:$C$276,MATCH(B369,[1]Employee!$A$2:$A$276,0))</f>
        <v>Underwriting</v>
      </c>
    </row>
    <row r="370" spans="1:15">
      <c r="A370" s="1" t="s">
        <v>951</v>
      </c>
      <c r="B370" s="1" t="s">
        <v>475</v>
      </c>
      <c r="C370" s="1"/>
      <c r="D370" s="2">
        <v>46041</v>
      </c>
      <c r="E370" s="2">
        <v>46048</v>
      </c>
      <c r="F370" s="1" t="s">
        <v>56</v>
      </c>
      <c r="G370" s="1" t="s">
        <v>4</v>
      </c>
      <c r="H370" s="1" t="s">
        <v>9</v>
      </c>
      <c r="I370" s="7">
        <v>507.01</v>
      </c>
      <c r="J370" s="1" t="s">
        <v>111</v>
      </c>
      <c r="K370" s="1" t="s">
        <v>161</v>
      </c>
      <c r="L370" s="1" t="s">
        <v>39</v>
      </c>
      <c r="M370" s="1" t="str">
        <f>INDEX(MCC_Lookup!$B$2:$B$12,MATCH(G370,MCC_Lookup!$A$2:$A$12,0))</f>
        <v>Travel</v>
      </c>
      <c r="N370" s="1" t="str">
        <f>IF(TRIM(H370)="","BLANK",IF(PROPER(TRIM(H370))=TRIM(M370),"MATCH","MISMATCH"))</f>
        <v>MISMATCH</v>
      </c>
      <c r="O370" s="5" t="str">
        <f>INDEX([1]Employee!$C$2:$C$276,MATCH(B370,[1]Employee!$A$2:$A$276,0))</f>
        <v>Sales &amp; Marketing</v>
      </c>
    </row>
    <row r="371" spans="1:15">
      <c r="A371" s="1" t="s">
        <v>952</v>
      </c>
      <c r="B371" s="1" t="s">
        <v>499</v>
      </c>
      <c r="C371" s="1" t="s">
        <v>953</v>
      </c>
      <c r="D371" s="2">
        <v>46041</v>
      </c>
      <c r="E371" s="2">
        <v>46048</v>
      </c>
      <c r="F371" s="1" t="s">
        <v>99</v>
      </c>
      <c r="G371" s="1" t="s">
        <v>2</v>
      </c>
      <c r="H371" s="1" t="s">
        <v>3</v>
      </c>
      <c r="I371" s="7">
        <v>54.63</v>
      </c>
      <c r="J371" s="1" t="s">
        <v>38</v>
      </c>
      <c r="K371" s="1"/>
      <c r="L371" s="1" t="s">
        <v>48</v>
      </c>
      <c r="M371" s="1" t="str">
        <f>INDEX(MCC_Lookup!$B$2:$B$12,MATCH(G371,MCC_Lookup!$A$2:$A$12,0))</f>
        <v>Meals</v>
      </c>
      <c r="N371" s="1" t="str">
        <f>IF(TRIM(H371)="","BLANK",IF(PROPER(TRIM(H371))=TRIM(M371),"MATCH","MISMATCH"))</f>
        <v>MATCH</v>
      </c>
      <c r="O371" s="5" t="str">
        <f>INDEX([1]Employee!$C$2:$C$276,MATCH(B371,[1]Employee!$A$2:$A$276,0))</f>
        <v>Sales &amp; Marketing</v>
      </c>
    </row>
    <row r="372" spans="1:15">
      <c r="A372" s="1" t="s">
        <v>954</v>
      </c>
      <c r="B372" s="1" t="s">
        <v>448</v>
      </c>
      <c r="C372" s="1"/>
      <c r="D372" s="2">
        <v>46048</v>
      </c>
      <c r="E372" s="2">
        <v>46048</v>
      </c>
      <c r="F372" s="1" t="s">
        <v>52</v>
      </c>
      <c r="G372" s="1" t="s">
        <v>15</v>
      </c>
      <c r="H372" s="1" t="s">
        <v>14</v>
      </c>
      <c r="I372" s="7">
        <v>55.11</v>
      </c>
      <c r="J372" s="1" t="s">
        <v>38</v>
      </c>
      <c r="K372" s="1"/>
      <c r="L372" s="1" t="s">
        <v>39</v>
      </c>
      <c r="M372" s="1" t="str">
        <f>INDEX(MCC_Lookup!$B$2:$B$12,MATCH(G372,MCC_Lookup!$A$2:$A$12,0))</f>
        <v>Entertainment</v>
      </c>
      <c r="N372" s="1" t="str">
        <f>IF(TRIM(H372)="","BLANK",IF(PROPER(TRIM(H372))=TRIM(M372),"MATCH","MISMATCH"))</f>
        <v>MISMATCH</v>
      </c>
      <c r="O372" s="5" t="str">
        <f>INDEX([1]Employee!$C$2:$C$276,MATCH(B372,[1]Employee!$A$2:$A$276,0))</f>
        <v>Sales &amp; Marketing</v>
      </c>
    </row>
    <row r="373" spans="1:15">
      <c r="A373" s="1" t="s">
        <v>955</v>
      </c>
      <c r="B373" s="1" t="s">
        <v>97</v>
      </c>
      <c r="C373" s="1"/>
      <c r="D373" s="2">
        <v>46042</v>
      </c>
      <c r="E373" s="2">
        <v>46048</v>
      </c>
      <c r="F373" s="1" t="s">
        <v>109</v>
      </c>
      <c r="G373" s="1" t="s">
        <v>18</v>
      </c>
      <c r="H373" s="1" t="s">
        <v>19</v>
      </c>
      <c r="I373" s="7">
        <v>227.94</v>
      </c>
      <c r="J373" s="1" t="s">
        <v>38</v>
      </c>
      <c r="K373" s="1"/>
      <c r="L373" s="1" t="s">
        <v>39</v>
      </c>
      <c r="M373" s="1" t="str">
        <f>INDEX(MCC_Lookup!$B$2:$B$12,MATCH(G373,MCC_Lookup!$A$2:$A$12,0))</f>
        <v>Events</v>
      </c>
      <c r="N373" s="1" t="str">
        <f>IF(TRIM(H373)="","BLANK",IF(PROPER(TRIM(H373))=TRIM(M373),"MATCH","MISMATCH"))</f>
        <v>MATCH</v>
      </c>
      <c r="O373" s="5" t="str">
        <f>INDEX([1]Employee!$C$2:$C$276,MATCH(B373,[1]Employee!$A$2:$A$276,0))</f>
        <v>Sales &amp; Marketing</v>
      </c>
    </row>
    <row r="374" spans="1:15">
      <c r="A374" s="1" t="s">
        <v>956</v>
      </c>
      <c r="B374" s="1" t="s">
        <v>379</v>
      </c>
      <c r="C374" s="1" t="s">
        <v>957</v>
      </c>
      <c r="D374" s="2">
        <v>46044</v>
      </c>
      <c r="E374" s="2">
        <v>46048</v>
      </c>
      <c r="F374" s="1" t="s">
        <v>69</v>
      </c>
      <c r="G374" s="1" t="s">
        <v>8</v>
      </c>
      <c r="H374" s="1" t="s">
        <v>9</v>
      </c>
      <c r="I374" s="7">
        <v>9.6199999999999992</v>
      </c>
      <c r="J374" s="1" t="s">
        <v>38</v>
      </c>
      <c r="K374" s="1"/>
      <c r="L374" s="1" t="s">
        <v>39</v>
      </c>
      <c r="M374" s="1" t="str">
        <f>INDEX(MCC_Lookup!$B$2:$B$12,MATCH(G374,MCC_Lookup!$A$2:$A$12,0))</f>
        <v>Transportation</v>
      </c>
      <c r="N374" s="1" t="str">
        <f>IF(TRIM(H374)="","BLANK",IF(PROPER(TRIM(H374))=TRIM(M374),"MATCH","MISMATCH"))</f>
        <v>MATCH</v>
      </c>
      <c r="O374" s="5" t="str">
        <f>INDEX([1]Employee!$C$2:$C$276,MATCH(B374,[1]Employee!$A$2:$A$276,0))</f>
        <v>Sales &amp; Marketing</v>
      </c>
    </row>
    <row r="375" spans="1:15">
      <c r="A375" s="1" t="s">
        <v>958</v>
      </c>
      <c r="B375" s="1" t="s">
        <v>122</v>
      </c>
      <c r="C375" s="1"/>
      <c r="D375" s="2">
        <v>46038</v>
      </c>
      <c r="E375" s="2">
        <v>46048</v>
      </c>
      <c r="F375" s="1" t="s">
        <v>242</v>
      </c>
      <c r="G375" s="1" t="s">
        <v>13</v>
      </c>
      <c r="H375" s="1" t="s">
        <v>14</v>
      </c>
      <c r="I375" s="7">
        <v>16.86</v>
      </c>
      <c r="J375" s="1" t="s">
        <v>38</v>
      </c>
      <c r="K375" s="1"/>
      <c r="L375" s="1" t="s">
        <v>39</v>
      </c>
      <c r="M375" s="1" t="str">
        <f>INDEX(MCC_Lookup!$B$2:$B$12,MATCH(G375,MCC_Lookup!$A$2:$A$12,0))</f>
        <v>Software</v>
      </c>
      <c r="N375" s="1" t="str">
        <f>IF(TRIM(H375)="","BLANK",IF(PROPER(TRIM(H375))=TRIM(M375),"MATCH","MISMATCH"))</f>
        <v>MATCH</v>
      </c>
      <c r="O375" s="5" t="str">
        <f>INDEX([1]Employee!$C$2:$C$276,MATCH(B375,[1]Employee!$A$2:$A$276,0))</f>
        <v>Sales &amp; Marketing</v>
      </c>
    </row>
    <row r="376" spans="1:15">
      <c r="A376" s="1" t="s">
        <v>959</v>
      </c>
      <c r="B376" s="1" t="s">
        <v>274</v>
      </c>
      <c r="C376" s="1" t="s">
        <v>960</v>
      </c>
      <c r="D376" s="2">
        <v>46038</v>
      </c>
      <c r="E376" s="2">
        <v>46048</v>
      </c>
      <c r="F376" s="1" t="s">
        <v>109</v>
      </c>
      <c r="G376" s="1" t="s">
        <v>18</v>
      </c>
      <c r="H376" s="1" t="s">
        <v>19</v>
      </c>
      <c r="I376" s="7">
        <v>26.99</v>
      </c>
      <c r="J376" s="1" t="s">
        <v>38</v>
      </c>
      <c r="K376" s="1"/>
      <c r="L376" s="1" t="s">
        <v>39</v>
      </c>
      <c r="M376" s="1" t="str">
        <f>INDEX(MCC_Lookup!$B$2:$B$12,MATCH(G376,MCC_Lookup!$A$2:$A$12,0))</f>
        <v>Events</v>
      </c>
      <c r="N376" s="1" t="str">
        <f>IF(TRIM(H376)="","BLANK",IF(PROPER(TRIM(H376))=TRIM(M376),"MATCH","MISMATCH"))</f>
        <v>MATCH</v>
      </c>
      <c r="O376" s="5" t="str">
        <f>INDEX([1]Employee!$C$2:$C$276,MATCH(B376,[1]Employee!$A$2:$A$276,0))</f>
        <v>Finance</v>
      </c>
    </row>
    <row r="377" spans="1:15">
      <c r="A377" s="1" t="s">
        <v>961</v>
      </c>
      <c r="B377" s="1" t="s">
        <v>325</v>
      </c>
      <c r="C377" s="1" t="s">
        <v>962</v>
      </c>
      <c r="D377" s="2">
        <v>46043</v>
      </c>
      <c r="E377" s="2">
        <v>46048</v>
      </c>
      <c r="F377" s="1" t="s">
        <v>61</v>
      </c>
      <c r="G377" s="1" t="s">
        <v>13</v>
      </c>
      <c r="H377" s="1" t="s">
        <v>3</v>
      </c>
      <c r="I377" s="7">
        <v>82.56</v>
      </c>
      <c r="J377" s="1" t="s">
        <v>38</v>
      </c>
      <c r="K377" s="1"/>
      <c r="L377" s="1" t="s">
        <v>39</v>
      </c>
      <c r="M377" s="1" t="str">
        <f>INDEX(MCC_Lookup!$B$2:$B$12,MATCH(G377,MCC_Lookup!$A$2:$A$12,0))</f>
        <v>Software</v>
      </c>
      <c r="N377" s="1" t="str">
        <f>IF(TRIM(H377)="","BLANK",IF(PROPER(TRIM(H377))=TRIM(M377),"MATCH","MISMATCH"))</f>
        <v>MISMATCH</v>
      </c>
      <c r="O377" s="5" t="str">
        <f>INDEX([1]Employee!$C$2:$C$276,MATCH(B377,[1]Employee!$A$2:$A$276,0))</f>
        <v>Sales &amp; Marketing</v>
      </c>
    </row>
    <row r="378" spans="1:15">
      <c r="A378" s="1" t="s">
        <v>963</v>
      </c>
      <c r="B378" s="1" t="s">
        <v>738</v>
      </c>
      <c r="C378" s="1" t="s">
        <v>964</v>
      </c>
      <c r="D378" s="2">
        <v>46041</v>
      </c>
      <c r="E378" s="2">
        <v>46048</v>
      </c>
      <c r="F378" s="1" t="s">
        <v>160</v>
      </c>
      <c r="G378" s="1" t="s">
        <v>6</v>
      </c>
      <c r="H378" s="1" t="s">
        <v>7</v>
      </c>
      <c r="I378" s="7">
        <v>438.76</v>
      </c>
      <c r="J378" s="1" t="s">
        <v>38</v>
      </c>
      <c r="K378" s="1"/>
      <c r="L378" s="1" t="s">
        <v>39</v>
      </c>
      <c r="M378" s="1" t="str">
        <f>INDEX(MCC_Lookup!$B$2:$B$12,MATCH(G378,MCC_Lookup!$A$2:$A$12,0))</f>
        <v>Lodging</v>
      </c>
      <c r="N378" s="1" t="str">
        <f>IF(TRIM(H378)="","BLANK",IF(PROPER(TRIM(H378))=TRIM(M378),"MATCH","MISMATCH"))</f>
        <v>MATCH</v>
      </c>
      <c r="O378" s="5" t="str">
        <f>INDEX([1]Employee!$C$2:$C$276,MATCH(B378,[1]Employee!$A$2:$A$276,0))</f>
        <v>Sales &amp; Marketing</v>
      </c>
    </row>
    <row r="379" spans="1:15">
      <c r="A379" s="1" t="s">
        <v>965</v>
      </c>
      <c r="B379" s="1" t="s">
        <v>966</v>
      </c>
      <c r="C379" s="1" t="s">
        <v>967</v>
      </c>
      <c r="D379" s="2">
        <v>46043</v>
      </c>
      <c r="E379" s="2">
        <v>46048</v>
      </c>
      <c r="F379" s="1" t="s">
        <v>106</v>
      </c>
      <c r="G379" s="1" t="s">
        <v>13</v>
      </c>
      <c r="H379" s="1" t="s">
        <v>14</v>
      </c>
      <c r="I379" s="7">
        <v>117.95</v>
      </c>
      <c r="J379" s="1" t="s">
        <v>38</v>
      </c>
      <c r="K379" s="1"/>
      <c r="L379" s="1" t="s">
        <v>39</v>
      </c>
      <c r="M379" s="1" t="str">
        <f>INDEX(MCC_Lookup!$B$2:$B$12,MATCH(G379,MCC_Lookup!$A$2:$A$12,0))</f>
        <v>Software</v>
      </c>
      <c r="N379" s="1" t="str">
        <f>IF(TRIM(H379)="","BLANK",IF(PROPER(TRIM(H379))=TRIM(M379),"MATCH","MISMATCH"))</f>
        <v>MATCH</v>
      </c>
      <c r="O379" s="5" t="str">
        <f>INDEX([1]Employee!$C$2:$C$276,MATCH(B379,[1]Employee!$A$2:$A$276,0))</f>
        <v>Finance</v>
      </c>
    </row>
    <row r="380" spans="1:15">
      <c r="A380" s="1" t="s">
        <v>968</v>
      </c>
      <c r="B380" s="1" t="s">
        <v>969</v>
      </c>
      <c r="C380" s="1" t="s">
        <v>970</v>
      </c>
      <c r="D380" s="2">
        <v>46044</v>
      </c>
      <c r="E380" s="2">
        <v>46048</v>
      </c>
      <c r="F380" s="1" t="s">
        <v>116</v>
      </c>
      <c r="G380" s="1" t="s">
        <v>2</v>
      </c>
      <c r="H380" s="1" t="s">
        <v>3</v>
      </c>
      <c r="I380" s="7">
        <v>21.56</v>
      </c>
      <c r="J380" s="1" t="s">
        <v>38</v>
      </c>
      <c r="K380" s="1"/>
      <c r="L380" s="1" t="s">
        <v>39</v>
      </c>
      <c r="M380" s="1" t="str">
        <f>INDEX(MCC_Lookup!$B$2:$B$12,MATCH(G380,MCC_Lookup!$A$2:$A$12,0))</f>
        <v>Meals</v>
      </c>
      <c r="N380" s="1" t="str">
        <f>IF(TRIM(H380)="","BLANK",IF(PROPER(TRIM(H380))=TRIM(M380),"MATCH","MISMATCH"))</f>
        <v>MATCH</v>
      </c>
      <c r="O380" s="5" t="str">
        <f>INDEX([1]Employee!$C$2:$C$276,MATCH(B380,[1]Employee!$A$2:$A$276,0))</f>
        <v>HR &amp; Events</v>
      </c>
    </row>
    <row r="381" spans="1:15">
      <c r="A381" s="1" t="s">
        <v>971</v>
      </c>
      <c r="B381" s="1" t="s">
        <v>716</v>
      </c>
      <c r="C381" s="1" t="s">
        <v>972</v>
      </c>
      <c r="D381" s="2">
        <v>46039</v>
      </c>
      <c r="E381" s="2">
        <v>46048</v>
      </c>
      <c r="F381" s="1" t="s">
        <v>37</v>
      </c>
      <c r="G381" s="1" t="s">
        <v>4</v>
      </c>
      <c r="H381" s="1" t="s">
        <v>5</v>
      </c>
      <c r="I381" s="7">
        <v>320.25</v>
      </c>
      <c r="J381" s="1" t="s">
        <v>38</v>
      </c>
      <c r="K381" s="1"/>
      <c r="L381" s="1" t="s">
        <v>48</v>
      </c>
      <c r="M381" s="1" t="str">
        <f>INDEX(MCC_Lookup!$B$2:$B$12,MATCH(G381,MCC_Lookup!$A$2:$A$12,0))</f>
        <v>Travel</v>
      </c>
      <c r="N381" s="1" t="str">
        <f>IF(TRIM(H381)="","BLANK",IF(PROPER(TRIM(H381))=TRIM(M381),"MATCH","MISMATCH"))</f>
        <v>MATCH</v>
      </c>
      <c r="O381" s="5" t="str">
        <f>INDEX([1]Employee!$C$2:$C$276,MATCH(B381,[1]Employee!$A$2:$A$276,0))</f>
        <v>Claims</v>
      </c>
    </row>
    <row r="382" spans="1:15">
      <c r="A382" s="1" t="s">
        <v>973</v>
      </c>
      <c r="B382" s="1" t="s">
        <v>623</v>
      </c>
      <c r="C382" s="1" t="s">
        <v>974</v>
      </c>
      <c r="D382" s="2">
        <v>46039</v>
      </c>
      <c r="E382" s="2">
        <v>46048</v>
      </c>
      <c r="F382" s="1" t="s">
        <v>120</v>
      </c>
      <c r="G382" s="1" t="s">
        <v>12</v>
      </c>
      <c r="H382" s="1" t="s">
        <v>11</v>
      </c>
      <c r="I382" s="7">
        <v>82.37</v>
      </c>
      <c r="J382" s="1" t="s">
        <v>38</v>
      </c>
      <c r="K382" s="1"/>
      <c r="L382" s="1" t="s">
        <v>39</v>
      </c>
      <c r="M382" s="1" t="str">
        <f>INDEX(MCC_Lookup!$B$2:$B$12,MATCH(G382,MCC_Lookup!$A$2:$A$12,0))</f>
        <v>Office Supplies</v>
      </c>
      <c r="N382" s="1" t="str">
        <f>IF(TRIM(H382)="","BLANK",IF(PROPER(TRIM(H382))=TRIM(M382),"MATCH","MISMATCH"))</f>
        <v>MATCH</v>
      </c>
      <c r="O382" s="5" t="str">
        <f>INDEX([1]Employee!$C$2:$C$276,MATCH(B382,[1]Employee!$A$2:$A$276,0))</f>
        <v>Underwriting</v>
      </c>
    </row>
    <row r="383" spans="1:15">
      <c r="A383" s="1" t="s">
        <v>975</v>
      </c>
      <c r="B383" s="1" t="s">
        <v>732</v>
      </c>
      <c r="C383" s="1" t="s">
        <v>976</v>
      </c>
      <c r="D383" s="2">
        <v>46045</v>
      </c>
      <c r="E383" s="2">
        <v>46048</v>
      </c>
      <c r="F383" s="1" t="s">
        <v>116</v>
      </c>
      <c r="G383" s="1" t="s">
        <v>2</v>
      </c>
      <c r="H383" s="1" t="s">
        <v>794</v>
      </c>
      <c r="I383" s="7">
        <v>11.4</v>
      </c>
      <c r="J383" s="1" t="s">
        <v>38</v>
      </c>
      <c r="K383" s="1"/>
      <c r="L383" s="1" t="s">
        <v>39</v>
      </c>
      <c r="M383" s="1" t="str">
        <f>INDEX(MCC_Lookup!$B$2:$B$12,MATCH(G383,MCC_Lookup!$A$2:$A$12,0))</f>
        <v>Meals</v>
      </c>
      <c r="N383" s="1" t="str">
        <f>IF(TRIM(H383)="","BLANK",IF(PROPER(TRIM(H383))=TRIM(M383),"MATCH","MISMATCH"))</f>
        <v>MATCH</v>
      </c>
      <c r="O383" s="5" t="str">
        <f>INDEX([1]Employee!$C$2:$C$276,MATCH(B383,[1]Employee!$A$2:$A$276,0))</f>
        <v>Underwriting</v>
      </c>
    </row>
    <row r="384" spans="1:15">
      <c r="A384" s="1" t="s">
        <v>977</v>
      </c>
      <c r="B384" s="1" t="s">
        <v>81</v>
      </c>
      <c r="C384" s="1" t="s">
        <v>978</v>
      </c>
      <c r="D384" s="2">
        <v>46043</v>
      </c>
      <c r="E384" s="2">
        <v>46048</v>
      </c>
      <c r="F384" s="1" t="s">
        <v>259</v>
      </c>
      <c r="G384" s="1" t="s">
        <v>20</v>
      </c>
      <c r="H384" s="1" t="s">
        <v>3</v>
      </c>
      <c r="I384" s="7">
        <v>154.69999999999999</v>
      </c>
      <c r="J384" s="1" t="s">
        <v>38</v>
      </c>
      <c r="K384" s="1"/>
      <c r="L384" s="1" t="s">
        <v>39</v>
      </c>
      <c r="M384" s="1" t="str">
        <f>INDEX(MCC_Lookup!$B$2:$B$12,MATCH(G384,MCC_Lookup!$A$2:$A$12,0))</f>
        <v>Events</v>
      </c>
      <c r="N384" s="1" t="str">
        <f>IF(TRIM(H384)="","BLANK",IF(PROPER(TRIM(H384))=TRIM(M384),"MATCH","MISMATCH"))</f>
        <v>MISMATCH</v>
      </c>
      <c r="O384" s="5" t="str">
        <f>INDEX([1]Employee!$C$2:$C$276,MATCH(B384,[1]Employee!$A$2:$A$276,0))</f>
        <v>Sales &amp; Marketing</v>
      </c>
    </row>
    <row r="385" spans="1:15">
      <c r="A385" s="1" t="s">
        <v>979</v>
      </c>
      <c r="B385" s="1" t="s">
        <v>531</v>
      </c>
      <c r="C385" s="1" t="s">
        <v>980</v>
      </c>
      <c r="D385" s="2">
        <v>46048</v>
      </c>
      <c r="E385" s="2">
        <v>46049</v>
      </c>
      <c r="F385" s="1" t="s">
        <v>160</v>
      </c>
      <c r="G385" s="1" t="s">
        <v>6</v>
      </c>
      <c r="H385" s="1" t="s">
        <v>7</v>
      </c>
      <c r="I385" s="7">
        <v>411.68</v>
      </c>
      <c r="J385" s="1" t="s">
        <v>38</v>
      </c>
      <c r="K385" s="1"/>
      <c r="L385" s="1" t="s">
        <v>48</v>
      </c>
      <c r="M385" s="1" t="str">
        <f>INDEX(MCC_Lookup!$B$2:$B$12,MATCH(G385,MCC_Lookup!$A$2:$A$12,0))</f>
        <v>Lodging</v>
      </c>
      <c r="N385" s="1" t="str">
        <f>IF(TRIM(H385)="","BLANK",IF(PROPER(TRIM(H385))=TRIM(M385),"MATCH","MISMATCH"))</f>
        <v>MATCH</v>
      </c>
      <c r="O385" s="5" t="str">
        <f>INDEX([1]Employee!$C$2:$C$276,MATCH(B385,[1]Employee!$A$2:$A$276,0))</f>
        <v>Sales &amp; Marketing</v>
      </c>
    </row>
    <row r="386" spans="1:15">
      <c r="A386" s="1" t="s">
        <v>981</v>
      </c>
      <c r="B386" s="1" t="s">
        <v>407</v>
      </c>
      <c r="C386" s="1" t="s">
        <v>982</v>
      </c>
      <c r="D386" s="2">
        <v>46041</v>
      </c>
      <c r="E386" s="2">
        <v>46049</v>
      </c>
      <c r="F386" s="1" t="s">
        <v>72</v>
      </c>
      <c r="G386" s="1" t="s">
        <v>8</v>
      </c>
      <c r="H386" s="1" t="s">
        <v>9</v>
      </c>
      <c r="I386" s="7">
        <v>41.69</v>
      </c>
      <c r="J386" s="1" t="s">
        <v>38</v>
      </c>
      <c r="K386" s="1"/>
      <c r="L386" s="1" t="s">
        <v>39</v>
      </c>
      <c r="M386" s="1" t="str">
        <f>INDEX(MCC_Lookup!$B$2:$B$12,MATCH(G386,MCC_Lookup!$A$2:$A$12,0))</f>
        <v>Transportation</v>
      </c>
      <c r="N386" s="1" t="str">
        <f>IF(TRIM(H386)="","BLANK",IF(PROPER(TRIM(H386))=TRIM(M386),"MATCH","MISMATCH"))</f>
        <v>MATCH</v>
      </c>
      <c r="O386" s="5" t="str">
        <f>INDEX([1]Employee!$C$2:$C$276,MATCH(B386,[1]Employee!$A$2:$A$276,0))</f>
        <v>Executive &amp; Corporate</v>
      </c>
    </row>
    <row r="387" spans="1:15">
      <c r="A387" s="1" t="s">
        <v>983</v>
      </c>
      <c r="B387" s="1" t="s">
        <v>194</v>
      </c>
      <c r="C387" s="1" t="s">
        <v>984</v>
      </c>
      <c r="D387" s="2">
        <v>46041</v>
      </c>
      <c r="E387" s="2">
        <v>46049</v>
      </c>
      <c r="F387" s="1" t="s">
        <v>65</v>
      </c>
      <c r="G387" s="1" t="s">
        <v>18</v>
      </c>
      <c r="H387" s="1" t="s">
        <v>312</v>
      </c>
      <c r="I387" s="7">
        <v>224.78</v>
      </c>
      <c r="J387" s="1" t="s">
        <v>38</v>
      </c>
      <c r="K387" s="1"/>
      <c r="L387" s="1" t="s">
        <v>39</v>
      </c>
      <c r="M387" s="1" t="str">
        <f>INDEX(MCC_Lookup!$B$2:$B$12,MATCH(G387,MCC_Lookup!$A$2:$A$12,0))</f>
        <v>Events</v>
      </c>
      <c r="N387" s="1" t="str">
        <f>IF(TRIM(H387)="","BLANK",IF(PROPER(TRIM(H387))=TRIM(M387),"MATCH","MISMATCH"))</f>
        <v>MATCH</v>
      </c>
      <c r="O387" s="5" t="str">
        <f>INDEX([1]Employee!$C$2:$C$276,MATCH(B387,[1]Employee!$A$2:$A$276,0))</f>
        <v>Claims</v>
      </c>
    </row>
    <row r="388" spans="1:15">
      <c r="A388" s="1" t="s">
        <v>985</v>
      </c>
      <c r="B388" s="1" t="s">
        <v>216</v>
      </c>
      <c r="C388" s="1" t="s">
        <v>986</v>
      </c>
      <c r="D388" s="2">
        <v>46046</v>
      </c>
      <c r="E388" s="2">
        <v>46049</v>
      </c>
      <c r="F388" s="1" t="s">
        <v>109</v>
      </c>
      <c r="G388" s="1" t="s">
        <v>18</v>
      </c>
      <c r="H388" s="1" t="s">
        <v>19</v>
      </c>
      <c r="I388" s="7">
        <v>134.47</v>
      </c>
      <c r="J388" s="1" t="s">
        <v>38</v>
      </c>
      <c r="K388" s="1"/>
      <c r="L388" s="1" t="s">
        <v>39</v>
      </c>
      <c r="M388" s="1" t="str">
        <f>INDEX(MCC_Lookup!$B$2:$B$12,MATCH(G388,MCC_Lookup!$A$2:$A$12,0))</f>
        <v>Events</v>
      </c>
      <c r="N388" s="1" t="str">
        <f>IF(TRIM(H388)="","BLANK",IF(PROPER(TRIM(H388))=TRIM(M388),"MATCH","MISMATCH"))</f>
        <v>MATCH</v>
      </c>
      <c r="O388" s="5" t="str">
        <f>INDEX([1]Employee!$C$2:$C$276,MATCH(B388,[1]Employee!$A$2:$A$276,0))</f>
        <v>Sales &amp; Marketing</v>
      </c>
    </row>
    <row r="389" spans="1:15">
      <c r="A389" s="1" t="s">
        <v>987</v>
      </c>
      <c r="B389" s="1" t="s">
        <v>45</v>
      </c>
      <c r="C389" s="1"/>
      <c r="D389" s="2">
        <v>46040</v>
      </c>
      <c r="E389" s="2">
        <v>46049</v>
      </c>
      <c r="F389" s="1" t="s">
        <v>259</v>
      </c>
      <c r="G389" s="1" t="s">
        <v>20</v>
      </c>
      <c r="H389" s="1" t="s">
        <v>332</v>
      </c>
      <c r="I389" s="7">
        <v>68.77</v>
      </c>
      <c r="J389" s="1" t="s">
        <v>38</v>
      </c>
      <c r="K389" s="1"/>
      <c r="L389" s="1" t="s">
        <v>39</v>
      </c>
      <c r="M389" s="1" t="str">
        <f>INDEX(MCC_Lookup!$B$2:$B$12,MATCH(G389,MCC_Lookup!$A$2:$A$12,0))</f>
        <v>Events</v>
      </c>
      <c r="N389" s="1" t="str">
        <f>IF(TRIM(H389)="","BLANK",IF(PROPER(TRIM(H389))=TRIM(M389),"MATCH","MISMATCH"))</f>
        <v>MATCH</v>
      </c>
      <c r="O389" s="5" t="str">
        <f>INDEX([1]Employee!$C$2:$C$276,MATCH(B389,[1]Employee!$A$2:$A$276,0))</f>
        <v>IT &amp; Platform Engineering</v>
      </c>
    </row>
    <row r="390" spans="1:15">
      <c r="A390" s="1" t="s">
        <v>988</v>
      </c>
      <c r="B390" s="1" t="s">
        <v>687</v>
      </c>
      <c r="C390" s="1" t="s">
        <v>989</v>
      </c>
      <c r="D390" s="2">
        <v>46040</v>
      </c>
      <c r="E390" s="2">
        <v>46049</v>
      </c>
      <c r="F390" s="1" t="s">
        <v>79</v>
      </c>
      <c r="G390" s="1" t="s">
        <v>13</v>
      </c>
      <c r="H390" s="1" t="s">
        <v>14</v>
      </c>
      <c r="I390" s="7">
        <v>95.65</v>
      </c>
      <c r="J390" s="1" t="s">
        <v>38</v>
      </c>
      <c r="K390" s="1"/>
      <c r="L390" s="1" t="s">
        <v>39</v>
      </c>
      <c r="M390" s="1" t="str">
        <f>INDEX(MCC_Lookup!$B$2:$B$12,MATCH(G390,MCC_Lookup!$A$2:$A$12,0))</f>
        <v>Software</v>
      </c>
      <c r="N390" s="1" t="str">
        <f>IF(TRIM(H390)="","BLANK",IF(PROPER(TRIM(H390))=TRIM(M390),"MATCH","MISMATCH"))</f>
        <v>MATCH</v>
      </c>
      <c r="O390" s="5" t="str">
        <f>INDEX([1]Employee!$C$2:$C$276,MATCH(B390,[1]Employee!$A$2:$A$276,0))</f>
        <v>Executive &amp; Corporate</v>
      </c>
    </row>
    <row r="391" spans="1:15">
      <c r="A391" s="1" t="s">
        <v>990</v>
      </c>
      <c r="B391" s="1" t="s">
        <v>991</v>
      </c>
      <c r="C391" s="1" t="s">
        <v>992</v>
      </c>
      <c r="D391" s="2">
        <v>46049</v>
      </c>
      <c r="E391" s="2">
        <v>46049</v>
      </c>
      <c r="F391" s="1" t="s">
        <v>173</v>
      </c>
      <c r="G391" s="1" t="s">
        <v>2</v>
      </c>
      <c r="H391" s="1" t="s">
        <v>3</v>
      </c>
      <c r="I391" s="7">
        <v>50.14</v>
      </c>
      <c r="J391" s="1" t="s">
        <v>38</v>
      </c>
      <c r="K391" s="1"/>
      <c r="L391" s="1" t="s">
        <v>39</v>
      </c>
      <c r="M391" s="1" t="str">
        <f>INDEX(MCC_Lookup!$B$2:$B$12,MATCH(G391,MCC_Lookup!$A$2:$A$12,0))</f>
        <v>Meals</v>
      </c>
      <c r="N391" s="1" t="str">
        <f>IF(TRIM(H391)="","BLANK",IF(PROPER(TRIM(H391))=TRIM(M391),"MATCH","MISMATCH"))</f>
        <v>MATCH</v>
      </c>
      <c r="O391" s="5" t="str">
        <f>INDEX([1]Employee!$C$2:$C$276,MATCH(B391,[1]Employee!$A$2:$A$276,0))</f>
        <v>Claims</v>
      </c>
    </row>
    <row r="392" spans="1:15">
      <c r="A392" s="1" t="s">
        <v>993</v>
      </c>
      <c r="B392" s="1" t="s">
        <v>991</v>
      </c>
      <c r="C392" s="1" t="s">
        <v>994</v>
      </c>
      <c r="D392" s="2">
        <v>46045</v>
      </c>
      <c r="E392" s="2">
        <v>46049</v>
      </c>
      <c r="F392" s="1" t="s">
        <v>43</v>
      </c>
      <c r="G392" s="1" t="s">
        <v>2</v>
      </c>
      <c r="H392" s="1" t="s">
        <v>3</v>
      </c>
      <c r="I392" s="7">
        <v>12.59</v>
      </c>
      <c r="J392" s="1" t="s">
        <v>38</v>
      </c>
      <c r="K392" s="1"/>
      <c r="L392" s="1" t="s">
        <v>39</v>
      </c>
      <c r="M392" s="1" t="str">
        <f>INDEX(MCC_Lookup!$B$2:$B$12,MATCH(G392,MCC_Lookup!$A$2:$A$12,0))</f>
        <v>Meals</v>
      </c>
      <c r="N392" s="1" t="str">
        <f>IF(TRIM(H392)="","BLANK",IF(PROPER(TRIM(H392))=TRIM(M392),"MATCH","MISMATCH"))</f>
        <v>MATCH</v>
      </c>
      <c r="O392" s="5" t="str">
        <f>INDEX([1]Employee!$C$2:$C$276,MATCH(B392,[1]Employee!$A$2:$A$276,0))</f>
        <v>Claims</v>
      </c>
    </row>
    <row r="393" spans="1:15">
      <c r="A393" s="1" t="s">
        <v>995</v>
      </c>
      <c r="B393" s="1" t="s">
        <v>371</v>
      </c>
      <c r="C393" s="1" t="s">
        <v>996</v>
      </c>
      <c r="D393" s="2">
        <v>46047</v>
      </c>
      <c r="E393" s="2">
        <v>46049</v>
      </c>
      <c r="F393" s="1" t="s">
        <v>160</v>
      </c>
      <c r="G393" s="1" t="s">
        <v>6</v>
      </c>
      <c r="H393" s="1" t="s">
        <v>7</v>
      </c>
      <c r="I393" s="7">
        <v>288.41000000000003</v>
      </c>
      <c r="J393" s="1" t="s">
        <v>38</v>
      </c>
      <c r="K393" s="1"/>
      <c r="L393" s="1" t="s">
        <v>48</v>
      </c>
      <c r="M393" s="1" t="str">
        <f>INDEX(MCC_Lookup!$B$2:$B$12,MATCH(G393,MCC_Lookup!$A$2:$A$12,0))</f>
        <v>Lodging</v>
      </c>
      <c r="N393" s="1" t="str">
        <f>IF(TRIM(H393)="","BLANK",IF(PROPER(TRIM(H393))=TRIM(M393),"MATCH","MISMATCH"))</f>
        <v>MATCH</v>
      </c>
      <c r="O393" s="5" t="str">
        <f>INDEX([1]Employee!$C$2:$C$276,MATCH(B393,[1]Employee!$A$2:$A$276,0))</f>
        <v>Customer Support</v>
      </c>
    </row>
    <row r="394" spans="1:15">
      <c r="A394" s="1" t="s">
        <v>997</v>
      </c>
      <c r="B394" s="1" t="s">
        <v>219</v>
      </c>
      <c r="C394" s="1" t="s">
        <v>998</v>
      </c>
      <c r="D394" s="2">
        <v>46046</v>
      </c>
      <c r="E394" s="2">
        <v>46049</v>
      </c>
      <c r="F394" s="1" t="s">
        <v>95</v>
      </c>
      <c r="G394" s="1" t="s">
        <v>6</v>
      </c>
      <c r="H394" s="1" t="s">
        <v>7</v>
      </c>
      <c r="I394" s="7">
        <v>172.37</v>
      </c>
      <c r="J394" s="1" t="s">
        <v>38</v>
      </c>
      <c r="K394" s="1"/>
      <c r="L394" s="1" t="s">
        <v>48</v>
      </c>
      <c r="M394" s="1" t="str">
        <f>INDEX(MCC_Lookup!$B$2:$B$12,MATCH(G394,MCC_Lookup!$A$2:$A$12,0))</f>
        <v>Lodging</v>
      </c>
      <c r="N394" s="1" t="str">
        <f>IF(TRIM(H394)="","BLANK",IF(PROPER(TRIM(H394))=TRIM(M394),"MATCH","MISMATCH"))</f>
        <v>MATCH</v>
      </c>
      <c r="O394" s="5" t="str">
        <f>INDEX([1]Employee!$C$2:$C$276,MATCH(B394,[1]Employee!$A$2:$A$276,0))</f>
        <v>Underwriting</v>
      </c>
    </row>
    <row r="395" spans="1:15">
      <c r="A395" s="1" t="s">
        <v>999</v>
      </c>
      <c r="B395" s="1" t="s">
        <v>542</v>
      </c>
      <c r="C395" s="1" t="s">
        <v>1000</v>
      </c>
      <c r="D395" s="2">
        <v>46049</v>
      </c>
      <c r="E395" s="2">
        <v>46049</v>
      </c>
      <c r="F395" s="1" t="s">
        <v>242</v>
      </c>
      <c r="G395" s="1" t="s">
        <v>13</v>
      </c>
      <c r="H395" s="1" t="s">
        <v>14</v>
      </c>
      <c r="I395" s="7">
        <v>55.23</v>
      </c>
      <c r="J395" s="1" t="s">
        <v>38</v>
      </c>
      <c r="K395" s="1"/>
      <c r="L395" s="1" t="s">
        <v>39</v>
      </c>
      <c r="M395" s="1" t="str">
        <f>INDEX(MCC_Lookup!$B$2:$B$12,MATCH(G395,MCC_Lookup!$A$2:$A$12,0))</f>
        <v>Software</v>
      </c>
      <c r="N395" s="1" t="str">
        <f>IF(TRIM(H395)="","BLANK",IF(PROPER(TRIM(H395))=TRIM(M395),"MATCH","MISMATCH"))</f>
        <v>MATCH</v>
      </c>
      <c r="O395" s="5" t="str">
        <f>INDEX([1]Employee!$C$2:$C$276,MATCH(B395,[1]Employee!$A$2:$A$276,0))</f>
        <v>Underwriting</v>
      </c>
    </row>
    <row r="396" spans="1:15">
      <c r="A396" s="1" t="s">
        <v>1001</v>
      </c>
      <c r="B396" s="1" t="s">
        <v>322</v>
      </c>
      <c r="C396" s="1" t="s">
        <v>1002</v>
      </c>
      <c r="D396" s="2">
        <v>46048</v>
      </c>
      <c r="E396" s="2">
        <v>46049</v>
      </c>
      <c r="F396" s="1" t="s">
        <v>79</v>
      </c>
      <c r="G396" s="1" t="s">
        <v>13</v>
      </c>
      <c r="H396" s="1" t="s">
        <v>14</v>
      </c>
      <c r="I396" s="7">
        <v>144.78</v>
      </c>
      <c r="J396" s="1" t="s">
        <v>38</v>
      </c>
      <c r="K396" s="1"/>
      <c r="L396" s="1" t="s">
        <v>39</v>
      </c>
      <c r="M396" s="1" t="str">
        <f>INDEX(MCC_Lookup!$B$2:$B$12,MATCH(G396,MCC_Lookup!$A$2:$A$12,0))</f>
        <v>Software</v>
      </c>
      <c r="N396" s="1" t="str">
        <f>IF(TRIM(H396)="","BLANK",IF(PROPER(TRIM(H396))=TRIM(M396),"MATCH","MISMATCH"))</f>
        <v>MATCH</v>
      </c>
      <c r="O396" s="5" t="str">
        <f>INDEX([1]Employee!$C$2:$C$276,MATCH(B396,[1]Employee!$A$2:$A$276,0))</f>
        <v>Customer Support</v>
      </c>
    </row>
    <row r="397" spans="1:15">
      <c r="A397" s="1" t="s">
        <v>1003</v>
      </c>
      <c r="B397" s="1" t="s">
        <v>349</v>
      </c>
      <c r="C397" s="1"/>
      <c r="D397" s="2">
        <v>46042</v>
      </c>
      <c r="E397" s="2">
        <v>46049</v>
      </c>
      <c r="F397" s="1" t="s">
        <v>47</v>
      </c>
      <c r="G397" s="1" t="s">
        <v>6</v>
      </c>
      <c r="H397" s="1" t="s">
        <v>7</v>
      </c>
      <c r="I397" s="7">
        <v>327.61</v>
      </c>
      <c r="J397" s="1" t="s">
        <v>111</v>
      </c>
      <c r="K397" s="1" t="s">
        <v>229</v>
      </c>
      <c r="L397" s="1" t="s">
        <v>39</v>
      </c>
      <c r="M397" s="1" t="str">
        <f>INDEX(MCC_Lookup!$B$2:$B$12,MATCH(G397,MCC_Lookup!$A$2:$A$12,0))</f>
        <v>Lodging</v>
      </c>
      <c r="N397" s="1" t="str">
        <f>IF(TRIM(H397)="","BLANK",IF(PROPER(TRIM(H397))=TRIM(M397),"MATCH","MISMATCH"))</f>
        <v>MATCH</v>
      </c>
      <c r="O397" s="5" t="str">
        <f>INDEX([1]Employee!$C$2:$C$276,MATCH(B397,[1]Employee!$A$2:$A$276,0))</f>
        <v>Sales &amp; Marketing</v>
      </c>
    </row>
    <row r="398" spans="1:15">
      <c r="A398" s="1" t="s">
        <v>1004</v>
      </c>
      <c r="B398" s="1" t="s">
        <v>108</v>
      </c>
      <c r="C398" s="1" t="s">
        <v>1005</v>
      </c>
      <c r="D398" s="2">
        <v>46039</v>
      </c>
      <c r="E398" s="2">
        <v>46049</v>
      </c>
      <c r="F398" s="1" t="s">
        <v>83</v>
      </c>
      <c r="G398" s="1" t="s">
        <v>2</v>
      </c>
      <c r="H398" s="1"/>
      <c r="I398" s="7">
        <v>11.12</v>
      </c>
      <c r="J398" s="1" t="s">
        <v>38</v>
      </c>
      <c r="K398" s="1"/>
      <c r="L398" s="1" t="s">
        <v>39</v>
      </c>
      <c r="M398" s="1" t="str">
        <f>INDEX(MCC_Lookup!$B$2:$B$12,MATCH(G398,MCC_Lookup!$A$2:$A$12,0))</f>
        <v>Meals</v>
      </c>
      <c r="N398" s="1" t="str">
        <f>IF(TRIM(H398)="","BLANK",IF(PROPER(TRIM(H398))=TRIM(M398),"MATCH","MISMATCH"))</f>
        <v>BLANK</v>
      </c>
      <c r="O398" s="5" t="str">
        <f>INDEX([1]Employee!$C$2:$C$276,MATCH(B398,[1]Employee!$A$2:$A$276,0))</f>
        <v>Sales &amp; Marketing</v>
      </c>
    </row>
    <row r="399" spans="1:15">
      <c r="A399" s="1" t="s">
        <v>1006</v>
      </c>
      <c r="B399" s="1" t="s">
        <v>261</v>
      </c>
      <c r="C399" s="1" t="s">
        <v>1007</v>
      </c>
      <c r="D399" s="2">
        <v>46041</v>
      </c>
      <c r="E399" s="2">
        <v>46049</v>
      </c>
      <c r="F399" s="1" t="s">
        <v>61</v>
      </c>
      <c r="G399" s="1" t="s">
        <v>13</v>
      </c>
      <c r="H399" s="1" t="s">
        <v>14</v>
      </c>
      <c r="I399" s="7">
        <v>42.96</v>
      </c>
      <c r="J399" s="1" t="s">
        <v>38</v>
      </c>
      <c r="K399" s="1"/>
      <c r="L399" s="1" t="s">
        <v>39</v>
      </c>
      <c r="M399" s="1" t="str">
        <f>INDEX(MCC_Lookup!$B$2:$B$12,MATCH(G399,MCC_Lookup!$A$2:$A$12,0))</f>
        <v>Software</v>
      </c>
      <c r="N399" s="1" t="str">
        <f>IF(TRIM(H399)="","BLANK",IF(PROPER(TRIM(H399))=TRIM(M399),"MATCH","MISMATCH"))</f>
        <v>MATCH</v>
      </c>
      <c r="O399" s="5" t="str">
        <f>INDEX([1]Employee!$C$2:$C$276,MATCH(B399,[1]Employee!$A$2:$A$276,0))</f>
        <v>Sales &amp; Marketing</v>
      </c>
    </row>
    <row r="400" spans="1:15">
      <c r="A400" s="1" t="s">
        <v>1008</v>
      </c>
      <c r="B400" s="1" t="s">
        <v>63</v>
      </c>
      <c r="C400" s="1" t="s">
        <v>1009</v>
      </c>
      <c r="D400" s="2">
        <v>46039</v>
      </c>
      <c r="E400" s="2">
        <v>46049</v>
      </c>
      <c r="F400" s="1" t="s">
        <v>95</v>
      </c>
      <c r="G400" s="1" t="s">
        <v>6</v>
      </c>
      <c r="H400" s="1"/>
      <c r="I400" s="7">
        <v>319.5</v>
      </c>
      <c r="J400" s="1" t="s">
        <v>38</v>
      </c>
      <c r="K400" s="1"/>
      <c r="L400" s="1" t="s">
        <v>39</v>
      </c>
      <c r="M400" s="1" t="str">
        <f>INDEX(MCC_Lookup!$B$2:$B$12,MATCH(G400,MCC_Lookup!$A$2:$A$12,0))</f>
        <v>Lodging</v>
      </c>
      <c r="N400" s="1" t="str">
        <f>IF(TRIM(H400)="","BLANK",IF(PROPER(TRIM(H400))=TRIM(M400),"MATCH","MISMATCH"))</f>
        <v>BLANK</v>
      </c>
      <c r="O400" s="5" t="str">
        <f>INDEX([1]Employee!$C$2:$C$276,MATCH(B400,[1]Employee!$A$2:$A$276,0))</f>
        <v>Sales &amp; Marketing</v>
      </c>
    </row>
    <row r="401" spans="1:15">
      <c r="A401" s="1" t="s">
        <v>1010</v>
      </c>
      <c r="B401" s="1" t="s">
        <v>547</v>
      </c>
      <c r="C401" s="1"/>
      <c r="D401" s="2">
        <v>46040</v>
      </c>
      <c r="E401" s="2">
        <v>46049</v>
      </c>
      <c r="F401" s="1" t="s">
        <v>83</v>
      </c>
      <c r="G401" s="1" t="s">
        <v>2</v>
      </c>
      <c r="H401" s="1" t="s">
        <v>9</v>
      </c>
      <c r="I401" s="7">
        <v>13.41</v>
      </c>
      <c r="J401" s="1" t="s">
        <v>38</v>
      </c>
      <c r="K401" s="1"/>
      <c r="L401" s="1" t="s">
        <v>39</v>
      </c>
      <c r="M401" s="1" t="str">
        <f>INDEX(MCC_Lookup!$B$2:$B$12,MATCH(G401,MCC_Lookup!$A$2:$A$12,0))</f>
        <v>Meals</v>
      </c>
      <c r="N401" s="1" t="str">
        <f>IF(TRIM(H401)="","BLANK",IF(PROPER(TRIM(H401))=TRIM(M401),"MATCH","MISMATCH"))</f>
        <v>MISMATCH</v>
      </c>
      <c r="O401" s="5" t="str">
        <f>INDEX([1]Employee!$C$2:$C$276,MATCH(B401,[1]Employee!$A$2:$A$276,0))</f>
        <v>Sales &amp; Marketing</v>
      </c>
    </row>
    <row r="402" spans="1:15">
      <c r="A402" s="1" t="s">
        <v>1011</v>
      </c>
      <c r="B402" s="1" t="s">
        <v>41</v>
      </c>
      <c r="C402" s="1" t="s">
        <v>1012</v>
      </c>
      <c r="D402" s="2">
        <v>46040</v>
      </c>
      <c r="E402" s="2">
        <v>46049</v>
      </c>
      <c r="F402" s="1" t="s">
        <v>177</v>
      </c>
      <c r="G402" s="1" t="s">
        <v>13</v>
      </c>
      <c r="H402" s="1" t="s">
        <v>14</v>
      </c>
      <c r="I402" s="7">
        <v>23.35</v>
      </c>
      <c r="J402" s="1" t="s">
        <v>38</v>
      </c>
      <c r="K402" s="1"/>
      <c r="L402" s="1" t="s">
        <v>39</v>
      </c>
      <c r="M402" s="1" t="str">
        <f>INDEX(MCC_Lookup!$B$2:$B$12,MATCH(G402,MCC_Lookup!$A$2:$A$12,0))</f>
        <v>Software</v>
      </c>
      <c r="N402" s="1" t="str">
        <f>IF(TRIM(H402)="","BLANK",IF(PROPER(TRIM(H402))=TRIM(M402),"MATCH","MISMATCH"))</f>
        <v>MATCH</v>
      </c>
      <c r="O402" s="5" t="str">
        <f>INDEX([1]Employee!$C$2:$C$276,MATCH(B402,[1]Employee!$A$2:$A$276,0))</f>
        <v>Sales &amp; Marketing</v>
      </c>
    </row>
    <row r="403" spans="1:15">
      <c r="A403" s="1" t="s">
        <v>1013</v>
      </c>
      <c r="B403" s="1" t="s">
        <v>81</v>
      </c>
      <c r="C403" s="1" t="s">
        <v>1014</v>
      </c>
      <c r="D403" s="2">
        <v>46042</v>
      </c>
      <c r="E403" s="2">
        <v>46049</v>
      </c>
      <c r="F403" s="1" t="s">
        <v>37</v>
      </c>
      <c r="G403" s="1" t="s">
        <v>4</v>
      </c>
      <c r="H403" s="1" t="s">
        <v>5</v>
      </c>
      <c r="I403" s="7">
        <v>360.5</v>
      </c>
      <c r="J403" s="1" t="s">
        <v>38</v>
      </c>
      <c r="K403" s="1"/>
      <c r="L403" s="1" t="s">
        <v>39</v>
      </c>
      <c r="M403" s="1" t="str">
        <f>INDEX(MCC_Lookup!$B$2:$B$12,MATCH(G403,MCC_Lookup!$A$2:$A$12,0))</f>
        <v>Travel</v>
      </c>
      <c r="N403" s="1" t="str">
        <f>IF(TRIM(H403)="","BLANK",IF(PROPER(TRIM(H403))=TRIM(M403),"MATCH","MISMATCH"))</f>
        <v>MATCH</v>
      </c>
      <c r="O403" s="5" t="str">
        <f>INDEX([1]Employee!$C$2:$C$276,MATCH(B403,[1]Employee!$A$2:$A$276,0))</f>
        <v>Sales &amp; Marketing</v>
      </c>
    </row>
    <row r="404" spans="1:15">
      <c r="A404" s="1" t="s">
        <v>1015</v>
      </c>
      <c r="B404" s="1" t="s">
        <v>648</v>
      </c>
      <c r="C404" s="1" t="s">
        <v>1016</v>
      </c>
      <c r="D404" s="2">
        <v>46042</v>
      </c>
      <c r="E404" s="2">
        <v>46049</v>
      </c>
      <c r="F404" s="1" t="s">
        <v>69</v>
      </c>
      <c r="G404" s="1" t="s">
        <v>8</v>
      </c>
      <c r="H404" s="1" t="s">
        <v>9</v>
      </c>
      <c r="I404" s="7">
        <v>35.450000000000003</v>
      </c>
      <c r="J404" s="1" t="s">
        <v>38</v>
      </c>
      <c r="K404" s="1"/>
      <c r="L404" s="1" t="s">
        <v>48</v>
      </c>
      <c r="M404" s="1" t="str">
        <f>INDEX(MCC_Lookup!$B$2:$B$12,MATCH(G404,MCC_Lookup!$A$2:$A$12,0))</f>
        <v>Transportation</v>
      </c>
      <c r="N404" s="1" t="str">
        <f>IF(TRIM(H404)="","BLANK",IF(PROPER(TRIM(H404))=TRIM(M404),"MATCH","MISMATCH"))</f>
        <v>MATCH</v>
      </c>
      <c r="O404" s="5" t="str">
        <f>INDEX([1]Employee!$C$2:$C$276,MATCH(B404,[1]Employee!$A$2:$A$276,0))</f>
        <v>Sales &amp; Marketing</v>
      </c>
    </row>
    <row r="405" spans="1:15">
      <c r="A405" s="1" t="s">
        <v>1017</v>
      </c>
      <c r="B405" s="1" t="s">
        <v>81</v>
      </c>
      <c r="C405" s="1" t="s">
        <v>1018</v>
      </c>
      <c r="D405" s="2">
        <v>46046</v>
      </c>
      <c r="E405" s="2">
        <v>46050</v>
      </c>
      <c r="F405" s="1" t="s">
        <v>242</v>
      </c>
      <c r="G405" s="1" t="s">
        <v>13</v>
      </c>
      <c r="H405" s="1" t="s">
        <v>14</v>
      </c>
      <c r="I405" s="7">
        <v>39.24</v>
      </c>
      <c r="J405" s="1" t="s">
        <v>38</v>
      </c>
      <c r="K405" s="1"/>
      <c r="L405" s="1" t="s">
        <v>39</v>
      </c>
      <c r="M405" s="1" t="str">
        <f>INDEX(MCC_Lookup!$B$2:$B$12,MATCH(G405,MCC_Lookup!$A$2:$A$12,0))</f>
        <v>Software</v>
      </c>
      <c r="N405" s="1" t="str">
        <f>IF(TRIM(H405)="","BLANK",IF(PROPER(TRIM(H405))=TRIM(M405),"MATCH","MISMATCH"))</f>
        <v>MATCH</v>
      </c>
      <c r="O405" s="5" t="str">
        <f>INDEX([1]Employee!$C$2:$C$276,MATCH(B405,[1]Employee!$A$2:$A$276,0))</f>
        <v>Sales &amp; Marketing</v>
      </c>
    </row>
    <row r="406" spans="1:15">
      <c r="A406" s="1" t="s">
        <v>1019</v>
      </c>
      <c r="B406" s="1" t="s">
        <v>947</v>
      </c>
      <c r="C406" s="1" t="s">
        <v>1020</v>
      </c>
      <c r="D406" s="2">
        <v>46042</v>
      </c>
      <c r="E406" s="2">
        <v>46050</v>
      </c>
      <c r="F406" s="1" t="s">
        <v>305</v>
      </c>
      <c r="G406" s="1" t="s">
        <v>2</v>
      </c>
      <c r="H406" s="1" t="s">
        <v>3</v>
      </c>
      <c r="I406" s="7">
        <v>10.85</v>
      </c>
      <c r="J406" s="1" t="s">
        <v>38</v>
      </c>
      <c r="K406" s="1"/>
      <c r="L406" s="1" t="s">
        <v>39</v>
      </c>
      <c r="M406" s="1" t="str">
        <f>INDEX(MCC_Lookup!$B$2:$B$12,MATCH(G406,MCC_Lookup!$A$2:$A$12,0))</f>
        <v>Meals</v>
      </c>
      <c r="N406" s="1" t="str">
        <f>IF(TRIM(H406)="","BLANK",IF(PROPER(TRIM(H406))=TRIM(M406),"MATCH","MISMATCH"))</f>
        <v>MATCH</v>
      </c>
      <c r="O406" s="5" t="str">
        <f>INDEX([1]Employee!$C$2:$C$276,MATCH(B406,[1]Employee!$A$2:$A$276,0))</f>
        <v>Sales &amp; Marketing</v>
      </c>
    </row>
    <row r="407" spans="1:15">
      <c r="A407" s="1" t="s">
        <v>1021</v>
      </c>
      <c r="B407" s="1" t="s">
        <v>475</v>
      </c>
      <c r="C407" s="1"/>
      <c r="D407" s="2">
        <v>46048</v>
      </c>
      <c r="E407" s="2">
        <v>46050</v>
      </c>
      <c r="F407" s="1" t="s">
        <v>177</v>
      </c>
      <c r="G407" s="1" t="s">
        <v>13</v>
      </c>
      <c r="H407" s="1" t="s">
        <v>14</v>
      </c>
      <c r="I407" s="7">
        <v>34.119999999999997</v>
      </c>
      <c r="J407" s="1" t="s">
        <v>38</v>
      </c>
      <c r="K407" s="1"/>
      <c r="L407" s="1" t="s">
        <v>39</v>
      </c>
      <c r="M407" s="1" t="str">
        <f>INDEX(MCC_Lookup!$B$2:$B$12,MATCH(G407,MCC_Lookup!$A$2:$A$12,0))</f>
        <v>Software</v>
      </c>
      <c r="N407" s="1" t="str">
        <f>IF(TRIM(H407)="","BLANK",IF(PROPER(TRIM(H407))=TRIM(M407),"MATCH","MISMATCH"))</f>
        <v>MATCH</v>
      </c>
      <c r="O407" s="5" t="str">
        <f>INDEX([1]Employee!$C$2:$C$276,MATCH(B407,[1]Employee!$A$2:$A$276,0))</f>
        <v>Sales &amp; Marketing</v>
      </c>
    </row>
    <row r="408" spans="1:15">
      <c r="A408" s="1" t="s">
        <v>1022</v>
      </c>
      <c r="B408" s="1" t="s">
        <v>90</v>
      </c>
      <c r="C408" s="1" t="s">
        <v>1023</v>
      </c>
      <c r="D408" s="2">
        <v>46048</v>
      </c>
      <c r="E408" s="2">
        <v>46050</v>
      </c>
      <c r="F408" s="1" t="s">
        <v>69</v>
      </c>
      <c r="G408" s="1" t="s">
        <v>8</v>
      </c>
      <c r="H408" s="1" t="s">
        <v>9</v>
      </c>
      <c r="I408" s="7">
        <v>40.79</v>
      </c>
      <c r="J408" s="1" t="s">
        <v>38</v>
      </c>
      <c r="K408" s="1"/>
      <c r="L408" s="1" t="s">
        <v>39</v>
      </c>
      <c r="M408" s="1" t="str">
        <f>INDEX(MCC_Lookup!$B$2:$B$12,MATCH(G408,MCC_Lookup!$A$2:$A$12,0))</f>
        <v>Transportation</v>
      </c>
      <c r="N408" s="1" t="str">
        <f>IF(TRIM(H408)="","BLANK",IF(PROPER(TRIM(H408))=TRIM(M408),"MATCH","MISMATCH"))</f>
        <v>MATCH</v>
      </c>
      <c r="O408" s="5" t="str">
        <f>INDEX([1]Employee!$C$2:$C$276,MATCH(B408,[1]Employee!$A$2:$A$276,0))</f>
        <v>Sales &amp; Marketing</v>
      </c>
    </row>
    <row r="409" spans="1:15">
      <c r="A409" s="1" t="s">
        <v>1024</v>
      </c>
      <c r="B409" s="1" t="s">
        <v>413</v>
      </c>
      <c r="C409" s="1" t="s">
        <v>1025</v>
      </c>
      <c r="D409" s="2">
        <v>46042</v>
      </c>
      <c r="E409" s="2">
        <v>46050</v>
      </c>
      <c r="F409" s="1" t="s">
        <v>305</v>
      </c>
      <c r="G409" s="1" t="s">
        <v>2</v>
      </c>
      <c r="H409" s="1" t="s">
        <v>3</v>
      </c>
      <c r="I409" s="7">
        <v>11.69</v>
      </c>
      <c r="J409" s="1" t="s">
        <v>38</v>
      </c>
      <c r="K409" s="1"/>
      <c r="L409" s="1" t="s">
        <v>39</v>
      </c>
      <c r="M409" s="1" t="str">
        <f>INDEX(MCC_Lookup!$B$2:$B$12,MATCH(G409,MCC_Lookup!$A$2:$A$12,0))</f>
        <v>Meals</v>
      </c>
      <c r="N409" s="1" t="str">
        <f>IF(TRIM(H409)="","BLANK",IF(PROPER(TRIM(H409))=TRIM(M409),"MATCH","MISMATCH"))</f>
        <v>MATCH</v>
      </c>
      <c r="O409" s="5" t="str">
        <f>INDEX([1]Employee!$C$2:$C$276,MATCH(B409,[1]Employee!$A$2:$A$276,0))</f>
        <v>Claims</v>
      </c>
    </row>
    <row r="410" spans="1:15">
      <c r="A410" s="1" t="s">
        <v>1026</v>
      </c>
      <c r="B410" s="1" t="s">
        <v>122</v>
      </c>
      <c r="C410" s="1" t="s">
        <v>1027</v>
      </c>
      <c r="D410" s="2">
        <v>46046</v>
      </c>
      <c r="E410" s="2">
        <v>46050</v>
      </c>
      <c r="F410" s="1" t="s">
        <v>242</v>
      </c>
      <c r="G410" s="1" t="s">
        <v>13</v>
      </c>
      <c r="H410" s="1"/>
      <c r="I410" s="7">
        <v>43.27</v>
      </c>
      <c r="J410" s="1" t="s">
        <v>38</v>
      </c>
      <c r="K410" s="1"/>
      <c r="L410" s="1" t="s">
        <v>39</v>
      </c>
      <c r="M410" s="1" t="str">
        <f>INDEX(MCC_Lookup!$B$2:$B$12,MATCH(G410,MCC_Lookup!$A$2:$A$12,0))</f>
        <v>Software</v>
      </c>
      <c r="N410" s="1" t="str">
        <f>IF(TRIM(H410)="","BLANK",IF(PROPER(TRIM(H410))=TRIM(M410),"MATCH","MISMATCH"))</f>
        <v>BLANK</v>
      </c>
      <c r="O410" s="5" t="str">
        <f>INDEX([1]Employee!$C$2:$C$276,MATCH(B410,[1]Employee!$A$2:$A$276,0))</f>
        <v>Sales &amp; Marketing</v>
      </c>
    </row>
    <row r="411" spans="1:15">
      <c r="A411" s="1" t="s">
        <v>1028</v>
      </c>
      <c r="B411" s="1" t="s">
        <v>738</v>
      </c>
      <c r="C411" s="1" t="s">
        <v>1029</v>
      </c>
      <c r="D411" s="2">
        <v>46047</v>
      </c>
      <c r="E411" s="2">
        <v>46050</v>
      </c>
      <c r="F411" s="1" t="s">
        <v>242</v>
      </c>
      <c r="G411" s="1" t="s">
        <v>13</v>
      </c>
      <c r="H411" s="1" t="s">
        <v>14</v>
      </c>
      <c r="I411" s="7">
        <v>19.55</v>
      </c>
      <c r="J411" s="1" t="s">
        <v>38</v>
      </c>
      <c r="K411" s="1"/>
      <c r="L411" s="1" t="s">
        <v>39</v>
      </c>
      <c r="M411" s="1" t="str">
        <f>INDEX(MCC_Lookup!$B$2:$B$12,MATCH(G411,MCC_Lookup!$A$2:$A$12,0))</f>
        <v>Software</v>
      </c>
      <c r="N411" s="1" t="str">
        <f>IF(TRIM(H411)="","BLANK",IF(PROPER(TRIM(H411))=TRIM(M411),"MATCH","MISMATCH"))</f>
        <v>MATCH</v>
      </c>
      <c r="O411" s="5" t="str">
        <f>INDEX([1]Employee!$C$2:$C$276,MATCH(B411,[1]Employee!$A$2:$A$276,0))</f>
        <v>Sales &amp; Marketing</v>
      </c>
    </row>
    <row r="412" spans="1:15">
      <c r="A412" s="1" t="s">
        <v>1030</v>
      </c>
      <c r="B412" s="1" t="s">
        <v>648</v>
      </c>
      <c r="C412" s="1" t="s">
        <v>1031</v>
      </c>
      <c r="D412" s="2">
        <v>46044</v>
      </c>
      <c r="E412" s="2">
        <v>46050</v>
      </c>
      <c r="F412" s="1" t="s">
        <v>79</v>
      </c>
      <c r="G412" s="1" t="s">
        <v>13</v>
      </c>
      <c r="H412" s="1" t="s">
        <v>14</v>
      </c>
      <c r="I412" s="7">
        <v>177.38</v>
      </c>
      <c r="J412" s="1" t="s">
        <v>38</v>
      </c>
      <c r="K412" s="1"/>
      <c r="L412" s="1" t="s">
        <v>39</v>
      </c>
      <c r="M412" s="1" t="str">
        <f>INDEX(MCC_Lookup!$B$2:$B$12,MATCH(G412,MCC_Lookup!$A$2:$A$12,0))</f>
        <v>Software</v>
      </c>
      <c r="N412" s="1" t="str">
        <f>IF(TRIM(H412)="","BLANK",IF(PROPER(TRIM(H412))=TRIM(M412),"MATCH","MISMATCH"))</f>
        <v>MATCH</v>
      </c>
      <c r="O412" s="5" t="str">
        <f>INDEX([1]Employee!$C$2:$C$276,MATCH(B412,[1]Employee!$A$2:$A$276,0))</f>
        <v>Sales &amp; Marketing</v>
      </c>
    </row>
    <row r="413" spans="1:15">
      <c r="A413" s="1" t="s">
        <v>1032</v>
      </c>
      <c r="B413" s="1" t="s">
        <v>772</v>
      </c>
      <c r="C413" s="1" t="s">
        <v>1033</v>
      </c>
      <c r="D413" s="2">
        <v>46040</v>
      </c>
      <c r="E413" s="2">
        <v>46050</v>
      </c>
      <c r="F413" s="1" t="s">
        <v>120</v>
      </c>
      <c r="G413" s="1" t="s">
        <v>12</v>
      </c>
      <c r="H413" s="1" t="s">
        <v>11</v>
      </c>
      <c r="I413" s="7">
        <v>157.08000000000001</v>
      </c>
      <c r="J413" s="1" t="s">
        <v>38</v>
      </c>
      <c r="K413" s="1"/>
      <c r="L413" s="1" t="s">
        <v>48</v>
      </c>
      <c r="M413" s="1" t="str">
        <f>INDEX(MCC_Lookup!$B$2:$B$12,MATCH(G413,MCC_Lookup!$A$2:$A$12,0))</f>
        <v>Office Supplies</v>
      </c>
      <c r="N413" s="1" t="str">
        <f>IF(TRIM(H413)="","BLANK",IF(PROPER(TRIM(H413))=TRIM(M413),"MATCH","MISMATCH"))</f>
        <v>MATCH</v>
      </c>
      <c r="O413" s="5" t="str">
        <f>INDEX([1]Employee!$C$2:$C$276,MATCH(B413,[1]Employee!$A$2:$A$276,0))</f>
        <v>Underwriting</v>
      </c>
    </row>
    <row r="414" spans="1:15">
      <c r="A414" s="1" t="s">
        <v>1034</v>
      </c>
      <c r="B414" s="1" t="s">
        <v>772</v>
      </c>
      <c r="C414" s="1" t="s">
        <v>1035</v>
      </c>
      <c r="D414" s="2">
        <v>46047</v>
      </c>
      <c r="E414" s="2">
        <v>46050</v>
      </c>
      <c r="F414" s="1" t="s">
        <v>56</v>
      </c>
      <c r="G414" s="1" t="s">
        <v>4</v>
      </c>
      <c r="H414" s="1" t="s">
        <v>5</v>
      </c>
      <c r="I414" s="7">
        <v>230.44</v>
      </c>
      <c r="J414" s="1" t="s">
        <v>38</v>
      </c>
      <c r="K414" s="1"/>
      <c r="L414" s="1" t="s">
        <v>39</v>
      </c>
      <c r="M414" s="1" t="str">
        <f>INDEX(MCC_Lookup!$B$2:$B$12,MATCH(G414,MCC_Lookup!$A$2:$A$12,0))</f>
        <v>Travel</v>
      </c>
      <c r="N414" s="1" t="str">
        <f>IF(TRIM(H414)="","BLANK",IF(PROPER(TRIM(H414))=TRIM(M414),"MATCH","MISMATCH"))</f>
        <v>MATCH</v>
      </c>
      <c r="O414" s="5" t="str">
        <f>INDEX([1]Employee!$C$2:$C$276,MATCH(B414,[1]Employee!$A$2:$A$276,0))</f>
        <v>Underwriting</v>
      </c>
    </row>
    <row r="415" spans="1:15">
      <c r="A415" s="1" t="s">
        <v>1036</v>
      </c>
      <c r="B415" s="1" t="s">
        <v>684</v>
      </c>
      <c r="C415" s="1" t="s">
        <v>1037</v>
      </c>
      <c r="D415" s="2">
        <v>46042</v>
      </c>
      <c r="E415" s="2">
        <v>46050</v>
      </c>
      <c r="F415" s="1" t="s">
        <v>116</v>
      </c>
      <c r="G415" s="1" t="s">
        <v>2</v>
      </c>
      <c r="H415" s="1" t="s">
        <v>3</v>
      </c>
      <c r="I415" s="7">
        <v>10.9</v>
      </c>
      <c r="J415" s="1" t="s">
        <v>38</v>
      </c>
      <c r="K415" s="1"/>
      <c r="L415" s="1" t="s">
        <v>39</v>
      </c>
      <c r="M415" s="1" t="str">
        <f>INDEX(MCC_Lookup!$B$2:$B$12,MATCH(G415,MCC_Lookup!$A$2:$A$12,0))</f>
        <v>Meals</v>
      </c>
      <c r="N415" s="1" t="str">
        <f>IF(TRIM(H415)="","BLANK",IF(PROPER(TRIM(H415))=TRIM(M415),"MATCH","MISMATCH"))</f>
        <v>MATCH</v>
      </c>
      <c r="O415" s="5" t="str">
        <f>INDEX([1]Employee!$C$2:$C$276,MATCH(B415,[1]Employee!$A$2:$A$276,0))</f>
        <v>Underwriting</v>
      </c>
    </row>
    <row r="416" spans="1:15">
      <c r="A416" s="1" t="s">
        <v>1038</v>
      </c>
      <c r="B416" s="1" t="s">
        <v>97</v>
      </c>
      <c r="C416" s="1" t="s">
        <v>1039</v>
      </c>
      <c r="D416" s="2">
        <v>46045</v>
      </c>
      <c r="E416" s="2">
        <v>46050</v>
      </c>
      <c r="F416" s="1" t="s">
        <v>242</v>
      </c>
      <c r="G416" s="1" t="s">
        <v>13</v>
      </c>
      <c r="H416" s="1" t="s">
        <v>14</v>
      </c>
      <c r="I416" s="7">
        <v>34.729999999999997</v>
      </c>
      <c r="J416" s="1" t="s">
        <v>38</v>
      </c>
      <c r="K416" s="1"/>
      <c r="L416" s="1" t="s">
        <v>39</v>
      </c>
      <c r="M416" s="1" t="str">
        <f>INDEX(MCC_Lookup!$B$2:$B$12,MATCH(G416,MCC_Lookup!$A$2:$A$12,0))</f>
        <v>Software</v>
      </c>
      <c r="N416" s="1" t="str">
        <f>IF(TRIM(H416)="","BLANK",IF(PROPER(TRIM(H416))=TRIM(M416),"MATCH","MISMATCH"))</f>
        <v>MATCH</v>
      </c>
      <c r="O416" s="5" t="str">
        <f>INDEX([1]Employee!$C$2:$C$276,MATCH(B416,[1]Employee!$A$2:$A$276,0))</f>
        <v>Sales &amp; Marketing</v>
      </c>
    </row>
    <row r="417" spans="1:15">
      <c r="A417" s="1" t="s">
        <v>1040</v>
      </c>
      <c r="B417" s="1" t="s">
        <v>250</v>
      </c>
      <c r="C417" s="1" t="s">
        <v>1041</v>
      </c>
      <c r="D417" s="2">
        <v>46045</v>
      </c>
      <c r="E417" s="2">
        <v>46050</v>
      </c>
      <c r="F417" s="1" t="s">
        <v>83</v>
      </c>
      <c r="G417" s="1" t="s">
        <v>2</v>
      </c>
      <c r="H417" s="1" t="s">
        <v>3</v>
      </c>
      <c r="I417" s="7">
        <v>22.01</v>
      </c>
      <c r="J417" s="1" t="s">
        <v>38</v>
      </c>
      <c r="K417" s="1"/>
      <c r="L417" s="1" t="s">
        <v>39</v>
      </c>
      <c r="M417" s="1" t="str">
        <f>INDEX(MCC_Lookup!$B$2:$B$12,MATCH(G417,MCC_Lookup!$A$2:$A$12,0))</f>
        <v>Meals</v>
      </c>
      <c r="N417" s="1" t="str">
        <f>IF(TRIM(H417)="","BLANK",IF(PROPER(TRIM(H417))=TRIM(M417),"MATCH","MISMATCH"))</f>
        <v>MATCH</v>
      </c>
      <c r="O417" s="5" t="str">
        <f>INDEX([1]Employee!$C$2:$C$276,MATCH(B417,[1]Employee!$A$2:$A$276,0))</f>
        <v>Sales &amp; Marketing</v>
      </c>
    </row>
    <row r="418" spans="1:15">
      <c r="A418" s="1" t="s">
        <v>1042</v>
      </c>
      <c r="B418" s="1" t="s">
        <v>373</v>
      </c>
      <c r="C418" s="1"/>
      <c r="D418" s="2">
        <v>46045</v>
      </c>
      <c r="E418" s="2">
        <v>46050</v>
      </c>
      <c r="F418" s="1" t="s">
        <v>173</v>
      </c>
      <c r="G418" s="1" t="s">
        <v>2</v>
      </c>
      <c r="H418" s="1" t="s">
        <v>3</v>
      </c>
      <c r="I418" s="7">
        <v>37.9</v>
      </c>
      <c r="J418" s="1" t="s">
        <v>38</v>
      </c>
      <c r="K418" s="1"/>
      <c r="L418" s="1" t="s">
        <v>39</v>
      </c>
      <c r="M418" s="1" t="str">
        <f>INDEX(MCC_Lookup!$B$2:$B$12,MATCH(G418,MCC_Lookup!$A$2:$A$12,0))</f>
        <v>Meals</v>
      </c>
      <c r="N418" s="1" t="str">
        <f>IF(TRIM(H418)="","BLANK",IF(PROPER(TRIM(H418))=TRIM(M418),"MATCH","MISMATCH"))</f>
        <v>MATCH</v>
      </c>
      <c r="O418" s="5" t="str">
        <f>INDEX([1]Employee!$C$2:$C$276,MATCH(B418,[1]Employee!$A$2:$A$276,0))</f>
        <v>Sales &amp; Marketing</v>
      </c>
    </row>
    <row r="419" spans="1:15">
      <c r="A419" s="1" t="s">
        <v>1043</v>
      </c>
      <c r="B419" s="1" t="s">
        <v>931</v>
      </c>
      <c r="C419" s="1"/>
      <c r="D419" s="2">
        <v>46046</v>
      </c>
      <c r="E419" s="2">
        <v>46050</v>
      </c>
      <c r="F419" s="1" t="s">
        <v>65</v>
      </c>
      <c r="G419" s="1" t="s">
        <v>18</v>
      </c>
      <c r="H419" s="1" t="s">
        <v>19</v>
      </c>
      <c r="I419" s="7">
        <v>203.14</v>
      </c>
      <c r="J419" s="1" t="s">
        <v>38</v>
      </c>
      <c r="K419" s="1"/>
      <c r="L419" s="1" t="s">
        <v>39</v>
      </c>
      <c r="M419" s="1" t="str">
        <f>INDEX(MCC_Lookup!$B$2:$B$12,MATCH(G419,MCC_Lookup!$A$2:$A$12,0))</f>
        <v>Events</v>
      </c>
      <c r="N419" s="1" t="str">
        <f>IF(TRIM(H419)="","BLANK",IF(PROPER(TRIM(H419))=TRIM(M419),"MATCH","MISMATCH"))</f>
        <v>MATCH</v>
      </c>
      <c r="O419" s="5" t="str">
        <f>INDEX([1]Employee!$C$2:$C$276,MATCH(B419,[1]Employee!$A$2:$A$276,0))</f>
        <v>Finance</v>
      </c>
    </row>
    <row r="420" spans="1:15">
      <c r="A420" s="1" t="s">
        <v>1044</v>
      </c>
      <c r="B420" s="1" t="s">
        <v>643</v>
      </c>
      <c r="C420" s="1" t="s">
        <v>1045</v>
      </c>
      <c r="D420" s="2">
        <v>46049</v>
      </c>
      <c r="E420" s="2">
        <v>46050</v>
      </c>
      <c r="F420" s="1" t="s">
        <v>52</v>
      </c>
      <c r="G420" s="1" t="s">
        <v>15</v>
      </c>
      <c r="H420" s="1" t="s">
        <v>16</v>
      </c>
      <c r="I420" s="7">
        <v>47.88</v>
      </c>
      <c r="J420" s="1" t="s">
        <v>38</v>
      </c>
      <c r="K420" s="1"/>
      <c r="L420" s="1" t="s">
        <v>39</v>
      </c>
      <c r="M420" s="1" t="str">
        <f>INDEX(MCC_Lookup!$B$2:$B$12,MATCH(G420,MCC_Lookup!$A$2:$A$12,0))</f>
        <v>Entertainment</v>
      </c>
      <c r="N420" s="1" t="str">
        <f>IF(TRIM(H420)="","BLANK",IF(PROPER(TRIM(H420))=TRIM(M420),"MATCH","MISMATCH"))</f>
        <v>MATCH</v>
      </c>
      <c r="O420" s="5" t="str">
        <f>INDEX([1]Employee!$C$2:$C$276,MATCH(B420,[1]Employee!$A$2:$A$276,0))</f>
        <v>Sales &amp; Marketing</v>
      </c>
    </row>
    <row r="421" spans="1:15">
      <c r="A421" s="1" t="s">
        <v>1046</v>
      </c>
      <c r="B421" s="1" t="s">
        <v>472</v>
      </c>
      <c r="C421" s="1" t="s">
        <v>1047</v>
      </c>
      <c r="D421" s="2">
        <v>46049</v>
      </c>
      <c r="E421" s="2">
        <v>46050</v>
      </c>
      <c r="F421" s="1" t="s">
        <v>76</v>
      </c>
      <c r="G421" s="1" t="s">
        <v>13</v>
      </c>
      <c r="H421" s="1" t="s">
        <v>14</v>
      </c>
      <c r="I421" s="7">
        <v>414.54</v>
      </c>
      <c r="J421" s="1" t="s">
        <v>38</v>
      </c>
      <c r="K421" s="1"/>
      <c r="L421" s="1" t="s">
        <v>39</v>
      </c>
      <c r="M421" s="1" t="str">
        <f>INDEX(MCC_Lookup!$B$2:$B$12,MATCH(G421,MCC_Lookup!$A$2:$A$12,0))</f>
        <v>Software</v>
      </c>
      <c r="N421" s="1" t="str">
        <f>IF(TRIM(H421)="","BLANK",IF(PROPER(TRIM(H421))=TRIM(M421),"MATCH","MISMATCH"))</f>
        <v>MATCH</v>
      </c>
      <c r="O421" s="5" t="str">
        <f>INDEX([1]Employee!$C$2:$C$276,MATCH(B421,[1]Employee!$A$2:$A$276,0))</f>
        <v>Sales &amp; Marketing</v>
      </c>
    </row>
    <row r="422" spans="1:15">
      <c r="A422" s="1" t="s">
        <v>1048</v>
      </c>
      <c r="B422" s="1" t="s">
        <v>175</v>
      </c>
      <c r="C422" s="1" t="s">
        <v>1049</v>
      </c>
      <c r="D422" s="2">
        <v>46050</v>
      </c>
      <c r="E422" s="2">
        <v>46050</v>
      </c>
      <c r="F422" s="1" t="s">
        <v>65</v>
      </c>
      <c r="G422" s="1" t="s">
        <v>18</v>
      </c>
      <c r="H422" s="1" t="s">
        <v>19</v>
      </c>
      <c r="I422" s="7">
        <v>292.11</v>
      </c>
      <c r="J422" s="1" t="s">
        <v>38</v>
      </c>
      <c r="K422" s="1"/>
      <c r="L422" s="1" t="s">
        <v>39</v>
      </c>
      <c r="M422" s="1" t="str">
        <f>INDEX(MCC_Lookup!$B$2:$B$12,MATCH(G422,MCC_Lookup!$A$2:$A$12,0))</f>
        <v>Events</v>
      </c>
      <c r="N422" s="1" t="str">
        <f>IF(TRIM(H422)="","BLANK",IF(PROPER(TRIM(H422))=TRIM(M422),"MATCH","MISMATCH"))</f>
        <v>MATCH</v>
      </c>
      <c r="O422" s="5" t="str">
        <f>INDEX([1]Employee!$C$2:$C$276,MATCH(B422,[1]Employee!$A$2:$A$276,0))</f>
        <v>Claims</v>
      </c>
    </row>
    <row r="423" spans="1:15">
      <c r="A423" s="1" t="s">
        <v>1050</v>
      </c>
      <c r="B423" s="1" t="s">
        <v>1051</v>
      </c>
      <c r="C423" s="1" t="s">
        <v>1052</v>
      </c>
      <c r="D423" s="2">
        <v>46049</v>
      </c>
      <c r="E423" s="2">
        <v>46050</v>
      </c>
      <c r="F423" s="1" t="s">
        <v>76</v>
      </c>
      <c r="G423" s="1" t="s">
        <v>13</v>
      </c>
      <c r="H423" s="1" t="s">
        <v>14</v>
      </c>
      <c r="I423" s="7">
        <v>461.32</v>
      </c>
      <c r="J423" s="1" t="s">
        <v>38</v>
      </c>
      <c r="K423" s="1"/>
      <c r="L423" s="1" t="s">
        <v>39</v>
      </c>
      <c r="M423" s="1" t="str">
        <f>INDEX(MCC_Lookup!$B$2:$B$12,MATCH(G423,MCC_Lookup!$A$2:$A$12,0))</f>
        <v>Software</v>
      </c>
      <c r="N423" s="1" t="str">
        <f>IF(TRIM(H423)="","BLANK",IF(PROPER(TRIM(H423))=TRIM(M423),"MATCH","MISMATCH"))</f>
        <v>MATCH</v>
      </c>
      <c r="O423" s="5" t="str">
        <f>INDEX([1]Employee!$C$2:$C$276,MATCH(B423,[1]Employee!$A$2:$A$276,0))</f>
        <v>Finance</v>
      </c>
    </row>
    <row r="424" spans="1:15">
      <c r="A424" s="1" t="s">
        <v>1053</v>
      </c>
      <c r="B424" s="1" t="s">
        <v>1051</v>
      </c>
      <c r="C424" s="1" t="s">
        <v>1054</v>
      </c>
      <c r="D424" s="2">
        <v>46050</v>
      </c>
      <c r="E424" s="2">
        <v>46050</v>
      </c>
      <c r="F424" s="1" t="s">
        <v>259</v>
      </c>
      <c r="G424" s="1" t="s">
        <v>20</v>
      </c>
      <c r="H424" s="1" t="s">
        <v>19</v>
      </c>
      <c r="I424" s="7">
        <v>421.48</v>
      </c>
      <c r="J424" s="1" t="s">
        <v>38</v>
      </c>
      <c r="K424" s="1"/>
      <c r="L424" s="1" t="s">
        <v>39</v>
      </c>
      <c r="M424" s="1" t="str">
        <f>INDEX(MCC_Lookup!$B$2:$B$12,MATCH(G424,MCC_Lookup!$A$2:$A$12,0))</f>
        <v>Events</v>
      </c>
      <c r="N424" s="1" t="str">
        <f>IF(TRIM(H424)="","BLANK",IF(PROPER(TRIM(H424))=TRIM(M424),"MATCH","MISMATCH"))</f>
        <v>MATCH</v>
      </c>
      <c r="O424" s="5" t="str">
        <f>INDEX([1]Employee!$C$2:$C$276,MATCH(B424,[1]Employee!$A$2:$A$276,0))</f>
        <v>Finance</v>
      </c>
    </row>
    <row r="425" spans="1:15">
      <c r="A425" s="1" t="s">
        <v>1055</v>
      </c>
      <c r="B425" s="1" t="s">
        <v>129</v>
      </c>
      <c r="C425" s="1"/>
      <c r="D425" s="2">
        <v>46045</v>
      </c>
      <c r="E425" s="2">
        <v>46050</v>
      </c>
      <c r="F425" s="1" t="s">
        <v>124</v>
      </c>
      <c r="G425" s="1" t="s">
        <v>17</v>
      </c>
      <c r="H425" s="1" t="s">
        <v>16</v>
      </c>
      <c r="I425" s="7">
        <v>105.44</v>
      </c>
      <c r="J425" s="1" t="s">
        <v>111</v>
      </c>
      <c r="K425" s="1" t="s">
        <v>112</v>
      </c>
      <c r="L425" s="1" t="s">
        <v>39</v>
      </c>
      <c r="M425" s="1" t="str">
        <f>INDEX(MCC_Lookup!$B$2:$B$12,MATCH(G425,MCC_Lookup!$A$2:$A$12,0))</f>
        <v>Entertainment</v>
      </c>
      <c r="N425" s="1" t="str">
        <f>IF(TRIM(H425)="","BLANK",IF(PROPER(TRIM(H425))=TRIM(M425),"MATCH","MISMATCH"))</f>
        <v>MATCH</v>
      </c>
      <c r="O425" s="5" t="str">
        <f>INDEX([1]Employee!$C$2:$C$276,MATCH(B425,[1]Employee!$A$2:$A$276,0))</f>
        <v>Sales &amp; Marketing</v>
      </c>
    </row>
    <row r="426" spans="1:15">
      <c r="A426" s="1" t="s">
        <v>1056</v>
      </c>
      <c r="B426" s="1" t="s">
        <v>810</v>
      </c>
      <c r="C426" s="1" t="s">
        <v>1057</v>
      </c>
      <c r="D426" s="2">
        <v>46047</v>
      </c>
      <c r="E426" s="2">
        <v>46050</v>
      </c>
      <c r="F426" s="1" t="s">
        <v>347</v>
      </c>
      <c r="G426" s="1" t="s">
        <v>8</v>
      </c>
      <c r="H426" s="1" t="s">
        <v>5</v>
      </c>
      <c r="I426" s="7">
        <v>14.73</v>
      </c>
      <c r="J426" s="1" t="s">
        <v>38</v>
      </c>
      <c r="K426" s="1"/>
      <c r="L426" s="1" t="s">
        <v>39</v>
      </c>
      <c r="M426" s="1" t="str">
        <f>INDEX(MCC_Lookup!$B$2:$B$12,MATCH(G426,MCC_Lookup!$A$2:$A$12,0))</f>
        <v>Transportation</v>
      </c>
      <c r="N426" s="1" t="str">
        <f>IF(TRIM(H426)="","BLANK",IF(PROPER(TRIM(H426))=TRIM(M426),"MATCH","MISMATCH"))</f>
        <v>MISMATCH</v>
      </c>
      <c r="O426" s="5" t="str">
        <f>INDEX([1]Employee!$C$2:$C$276,MATCH(B426,[1]Employee!$A$2:$A$276,0))</f>
        <v>Sales &amp; Marketing</v>
      </c>
    </row>
    <row r="427" spans="1:15">
      <c r="A427" s="1" t="s">
        <v>1058</v>
      </c>
      <c r="B427" s="1" t="s">
        <v>59</v>
      </c>
      <c r="C427" s="1" t="s">
        <v>1059</v>
      </c>
      <c r="D427" s="2">
        <v>46042</v>
      </c>
      <c r="E427" s="2">
        <v>46050</v>
      </c>
      <c r="F427" s="1" t="s">
        <v>259</v>
      </c>
      <c r="G427" s="1" t="s">
        <v>20</v>
      </c>
      <c r="H427" s="1" t="s">
        <v>19</v>
      </c>
      <c r="I427" s="7">
        <v>144.02000000000001</v>
      </c>
      <c r="J427" s="1" t="s">
        <v>38</v>
      </c>
      <c r="K427" s="1"/>
      <c r="L427" s="1" t="s">
        <v>39</v>
      </c>
      <c r="M427" s="1" t="str">
        <f>INDEX(MCC_Lookup!$B$2:$B$12,MATCH(G427,MCC_Lookup!$A$2:$A$12,0))</f>
        <v>Events</v>
      </c>
      <c r="N427" s="1" t="str">
        <f>IF(TRIM(H427)="","BLANK",IF(PROPER(TRIM(H427))=TRIM(M427),"MATCH","MISMATCH"))</f>
        <v>MATCH</v>
      </c>
      <c r="O427" s="5" t="str">
        <f>INDEX([1]Employee!$C$2:$C$276,MATCH(B427,[1]Employee!$A$2:$A$276,0))</f>
        <v>Sales &amp; Marketing</v>
      </c>
    </row>
    <row r="428" spans="1:15">
      <c r="A428" s="1" t="s">
        <v>1060</v>
      </c>
      <c r="B428" s="1" t="s">
        <v>1061</v>
      </c>
      <c r="C428" s="1" t="s">
        <v>1062</v>
      </c>
      <c r="D428" s="2">
        <v>46048</v>
      </c>
      <c r="E428" s="2">
        <v>46050</v>
      </c>
      <c r="F428" s="1" t="s">
        <v>124</v>
      </c>
      <c r="G428" s="1" t="s">
        <v>17</v>
      </c>
      <c r="H428" s="1" t="s">
        <v>403</v>
      </c>
      <c r="I428" s="7">
        <v>65.22</v>
      </c>
      <c r="J428" s="1" t="s">
        <v>38</v>
      </c>
      <c r="K428" s="1"/>
      <c r="L428" s="1" t="s">
        <v>39</v>
      </c>
      <c r="M428" s="1" t="str">
        <f>INDEX(MCC_Lookup!$B$2:$B$12,MATCH(G428,MCC_Lookup!$A$2:$A$12,0))</f>
        <v>Entertainment</v>
      </c>
      <c r="N428" s="1" t="str">
        <f>IF(TRIM(H428)="","BLANK",IF(PROPER(TRIM(H428))=TRIM(M428),"MATCH","MISMATCH"))</f>
        <v>MATCH</v>
      </c>
      <c r="O428" s="5" t="str">
        <f>INDEX([1]Employee!$C$2:$C$276,MATCH(B428,[1]Employee!$A$2:$A$276,0))</f>
        <v>Claims</v>
      </c>
    </row>
    <row r="429" spans="1:15">
      <c r="A429" s="1" t="s">
        <v>1063</v>
      </c>
      <c r="B429" s="1" t="s">
        <v>1064</v>
      </c>
      <c r="C429" s="1" t="s">
        <v>1065</v>
      </c>
      <c r="D429" s="2">
        <v>46047</v>
      </c>
      <c r="E429" s="2">
        <v>46050</v>
      </c>
      <c r="F429" s="1" t="s">
        <v>65</v>
      </c>
      <c r="G429" s="1" t="s">
        <v>18</v>
      </c>
      <c r="H429" s="1" t="s">
        <v>332</v>
      </c>
      <c r="I429" s="7">
        <v>135.66999999999999</v>
      </c>
      <c r="J429" s="1" t="s">
        <v>38</v>
      </c>
      <c r="K429" s="1"/>
      <c r="L429" s="1" t="s">
        <v>39</v>
      </c>
      <c r="M429" s="1" t="str">
        <f>INDEX(MCC_Lookup!$B$2:$B$12,MATCH(G429,MCC_Lookup!$A$2:$A$12,0))</f>
        <v>Events</v>
      </c>
      <c r="N429" s="1" t="str">
        <f>IF(TRIM(H429)="","BLANK",IF(PROPER(TRIM(H429))=TRIM(M429),"MATCH","MISMATCH"))</f>
        <v>MATCH</v>
      </c>
      <c r="O429" s="5" t="str">
        <f>INDEX([1]Employee!$C$2:$C$276,MATCH(B429,[1]Employee!$A$2:$A$276,0))</f>
        <v>Actuarial &amp; Risk</v>
      </c>
    </row>
    <row r="430" spans="1:15">
      <c r="A430" s="1" t="s">
        <v>1066</v>
      </c>
      <c r="B430" s="1" t="s">
        <v>571</v>
      </c>
      <c r="C430" s="1"/>
      <c r="D430" s="2">
        <v>46045</v>
      </c>
      <c r="E430" s="2">
        <v>46050</v>
      </c>
      <c r="F430" s="1" t="s">
        <v>92</v>
      </c>
      <c r="G430" s="1" t="s">
        <v>10</v>
      </c>
      <c r="H430" s="1" t="s">
        <v>11</v>
      </c>
      <c r="I430" s="7">
        <v>69.62</v>
      </c>
      <c r="J430" s="1" t="s">
        <v>38</v>
      </c>
      <c r="K430" s="1"/>
      <c r="L430" s="1" t="s">
        <v>39</v>
      </c>
      <c r="M430" s="1" t="str">
        <f>INDEX(MCC_Lookup!$B$2:$B$12,MATCH(G430,MCC_Lookup!$A$2:$A$12,0))</f>
        <v>Office Supplies</v>
      </c>
      <c r="N430" s="1" t="str">
        <f>IF(TRIM(H430)="","BLANK",IF(PROPER(TRIM(H430))=TRIM(M430),"MATCH","MISMATCH"))</f>
        <v>MATCH</v>
      </c>
      <c r="O430" s="5" t="str">
        <f>INDEX([1]Employee!$C$2:$C$276,MATCH(B430,[1]Employee!$A$2:$A$276,0))</f>
        <v>Finance</v>
      </c>
    </row>
    <row r="431" spans="1:15">
      <c r="A431" s="1" t="s">
        <v>1067</v>
      </c>
      <c r="B431" s="1" t="s">
        <v>440</v>
      </c>
      <c r="C431" s="1"/>
      <c r="D431" s="2">
        <v>46041</v>
      </c>
      <c r="E431" s="2">
        <v>46051</v>
      </c>
      <c r="F431" s="1" t="s">
        <v>1068</v>
      </c>
      <c r="G431" s="1" t="s">
        <v>20</v>
      </c>
      <c r="H431" s="1" t="s">
        <v>19</v>
      </c>
      <c r="I431" s="7">
        <v>285.60000000000002</v>
      </c>
      <c r="J431" s="1" t="s">
        <v>38</v>
      </c>
      <c r="K431" s="1"/>
      <c r="L431" s="1" t="s">
        <v>39</v>
      </c>
      <c r="M431" s="1" t="str">
        <f>INDEX(MCC_Lookup!$B$2:$B$12,MATCH(G431,MCC_Lookup!$A$2:$A$12,0))</f>
        <v>Events</v>
      </c>
      <c r="N431" s="1" t="str">
        <f>IF(TRIM(H431)="","BLANK",IF(PROPER(TRIM(H431))=TRIM(M431),"MATCH","MISMATCH"))</f>
        <v>MATCH</v>
      </c>
      <c r="O431" s="5" t="str">
        <f>INDEX([1]Employee!$C$2:$C$276,MATCH(B431,[1]Employee!$A$2:$A$276,0))</f>
        <v>Underwriting</v>
      </c>
    </row>
    <row r="432" spans="1:15">
      <c r="A432" s="1" t="s">
        <v>1069</v>
      </c>
      <c r="B432" s="1" t="s">
        <v>448</v>
      </c>
      <c r="C432" s="1" t="s">
        <v>1070</v>
      </c>
      <c r="D432" s="2">
        <v>46045</v>
      </c>
      <c r="E432" s="2">
        <v>46051</v>
      </c>
      <c r="F432" s="1" t="s">
        <v>37</v>
      </c>
      <c r="G432" s="1" t="s">
        <v>4</v>
      </c>
      <c r="H432" s="1" t="s">
        <v>5</v>
      </c>
      <c r="I432" s="7">
        <v>379.14</v>
      </c>
      <c r="J432" s="1" t="s">
        <v>38</v>
      </c>
      <c r="K432" s="1"/>
      <c r="L432" s="1" t="s">
        <v>39</v>
      </c>
      <c r="M432" s="1" t="str">
        <f>INDEX(MCC_Lookup!$B$2:$B$12,MATCH(G432,MCC_Lookup!$A$2:$A$12,0))</f>
        <v>Travel</v>
      </c>
      <c r="N432" s="1" t="str">
        <f>IF(TRIM(H432)="","BLANK",IF(PROPER(TRIM(H432))=TRIM(M432),"MATCH","MISMATCH"))</f>
        <v>MATCH</v>
      </c>
      <c r="O432" s="5" t="str">
        <f>INDEX([1]Employee!$C$2:$C$276,MATCH(B432,[1]Employee!$A$2:$A$276,0))</f>
        <v>Sales &amp; Marketing</v>
      </c>
    </row>
    <row r="433" spans="1:15">
      <c r="A433" s="1" t="s">
        <v>1071</v>
      </c>
      <c r="B433" s="1" t="s">
        <v>763</v>
      </c>
      <c r="C433" s="1" t="s">
        <v>1072</v>
      </c>
      <c r="D433" s="2">
        <v>46049</v>
      </c>
      <c r="E433" s="2">
        <v>46051</v>
      </c>
      <c r="F433" s="1" t="s">
        <v>177</v>
      </c>
      <c r="G433" s="1" t="s">
        <v>13</v>
      </c>
      <c r="H433" s="1" t="s">
        <v>14</v>
      </c>
      <c r="I433" s="7">
        <v>17.89</v>
      </c>
      <c r="J433" s="1" t="s">
        <v>38</v>
      </c>
      <c r="K433" s="1"/>
      <c r="L433" s="1" t="s">
        <v>39</v>
      </c>
      <c r="M433" s="1" t="str">
        <f>INDEX(MCC_Lookup!$B$2:$B$12,MATCH(G433,MCC_Lookup!$A$2:$A$12,0))</f>
        <v>Software</v>
      </c>
      <c r="N433" s="1" t="str">
        <f>IF(TRIM(H433)="","BLANK",IF(PROPER(TRIM(H433))=TRIM(M433),"MATCH","MISMATCH"))</f>
        <v>MATCH</v>
      </c>
      <c r="O433" s="5" t="str">
        <f>INDEX([1]Employee!$C$2:$C$276,MATCH(B433,[1]Employee!$A$2:$A$276,0))</f>
        <v>Executive &amp; Corporate</v>
      </c>
    </row>
    <row r="434" spans="1:15">
      <c r="A434" s="1" t="s">
        <v>1073</v>
      </c>
      <c r="B434" s="1" t="s">
        <v>550</v>
      </c>
      <c r="C434" s="1" t="s">
        <v>1074</v>
      </c>
      <c r="D434" s="2">
        <v>46041</v>
      </c>
      <c r="E434" s="2">
        <v>46051</v>
      </c>
      <c r="F434" s="1" t="s">
        <v>92</v>
      </c>
      <c r="G434" s="1" t="s">
        <v>10</v>
      </c>
      <c r="H434" s="1" t="s">
        <v>11</v>
      </c>
      <c r="I434" s="7">
        <v>154.15</v>
      </c>
      <c r="J434" s="1" t="s">
        <v>38</v>
      </c>
      <c r="K434" s="1"/>
      <c r="L434" s="1" t="s">
        <v>39</v>
      </c>
      <c r="M434" s="1" t="str">
        <f>INDEX(MCC_Lookup!$B$2:$B$12,MATCH(G434,MCC_Lookup!$A$2:$A$12,0))</f>
        <v>Office Supplies</v>
      </c>
      <c r="N434" s="1" t="str">
        <f>IF(TRIM(H434)="","BLANK",IF(PROPER(TRIM(H434))=TRIM(M434),"MATCH","MISMATCH"))</f>
        <v>MATCH</v>
      </c>
      <c r="O434" s="5" t="str">
        <f>INDEX([1]Employee!$C$2:$C$276,MATCH(B434,[1]Employee!$A$2:$A$276,0))</f>
        <v>Sales &amp; Marketing</v>
      </c>
    </row>
    <row r="435" spans="1:15">
      <c r="A435" s="1" t="s">
        <v>1075</v>
      </c>
      <c r="B435" s="1" t="s">
        <v>593</v>
      </c>
      <c r="C435" s="1" t="s">
        <v>1076</v>
      </c>
      <c r="D435" s="2">
        <v>46051</v>
      </c>
      <c r="E435" s="2">
        <v>46051</v>
      </c>
      <c r="F435" s="1" t="s">
        <v>504</v>
      </c>
      <c r="G435" s="1" t="s">
        <v>13</v>
      </c>
      <c r="H435" s="1" t="s">
        <v>14</v>
      </c>
      <c r="I435" s="7">
        <v>42.17</v>
      </c>
      <c r="J435" s="1" t="s">
        <v>38</v>
      </c>
      <c r="K435" s="1"/>
      <c r="L435" s="1" t="s">
        <v>48</v>
      </c>
      <c r="M435" s="1" t="str">
        <f>INDEX(MCC_Lookup!$B$2:$B$12,MATCH(G435,MCC_Lookup!$A$2:$A$12,0))</f>
        <v>Software</v>
      </c>
      <c r="N435" s="1" t="str">
        <f>IF(TRIM(H435)="","BLANK",IF(PROPER(TRIM(H435))=TRIM(M435),"MATCH","MISMATCH"))</f>
        <v>MATCH</v>
      </c>
      <c r="O435" s="5" t="str">
        <f>INDEX([1]Employee!$C$2:$C$276,MATCH(B435,[1]Employee!$A$2:$A$276,0))</f>
        <v>Sales &amp; Marketing</v>
      </c>
    </row>
    <row r="436" spans="1:15">
      <c r="A436" s="1" t="s">
        <v>1077</v>
      </c>
      <c r="B436" s="1" t="s">
        <v>558</v>
      </c>
      <c r="C436" s="1"/>
      <c r="D436" s="2">
        <v>46050</v>
      </c>
      <c r="E436" s="2">
        <v>46051</v>
      </c>
      <c r="F436" s="1" t="s">
        <v>242</v>
      </c>
      <c r="G436" s="1" t="s">
        <v>13</v>
      </c>
      <c r="H436" s="1" t="s">
        <v>14</v>
      </c>
      <c r="I436" s="7">
        <v>49.72</v>
      </c>
      <c r="J436" s="1" t="s">
        <v>111</v>
      </c>
      <c r="K436" s="1" t="s">
        <v>229</v>
      </c>
      <c r="L436" s="1" t="s">
        <v>39</v>
      </c>
      <c r="M436" s="1" t="str">
        <f>INDEX(MCC_Lookup!$B$2:$B$12,MATCH(G436,MCC_Lookup!$A$2:$A$12,0))</f>
        <v>Software</v>
      </c>
      <c r="N436" s="1" t="str">
        <f>IF(TRIM(H436)="","BLANK",IF(PROPER(TRIM(H436))=TRIM(M436),"MATCH","MISMATCH"))</f>
        <v>MATCH</v>
      </c>
      <c r="O436" s="5" t="str">
        <f>INDEX([1]Employee!$C$2:$C$276,MATCH(B436,[1]Employee!$A$2:$A$276,0))</f>
        <v>Claims</v>
      </c>
    </row>
    <row r="437" spans="1:15">
      <c r="A437" s="1" t="s">
        <v>1078</v>
      </c>
      <c r="B437" s="1" t="s">
        <v>712</v>
      </c>
      <c r="C437" s="1" t="s">
        <v>1079</v>
      </c>
      <c r="D437" s="2">
        <v>46050</v>
      </c>
      <c r="E437" s="2">
        <v>46051</v>
      </c>
      <c r="F437" s="1" t="s">
        <v>160</v>
      </c>
      <c r="G437" s="1" t="s">
        <v>6</v>
      </c>
      <c r="H437" s="1" t="s">
        <v>726</v>
      </c>
      <c r="I437" s="7">
        <v>440.45</v>
      </c>
      <c r="J437" s="1" t="s">
        <v>38</v>
      </c>
      <c r="K437" s="1"/>
      <c r="L437" s="1" t="s">
        <v>39</v>
      </c>
      <c r="M437" s="1" t="str">
        <f>INDEX(MCC_Lookup!$B$2:$B$12,MATCH(G437,MCC_Lookup!$A$2:$A$12,0))</f>
        <v>Lodging</v>
      </c>
      <c r="N437" s="1" t="str">
        <f>IF(TRIM(H437)="","BLANK",IF(PROPER(TRIM(H437))=TRIM(M437),"MATCH","MISMATCH"))</f>
        <v>MATCH</v>
      </c>
      <c r="O437" s="5" t="str">
        <f>INDEX([1]Employee!$C$2:$C$276,MATCH(B437,[1]Employee!$A$2:$A$276,0))</f>
        <v>Underwriting</v>
      </c>
    </row>
    <row r="438" spans="1:15">
      <c r="A438" s="1" t="s">
        <v>1080</v>
      </c>
      <c r="B438" s="1" t="s">
        <v>261</v>
      </c>
      <c r="C438" s="1" t="s">
        <v>1081</v>
      </c>
      <c r="D438" s="2">
        <v>46048</v>
      </c>
      <c r="E438" s="2">
        <v>46051</v>
      </c>
      <c r="F438" s="1" t="s">
        <v>305</v>
      </c>
      <c r="G438" s="1" t="s">
        <v>2</v>
      </c>
      <c r="H438" s="1" t="s">
        <v>3</v>
      </c>
      <c r="I438" s="7">
        <v>5.93</v>
      </c>
      <c r="J438" s="1" t="s">
        <v>38</v>
      </c>
      <c r="K438" s="1"/>
      <c r="L438" s="1" t="s">
        <v>39</v>
      </c>
      <c r="M438" s="1" t="str">
        <f>INDEX(MCC_Lookup!$B$2:$B$12,MATCH(G438,MCC_Lookup!$A$2:$A$12,0))</f>
        <v>Meals</v>
      </c>
      <c r="N438" s="1" t="str">
        <f>IF(TRIM(H438)="","BLANK",IF(PROPER(TRIM(H438))=TRIM(M438),"MATCH","MISMATCH"))</f>
        <v>MATCH</v>
      </c>
      <c r="O438" s="5" t="str">
        <f>INDEX([1]Employee!$C$2:$C$276,MATCH(B438,[1]Employee!$A$2:$A$276,0))</f>
        <v>Sales &amp; Marketing</v>
      </c>
    </row>
    <row r="439" spans="1:15">
      <c r="A439" s="1" t="s">
        <v>1082</v>
      </c>
      <c r="B439" s="1" t="s">
        <v>373</v>
      </c>
      <c r="C439" s="1"/>
      <c r="D439" s="2">
        <v>46051</v>
      </c>
      <c r="E439" s="2">
        <v>46051</v>
      </c>
      <c r="F439" s="1" t="s">
        <v>173</v>
      </c>
      <c r="G439" s="1" t="s">
        <v>2</v>
      </c>
      <c r="H439" s="1" t="s">
        <v>3</v>
      </c>
      <c r="I439" s="7">
        <v>84.8</v>
      </c>
      <c r="J439" s="1" t="s">
        <v>38</v>
      </c>
      <c r="K439" s="1"/>
      <c r="L439" s="1" t="s">
        <v>39</v>
      </c>
      <c r="M439" s="1" t="str">
        <f>INDEX(MCC_Lookup!$B$2:$B$12,MATCH(G439,MCC_Lookup!$A$2:$A$12,0))</f>
        <v>Meals</v>
      </c>
      <c r="N439" s="1" t="str">
        <f>IF(TRIM(H439)="","BLANK",IF(PROPER(TRIM(H439))=TRIM(M439),"MATCH","MISMATCH"))</f>
        <v>MATCH</v>
      </c>
      <c r="O439" s="5" t="str">
        <f>INDEX([1]Employee!$C$2:$C$276,MATCH(B439,[1]Employee!$A$2:$A$276,0))</f>
        <v>Sales &amp; Marketing</v>
      </c>
    </row>
    <row r="440" spans="1:15">
      <c r="A440" s="1" t="s">
        <v>1083</v>
      </c>
      <c r="B440" s="1" t="s">
        <v>292</v>
      </c>
      <c r="C440" s="1" t="s">
        <v>1084</v>
      </c>
      <c r="D440" s="2">
        <v>46050</v>
      </c>
      <c r="E440" s="2">
        <v>46051</v>
      </c>
      <c r="F440" s="1" t="s">
        <v>106</v>
      </c>
      <c r="G440" s="1" t="s">
        <v>13</v>
      </c>
      <c r="H440" s="1"/>
      <c r="I440" s="7">
        <v>215.11</v>
      </c>
      <c r="J440" s="1" t="s">
        <v>38</v>
      </c>
      <c r="K440" s="1"/>
      <c r="L440" s="1" t="s">
        <v>39</v>
      </c>
      <c r="M440" s="1" t="str">
        <f>INDEX(MCC_Lookup!$B$2:$B$12,MATCH(G440,MCC_Lookup!$A$2:$A$12,0))</f>
        <v>Software</v>
      </c>
      <c r="N440" s="1" t="str">
        <f>IF(TRIM(H440)="","BLANK",IF(PROPER(TRIM(H440))=TRIM(M440),"MATCH","MISMATCH"))</f>
        <v>BLANK</v>
      </c>
      <c r="O440" s="5" t="str">
        <f>INDEX([1]Employee!$C$2:$C$276,MATCH(B440,[1]Employee!$A$2:$A$276,0))</f>
        <v>Sales &amp; Marketing</v>
      </c>
    </row>
    <row r="441" spans="1:15">
      <c r="A441" s="1" t="s">
        <v>1085</v>
      </c>
      <c r="B441" s="1" t="s">
        <v>50</v>
      </c>
      <c r="C441" s="1" t="s">
        <v>1086</v>
      </c>
      <c r="D441" s="2">
        <v>46042</v>
      </c>
      <c r="E441" s="2">
        <v>46051</v>
      </c>
      <c r="F441" s="1" t="s">
        <v>259</v>
      </c>
      <c r="G441" s="1" t="s">
        <v>20</v>
      </c>
      <c r="H441" s="1" t="s">
        <v>19</v>
      </c>
      <c r="I441" s="7">
        <v>214.8</v>
      </c>
      <c r="J441" s="1" t="s">
        <v>38</v>
      </c>
      <c r="K441" s="1"/>
      <c r="L441" s="1" t="s">
        <v>39</v>
      </c>
      <c r="M441" s="1" t="str">
        <f>INDEX(MCC_Lookup!$B$2:$B$12,MATCH(G441,MCC_Lookup!$A$2:$A$12,0))</f>
        <v>Events</v>
      </c>
      <c r="N441" s="1" t="str">
        <f>IF(TRIM(H441)="","BLANK",IF(PROPER(TRIM(H441))=TRIM(M441),"MATCH","MISMATCH"))</f>
        <v>MATCH</v>
      </c>
      <c r="O441" s="5" t="str">
        <f>INDEX([1]Employee!$C$2:$C$276,MATCH(B441,[1]Employee!$A$2:$A$276,0))</f>
        <v>Sales &amp; Marketing</v>
      </c>
    </row>
    <row r="442" spans="1:15">
      <c r="A442" s="1" t="s">
        <v>1087</v>
      </c>
      <c r="B442" s="1" t="s">
        <v>247</v>
      </c>
      <c r="C442" s="1" t="s">
        <v>1088</v>
      </c>
      <c r="D442" s="2">
        <v>46049</v>
      </c>
      <c r="E442" s="2">
        <v>46051</v>
      </c>
      <c r="F442" s="1" t="s">
        <v>173</v>
      </c>
      <c r="G442" s="1" t="s">
        <v>2</v>
      </c>
      <c r="H442" s="1" t="s">
        <v>3</v>
      </c>
      <c r="I442" s="7">
        <v>71.430000000000007</v>
      </c>
      <c r="J442" s="1" t="s">
        <v>38</v>
      </c>
      <c r="K442" s="1"/>
      <c r="L442" s="1" t="s">
        <v>39</v>
      </c>
      <c r="M442" s="1" t="str">
        <f>INDEX(MCC_Lookup!$B$2:$B$12,MATCH(G442,MCC_Lookup!$A$2:$A$12,0))</f>
        <v>Meals</v>
      </c>
      <c r="N442" s="1" t="str">
        <f>IF(TRIM(H442)="","BLANK",IF(PROPER(TRIM(H442))=TRIM(M442),"MATCH","MISMATCH"))</f>
        <v>MATCH</v>
      </c>
      <c r="O442" s="5" t="str">
        <f>INDEX([1]Employee!$C$2:$C$276,MATCH(B442,[1]Employee!$A$2:$A$276,0))</f>
        <v>HR &amp; Events</v>
      </c>
    </row>
    <row r="443" spans="1:15">
      <c r="A443" s="1" t="s">
        <v>1089</v>
      </c>
      <c r="B443" s="1" t="s">
        <v>244</v>
      </c>
      <c r="C443" s="1" t="s">
        <v>1090</v>
      </c>
      <c r="D443" s="2">
        <v>46041</v>
      </c>
      <c r="E443" s="2">
        <v>46051</v>
      </c>
      <c r="F443" s="1" t="s">
        <v>160</v>
      </c>
      <c r="G443" s="1" t="s">
        <v>6</v>
      </c>
      <c r="H443" s="1" t="s">
        <v>726</v>
      </c>
      <c r="I443" s="7">
        <v>453.78</v>
      </c>
      <c r="J443" s="1" t="s">
        <v>38</v>
      </c>
      <c r="K443" s="1"/>
      <c r="L443" s="1" t="s">
        <v>39</v>
      </c>
      <c r="M443" s="1" t="str">
        <f>INDEX(MCC_Lookup!$B$2:$B$12,MATCH(G443,MCC_Lookup!$A$2:$A$12,0))</f>
        <v>Lodging</v>
      </c>
      <c r="N443" s="1" t="str">
        <f>IF(TRIM(H443)="","BLANK",IF(PROPER(TRIM(H443))=TRIM(M443),"MATCH","MISMATCH"))</f>
        <v>MATCH</v>
      </c>
      <c r="O443" s="5" t="str">
        <f>INDEX([1]Employee!$C$2:$C$276,MATCH(B443,[1]Employee!$A$2:$A$276,0))</f>
        <v>Sales &amp; Marketing</v>
      </c>
    </row>
    <row r="444" spans="1:15">
      <c r="A444" s="1" t="s">
        <v>1091</v>
      </c>
      <c r="B444" s="1" t="s">
        <v>352</v>
      </c>
      <c r="C444" s="1" t="s">
        <v>1092</v>
      </c>
      <c r="D444" s="2">
        <v>46044</v>
      </c>
      <c r="E444" s="2">
        <v>46051</v>
      </c>
      <c r="F444" s="1" t="s">
        <v>160</v>
      </c>
      <c r="G444" s="1" t="s">
        <v>6</v>
      </c>
      <c r="H444" s="1" t="s">
        <v>7</v>
      </c>
      <c r="I444" s="7">
        <v>360.91</v>
      </c>
      <c r="J444" s="1" t="s">
        <v>38</v>
      </c>
      <c r="K444" s="1"/>
      <c r="L444" s="1" t="s">
        <v>39</v>
      </c>
      <c r="M444" s="1" t="str">
        <f>INDEX(MCC_Lookup!$B$2:$B$12,MATCH(G444,MCC_Lookup!$A$2:$A$12,0))</f>
        <v>Lodging</v>
      </c>
      <c r="N444" s="1" t="str">
        <f>IF(TRIM(H444)="","BLANK",IF(PROPER(TRIM(H444))=TRIM(M444),"MATCH","MISMATCH"))</f>
        <v>MATCH</v>
      </c>
      <c r="O444" s="5" t="str">
        <f>INDEX([1]Employee!$C$2:$C$276,MATCH(B444,[1]Employee!$A$2:$A$276,0))</f>
        <v>Sales &amp; Marketing</v>
      </c>
    </row>
    <row r="445" spans="1:15">
      <c r="A445" s="1" t="s">
        <v>1093</v>
      </c>
      <c r="B445" s="1" t="s">
        <v>379</v>
      </c>
      <c r="C445" s="1" t="s">
        <v>1094</v>
      </c>
      <c r="D445" s="2">
        <v>46042</v>
      </c>
      <c r="E445" s="2">
        <v>46051</v>
      </c>
      <c r="F445" s="1" t="s">
        <v>72</v>
      </c>
      <c r="G445" s="1" t="s">
        <v>8</v>
      </c>
      <c r="H445" s="1" t="s">
        <v>9</v>
      </c>
      <c r="I445" s="7">
        <v>38.18</v>
      </c>
      <c r="J445" s="1" t="s">
        <v>38</v>
      </c>
      <c r="K445" s="1"/>
      <c r="L445" s="1" t="s">
        <v>39</v>
      </c>
      <c r="M445" s="1" t="str">
        <f>INDEX(MCC_Lookup!$B$2:$B$12,MATCH(G445,MCC_Lookup!$A$2:$A$12,0))</f>
        <v>Transportation</v>
      </c>
      <c r="N445" s="1" t="str">
        <f>IF(TRIM(H445)="","BLANK",IF(PROPER(TRIM(H445))=TRIM(M445),"MATCH","MISMATCH"))</f>
        <v>MATCH</v>
      </c>
      <c r="O445" s="5" t="str">
        <f>INDEX([1]Employee!$C$2:$C$276,MATCH(B445,[1]Employee!$A$2:$A$276,0))</f>
        <v>Sales &amp; Marketing</v>
      </c>
    </row>
    <row r="446" spans="1:15">
      <c r="A446" s="1" t="s">
        <v>1095</v>
      </c>
      <c r="B446" s="1" t="s">
        <v>399</v>
      </c>
      <c r="C446" s="1" t="s">
        <v>1096</v>
      </c>
      <c r="D446" s="2">
        <v>46044</v>
      </c>
      <c r="E446" s="2">
        <v>46051</v>
      </c>
      <c r="F446" s="1" t="s">
        <v>173</v>
      </c>
      <c r="G446" s="1" t="s">
        <v>2</v>
      </c>
      <c r="H446" s="1"/>
      <c r="I446" s="7">
        <v>58.31</v>
      </c>
      <c r="J446" s="1" t="s">
        <v>38</v>
      </c>
      <c r="K446" s="1"/>
      <c r="L446" s="1" t="s">
        <v>39</v>
      </c>
      <c r="M446" s="1" t="str">
        <f>INDEX(MCC_Lookup!$B$2:$B$12,MATCH(G446,MCC_Lookup!$A$2:$A$12,0))</f>
        <v>Meals</v>
      </c>
      <c r="N446" s="1" t="str">
        <f>IF(TRIM(H446)="","BLANK",IF(PROPER(TRIM(H446))=TRIM(M446),"MATCH","MISMATCH"))</f>
        <v>BLANK</v>
      </c>
      <c r="O446" s="5" t="str">
        <f>INDEX([1]Employee!$C$2:$C$276,MATCH(B446,[1]Employee!$A$2:$A$276,0))</f>
        <v>IT &amp; Platform Engineering</v>
      </c>
    </row>
    <row r="447" spans="1:15">
      <c r="A447" s="1" t="s">
        <v>1097</v>
      </c>
      <c r="B447" s="1" t="s">
        <v>472</v>
      </c>
      <c r="C447" s="1" t="s">
        <v>1098</v>
      </c>
      <c r="D447" s="2">
        <v>46044</v>
      </c>
      <c r="E447" s="2">
        <v>46051</v>
      </c>
      <c r="F447" s="1" t="s">
        <v>83</v>
      </c>
      <c r="G447" s="1" t="s">
        <v>2</v>
      </c>
      <c r="H447" s="1" t="s">
        <v>3</v>
      </c>
      <c r="I447" s="7">
        <v>18.7</v>
      </c>
      <c r="J447" s="1" t="s">
        <v>38</v>
      </c>
      <c r="K447" s="1"/>
      <c r="L447" s="1" t="s">
        <v>39</v>
      </c>
      <c r="M447" s="1" t="str">
        <f>INDEX(MCC_Lookup!$B$2:$B$12,MATCH(G447,MCC_Lookup!$A$2:$A$12,0))</f>
        <v>Meals</v>
      </c>
      <c r="N447" s="1" t="str">
        <f>IF(TRIM(H447)="","BLANK",IF(PROPER(TRIM(H447))=TRIM(M447),"MATCH","MISMATCH"))</f>
        <v>MATCH</v>
      </c>
      <c r="O447" s="5" t="str">
        <f>INDEX([1]Employee!$C$2:$C$276,MATCH(B447,[1]Employee!$A$2:$A$276,0))</f>
        <v>Sales &amp; Marketing</v>
      </c>
    </row>
    <row r="448" spans="1:15">
      <c r="A448" s="1" t="s">
        <v>1099</v>
      </c>
      <c r="B448" s="1" t="s">
        <v>152</v>
      </c>
      <c r="C448" s="1" t="s">
        <v>1100</v>
      </c>
      <c r="D448" s="2">
        <v>46042</v>
      </c>
      <c r="E448" s="2">
        <v>46051</v>
      </c>
      <c r="F448" s="1" t="s">
        <v>43</v>
      </c>
      <c r="G448" s="1" t="s">
        <v>2</v>
      </c>
      <c r="H448" s="1"/>
      <c r="I448" s="7">
        <v>20.43</v>
      </c>
      <c r="J448" s="1" t="s">
        <v>38</v>
      </c>
      <c r="K448" s="1"/>
      <c r="L448" s="1" t="s">
        <v>39</v>
      </c>
      <c r="M448" s="1" t="str">
        <f>INDEX(MCC_Lookup!$B$2:$B$12,MATCH(G448,MCC_Lookup!$A$2:$A$12,0))</f>
        <v>Meals</v>
      </c>
      <c r="N448" s="1" t="str">
        <f>IF(TRIM(H448)="","BLANK",IF(PROPER(TRIM(H448))=TRIM(M448),"MATCH","MISMATCH"))</f>
        <v>BLANK</v>
      </c>
      <c r="O448" s="5" t="str">
        <f>INDEX([1]Employee!$C$2:$C$276,MATCH(B448,[1]Employee!$A$2:$A$276,0))</f>
        <v>Sales &amp; Marketing</v>
      </c>
    </row>
    <row r="449" spans="1:15">
      <c r="A449" s="1" t="s">
        <v>1101</v>
      </c>
      <c r="B449" s="1" t="s">
        <v>667</v>
      </c>
      <c r="C449" s="1" t="s">
        <v>1102</v>
      </c>
      <c r="D449" s="2">
        <v>46047</v>
      </c>
      <c r="E449" s="2">
        <v>46051</v>
      </c>
      <c r="F449" s="1" t="s">
        <v>109</v>
      </c>
      <c r="G449" s="1" t="s">
        <v>18</v>
      </c>
      <c r="H449" s="1" t="s">
        <v>19</v>
      </c>
      <c r="I449" s="7">
        <v>39.06</v>
      </c>
      <c r="J449" s="1" t="s">
        <v>38</v>
      </c>
      <c r="K449" s="1"/>
      <c r="L449" s="1" t="s">
        <v>39</v>
      </c>
      <c r="M449" s="1" t="str">
        <f>INDEX(MCC_Lookup!$B$2:$B$12,MATCH(G449,MCC_Lookup!$A$2:$A$12,0))</f>
        <v>Events</v>
      </c>
      <c r="N449" s="1" t="str">
        <f>IF(TRIM(H449)="","BLANK",IF(PROPER(TRIM(H449))=TRIM(M449),"MATCH","MISMATCH"))</f>
        <v>MATCH</v>
      </c>
      <c r="O449" s="5" t="str">
        <f>INDEX([1]Employee!$C$2:$C$276,MATCH(B449,[1]Employee!$A$2:$A$276,0))</f>
        <v>Sales &amp; Marketing</v>
      </c>
    </row>
    <row r="450" spans="1:15">
      <c r="A450" s="1" t="s">
        <v>1103</v>
      </c>
      <c r="B450" s="1" t="s">
        <v>908</v>
      </c>
      <c r="C450" s="1"/>
      <c r="D450" s="2">
        <v>46044</v>
      </c>
      <c r="E450" s="2">
        <v>46051</v>
      </c>
      <c r="F450" s="1" t="s">
        <v>347</v>
      </c>
      <c r="G450" s="1" t="s">
        <v>8</v>
      </c>
      <c r="H450" s="1" t="s">
        <v>9</v>
      </c>
      <c r="I450" s="7">
        <v>13.95</v>
      </c>
      <c r="J450" s="1" t="s">
        <v>111</v>
      </c>
      <c r="K450" s="1" t="s">
        <v>161</v>
      </c>
      <c r="L450" s="1" t="s">
        <v>39</v>
      </c>
      <c r="M450" s="1" t="str">
        <f>INDEX(MCC_Lookup!$B$2:$B$12,MATCH(G450,MCC_Lookup!$A$2:$A$12,0))</f>
        <v>Transportation</v>
      </c>
      <c r="N450" s="1" t="str">
        <f>IF(TRIM(H450)="","BLANK",IF(PROPER(TRIM(H450))=TRIM(M450),"MATCH","MISMATCH"))</f>
        <v>MATCH</v>
      </c>
      <c r="O450" s="5" t="str">
        <f>INDEX([1]Employee!$C$2:$C$276,MATCH(B450,[1]Employee!$A$2:$A$276,0))</f>
        <v>Claims</v>
      </c>
    </row>
    <row r="451" spans="1:15">
      <c r="A451" s="1" t="s">
        <v>1104</v>
      </c>
      <c r="B451" s="1" t="s">
        <v>146</v>
      </c>
      <c r="C451" s="1" t="s">
        <v>1105</v>
      </c>
      <c r="D451" s="2">
        <v>46048</v>
      </c>
      <c r="E451" s="2">
        <v>46051</v>
      </c>
      <c r="F451" s="1" t="s">
        <v>56</v>
      </c>
      <c r="G451" s="1" t="s">
        <v>4</v>
      </c>
      <c r="H451" s="1" t="s">
        <v>3</v>
      </c>
      <c r="I451" s="7">
        <v>388.32</v>
      </c>
      <c r="J451" s="1" t="s">
        <v>38</v>
      </c>
      <c r="K451" s="1"/>
      <c r="L451" s="1" t="s">
        <v>39</v>
      </c>
      <c r="M451" s="1" t="str">
        <f>INDEX(MCC_Lookup!$B$2:$B$12,MATCH(G451,MCC_Lookup!$A$2:$A$12,0))</f>
        <v>Travel</v>
      </c>
      <c r="N451" s="1" t="str">
        <f>IF(TRIM(H451)="","BLANK",IF(PROPER(TRIM(H451))=TRIM(M451),"MATCH","MISMATCH"))</f>
        <v>MISMATCH</v>
      </c>
      <c r="O451" s="5" t="str">
        <f>INDEX([1]Employee!$C$2:$C$276,MATCH(B451,[1]Employee!$A$2:$A$276,0))</f>
        <v>HR &amp; Events</v>
      </c>
    </row>
    <row r="452" spans="1:15">
      <c r="A452" s="1" t="s">
        <v>1106</v>
      </c>
      <c r="B452" s="1" t="s">
        <v>1107</v>
      </c>
      <c r="C452" s="1" t="s">
        <v>1108</v>
      </c>
      <c r="D452" s="2">
        <v>46045</v>
      </c>
      <c r="E452" s="2">
        <v>46051</v>
      </c>
      <c r="F452" s="1" t="s">
        <v>61</v>
      </c>
      <c r="G452" s="1" t="s">
        <v>13</v>
      </c>
      <c r="H452" s="1" t="s">
        <v>419</v>
      </c>
      <c r="I452" s="7">
        <v>68.930000000000007</v>
      </c>
      <c r="J452" s="1" t="s">
        <v>38</v>
      </c>
      <c r="K452" s="1"/>
      <c r="L452" s="1" t="s">
        <v>39</v>
      </c>
      <c r="M452" s="1" t="str">
        <f>INDEX(MCC_Lookup!$B$2:$B$12,MATCH(G452,MCC_Lookup!$A$2:$A$12,0))</f>
        <v>Software</v>
      </c>
      <c r="N452" s="1" t="str">
        <f>IF(TRIM(H452)="","BLANK",IF(PROPER(TRIM(H452))=TRIM(M452),"MATCH","MISMATCH"))</f>
        <v>MATCH</v>
      </c>
      <c r="O452" s="5" t="str">
        <f>INDEX([1]Employee!$C$2:$C$276,MATCH(B452,[1]Employee!$A$2:$A$276,0))</f>
        <v>Claims</v>
      </c>
    </row>
    <row r="453" spans="1:15">
      <c r="A453" s="1" t="s">
        <v>1109</v>
      </c>
      <c r="B453" s="1" t="s">
        <v>1110</v>
      </c>
      <c r="C453" s="1" t="s">
        <v>1111</v>
      </c>
      <c r="D453" s="2">
        <v>46044</v>
      </c>
      <c r="E453" s="2">
        <v>46051</v>
      </c>
      <c r="F453" s="1" t="s">
        <v>109</v>
      </c>
      <c r="G453" s="1" t="s">
        <v>18</v>
      </c>
      <c r="H453" s="1" t="s">
        <v>19</v>
      </c>
      <c r="I453" s="7">
        <v>270.8</v>
      </c>
      <c r="J453" s="1" t="s">
        <v>38</v>
      </c>
      <c r="K453" s="1"/>
      <c r="L453" s="1" t="s">
        <v>48</v>
      </c>
      <c r="M453" s="1" t="str">
        <f>INDEX(MCC_Lookup!$B$2:$B$12,MATCH(G453,MCC_Lookup!$A$2:$A$12,0))</f>
        <v>Events</v>
      </c>
      <c r="N453" s="1" t="str">
        <f>IF(TRIM(H453)="","BLANK",IF(PROPER(TRIM(H453))=TRIM(M453),"MATCH","MISMATCH"))</f>
        <v>MATCH</v>
      </c>
      <c r="O453" s="5" t="str">
        <f>INDEX([1]Employee!$C$2:$C$276,MATCH(B453,[1]Employee!$A$2:$A$276,0))</f>
        <v>Executive &amp; Corporate</v>
      </c>
    </row>
    <row r="454" spans="1:15">
      <c r="A454" s="1" t="s">
        <v>1112</v>
      </c>
      <c r="B454" s="1" t="s">
        <v>1113</v>
      </c>
      <c r="C454" s="1" t="s">
        <v>1114</v>
      </c>
      <c r="D454" s="2">
        <v>46048</v>
      </c>
      <c r="E454" s="2">
        <v>46051</v>
      </c>
      <c r="F454" s="1" t="s">
        <v>109</v>
      </c>
      <c r="G454" s="1" t="s">
        <v>18</v>
      </c>
      <c r="H454" s="1" t="s">
        <v>19</v>
      </c>
      <c r="I454" s="7">
        <v>172.68</v>
      </c>
      <c r="J454" s="1" t="s">
        <v>38</v>
      </c>
      <c r="K454" s="1"/>
      <c r="L454" s="1" t="s">
        <v>39</v>
      </c>
      <c r="M454" s="1" t="str">
        <f>INDEX(MCC_Lookup!$B$2:$B$12,MATCH(G454,MCC_Lookup!$A$2:$A$12,0))</f>
        <v>Events</v>
      </c>
      <c r="N454" s="1" t="str">
        <f>IF(TRIM(H454)="","BLANK",IF(PROPER(TRIM(H454))=TRIM(M454),"MATCH","MISMATCH"))</f>
        <v>MATCH</v>
      </c>
      <c r="O454" s="5" t="str">
        <f>INDEX([1]Employee!$C$2:$C$276,MATCH(B454,[1]Employee!$A$2:$A$276,0))</f>
        <v>Actuarial &amp; Risk</v>
      </c>
    </row>
    <row r="455" spans="1:15">
      <c r="A455" s="1" t="s">
        <v>1115</v>
      </c>
      <c r="B455" s="1" t="s">
        <v>1116</v>
      </c>
      <c r="C455" s="1" t="s">
        <v>1117</v>
      </c>
      <c r="D455" s="2">
        <v>46048</v>
      </c>
      <c r="E455" s="2">
        <v>46051</v>
      </c>
      <c r="F455" s="1" t="s">
        <v>124</v>
      </c>
      <c r="G455" s="1" t="s">
        <v>17</v>
      </c>
      <c r="H455" s="1" t="s">
        <v>16</v>
      </c>
      <c r="I455" s="7">
        <v>239.09</v>
      </c>
      <c r="J455" s="1" t="s">
        <v>38</v>
      </c>
      <c r="K455" s="1"/>
      <c r="L455" s="1" t="s">
        <v>39</v>
      </c>
      <c r="M455" s="1" t="str">
        <f>INDEX(MCC_Lookup!$B$2:$B$12,MATCH(G455,MCC_Lookup!$A$2:$A$12,0))</f>
        <v>Entertainment</v>
      </c>
      <c r="N455" s="1" t="str">
        <f>IF(TRIM(H455)="","BLANK",IF(PROPER(TRIM(H455))=TRIM(M455),"MATCH","MISMATCH"))</f>
        <v>MATCH</v>
      </c>
      <c r="O455" s="5" t="str">
        <f>INDEX([1]Employee!$C$2:$C$276,MATCH(B455,[1]Employee!$A$2:$A$276,0))</f>
        <v>Underwriting</v>
      </c>
    </row>
    <row r="456" spans="1:15">
      <c r="A456" s="1" t="s">
        <v>1118</v>
      </c>
      <c r="B456" s="1" t="s">
        <v>1119</v>
      </c>
      <c r="C456" s="1" t="s">
        <v>1120</v>
      </c>
      <c r="D456" s="2">
        <v>46044</v>
      </c>
      <c r="E456" s="2">
        <v>46052</v>
      </c>
      <c r="F456" s="1" t="s">
        <v>56</v>
      </c>
      <c r="G456" s="1" t="s">
        <v>4</v>
      </c>
      <c r="H456" s="1" t="s">
        <v>5</v>
      </c>
      <c r="I456" s="7">
        <v>196.85</v>
      </c>
      <c r="J456" s="1" t="s">
        <v>38</v>
      </c>
      <c r="K456" s="1"/>
      <c r="L456" s="1" t="s">
        <v>39</v>
      </c>
      <c r="M456" s="1" t="str">
        <f>INDEX(MCC_Lookup!$B$2:$B$12,MATCH(G456,MCC_Lookup!$A$2:$A$12,0))</f>
        <v>Travel</v>
      </c>
      <c r="N456" s="1" t="str">
        <f>IF(TRIM(H456)="","BLANK",IF(PROPER(TRIM(H456))=TRIM(M456),"MATCH","MISMATCH"))</f>
        <v>MATCH</v>
      </c>
      <c r="O456" s="5" t="str">
        <f>INDEX([1]Employee!$C$2:$C$276,MATCH(B456,[1]Employee!$A$2:$A$276,0))</f>
        <v>Customer Support</v>
      </c>
    </row>
    <row r="457" spans="1:15">
      <c r="A457" s="1" t="s">
        <v>1121</v>
      </c>
      <c r="B457" s="1" t="s">
        <v>1122</v>
      </c>
      <c r="C457" s="1" t="s">
        <v>1123</v>
      </c>
      <c r="D457" s="2">
        <v>46045</v>
      </c>
      <c r="E457" s="2">
        <v>46052</v>
      </c>
      <c r="F457" s="1" t="s">
        <v>65</v>
      </c>
      <c r="G457" s="1" t="s">
        <v>18</v>
      </c>
      <c r="H457" s="1" t="s">
        <v>19</v>
      </c>
      <c r="I457" s="7">
        <v>314.97000000000003</v>
      </c>
      <c r="J457" s="1" t="s">
        <v>38</v>
      </c>
      <c r="K457" s="1"/>
      <c r="L457" s="1" t="s">
        <v>48</v>
      </c>
      <c r="M457" s="1" t="str">
        <f>INDEX(MCC_Lookup!$B$2:$B$12,MATCH(G457,MCC_Lookup!$A$2:$A$12,0))</f>
        <v>Events</v>
      </c>
      <c r="N457" s="1" t="str">
        <f>IF(TRIM(H457)="","BLANK",IF(PROPER(TRIM(H457))=TRIM(M457),"MATCH","MISMATCH"))</f>
        <v>MATCH</v>
      </c>
      <c r="O457" s="5" t="str">
        <f>INDEX([1]Employee!$C$2:$C$276,MATCH(B457,[1]Employee!$A$2:$A$276,0))</f>
        <v>Customer Support</v>
      </c>
    </row>
    <row r="458" spans="1:15">
      <c r="A458" s="1" t="s">
        <v>1124</v>
      </c>
      <c r="B458" s="1" t="s">
        <v>87</v>
      </c>
      <c r="C458" s="1" t="s">
        <v>1125</v>
      </c>
      <c r="D458" s="2">
        <v>46047</v>
      </c>
      <c r="E458" s="2">
        <v>46052</v>
      </c>
      <c r="F458" s="1" t="s">
        <v>120</v>
      </c>
      <c r="G458" s="1" t="s">
        <v>12</v>
      </c>
      <c r="H458" s="1" t="s">
        <v>11</v>
      </c>
      <c r="I458" s="7">
        <v>348.4</v>
      </c>
      <c r="J458" s="1" t="s">
        <v>38</v>
      </c>
      <c r="K458" s="1"/>
      <c r="L458" s="1" t="s">
        <v>39</v>
      </c>
      <c r="M458" s="1" t="str">
        <f>INDEX(MCC_Lookup!$B$2:$B$12,MATCH(G458,MCC_Lookup!$A$2:$A$12,0))</f>
        <v>Office Supplies</v>
      </c>
      <c r="N458" s="1" t="str">
        <f>IF(TRIM(H458)="","BLANK",IF(PROPER(TRIM(H458))=TRIM(M458),"MATCH","MISMATCH"))</f>
        <v>MATCH</v>
      </c>
      <c r="O458" s="5" t="str">
        <f>INDEX([1]Employee!$C$2:$C$276,MATCH(B458,[1]Employee!$A$2:$A$276,0))</f>
        <v>HR &amp; Events</v>
      </c>
    </row>
    <row r="459" spans="1:15">
      <c r="A459" s="1" t="s">
        <v>1126</v>
      </c>
      <c r="B459" s="1" t="s">
        <v>661</v>
      </c>
      <c r="C459" s="1"/>
      <c r="D459" s="2">
        <v>46049</v>
      </c>
      <c r="E459" s="2">
        <v>46052</v>
      </c>
      <c r="F459" s="1" t="s">
        <v>65</v>
      </c>
      <c r="G459" s="1" t="s">
        <v>18</v>
      </c>
      <c r="H459" s="1" t="s">
        <v>19</v>
      </c>
      <c r="I459" s="7">
        <v>390.49</v>
      </c>
      <c r="J459" s="1" t="s">
        <v>38</v>
      </c>
      <c r="K459" s="1"/>
      <c r="L459" s="1" t="s">
        <v>39</v>
      </c>
      <c r="M459" s="1" t="str">
        <f>INDEX(MCC_Lookup!$B$2:$B$12,MATCH(G459,MCC_Lookup!$A$2:$A$12,0))</f>
        <v>Events</v>
      </c>
      <c r="N459" s="1" t="str">
        <f>IF(TRIM(H459)="","BLANK",IF(PROPER(TRIM(H459))=TRIM(M459),"MATCH","MISMATCH"))</f>
        <v>MATCH</v>
      </c>
      <c r="O459" s="5" t="str">
        <f>INDEX([1]Employee!$C$2:$C$276,MATCH(B459,[1]Employee!$A$2:$A$276,0))</f>
        <v>Sales &amp; Marketing</v>
      </c>
    </row>
    <row r="460" spans="1:15">
      <c r="A460" s="1" t="s">
        <v>1127</v>
      </c>
      <c r="B460" s="1" t="s">
        <v>1128</v>
      </c>
      <c r="C460" s="1" t="s">
        <v>1129</v>
      </c>
      <c r="D460" s="2">
        <v>46044</v>
      </c>
      <c r="E460" s="2">
        <v>46052</v>
      </c>
      <c r="F460" s="1" t="s">
        <v>116</v>
      </c>
      <c r="G460" s="1" t="s">
        <v>2</v>
      </c>
      <c r="H460" s="1" t="s">
        <v>3</v>
      </c>
      <c r="I460" s="7">
        <v>11.44</v>
      </c>
      <c r="J460" s="1" t="s">
        <v>38</v>
      </c>
      <c r="K460" s="1"/>
      <c r="L460" s="1" t="s">
        <v>39</v>
      </c>
      <c r="M460" s="1" t="str">
        <f>INDEX(MCC_Lookup!$B$2:$B$12,MATCH(G460,MCC_Lookup!$A$2:$A$12,0))</f>
        <v>Meals</v>
      </c>
      <c r="N460" s="1" t="str">
        <f>IF(TRIM(H460)="","BLANK",IF(PROPER(TRIM(H460))=TRIM(M460),"MATCH","MISMATCH"))</f>
        <v>MATCH</v>
      </c>
      <c r="O460" s="5" t="str">
        <f>INDEX([1]Employee!$C$2:$C$276,MATCH(B460,[1]Employee!$A$2:$A$276,0))</f>
        <v>Customer Support</v>
      </c>
    </row>
    <row r="461" spans="1:15">
      <c r="A461" s="1" t="s">
        <v>1130</v>
      </c>
      <c r="B461" s="1" t="s">
        <v>297</v>
      </c>
      <c r="C461" s="1" t="s">
        <v>1131</v>
      </c>
      <c r="D461" s="2">
        <v>46045</v>
      </c>
      <c r="E461" s="2">
        <v>46052</v>
      </c>
      <c r="F461" s="1" t="s">
        <v>37</v>
      </c>
      <c r="G461" s="1" t="s">
        <v>4</v>
      </c>
      <c r="H461" s="1" t="s">
        <v>5</v>
      </c>
      <c r="I461" s="7">
        <v>144.28</v>
      </c>
      <c r="J461" s="1" t="s">
        <v>38</v>
      </c>
      <c r="K461" s="1"/>
      <c r="L461" s="1" t="s">
        <v>39</v>
      </c>
      <c r="M461" s="1" t="str">
        <f>INDEX(MCC_Lookup!$B$2:$B$12,MATCH(G461,MCC_Lookup!$A$2:$A$12,0))</f>
        <v>Travel</v>
      </c>
      <c r="N461" s="1" t="str">
        <f>IF(TRIM(H461)="","BLANK",IF(PROPER(TRIM(H461))=TRIM(M461),"MATCH","MISMATCH"))</f>
        <v>MATCH</v>
      </c>
      <c r="O461" s="5" t="str">
        <f>INDEX([1]Employee!$C$2:$C$276,MATCH(B461,[1]Employee!$A$2:$A$276,0))</f>
        <v>Underwriting</v>
      </c>
    </row>
    <row r="462" spans="1:15">
      <c r="A462" s="1" t="s">
        <v>1132</v>
      </c>
      <c r="B462" s="1" t="s">
        <v>182</v>
      </c>
      <c r="C462" s="1" t="s">
        <v>1133</v>
      </c>
      <c r="D462" s="2">
        <v>46046</v>
      </c>
      <c r="E462" s="2">
        <v>46052</v>
      </c>
      <c r="F462" s="1" t="s">
        <v>95</v>
      </c>
      <c r="G462" s="1" t="s">
        <v>6</v>
      </c>
      <c r="H462" s="1" t="s">
        <v>7</v>
      </c>
      <c r="I462" s="7">
        <v>315.06</v>
      </c>
      <c r="J462" s="1" t="s">
        <v>38</v>
      </c>
      <c r="K462" s="1"/>
      <c r="L462" s="1" t="s">
        <v>39</v>
      </c>
      <c r="M462" s="1" t="str">
        <f>INDEX(MCC_Lookup!$B$2:$B$12,MATCH(G462,MCC_Lookup!$A$2:$A$12,0))</f>
        <v>Lodging</v>
      </c>
      <c r="N462" s="1" t="str">
        <f>IF(TRIM(H462)="","BLANK",IF(PROPER(TRIM(H462))=TRIM(M462),"MATCH","MISMATCH"))</f>
        <v>MATCH</v>
      </c>
      <c r="O462" s="5" t="str">
        <f>INDEX([1]Employee!$C$2:$C$276,MATCH(B462,[1]Employee!$A$2:$A$276,0))</f>
        <v>Sales &amp; Marketing</v>
      </c>
    </row>
    <row r="463" spans="1:15">
      <c r="A463" s="1" t="s">
        <v>1134</v>
      </c>
      <c r="B463" s="1" t="s">
        <v>182</v>
      </c>
      <c r="C463" s="1" t="s">
        <v>1135</v>
      </c>
      <c r="D463" s="2">
        <v>46045</v>
      </c>
      <c r="E463" s="2">
        <v>46052</v>
      </c>
      <c r="F463" s="1" t="s">
        <v>37</v>
      </c>
      <c r="G463" s="1" t="s">
        <v>4</v>
      </c>
      <c r="H463" s="1" t="s">
        <v>5</v>
      </c>
      <c r="I463" s="7">
        <v>416.77</v>
      </c>
      <c r="J463" s="1" t="s">
        <v>38</v>
      </c>
      <c r="K463" s="1"/>
      <c r="L463" s="1" t="s">
        <v>39</v>
      </c>
      <c r="M463" s="1" t="str">
        <f>INDEX(MCC_Lookup!$B$2:$B$12,MATCH(G463,MCC_Lookup!$A$2:$A$12,0))</f>
        <v>Travel</v>
      </c>
      <c r="N463" s="1" t="str">
        <f>IF(TRIM(H463)="","BLANK",IF(PROPER(TRIM(H463))=TRIM(M463),"MATCH","MISMATCH"))</f>
        <v>MATCH</v>
      </c>
      <c r="O463" s="5" t="str">
        <f>INDEX([1]Employee!$C$2:$C$276,MATCH(B463,[1]Employee!$A$2:$A$276,0))</f>
        <v>Sales &amp; Marketing</v>
      </c>
    </row>
    <row r="464" spans="1:15">
      <c r="A464" s="1" t="s">
        <v>1136</v>
      </c>
      <c r="B464" s="1" t="s">
        <v>219</v>
      </c>
      <c r="C464" s="1" t="s">
        <v>1137</v>
      </c>
      <c r="D464" s="2">
        <v>46042</v>
      </c>
      <c r="E464" s="2">
        <v>46052</v>
      </c>
      <c r="F464" s="1" t="s">
        <v>69</v>
      </c>
      <c r="G464" s="1" t="s">
        <v>8</v>
      </c>
      <c r="H464" s="1" t="s">
        <v>9</v>
      </c>
      <c r="I464" s="7">
        <v>13.72</v>
      </c>
      <c r="J464" s="1" t="s">
        <v>38</v>
      </c>
      <c r="K464" s="1"/>
      <c r="L464" s="1" t="s">
        <v>39</v>
      </c>
      <c r="M464" s="1" t="str">
        <f>INDEX(MCC_Lookup!$B$2:$B$12,MATCH(G464,MCC_Lookup!$A$2:$A$12,0))</f>
        <v>Transportation</v>
      </c>
      <c r="N464" s="1" t="str">
        <f>IF(TRIM(H464)="","BLANK",IF(PROPER(TRIM(H464))=TRIM(M464),"MATCH","MISMATCH"))</f>
        <v>MATCH</v>
      </c>
      <c r="O464" s="5" t="str">
        <f>INDEX([1]Employee!$C$2:$C$276,MATCH(B464,[1]Employee!$A$2:$A$276,0))</f>
        <v>Underwriting</v>
      </c>
    </row>
    <row r="465" spans="1:15">
      <c r="A465" s="1" t="s">
        <v>1138</v>
      </c>
      <c r="B465" s="1" t="s">
        <v>219</v>
      </c>
      <c r="C465" s="1" t="s">
        <v>1139</v>
      </c>
      <c r="D465" s="2">
        <v>46046</v>
      </c>
      <c r="E465" s="2">
        <v>46052</v>
      </c>
      <c r="F465" s="1" t="s">
        <v>116</v>
      </c>
      <c r="G465" s="1" t="s">
        <v>2</v>
      </c>
      <c r="H465" s="1" t="s">
        <v>3</v>
      </c>
      <c r="I465" s="7">
        <v>16.27</v>
      </c>
      <c r="J465" s="1" t="s">
        <v>38</v>
      </c>
      <c r="K465" s="1"/>
      <c r="L465" s="1" t="s">
        <v>39</v>
      </c>
      <c r="M465" s="1" t="str">
        <f>INDEX(MCC_Lookup!$B$2:$B$12,MATCH(G465,MCC_Lookup!$A$2:$A$12,0))</f>
        <v>Meals</v>
      </c>
      <c r="N465" s="1" t="str">
        <f>IF(TRIM(H465)="","BLANK",IF(PROPER(TRIM(H465))=TRIM(M465),"MATCH","MISMATCH"))</f>
        <v>MATCH</v>
      </c>
      <c r="O465" s="5" t="str">
        <f>INDEX([1]Employee!$C$2:$C$276,MATCH(B465,[1]Employee!$A$2:$A$276,0))</f>
        <v>Underwriting</v>
      </c>
    </row>
    <row r="466" spans="1:15">
      <c r="A466" s="1" t="s">
        <v>1140</v>
      </c>
      <c r="B466" s="1" t="s">
        <v>475</v>
      </c>
      <c r="C466" s="1" t="s">
        <v>1141</v>
      </c>
      <c r="D466" s="2">
        <v>46046</v>
      </c>
      <c r="E466" s="2">
        <v>46052</v>
      </c>
      <c r="F466" s="1" t="s">
        <v>95</v>
      </c>
      <c r="G466" s="1" t="s">
        <v>6</v>
      </c>
      <c r="H466" s="1" t="s">
        <v>7</v>
      </c>
      <c r="I466" s="7">
        <v>346.42</v>
      </c>
      <c r="J466" s="1" t="s">
        <v>38</v>
      </c>
      <c r="K466" s="1"/>
      <c r="L466" s="1" t="s">
        <v>39</v>
      </c>
      <c r="M466" s="1" t="str">
        <f>INDEX(MCC_Lookup!$B$2:$B$12,MATCH(G466,MCC_Lookup!$A$2:$A$12,0))</f>
        <v>Lodging</v>
      </c>
      <c r="N466" s="1" t="str">
        <f>IF(TRIM(H466)="","BLANK",IF(PROPER(TRIM(H466))=TRIM(M466),"MATCH","MISMATCH"))</f>
        <v>MATCH</v>
      </c>
      <c r="O466" s="5" t="str">
        <f>INDEX([1]Employee!$C$2:$C$276,MATCH(B466,[1]Employee!$A$2:$A$276,0))</f>
        <v>Sales &amp; Marketing</v>
      </c>
    </row>
    <row r="467" spans="1:15">
      <c r="A467" s="1" t="s">
        <v>1142</v>
      </c>
      <c r="B467" s="1" t="s">
        <v>792</v>
      </c>
      <c r="C467" s="1" t="s">
        <v>1143</v>
      </c>
      <c r="D467" s="2">
        <v>46051</v>
      </c>
      <c r="E467" s="2">
        <v>46052</v>
      </c>
      <c r="F467" s="1" t="s">
        <v>52</v>
      </c>
      <c r="G467" s="1" t="s">
        <v>15</v>
      </c>
      <c r="H467" s="1" t="s">
        <v>16</v>
      </c>
      <c r="I467" s="7">
        <v>20.96</v>
      </c>
      <c r="J467" s="1" t="s">
        <v>38</v>
      </c>
      <c r="K467" s="1"/>
      <c r="L467" s="1" t="s">
        <v>39</v>
      </c>
      <c r="M467" s="1" t="str">
        <f>INDEX(MCC_Lookup!$B$2:$B$12,MATCH(G467,MCC_Lookup!$A$2:$A$12,0))</f>
        <v>Entertainment</v>
      </c>
      <c r="N467" s="1" t="str">
        <f>IF(TRIM(H467)="","BLANK",IF(PROPER(TRIM(H467))=TRIM(M467),"MATCH","MISMATCH"))</f>
        <v>MATCH</v>
      </c>
      <c r="O467" s="5" t="str">
        <f>INDEX([1]Employee!$C$2:$C$276,MATCH(B467,[1]Employee!$A$2:$A$276,0))</f>
        <v>Underwriting</v>
      </c>
    </row>
    <row r="468" spans="1:15">
      <c r="A468" s="1" t="s">
        <v>1144</v>
      </c>
      <c r="B468" s="1" t="s">
        <v>407</v>
      </c>
      <c r="C468" s="1"/>
      <c r="D468" s="2">
        <v>46047</v>
      </c>
      <c r="E468" s="2">
        <v>46052</v>
      </c>
      <c r="F468" s="1" t="s">
        <v>92</v>
      </c>
      <c r="G468" s="1" t="s">
        <v>10</v>
      </c>
      <c r="H468" s="1" t="s">
        <v>11</v>
      </c>
      <c r="I468" s="7">
        <v>123.98</v>
      </c>
      <c r="J468" s="1" t="s">
        <v>38</v>
      </c>
      <c r="K468" s="1"/>
      <c r="L468" s="1" t="s">
        <v>39</v>
      </c>
      <c r="M468" s="1" t="str">
        <f>INDEX(MCC_Lookup!$B$2:$B$12,MATCH(G468,MCC_Lookup!$A$2:$A$12,0))</f>
        <v>Office Supplies</v>
      </c>
      <c r="N468" s="1" t="str">
        <f>IF(TRIM(H468)="","BLANK",IF(PROPER(TRIM(H468))=TRIM(M468),"MATCH","MISMATCH"))</f>
        <v>MATCH</v>
      </c>
      <c r="O468" s="5" t="str">
        <f>INDEX([1]Employee!$C$2:$C$276,MATCH(B468,[1]Employee!$A$2:$A$276,0))</f>
        <v>Executive &amp; Corporate</v>
      </c>
    </row>
    <row r="469" spans="1:15">
      <c r="A469" s="1" t="s">
        <v>1145</v>
      </c>
      <c r="B469" s="1" t="s">
        <v>194</v>
      </c>
      <c r="C469" s="1"/>
      <c r="D469" s="2">
        <v>46042</v>
      </c>
      <c r="E469" s="2">
        <v>46052</v>
      </c>
      <c r="F469" s="1" t="s">
        <v>120</v>
      </c>
      <c r="G469" s="1" t="s">
        <v>12</v>
      </c>
      <c r="H469" s="1" t="s">
        <v>11</v>
      </c>
      <c r="I469" s="7">
        <v>341.22</v>
      </c>
      <c r="J469" s="1" t="s">
        <v>111</v>
      </c>
      <c r="K469" s="1" t="s">
        <v>229</v>
      </c>
      <c r="L469" s="1" t="s">
        <v>39</v>
      </c>
      <c r="M469" s="1" t="str">
        <f>INDEX(MCC_Lookup!$B$2:$B$12,MATCH(G469,MCC_Lookup!$A$2:$A$12,0))</f>
        <v>Office Supplies</v>
      </c>
      <c r="N469" s="1" t="str">
        <f>IF(TRIM(H469)="","BLANK",IF(PROPER(TRIM(H469))=TRIM(M469),"MATCH","MISMATCH"))</f>
        <v>MATCH</v>
      </c>
      <c r="O469" s="5" t="str">
        <f>INDEX([1]Employee!$C$2:$C$276,MATCH(B469,[1]Employee!$A$2:$A$276,0))</f>
        <v>Claims</v>
      </c>
    </row>
    <row r="470" spans="1:15">
      <c r="A470" s="1" t="s">
        <v>1146</v>
      </c>
      <c r="B470" s="1" t="s">
        <v>1147</v>
      </c>
      <c r="C470" s="1" t="s">
        <v>1148</v>
      </c>
      <c r="D470" s="2">
        <v>46049</v>
      </c>
      <c r="E470" s="2">
        <v>46052</v>
      </c>
      <c r="F470" s="1" t="s">
        <v>83</v>
      </c>
      <c r="G470" s="1" t="s">
        <v>2</v>
      </c>
      <c r="H470" s="1" t="s">
        <v>138</v>
      </c>
      <c r="I470" s="7">
        <v>14.83</v>
      </c>
      <c r="J470" s="1" t="s">
        <v>38</v>
      </c>
      <c r="K470" s="1"/>
      <c r="L470" s="1" t="s">
        <v>39</v>
      </c>
      <c r="M470" s="1" t="str">
        <f>INDEX(MCC_Lookup!$B$2:$B$12,MATCH(G470,MCC_Lookup!$A$2:$A$12,0))</f>
        <v>Meals</v>
      </c>
      <c r="N470" s="1" t="str">
        <f>IF(TRIM(H470)="","BLANK",IF(PROPER(TRIM(H470))=TRIM(M470),"MATCH","MISMATCH"))</f>
        <v>MATCH</v>
      </c>
      <c r="O470" s="5" t="str">
        <f>INDEX([1]Employee!$C$2:$C$276,MATCH(B470,[1]Employee!$A$2:$A$276,0))</f>
        <v>Finance</v>
      </c>
    </row>
    <row r="471" spans="1:15">
      <c r="A471" s="1" t="s">
        <v>1149</v>
      </c>
      <c r="B471" s="1" t="s">
        <v>1150</v>
      </c>
      <c r="C471" s="1" t="s">
        <v>1151</v>
      </c>
      <c r="D471" s="2">
        <v>46051</v>
      </c>
      <c r="E471" s="2">
        <v>46052</v>
      </c>
      <c r="F471" s="1" t="s">
        <v>173</v>
      </c>
      <c r="G471" s="1" t="s">
        <v>2</v>
      </c>
      <c r="H471" s="1" t="s">
        <v>3</v>
      </c>
      <c r="I471" s="7">
        <v>42.44</v>
      </c>
      <c r="J471" s="1" t="s">
        <v>38</v>
      </c>
      <c r="K471" s="1"/>
      <c r="L471" s="1" t="s">
        <v>39</v>
      </c>
      <c r="M471" s="1" t="str">
        <f>INDEX(MCC_Lookup!$B$2:$B$12,MATCH(G471,MCC_Lookup!$A$2:$A$12,0))</f>
        <v>Meals</v>
      </c>
      <c r="N471" s="1" t="str">
        <f>IF(TRIM(H471)="","BLANK",IF(PROPER(TRIM(H471))=TRIM(M471),"MATCH","MISMATCH"))</f>
        <v>MATCH</v>
      </c>
      <c r="O471" s="5" t="str">
        <f>INDEX([1]Employee!$C$2:$C$276,MATCH(B471,[1]Employee!$A$2:$A$276,0))</f>
        <v>Finance</v>
      </c>
    </row>
    <row r="472" spans="1:15">
      <c r="A472" s="1" t="s">
        <v>1152</v>
      </c>
      <c r="B472" s="1" t="s">
        <v>540</v>
      </c>
      <c r="C472" s="1" t="s">
        <v>1153</v>
      </c>
      <c r="D472" s="2">
        <v>46042</v>
      </c>
      <c r="E472" s="2">
        <v>46052</v>
      </c>
      <c r="F472" s="1" t="s">
        <v>52</v>
      </c>
      <c r="G472" s="1" t="s">
        <v>15</v>
      </c>
      <c r="H472" s="1" t="s">
        <v>16</v>
      </c>
      <c r="I472" s="7">
        <v>40.619999999999997</v>
      </c>
      <c r="J472" s="1" t="s">
        <v>38</v>
      </c>
      <c r="K472" s="1"/>
      <c r="L472" s="1" t="s">
        <v>39</v>
      </c>
      <c r="M472" s="1" t="str">
        <f>INDEX(MCC_Lookup!$B$2:$B$12,MATCH(G472,MCC_Lookup!$A$2:$A$12,0))</f>
        <v>Entertainment</v>
      </c>
      <c r="N472" s="1" t="str">
        <f>IF(TRIM(H472)="","BLANK",IF(PROPER(TRIM(H472))=TRIM(M472),"MATCH","MISMATCH"))</f>
        <v>MATCH</v>
      </c>
      <c r="O472" s="5" t="str">
        <f>INDEX([1]Employee!$C$2:$C$276,MATCH(B472,[1]Employee!$A$2:$A$276,0))</f>
        <v>Underwriting</v>
      </c>
    </row>
    <row r="473" spans="1:15">
      <c r="A473" s="1" t="s">
        <v>1154</v>
      </c>
      <c r="B473" s="1" t="s">
        <v>888</v>
      </c>
      <c r="C473" s="1" t="s">
        <v>1155</v>
      </c>
      <c r="D473" s="2">
        <v>46048</v>
      </c>
      <c r="E473" s="2">
        <v>46052</v>
      </c>
      <c r="F473" s="1" t="s">
        <v>173</v>
      </c>
      <c r="G473" s="1" t="s">
        <v>2</v>
      </c>
      <c r="H473" s="1" t="s">
        <v>3</v>
      </c>
      <c r="I473" s="7">
        <v>71.599999999999994</v>
      </c>
      <c r="J473" s="1" t="s">
        <v>38</v>
      </c>
      <c r="K473" s="1"/>
      <c r="L473" s="1" t="s">
        <v>39</v>
      </c>
      <c r="M473" s="1" t="str">
        <f>INDEX(MCC_Lookup!$B$2:$B$12,MATCH(G473,MCC_Lookup!$A$2:$A$12,0))</f>
        <v>Meals</v>
      </c>
      <c r="N473" s="1" t="str">
        <f>IF(TRIM(H473)="","BLANK",IF(PROPER(TRIM(H473))=TRIM(M473),"MATCH","MISMATCH"))</f>
        <v>MATCH</v>
      </c>
      <c r="O473" s="5" t="str">
        <f>INDEX([1]Employee!$C$2:$C$276,MATCH(B473,[1]Employee!$A$2:$A$276,0))</f>
        <v>Claims</v>
      </c>
    </row>
    <row r="474" spans="1:15">
      <c r="A474" s="1" t="s">
        <v>1156</v>
      </c>
      <c r="B474" s="1" t="s">
        <v>261</v>
      </c>
      <c r="C474" s="1" t="s">
        <v>1157</v>
      </c>
      <c r="D474" s="2">
        <v>46048</v>
      </c>
      <c r="E474" s="2">
        <v>46053</v>
      </c>
      <c r="F474" s="1" t="s">
        <v>177</v>
      </c>
      <c r="G474" s="1" t="s">
        <v>13</v>
      </c>
      <c r="H474" s="1" t="s">
        <v>14</v>
      </c>
      <c r="I474" s="7">
        <v>22.19</v>
      </c>
      <c r="J474" s="1" t="s">
        <v>38</v>
      </c>
      <c r="K474" s="1"/>
      <c r="L474" s="1" t="s">
        <v>39</v>
      </c>
      <c r="M474" s="1" t="str">
        <f>INDEX(MCC_Lookup!$B$2:$B$12,MATCH(G474,MCC_Lookup!$A$2:$A$12,0))</f>
        <v>Software</v>
      </c>
      <c r="N474" s="1" t="str">
        <f>IF(TRIM(H474)="","BLANK",IF(PROPER(TRIM(H474))=TRIM(M474),"MATCH","MISMATCH"))</f>
        <v>MATCH</v>
      </c>
      <c r="O474" s="5" t="str">
        <f>INDEX([1]Employee!$C$2:$C$276,MATCH(B474,[1]Employee!$A$2:$A$276,0))</f>
        <v>Sales &amp; Marketing</v>
      </c>
    </row>
    <row r="475" spans="1:15">
      <c r="A475" s="1" t="s">
        <v>1158</v>
      </c>
      <c r="B475" s="1" t="s">
        <v>1159</v>
      </c>
      <c r="C475" s="1" t="s">
        <v>1160</v>
      </c>
      <c r="D475" s="2">
        <v>46046</v>
      </c>
      <c r="E475" s="2">
        <v>46053</v>
      </c>
      <c r="F475" s="1" t="s">
        <v>37</v>
      </c>
      <c r="G475" s="1" t="s">
        <v>4</v>
      </c>
      <c r="H475" s="1" t="s">
        <v>5</v>
      </c>
      <c r="I475" s="7">
        <v>153.66999999999999</v>
      </c>
      <c r="J475" s="1" t="s">
        <v>38</v>
      </c>
      <c r="K475" s="1"/>
      <c r="L475" s="1" t="s">
        <v>39</v>
      </c>
      <c r="M475" s="1" t="str">
        <f>INDEX(MCC_Lookup!$B$2:$B$12,MATCH(G475,MCC_Lookup!$A$2:$A$12,0))</f>
        <v>Travel</v>
      </c>
      <c r="N475" s="1" t="str">
        <f>IF(TRIM(H475)="","BLANK",IF(PROPER(TRIM(H475))=TRIM(M475),"MATCH","MISMATCH"))</f>
        <v>MATCH</v>
      </c>
      <c r="O475" s="5" t="str">
        <f>INDEX([1]Employee!$C$2:$C$276,MATCH(B475,[1]Employee!$A$2:$A$276,0))</f>
        <v>Customer Support</v>
      </c>
    </row>
    <row r="476" spans="1:15">
      <c r="A476" s="1" t="s">
        <v>1161</v>
      </c>
      <c r="B476" s="1" t="s">
        <v>651</v>
      </c>
      <c r="C476" s="1" t="s">
        <v>1162</v>
      </c>
      <c r="D476" s="2">
        <v>46043</v>
      </c>
      <c r="E476" s="2">
        <v>46053</v>
      </c>
      <c r="F476" s="1" t="s">
        <v>69</v>
      </c>
      <c r="G476" s="1" t="s">
        <v>8</v>
      </c>
      <c r="H476" s="1" t="s">
        <v>9</v>
      </c>
      <c r="I476" s="7">
        <v>50.75</v>
      </c>
      <c r="J476" s="1" t="s">
        <v>38</v>
      </c>
      <c r="K476" s="1"/>
      <c r="L476" s="1" t="s">
        <v>39</v>
      </c>
      <c r="M476" s="1" t="str">
        <f>INDEX(MCC_Lookup!$B$2:$B$12,MATCH(G476,MCC_Lookup!$A$2:$A$12,0))</f>
        <v>Transportation</v>
      </c>
      <c r="N476" s="1" t="str">
        <f>IF(TRIM(H476)="","BLANK",IF(PROPER(TRIM(H476))=TRIM(M476),"MATCH","MISMATCH"))</f>
        <v>MATCH</v>
      </c>
      <c r="O476" s="5" t="str">
        <f>INDEX([1]Employee!$C$2:$C$276,MATCH(B476,[1]Employee!$A$2:$A$276,0))</f>
        <v>IT &amp; Platform Engineering</v>
      </c>
    </row>
    <row r="477" spans="1:15">
      <c r="A477" s="1" t="s">
        <v>1163</v>
      </c>
      <c r="B477" s="1" t="s">
        <v>41</v>
      </c>
      <c r="C477" s="1" t="s">
        <v>1164</v>
      </c>
      <c r="D477" s="2">
        <v>46052</v>
      </c>
      <c r="E477" s="2">
        <v>46053</v>
      </c>
      <c r="F477" s="1" t="s">
        <v>69</v>
      </c>
      <c r="G477" s="1" t="s">
        <v>8</v>
      </c>
      <c r="H477" s="1" t="s">
        <v>435</v>
      </c>
      <c r="I477" s="7">
        <v>14.44</v>
      </c>
      <c r="J477" s="1" t="s">
        <v>38</v>
      </c>
      <c r="K477" s="1"/>
      <c r="L477" s="1" t="s">
        <v>39</v>
      </c>
      <c r="M477" s="1" t="str">
        <f>INDEX(MCC_Lookup!$B$2:$B$12,MATCH(G477,MCC_Lookup!$A$2:$A$12,0))</f>
        <v>Transportation</v>
      </c>
      <c r="N477" s="1" t="str">
        <f>IF(TRIM(H477)="","BLANK",IF(PROPER(TRIM(H477))=TRIM(M477),"MATCH","MISMATCH"))</f>
        <v>MATCH</v>
      </c>
      <c r="O477" s="5" t="str">
        <f>INDEX([1]Employee!$C$2:$C$276,MATCH(B477,[1]Employee!$A$2:$A$276,0))</f>
        <v>Sales &amp; Marketing</v>
      </c>
    </row>
    <row r="478" spans="1:15">
      <c r="A478" s="1" t="s">
        <v>1165</v>
      </c>
      <c r="B478" s="1" t="s">
        <v>888</v>
      </c>
      <c r="C478" s="1" t="s">
        <v>1166</v>
      </c>
      <c r="D478" s="2">
        <v>46044</v>
      </c>
      <c r="E478" s="2">
        <v>46053</v>
      </c>
      <c r="F478" s="1" t="s">
        <v>52</v>
      </c>
      <c r="G478" s="1" t="s">
        <v>15</v>
      </c>
      <c r="H478" s="1" t="s">
        <v>16</v>
      </c>
      <c r="I478" s="7">
        <v>21.49</v>
      </c>
      <c r="J478" s="1" t="s">
        <v>38</v>
      </c>
      <c r="K478" s="1"/>
      <c r="L478" s="1" t="s">
        <v>39</v>
      </c>
      <c r="M478" s="1" t="str">
        <f>INDEX(MCC_Lookup!$B$2:$B$12,MATCH(G478,MCC_Lookup!$A$2:$A$12,0))</f>
        <v>Entertainment</v>
      </c>
      <c r="N478" s="1" t="str">
        <f>IF(TRIM(H478)="","BLANK",IF(PROPER(TRIM(H478))=TRIM(M478),"MATCH","MISMATCH"))</f>
        <v>MATCH</v>
      </c>
      <c r="O478" s="5" t="str">
        <f>INDEX([1]Employee!$C$2:$C$276,MATCH(B478,[1]Employee!$A$2:$A$276,0))</f>
        <v>Claims</v>
      </c>
    </row>
    <row r="479" spans="1:15">
      <c r="A479" s="1" t="s">
        <v>1167</v>
      </c>
      <c r="B479" s="1" t="s">
        <v>317</v>
      </c>
      <c r="C479" s="1" t="s">
        <v>1168</v>
      </c>
      <c r="D479" s="2">
        <v>46044</v>
      </c>
      <c r="E479" s="2">
        <v>46053</v>
      </c>
      <c r="F479" s="1" t="s">
        <v>173</v>
      </c>
      <c r="G479" s="1" t="s">
        <v>2</v>
      </c>
      <c r="H479" s="1" t="s">
        <v>3</v>
      </c>
      <c r="I479" s="7">
        <v>80.81</v>
      </c>
      <c r="J479" s="1" t="s">
        <v>38</v>
      </c>
      <c r="K479" s="1"/>
      <c r="L479" s="1" t="s">
        <v>39</v>
      </c>
      <c r="M479" s="1" t="str">
        <f>INDEX(MCC_Lookup!$B$2:$B$12,MATCH(G479,MCC_Lookup!$A$2:$A$12,0))</f>
        <v>Meals</v>
      </c>
      <c r="N479" s="1" t="str">
        <f>IF(TRIM(H479)="","BLANK",IF(PROPER(TRIM(H479))=TRIM(M479),"MATCH","MISMATCH"))</f>
        <v>MATCH</v>
      </c>
      <c r="O479" s="5" t="str">
        <f>INDEX([1]Employee!$C$2:$C$276,MATCH(B479,[1]Employee!$A$2:$A$276,0))</f>
        <v>Sales &amp; Marketing</v>
      </c>
    </row>
    <row r="480" spans="1:15">
      <c r="A480" s="1" t="s">
        <v>1169</v>
      </c>
      <c r="B480" s="1" t="s">
        <v>1170</v>
      </c>
      <c r="C480" s="1" t="s">
        <v>1171</v>
      </c>
      <c r="D480" s="2">
        <v>46051</v>
      </c>
      <c r="E480" s="2">
        <v>46053</v>
      </c>
      <c r="F480" s="1" t="s">
        <v>120</v>
      </c>
      <c r="G480" s="1" t="s">
        <v>12</v>
      </c>
      <c r="H480" s="1" t="s">
        <v>11</v>
      </c>
      <c r="I480" s="7">
        <v>108.32</v>
      </c>
      <c r="J480" s="1" t="s">
        <v>38</v>
      </c>
      <c r="K480" s="1"/>
      <c r="L480" s="1" t="s">
        <v>39</v>
      </c>
      <c r="M480" s="1" t="str">
        <f>INDEX(MCC_Lookup!$B$2:$B$12,MATCH(G480,MCC_Lookup!$A$2:$A$12,0))</f>
        <v>Office Supplies</v>
      </c>
      <c r="N480" s="1" t="str">
        <f>IF(TRIM(H480)="","BLANK",IF(PROPER(TRIM(H480))=TRIM(M480),"MATCH","MISMATCH"))</f>
        <v>MATCH</v>
      </c>
      <c r="O480" s="5" t="str">
        <f>INDEX([1]Employee!$C$2:$C$276,MATCH(B480,[1]Employee!$A$2:$A$276,0))</f>
        <v>Finance</v>
      </c>
    </row>
    <row r="481" spans="1:15">
      <c r="A481" s="1" t="s">
        <v>1172</v>
      </c>
      <c r="B481" s="1" t="s">
        <v>969</v>
      </c>
      <c r="C481" s="1" t="s">
        <v>1173</v>
      </c>
      <c r="D481" s="2">
        <v>46045</v>
      </c>
      <c r="E481" s="2">
        <v>46053</v>
      </c>
      <c r="F481" s="1" t="s">
        <v>37</v>
      </c>
      <c r="G481" s="1" t="s">
        <v>4</v>
      </c>
      <c r="H481" s="1" t="s">
        <v>5</v>
      </c>
      <c r="I481" s="7">
        <v>380.8</v>
      </c>
      <c r="J481" s="1" t="s">
        <v>38</v>
      </c>
      <c r="K481" s="1"/>
      <c r="L481" s="1" t="s">
        <v>39</v>
      </c>
      <c r="M481" s="1" t="str">
        <f>INDEX(MCC_Lookup!$B$2:$B$12,MATCH(G481,MCC_Lookup!$A$2:$A$12,0))</f>
        <v>Travel</v>
      </c>
      <c r="N481" s="1" t="str">
        <f>IF(TRIM(H481)="","BLANK",IF(PROPER(TRIM(H481))=TRIM(M481),"MATCH","MISMATCH"))</f>
        <v>MATCH</v>
      </c>
      <c r="O481" s="5" t="str">
        <f>INDEX([1]Employee!$C$2:$C$276,MATCH(B481,[1]Employee!$A$2:$A$276,0))</f>
        <v>HR &amp; Events</v>
      </c>
    </row>
    <row r="482" spans="1:15">
      <c r="A482" s="1" t="s">
        <v>1174</v>
      </c>
      <c r="B482" s="1" t="s">
        <v>1175</v>
      </c>
      <c r="C482" s="1" t="s">
        <v>1176</v>
      </c>
      <c r="D482" s="2">
        <v>46052</v>
      </c>
      <c r="E482" s="2">
        <v>46053</v>
      </c>
      <c r="F482" s="1" t="s">
        <v>124</v>
      </c>
      <c r="G482" s="1" t="s">
        <v>17</v>
      </c>
      <c r="H482" s="1" t="s">
        <v>16</v>
      </c>
      <c r="I482" s="7">
        <v>206.37</v>
      </c>
      <c r="J482" s="1" t="s">
        <v>38</v>
      </c>
      <c r="K482" s="1"/>
      <c r="L482" s="1" t="s">
        <v>39</v>
      </c>
      <c r="M482" s="1" t="str">
        <f>INDEX(MCC_Lookup!$B$2:$B$12,MATCH(G482,MCC_Lookup!$A$2:$A$12,0))</f>
        <v>Entertainment</v>
      </c>
      <c r="N482" s="1" t="str">
        <f>IF(TRIM(H482)="","BLANK",IF(PROPER(TRIM(H482))=TRIM(M482),"MATCH","MISMATCH"))</f>
        <v>MATCH</v>
      </c>
      <c r="O482" s="5" t="str">
        <f>INDEX([1]Employee!$C$2:$C$276,MATCH(B482,[1]Employee!$A$2:$A$276,0))</f>
        <v>Underwriting</v>
      </c>
    </row>
    <row r="483" spans="1:15">
      <c r="A483" s="1" t="s">
        <v>1177</v>
      </c>
      <c r="B483" s="1" t="s">
        <v>687</v>
      </c>
      <c r="C483" s="1" t="s">
        <v>1178</v>
      </c>
      <c r="D483" s="2">
        <v>46049</v>
      </c>
      <c r="E483" s="2">
        <v>46053</v>
      </c>
      <c r="F483" s="1" t="s">
        <v>305</v>
      </c>
      <c r="G483" s="1" t="s">
        <v>2</v>
      </c>
      <c r="H483" s="1" t="s">
        <v>3</v>
      </c>
      <c r="I483" s="7">
        <v>7.05</v>
      </c>
      <c r="J483" s="1" t="s">
        <v>38</v>
      </c>
      <c r="K483" s="1"/>
      <c r="L483" s="1" t="s">
        <v>39</v>
      </c>
      <c r="M483" s="1" t="str">
        <f>INDEX(MCC_Lookup!$B$2:$B$12,MATCH(G483,MCC_Lookup!$A$2:$A$12,0))</f>
        <v>Meals</v>
      </c>
      <c r="N483" s="1" t="str">
        <f>IF(TRIM(H483)="","BLANK",IF(PROPER(TRIM(H483))=TRIM(M483),"MATCH","MISMATCH"))</f>
        <v>MATCH</v>
      </c>
      <c r="O483" s="5" t="str">
        <f>INDEX([1]Employee!$C$2:$C$276,MATCH(B483,[1]Employee!$A$2:$A$276,0))</f>
        <v>Executive &amp; Corporate</v>
      </c>
    </row>
    <row r="484" spans="1:15">
      <c r="A484" s="1" t="s">
        <v>1179</v>
      </c>
      <c r="B484" s="1" t="s">
        <v>1180</v>
      </c>
      <c r="C484" s="1" t="s">
        <v>1181</v>
      </c>
      <c r="D484" s="2">
        <v>46043</v>
      </c>
      <c r="E484" s="2">
        <v>46053</v>
      </c>
      <c r="F484" s="1" t="s">
        <v>124</v>
      </c>
      <c r="G484" s="1" t="s">
        <v>17</v>
      </c>
      <c r="H484" s="1" t="s">
        <v>16</v>
      </c>
      <c r="I484" s="7">
        <v>188.4</v>
      </c>
      <c r="J484" s="1" t="s">
        <v>38</v>
      </c>
      <c r="K484" s="1"/>
      <c r="L484" s="1" t="s">
        <v>39</v>
      </c>
      <c r="M484" s="1" t="str">
        <f>INDEX(MCC_Lookup!$B$2:$B$12,MATCH(G484,MCC_Lookup!$A$2:$A$12,0))</f>
        <v>Entertainment</v>
      </c>
      <c r="N484" s="1" t="str">
        <f>IF(TRIM(H484)="","BLANK",IF(PROPER(TRIM(H484))=TRIM(M484),"MATCH","MISMATCH"))</f>
        <v>MATCH</v>
      </c>
      <c r="O484" s="5" t="str">
        <f>INDEX([1]Employee!$C$2:$C$276,MATCH(B484,[1]Employee!$A$2:$A$276,0))</f>
        <v>IT &amp; Platform Engineering</v>
      </c>
    </row>
    <row r="485" spans="1:15">
      <c r="A485" s="1" t="s">
        <v>1182</v>
      </c>
      <c r="B485" s="1" t="s">
        <v>490</v>
      </c>
      <c r="C485" s="1" t="s">
        <v>1183</v>
      </c>
      <c r="D485" s="2">
        <v>46049</v>
      </c>
      <c r="E485" s="2">
        <v>46053</v>
      </c>
      <c r="F485" s="1" t="s">
        <v>79</v>
      </c>
      <c r="G485" s="1" t="s">
        <v>13</v>
      </c>
      <c r="H485" s="1" t="s">
        <v>14</v>
      </c>
      <c r="I485" s="7">
        <v>245.06</v>
      </c>
      <c r="J485" s="1" t="s">
        <v>38</v>
      </c>
      <c r="K485" s="1"/>
      <c r="L485" s="1" t="s">
        <v>39</v>
      </c>
      <c r="M485" s="1" t="str">
        <f>INDEX(MCC_Lookup!$B$2:$B$12,MATCH(G485,MCC_Lookup!$A$2:$A$12,0))</f>
        <v>Software</v>
      </c>
      <c r="N485" s="1" t="str">
        <f>IF(TRIM(H485)="","BLANK",IF(PROPER(TRIM(H485))=TRIM(M485),"MATCH","MISMATCH"))</f>
        <v>MATCH</v>
      </c>
      <c r="O485" s="5" t="str">
        <f>INDEX([1]Employee!$C$2:$C$276,MATCH(B485,[1]Employee!$A$2:$A$276,0))</f>
        <v>Actuarial &amp; Risk</v>
      </c>
    </row>
    <row r="486" spans="1:15">
      <c r="A486" s="1" t="s">
        <v>1184</v>
      </c>
      <c r="B486" s="1" t="s">
        <v>1147</v>
      </c>
      <c r="C486" s="1"/>
      <c r="D486" s="2">
        <v>46045</v>
      </c>
      <c r="E486" s="2">
        <v>46053</v>
      </c>
      <c r="F486" s="1" t="s">
        <v>37</v>
      </c>
      <c r="G486" s="1" t="s">
        <v>4</v>
      </c>
      <c r="H486" s="1" t="s">
        <v>5</v>
      </c>
      <c r="I486" s="7">
        <v>257.52</v>
      </c>
      <c r="J486" s="1" t="s">
        <v>38</v>
      </c>
      <c r="K486" s="1"/>
      <c r="L486" s="1" t="s">
        <v>39</v>
      </c>
      <c r="M486" s="1" t="str">
        <f>INDEX(MCC_Lookup!$B$2:$B$12,MATCH(G486,MCC_Lookup!$A$2:$A$12,0))</f>
        <v>Travel</v>
      </c>
      <c r="N486" s="1" t="str">
        <f>IF(TRIM(H486)="","BLANK",IF(PROPER(TRIM(H486))=TRIM(M486),"MATCH","MISMATCH"))</f>
        <v>MATCH</v>
      </c>
      <c r="O486" s="5" t="str">
        <f>INDEX([1]Employee!$C$2:$C$276,MATCH(B486,[1]Employee!$A$2:$A$276,0))</f>
        <v>Finance</v>
      </c>
    </row>
    <row r="487" spans="1:15">
      <c r="A487" s="1" t="s">
        <v>1185</v>
      </c>
      <c r="B487" s="1" t="s">
        <v>648</v>
      </c>
      <c r="C487" s="1" t="s">
        <v>1186</v>
      </c>
      <c r="D487" s="2">
        <v>46045</v>
      </c>
      <c r="E487" s="2">
        <v>46053</v>
      </c>
      <c r="F487" s="1" t="s">
        <v>72</v>
      </c>
      <c r="G487" s="1" t="s">
        <v>8</v>
      </c>
      <c r="H487" s="1" t="s">
        <v>343</v>
      </c>
      <c r="I487" s="7">
        <v>31.35</v>
      </c>
      <c r="J487" s="1" t="s">
        <v>38</v>
      </c>
      <c r="K487" s="1"/>
      <c r="L487" s="1" t="s">
        <v>39</v>
      </c>
      <c r="M487" s="1" t="str">
        <f>INDEX(MCC_Lookup!$B$2:$B$12,MATCH(G487,MCC_Lookup!$A$2:$A$12,0))</f>
        <v>Transportation</v>
      </c>
      <c r="N487" s="1" t="str">
        <f>IF(TRIM(H487)="","BLANK",IF(PROPER(TRIM(H487))=TRIM(M487),"MATCH","MISMATCH"))</f>
        <v>MATCH</v>
      </c>
      <c r="O487" s="5" t="str">
        <f>INDEX([1]Employee!$C$2:$C$276,MATCH(B487,[1]Employee!$A$2:$A$276,0))</f>
        <v>Sales &amp; Marketing</v>
      </c>
    </row>
    <row r="488" spans="1:15">
      <c r="A488" s="1" t="s">
        <v>1187</v>
      </c>
      <c r="B488" s="1" t="s">
        <v>1188</v>
      </c>
      <c r="C488" s="1" t="s">
        <v>1189</v>
      </c>
      <c r="D488" s="2">
        <v>46046</v>
      </c>
      <c r="E488" s="2">
        <v>46053</v>
      </c>
      <c r="F488" s="1" t="s">
        <v>99</v>
      </c>
      <c r="G488" s="1" t="s">
        <v>2</v>
      </c>
      <c r="H488" s="1" t="s">
        <v>3</v>
      </c>
      <c r="I488" s="7">
        <v>127.02</v>
      </c>
      <c r="J488" s="1" t="s">
        <v>38</v>
      </c>
      <c r="K488" s="1"/>
      <c r="L488" s="1" t="s">
        <v>39</v>
      </c>
      <c r="M488" s="1" t="str">
        <f>INDEX(MCC_Lookup!$B$2:$B$12,MATCH(G488,MCC_Lookup!$A$2:$A$12,0))</f>
        <v>Meals</v>
      </c>
      <c r="N488" s="1" t="str">
        <f>IF(TRIM(H488)="","BLANK",IF(PROPER(TRIM(H488))=TRIM(M488),"MATCH","MISMATCH"))</f>
        <v>MATCH</v>
      </c>
      <c r="O488" s="5" t="str">
        <f>INDEX([1]Employee!$C$2:$C$276,MATCH(B488,[1]Employee!$A$2:$A$276,0))</f>
        <v>Executive &amp; Corporate</v>
      </c>
    </row>
    <row r="489" spans="1:15">
      <c r="A489" s="1" t="s">
        <v>1190</v>
      </c>
      <c r="B489" s="1" t="s">
        <v>159</v>
      </c>
      <c r="C489" s="1" t="s">
        <v>1191</v>
      </c>
      <c r="D489" s="2">
        <v>46048</v>
      </c>
      <c r="E489" s="2">
        <v>46053</v>
      </c>
      <c r="F489" s="1" t="s">
        <v>79</v>
      </c>
      <c r="G489" s="1" t="s">
        <v>13</v>
      </c>
      <c r="H489" s="1" t="s">
        <v>14</v>
      </c>
      <c r="I489" s="7">
        <v>240.72</v>
      </c>
      <c r="J489" s="1" t="s">
        <v>38</v>
      </c>
      <c r="K489" s="1"/>
      <c r="L489" s="1" t="s">
        <v>39</v>
      </c>
      <c r="M489" s="1" t="str">
        <f>INDEX(MCC_Lookup!$B$2:$B$12,MATCH(G489,MCC_Lookup!$A$2:$A$12,0))</f>
        <v>Software</v>
      </c>
      <c r="N489" s="1" t="str">
        <f>IF(TRIM(H489)="","BLANK",IF(PROPER(TRIM(H489))=TRIM(M489),"MATCH","MISMATCH"))</f>
        <v>MATCH</v>
      </c>
      <c r="O489" s="5" t="str">
        <f>INDEX([1]Employee!$C$2:$C$276,MATCH(B489,[1]Employee!$A$2:$A$276,0))</f>
        <v>Actuarial &amp; Risk</v>
      </c>
    </row>
    <row r="490" spans="1:15">
      <c r="A490" s="1" t="s">
        <v>1192</v>
      </c>
      <c r="B490" s="1" t="s">
        <v>240</v>
      </c>
      <c r="C490" s="1" t="s">
        <v>1193</v>
      </c>
      <c r="D490" s="2">
        <v>46051</v>
      </c>
      <c r="E490" s="2">
        <v>46053</v>
      </c>
      <c r="F490" s="1" t="s">
        <v>116</v>
      </c>
      <c r="G490" s="1" t="s">
        <v>2</v>
      </c>
      <c r="H490" s="1"/>
      <c r="I490" s="7">
        <v>9.86</v>
      </c>
      <c r="J490" s="1" t="s">
        <v>38</v>
      </c>
      <c r="K490" s="1"/>
      <c r="L490" s="1" t="s">
        <v>39</v>
      </c>
      <c r="M490" s="1" t="str">
        <f>INDEX(MCC_Lookup!$B$2:$B$12,MATCH(G490,MCC_Lookup!$A$2:$A$12,0))</f>
        <v>Meals</v>
      </c>
      <c r="N490" s="1" t="str">
        <f>IF(TRIM(H490)="","BLANK",IF(PROPER(TRIM(H490))=TRIM(M490),"MATCH","MISMATCH"))</f>
        <v>BLANK</v>
      </c>
      <c r="O490" s="5" t="str">
        <f>INDEX([1]Employee!$C$2:$C$276,MATCH(B490,[1]Employee!$A$2:$A$276,0))</f>
        <v>Claims</v>
      </c>
    </row>
    <row r="491" spans="1:15">
      <c r="A491" s="1" t="s">
        <v>1194</v>
      </c>
      <c r="B491" s="1" t="s">
        <v>240</v>
      </c>
      <c r="C491" s="1" t="s">
        <v>1195</v>
      </c>
      <c r="D491" s="2">
        <v>46043</v>
      </c>
      <c r="E491" s="2">
        <v>46053</v>
      </c>
      <c r="F491" s="1" t="s">
        <v>109</v>
      </c>
      <c r="G491" s="1" t="s">
        <v>18</v>
      </c>
      <c r="H491" s="1" t="s">
        <v>19</v>
      </c>
      <c r="I491" s="7">
        <v>73.06</v>
      </c>
      <c r="J491" s="1" t="s">
        <v>38</v>
      </c>
      <c r="K491" s="1"/>
      <c r="L491" s="1" t="s">
        <v>39</v>
      </c>
      <c r="M491" s="1" t="str">
        <f>INDEX(MCC_Lookup!$B$2:$B$12,MATCH(G491,MCC_Lookup!$A$2:$A$12,0))</f>
        <v>Events</v>
      </c>
      <c r="N491" s="1" t="str">
        <f>IF(TRIM(H491)="","BLANK",IF(PROPER(TRIM(H491))=TRIM(M491),"MATCH","MISMATCH"))</f>
        <v>MATCH</v>
      </c>
      <c r="O491" s="5" t="str">
        <f>INDEX([1]Employee!$C$2:$C$276,MATCH(B491,[1]Employee!$A$2:$A$276,0))</f>
        <v>Claims</v>
      </c>
    </row>
    <row r="492" spans="1:15">
      <c r="A492" s="1" t="s">
        <v>1196</v>
      </c>
      <c r="B492" s="1" t="s">
        <v>240</v>
      </c>
      <c r="C492" s="1"/>
      <c r="D492" s="2">
        <v>46053</v>
      </c>
      <c r="E492" s="2">
        <v>46053</v>
      </c>
      <c r="F492" s="1" t="s">
        <v>65</v>
      </c>
      <c r="G492" s="1" t="s">
        <v>18</v>
      </c>
      <c r="H492" s="1" t="s">
        <v>19</v>
      </c>
      <c r="I492" s="7">
        <v>135.05000000000001</v>
      </c>
      <c r="J492" s="1" t="s">
        <v>38</v>
      </c>
      <c r="K492" s="1"/>
      <c r="L492" s="1" t="s">
        <v>39</v>
      </c>
      <c r="M492" s="1" t="str">
        <f>INDEX(MCC_Lookup!$B$2:$B$12,MATCH(G492,MCC_Lookup!$A$2:$A$12,0))</f>
        <v>Events</v>
      </c>
      <c r="N492" s="1" t="str">
        <f>IF(TRIM(H492)="","BLANK",IF(PROPER(TRIM(H492))=TRIM(M492),"MATCH","MISMATCH"))</f>
        <v>MATCH</v>
      </c>
      <c r="O492" s="5" t="str">
        <f>INDEX([1]Employee!$C$2:$C$276,MATCH(B492,[1]Employee!$A$2:$A$276,0))</f>
        <v>Claims</v>
      </c>
    </row>
    <row r="493" spans="1:15">
      <c r="A493" s="1" t="s">
        <v>1197</v>
      </c>
      <c r="B493" s="1" t="s">
        <v>303</v>
      </c>
      <c r="C493" s="1" t="s">
        <v>1198</v>
      </c>
      <c r="D493" s="2">
        <v>46053</v>
      </c>
      <c r="E493" s="2">
        <v>46053</v>
      </c>
      <c r="F493" s="1" t="s">
        <v>76</v>
      </c>
      <c r="G493" s="1" t="s">
        <v>13</v>
      </c>
      <c r="H493" s="1" t="s">
        <v>14</v>
      </c>
      <c r="I493" s="7">
        <v>526.99</v>
      </c>
      <c r="J493" s="1" t="s">
        <v>38</v>
      </c>
      <c r="K493" s="1"/>
      <c r="L493" s="1" t="s">
        <v>39</v>
      </c>
      <c r="M493" s="1" t="str">
        <f>INDEX(MCC_Lookup!$B$2:$B$12,MATCH(G493,MCC_Lookup!$A$2:$A$12,0))</f>
        <v>Software</v>
      </c>
      <c r="N493" s="1" t="str">
        <f>IF(TRIM(H493)="","BLANK",IF(PROPER(TRIM(H493))=TRIM(M493),"MATCH","MISMATCH"))</f>
        <v>MATCH</v>
      </c>
      <c r="O493" s="5" t="str">
        <f>INDEX([1]Employee!$C$2:$C$276,MATCH(B493,[1]Employee!$A$2:$A$276,0))</f>
        <v>Sales &amp; Marketing</v>
      </c>
    </row>
    <row r="494" spans="1:15">
      <c r="A494" s="1" t="s">
        <v>1199</v>
      </c>
      <c r="B494" s="1" t="s">
        <v>194</v>
      </c>
      <c r="C494" s="1"/>
      <c r="D494" s="2">
        <v>46046</v>
      </c>
      <c r="E494" s="2">
        <v>46054</v>
      </c>
      <c r="F494" s="1" t="s">
        <v>76</v>
      </c>
      <c r="G494" s="1" t="s">
        <v>13</v>
      </c>
      <c r="H494" s="1" t="s">
        <v>14</v>
      </c>
      <c r="I494" s="7">
        <v>390.37</v>
      </c>
      <c r="J494" s="1" t="s">
        <v>38</v>
      </c>
      <c r="K494" s="1"/>
      <c r="L494" s="1" t="s">
        <v>39</v>
      </c>
      <c r="M494" s="1" t="str">
        <f>INDEX(MCC_Lookup!$B$2:$B$12,MATCH(G494,MCC_Lookup!$A$2:$A$12,0))</f>
        <v>Software</v>
      </c>
      <c r="N494" s="1" t="str">
        <f>IF(TRIM(H494)="","BLANK",IF(PROPER(TRIM(H494))=TRIM(M494),"MATCH","MISMATCH"))</f>
        <v>MATCH</v>
      </c>
      <c r="O494" s="5" t="str">
        <f>INDEX([1]Employee!$C$2:$C$276,MATCH(B494,[1]Employee!$A$2:$A$276,0))</f>
        <v>Claims</v>
      </c>
    </row>
    <row r="495" spans="1:15">
      <c r="A495" s="1" t="s">
        <v>1200</v>
      </c>
      <c r="B495" s="1" t="s">
        <v>1201</v>
      </c>
      <c r="C495" s="1" t="s">
        <v>1202</v>
      </c>
      <c r="D495" s="2">
        <v>46051</v>
      </c>
      <c r="E495" s="2">
        <v>46054</v>
      </c>
      <c r="F495" s="1" t="s">
        <v>173</v>
      </c>
      <c r="G495" s="1" t="s">
        <v>2</v>
      </c>
      <c r="H495" s="1" t="s">
        <v>3</v>
      </c>
      <c r="I495" s="7">
        <v>78.86</v>
      </c>
      <c r="J495" s="1" t="s">
        <v>38</v>
      </c>
      <c r="K495" s="1"/>
      <c r="L495" s="1" t="s">
        <v>39</v>
      </c>
      <c r="M495" s="1" t="str">
        <f>INDEX(MCC_Lookup!$B$2:$B$12,MATCH(G495,MCC_Lookup!$A$2:$A$12,0))</f>
        <v>Meals</v>
      </c>
      <c r="N495" s="1" t="str">
        <f>IF(TRIM(H495)="","BLANK",IF(PROPER(TRIM(H495))=TRIM(M495),"MATCH","MISMATCH"))</f>
        <v>MATCH</v>
      </c>
      <c r="O495" s="5" t="str">
        <f>INDEX([1]Employee!$C$2:$C$276,MATCH(B495,[1]Employee!$A$2:$A$276,0))</f>
        <v>Actuarial &amp; Risk</v>
      </c>
    </row>
    <row r="496" spans="1:15">
      <c r="A496" s="1" t="s">
        <v>1203</v>
      </c>
      <c r="B496" s="1" t="s">
        <v>947</v>
      </c>
      <c r="C496" s="1" t="s">
        <v>1204</v>
      </c>
      <c r="D496" s="2">
        <v>46046</v>
      </c>
      <c r="E496" s="2">
        <v>46054</v>
      </c>
      <c r="F496" s="1" t="s">
        <v>92</v>
      </c>
      <c r="G496" s="1" t="s">
        <v>10</v>
      </c>
      <c r="H496" s="1" t="s">
        <v>11</v>
      </c>
      <c r="I496" s="7">
        <v>173.36</v>
      </c>
      <c r="J496" s="1" t="s">
        <v>38</v>
      </c>
      <c r="K496" s="1"/>
      <c r="L496" s="1" t="s">
        <v>39</v>
      </c>
      <c r="M496" s="1" t="str">
        <f>INDEX(MCC_Lookup!$B$2:$B$12,MATCH(G496,MCC_Lookup!$A$2:$A$12,0))</f>
        <v>Office Supplies</v>
      </c>
      <c r="N496" s="1" t="str">
        <f>IF(TRIM(H496)="","BLANK",IF(PROPER(TRIM(H496))=TRIM(M496),"MATCH","MISMATCH"))</f>
        <v>MATCH</v>
      </c>
      <c r="O496" s="5" t="str">
        <f>INDEX([1]Employee!$C$2:$C$276,MATCH(B496,[1]Employee!$A$2:$A$276,0))</f>
        <v>Sales &amp; Marketing</v>
      </c>
    </row>
    <row r="497" spans="1:15">
      <c r="A497" s="1" t="s">
        <v>1205</v>
      </c>
      <c r="B497" s="1" t="s">
        <v>1206</v>
      </c>
      <c r="C497" s="1"/>
      <c r="D497" s="2">
        <v>46051</v>
      </c>
      <c r="E497" s="2">
        <v>46054</v>
      </c>
      <c r="F497" s="1" t="s">
        <v>92</v>
      </c>
      <c r="G497" s="1" t="s">
        <v>10</v>
      </c>
      <c r="H497" s="1" t="s">
        <v>11</v>
      </c>
      <c r="I497" s="7">
        <v>101.82</v>
      </c>
      <c r="J497" s="1" t="s">
        <v>38</v>
      </c>
      <c r="K497" s="1"/>
      <c r="L497" s="1" t="s">
        <v>39</v>
      </c>
      <c r="M497" s="1" t="str">
        <f>INDEX(MCC_Lookup!$B$2:$B$12,MATCH(G497,MCC_Lookup!$A$2:$A$12,0))</f>
        <v>Office Supplies</v>
      </c>
      <c r="N497" s="1" t="str">
        <f>IF(TRIM(H497)="","BLANK",IF(PROPER(TRIM(H497))=TRIM(M497),"MATCH","MISMATCH"))</f>
        <v>MATCH</v>
      </c>
      <c r="O497" s="5" t="str">
        <f>INDEX([1]Employee!$C$2:$C$276,MATCH(B497,[1]Employee!$A$2:$A$276,0))</f>
        <v>Customer Support</v>
      </c>
    </row>
    <row r="498" spans="1:15">
      <c r="A498" s="1" t="s">
        <v>1207</v>
      </c>
      <c r="B498" s="1" t="s">
        <v>1208</v>
      </c>
      <c r="C498" s="1"/>
      <c r="D498" s="2">
        <v>46053</v>
      </c>
      <c r="E498" s="2">
        <v>46054</v>
      </c>
      <c r="F498" s="1" t="s">
        <v>79</v>
      </c>
      <c r="G498" s="1" t="s">
        <v>13</v>
      </c>
      <c r="H498" s="1" t="s">
        <v>14</v>
      </c>
      <c r="I498" s="7">
        <v>100.83</v>
      </c>
      <c r="J498" s="1" t="s">
        <v>38</v>
      </c>
      <c r="K498" s="1"/>
      <c r="L498" s="1" t="s">
        <v>39</v>
      </c>
      <c r="M498" s="1" t="str">
        <f>INDEX(MCC_Lookup!$B$2:$B$12,MATCH(G498,MCC_Lookup!$A$2:$A$12,0))</f>
        <v>Software</v>
      </c>
      <c r="N498" s="1" t="str">
        <f>IF(TRIM(H498)="","BLANK",IF(PROPER(TRIM(H498))=TRIM(M498),"MATCH","MISMATCH"))</f>
        <v>MATCH</v>
      </c>
      <c r="O498" s="5" t="str">
        <f>INDEX([1]Employee!$C$2:$C$276,MATCH(B498,[1]Employee!$A$2:$A$276,0))</f>
        <v>HR &amp; Events</v>
      </c>
    </row>
    <row r="499" spans="1:15">
      <c r="A499" s="1" t="s">
        <v>1209</v>
      </c>
      <c r="B499" s="1" t="s">
        <v>564</v>
      </c>
      <c r="C499" s="1" t="s">
        <v>1210</v>
      </c>
      <c r="D499" s="2">
        <v>46047</v>
      </c>
      <c r="E499" s="2">
        <v>46054</v>
      </c>
      <c r="F499" s="1" t="s">
        <v>201</v>
      </c>
      <c r="G499" s="1" t="s">
        <v>4</v>
      </c>
      <c r="H499" s="1" t="s">
        <v>5</v>
      </c>
      <c r="I499" s="7">
        <v>190.86</v>
      </c>
      <c r="J499" s="1" t="s">
        <v>38</v>
      </c>
      <c r="K499" s="1"/>
      <c r="L499" s="1" t="s">
        <v>39</v>
      </c>
      <c r="M499" s="1" t="str">
        <f>INDEX(MCC_Lookup!$B$2:$B$12,MATCH(G499,MCC_Lookup!$A$2:$A$12,0))</f>
        <v>Travel</v>
      </c>
      <c r="N499" s="1" t="str">
        <f>IF(TRIM(H499)="","BLANK",IF(PROPER(TRIM(H499))=TRIM(M499),"MATCH","MISMATCH"))</f>
        <v>MATCH</v>
      </c>
      <c r="O499" s="5" t="str">
        <f>INDEX([1]Employee!$C$2:$C$276,MATCH(B499,[1]Employee!$A$2:$A$276,0))</f>
        <v>Sales &amp; Marketing</v>
      </c>
    </row>
    <row r="500" spans="1:15">
      <c r="A500" s="1" t="s">
        <v>1211</v>
      </c>
      <c r="B500" s="1" t="s">
        <v>716</v>
      </c>
      <c r="C500" s="1" t="s">
        <v>1212</v>
      </c>
      <c r="D500" s="2">
        <v>46053</v>
      </c>
      <c r="E500" s="2">
        <v>46054</v>
      </c>
      <c r="F500" s="1" t="s">
        <v>242</v>
      </c>
      <c r="G500" s="1" t="s">
        <v>13</v>
      </c>
      <c r="H500" s="1" t="s">
        <v>14</v>
      </c>
      <c r="I500" s="7">
        <v>38.71</v>
      </c>
      <c r="J500" s="1" t="s">
        <v>38</v>
      </c>
      <c r="K500" s="1"/>
      <c r="L500" s="1" t="s">
        <v>39</v>
      </c>
      <c r="M500" s="1" t="str">
        <f>INDEX(MCC_Lookup!$B$2:$B$12,MATCH(G500,MCC_Lookup!$A$2:$A$12,0))</f>
        <v>Software</v>
      </c>
      <c r="N500" s="1" t="str">
        <f>IF(TRIM(H500)="","BLANK",IF(PROPER(TRIM(H500))=TRIM(M500),"MATCH","MISMATCH"))</f>
        <v>MATCH</v>
      </c>
      <c r="O500" s="5" t="str">
        <f>INDEX([1]Employee!$C$2:$C$276,MATCH(B500,[1]Employee!$A$2:$A$276,0))</f>
        <v>Claims</v>
      </c>
    </row>
    <row r="501" spans="1:15">
      <c r="A501" s="1" t="s">
        <v>1213</v>
      </c>
      <c r="B501" s="1" t="s">
        <v>738</v>
      </c>
      <c r="C501" s="1" t="s">
        <v>1214</v>
      </c>
      <c r="D501" s="2">
        <v>46048</v>
      </c>
      <c r="E501" s="2">
        <v>46054</v>
      </c>
      <c r="F501" s="1" t="s">
        <v>259</v>
      </c>
      <c r="G501" s="1" t="s">
        <v>20</v>
      </c>
      <c r="H501" s="1" t="s">
        <v>19</v>
      </c>
      <c r="I501" s="7">
        <v>678.6</v>
      </c>
      <c r="J501" s="1" t="s">
        <v>38</v>
      </c>
      <c r="K501" s="1"/>
      <c r="L501" s="1" t="s">
        <v>39</v>
      </c>
      <c r="M501" s="1" t="str">
        <f>INDEX(MCC_Lookup!$B$2:$B$12,MATCH(G501,MCC_Lookup!$A$2:$A$12,0))</f>
        <v>Events</v>
      </c>
      <c r="N501" s="1" t="str">
        <f>IF(TRIM(H501)="","BLANK",IF(PROPER(TRIM(H501))=TRIM(M501),"MATCH","MISMATCH"))</f>
        <v>MATCH</v>
      </c>
      <c r="O501" s="5" t="str">
        <f>INDEX([1]Employee!$C$2:$C$276,MATCH(B501,[1]Employee!$A$2:$A$276,0))</f>
        <v>Sales &amp; Marketing</v>
      </c>
    </row>
    <row r="502" spans="1:15">
      <c r="A502" s="1" t="s">
        <v>1215</v>
      </c>
      <c r="B502" s="1" t="s">
        <v>667</v>
      </c>
      <c r="C502" s="1" t="s">
        <v>1216</v>
      </c>
      <c r="D502" s="2">
        <v>46052</v>
      </c>
      <c r="E502" s="2">
        <v>46054</v>
      </c>
      <c r="F502" s="1" t="s">
        <v>120</v>
      </c>
      <c r="G502" s="1" t="s">
        <v>12</v>
      </c>
      <c r="H502" s="1"/>
      <c r="I502" s="7">
        <v>451.39</v>
      </c>
      <c r="J502" s="1" t="s">
        <v>38</v>
      </c>
      <c r="K502" s="1"/>
      <c r="L502" s="1" t="s">
        <v>48</v>
      </c>
      <c r="M502" s="1" t="str">
        <f>INDEX(MCC_Lookup!$B$2:$B$12,MATCH(G502,MCC_Lookup!$A$2:$A$12,0))</f>
        <v>Office Supplies</v>
      </c>
      <c r="N502" s="1" t="str">
        <f>IF(TRIM(H502)="","BLANK",IF(PROPER(TRIM(H502))=TRIM(M502),"MATCH","MISMATCH"))</f>
        <v>BLANK</v>
      </c>
      <c r="O502" s="5" t="str">
        <f>INDEX([1]Employee!$C$2:$C$276,MATCH(B502,[1]Employee!$A$2:$A$276,0))</f>
        <v>Sales &amp; Marketing</v>
      </c>
    </row>
    <row r="503" spans="1:15">
      <c r="A503" s="1" t="s">
        <v>1217</v>
      </c>
      <c r="B503" s="1" t="s">
        <v>448</v>
      </c>
      <c r="C503" s="1" t="s">
        <v>1218</v>
      </c>
      <c r="D503" s="2">
        <v>46052</v>
      </c>
      <c r="E503" s="2">
        <v>46054</v>
      </c>
      <c r="F503" s="1" t="s">
        <v>92</v>
      </c>
      <c r="G503" s="1" t="s">
        <v>10</v>
      </c>
      <c r="H503" s="1" t="s">
        <v>11</v>
      </c>
      <c r="I503" s="7">
        <v>161.34</v>
      </c>
      <c r="J503" s="1" t="s">
        <v>38</v>
      </c>
      <c r="K503" s="1"/>
      <c r="L503" s="1" t="s">
        <v>39</v>
      </c>
      <c r="M503" s="1" t="str">
        <f>INDEX(MCC_Lookup!$B$2:$B$12,MATCH(G503,MCC_Lookup!$A$2:$A$12,0))</f>
        <v>Office Supplies</v>
      </c>
      <c r="N503" s="1" t="str">
        <f>IF(TRIM(H503)="","BLANK",IF(PROPER(TRIM(H503))=TRIM(M503),"MATCH","MISMATCH"))</f>
        <v>MATCH</v>
      </c>
      <c r="O503" s="5" t="str">
        <f>INDEX([1]Employee!$C$2:$C$276,MATCH(B503,[1]Employee!$A$2:$A$276,0))</f>
        <v>Sales &amp; Marketing</v>
      </c>
    </row>
    <row r="504" spans="1:15">
      <c r="A504" s="1" t="s">
        <v>1219</v>
      </c>
      <c r="B504" s="1" t="s">
        <v>63</v>
      </c>
      <c r="C504" s="1" t="s">
        <v>1220</v>
      </c>
      <c r="D504" s="2">
        <v>46049</v>
      </c>
      <c r="E504" s="2">
        <v>46054</v>
      </c>
      <c r="F504" s="1" t="s">
        <v>65</v>
      </c>
      <c r="G504" s="1" t="s">
        <v>18</v>
      </c>
      <c r="H504" s="1" t="s">
        <v>19</v>
      </c>
      <c r="I504" s="7">
        <v>527.07000000000005</v>
      </c>
      <c r="J504" s="1" t="s">
        <v>38</v>
      </c>
      <c r="K504" s="1"/>
      <c r="L504" s="1" t="s">
        <v>39</v>
      </c>
      <c r="M504" s="1" t="str">
        <f>INDEX(MCC_Lookup!$B$2:$B$12,MATCH(G504,MCC_Lookup!$A$2:$A$12,0))</f>
        <v>Events</v>
      </c>
      <c r="N504" s="1" t="str">
        <f>IF(TRIM(H504)="","BLANK",IF(PROPER(TRIM(H504))=TRIM(M504),"MATCH","MISMATCH"))</f>
        <v>MATCH</v>
      </c>
      <c r="O504" s="5" t="str">
        <f>INDEX([1]Employee!$C$2:$C$276,MATCH(B504,[1]Employee!$A$2:$A$276,0))</f>
        <v>Sales &amp; Marketing</v>
      </c>
    </row>
    <row r="505" spans="1:15">
      <c r="A505" s="1" t="s">
        <v>1221</v>
      </c>
      <c r="B505" s="1" t="s">
        <v>915</v>
      </c>
      <c r="C505" s="1"/>
      <c r="D505" s="2">
        <v>46048</v>
      </c>
      <c r="E505" s="2">
        <v>46054</v>
      </c>
      <c r="F505" s="1" t="s">
        <v>99</v>
      </c>
      <c r="G505" s="1" t="s">
        <v>2</v>
      </c>
      <c r="H505" s="1" t="s">
        <v>3</v>
      </c>
      <c r="I505" s="7">
        <v>55.45</v>
      </c>
      <c r="J505" s="1" t="s">
        <v>38</v>
      </c>
      <c r="K505" s="1"/>
      <c r="L505" s="1" t="s">
        <v>39</v>
      </c>
      <c r="M505" s="1" t="str">
        <f>INDEX(MCC_Lookup!$B$2:$B$12,MATCH(G505,MCC_Lookup!$A$2:$A$12,0))</f>
        <v>Meals</v>
      </c>
      <c r="N505" s="1" t="str">
        <f>IF(TRIM(H505)="","BLANK",IF(PROPER(TRIM(H505))=TRIM(M505),"MATCH","MISMATCH"))</f>
        <v>MATCH</v>
      </c>
      <c r="O505" s="5" t="str">
        <f>INDEX([1]Employee!$C$2:$C$276,MATCH(B505,[1]Employee!$A$2:$A$276,0))</f>
        <v>Sales &amp; Marketing</v>
      </c>
    </row>
    <row r="506" spans="1:15">
      <c r="A506" s="1" t="s">
        <v>1222</v>
      </c>
      <c r="B506" s="1" t="s">
        <v>146</v>
      </c>
      <c r="C506" s="1" t="s">
        <v>1223</v>
      </c>
      <c r="D506" s="2">
        <v>46046</v>
      </c>
      <c r="E506" s="2">
        <v>46054</v>
      </c>
      <c r="F506" s="1" t="s">
        <v>242</v>
      </c>
      <c r="G506" s="1" t="s">
        <v>13</v>
      </c>
      <c r="H506" s="1" t="s">
        <v>14</v>
      </c>
      <c r="I506" s="7">
        <v>59.96</v>
      </c>
      <c r="J506" s="1" t="s">
        <v>38</v>
      </c>
      <c r="K506" s="1"/>
      <c r="L506" s="1" t="s">
        <v>39</v>
      </c>
      <c r="M506" s="1" t="str">
        <f>INDEX(MCC_Lookup!$B$2:$B$12,MATCH(G506,MCC_Lookup!$A$2:$A$12,0))</f>
        <v>Software</v>
      </c>
      <c r="N506" s="1" t="str">
        <f>IF(TRIM(H506)="","BLANK",IF(PROPER(TRIM(H506))=TRIM(M506),"MATCH","MISMATCH"))</f>
        <v>MATCH</v>
      </c>
      <c r="O506" s="5" t="str">
        <f>INDEX([1]Employee!$C$2:$C$276,MATCH(B506,[1]Employee!$A$2:$A$276,0))</f>
        <v>HR &amp; Events</v>
      </c>
    </row>
    <row r="507" spans="1:15">
      <c r="A507" s="1" t="s">
        <v>1224</v>
      </c>
      <c r="B507" s="1" t="s">
        <v>81</v>
      </c>
      <c r="C507" s="1" t="s">
        <v>1225</v>
      </c>
      <c r="D507" s="2">
        <v>46049</v>
      </c>
      <c r="E507" s="2">
        <v>46054</v>
      </c>
      <c r="F507" s="1" t="s">
        <v>120</v>
      </c>
      <c r="G507" s="1" t="s">
        <v>12</v>
      </c>
      <c r="H507" s="1" t="s">
        <v>11</v>
      </c>
      <c r="I507" s="7">
        <v>260.25</v>
      </c>
      <c r="J507" s="1" t="s">
        <v>38</v>
      </c>
      <c r="K507" s="1"/>
      <c r="L507" s="1" t="s">
        <v>39</v>
      </c>
      <c r="M507" s="1" t="str">
        <f>INDEX(MCC_Lookup!$B$2:$B$12,MATCH(G507,MCC_Lookup!$A$2:$A$12,0))</f>
        <v>Office Supplies</v>
      </c>
      <c r="N507" s="1" t="str">
        <f>IF(TRIM(H507)="","BLANK",IF(PROPER(TRIM(H507))=TRIM(M507),"MATCH","MISMATCH"))</f>
        <v>MATCH</v>
      </c>
      <c r="O507" s="5" t="str">
        <f>INDEX([1]Employee!$C$2:$C$276,MATCH(B507,[1]Employee!$A$2:$A$276,0))</f>
        <v>Sales &amp; Marketing</v>
      </c>
    </row>
    <row r="508" spans="1:15">
      <c r="A508" s="1" t="s">
        <v>1226</v>
      </c>
      <c r="B508" s="1" t="s">
        <v>244</v>
      </c>
      <c r="C508" s="1" t="s">
        <v>1227</v>
      </c>
      <c r="D508" s="2">
        <v>46052</v>
      </c>
      <c r="E508" s="2">
        <v>46054</v>
      </c>
      <c r="F508" s="1" t="s">
        <v>242</v>
      </c>
      <c r="G508" s="1" t="s">
        <v>13</v>
      </c>
      <c r="H508" s="1" t="s">
        <v>14</v>
      </c>
      <c r="I508" s="7">
        <v>39.28</v>
      </c>
      <c r="J508" s="1" t="s">
        <v>38</v>
      </c>
      <c r="K508" s="1"/>
      <c r="L508" s="1" t="s">
        <v>39</v>
      </c>
      <c r="M508" s="1" t="str">
        <f>INDEX(MCC_Lookup!$B$2:$B$12,MATCH(G508,MCC_Lookup!$A$2:$A$12,0))</f>
        <v>Software</v>
      </c>
      <c r="N508" s="1" t="str">
        <f>IF(TRIM(H508)="","BLANK",IF(PROPER(TRIM(H508))=TRIM(M508),"MATCH","MISMATCH"))</f>
        <v>MATCH</v>
      </c>
      <c r="O508" s="5" t="str">
        <f>INDEX([1]Employee!$C$2:$C$276,MATCH(B508,[1]Employee!$A$2:$A$276,0))</f>
        <v>Sales &amp; Marketing</v>
      </c>
    </row>
    <row r="509" spans="1:15">
      <c r="A509" s="1" t="s">
        <v>1228</v>
      </c>
      <c r="B509" s="1" t="s">
        <v>108</v>
      </c>
      <c r="C509" s="1" t="s">
        <v>1229</v>
      </c>
      <c r="D509" s="2">
        <v>46049</v>
      </c>
      <c r="E509" s="2">
        <v>46054</v>
      </c>
      <c r="F509" s="1" t="s">
        <v>43</v>
      </c>
      <c r="G509" s="1" t="s">
        <v>2</v>
      </c>
      <c r="H509" s="1" t="s">
        <v>3</v>
      </c>
      <c r="I509" s="7">
        <v>14.58</v>
      </c>
      <c r="J509" s="1" t="s">
        <v>38</v>
      </c>
      <c r="K509" s="1"/>
      <c r="L509" s="1" t="s">
        <v>39</v>
      </c>
      <c r="M509" s="1" t="str">
        <f>INDEX(MCC_Lookup!$B$2:$B$12,MATCH(G509,MCC_Lookup!$A$2:$A$12,0))</f>
        <v>Meals</v>
      </c>
      <c r="N509" s="1" t="str">
        <f>IF(TRIM(H509)="","BLANK",IF(PROPER(TRIM(H509))=TRIM(M509),"MATCH","MISMATCH"))</f>
        <v>MATCH</v>
      </c>
      <c r="O509" s="5" t="str">
        <f>INDEX([1]Employee!$C$2:$C$276,MATCH(B509,[1]Employee!$A$2:$A$276,0))</f>
        <v>Sales &amp; Marketing</v>
      </c>
    </row>
    <row r="510" spans="1:15">
      <c r="A510" s="1" t="s">
        <v>1230</v>
      </c>
      <c r="B510" s="1" t="s">
        <v>475</v>
      </c>
      <c r="C510" s="1" t="s">
        <v>1231</v>
      </c>
      <c r="D510" s="2">
        <v>46046</v>
      </c>
      <c r="E510" s="2">
        <v>46054</v>
      </c>
      <c r="F510" s="1" t="s">
        <v>173</v>
      </c>
      <c r="G510" s="1" t="s">
        <v>2</v>
      </c>
      <c r="H510" s="1" t="s">
        <v>3</v>
      </c>
      <c r="I510" s="7">
        <v>75.78</v>
      </c>
      <c r="J510" s="1" t="s">
        <v>38</v>
      </c>
      <c r="K510" s="1"/>
      <c r="L510" s="1" t="s">
        <v>48</v>
      </c>
      <c r="M510" s="1" t="str">
        <f>INDEX(MCC_Lookup!$B$2:$B$12,MATCH(G510,MCC_Lookup!$A$2:$A$12,0))</f>
        <v>Meals</v>
      </c>
      <c r="N510" s="1" t="str">
        <f>IF(TRIM(H510)="","BLANK",IF(PROPER(TRIM(H510))=TRIM(M510),"MATCH","MISMATCH"))</f>
        <v>MATCH</v>
      </c>
      <c r="O510" s="5" t="str">
        <f>INDEX([1]Employee!$C$2:$C$276,MATCH(B510,[1]Employee!$A$2:$A$276,0))</f>
        <v>Sales &amp; Marketing</v>
      </c>
    </row>
    <row r="511" spans="1:15">
      <c r="A511" s="1" t="s">
        <v>1232</v>
      </c>
      <c r="B511" s="1" t="s">
        <v>469</v>
      </c>
      <c r="C511" s="1"/>
      <c r="D511" s="2">
        <v>46052</v>
      </c>
      <c r="E511" s="2">
        <v>46054</v>
      </c>
      <c r="F511" s="1" t="s">
        <v>92</v>
      </c>
      <c r="G511" s="1" t="s">
        <v>10</v>
      </c>
      <c r="H511" s="1" t="s">
        <v>11</v>
      </c>
      <c r="I511" s="7">
        <v>24.41</v>
      </c>
      <c r="J511" s="1" t="s">
        <v>111</v>
      </c>
      <c r="K511" s="1" t="s">
        <v>127</v>
      </c>
      <c r="L511" s="1" t="s">
        <v>39</v>
      </c>
      <c r="M511" s="1" t="str">
        <f>INDEX(MCC_Lookup!$B$2:$B$12,MATCH(G511,MCC_Lookup!$A$2:$A$12,0))</f>
        <v>Office Supplies</v>
      </c>
      <c r="N511" s="1" t="str">
        <f>IF(TRIM(H511)="","BLANK",IF(PROPER(TRIM(H511))=TRIM(M511),"MATCH","MISMATCH"))</f>
        <v>MATCH</v>
      </c>
      <c r="O511" s="5" t="str">
        <f>INDEX([1]Employee!$C$2:$C$276,MATCH(B511,[1]Employee!$A$2:$A$276,0))</f>
        <v>Sales &amp; Marketing</v>
      </c>
    </row>
    <row r="512" spans="1:15">
      <c r="A512" s="1" t="s">
        <v>1233</v>
      </c>
      <c r="B512" s="1" t="s">
        <v>648</v>
      </c>
      <c r="C512" s="1" t="s">
        <v>1234</v>
      </c>
      <c r="D512" s="2">
        <v>46049</v>
      </c>
      <c r="E512" s="2">
        <v>46055</v>
      </c>
      <c r="F512" s="1" t="s">
        <v>347</v>
      </c>
      <c r="G512" s="1" t="s">
        <v>8</v>
      </c>
      <c r="H512" s="1" t="s">
        <v>343</v>
      </c>
      <c r="I512" s="7">
        <v>53.31</v>
      </c>
      <c r="J512" s="1" t="s">
        <v>38</v>
      </c>
      <c r="K512" s="1"/>
      <c r="L512" s="1" t="s">
        <v>48</v>
      </c>
      <c r="M512" s="1" t="str">
        <f>INDEX(MCC_Lookup!$B$2:$B$12,MATCH(G512,MCC_Lookup!$A$2:$A$12,0))</f>
        <v>Transportation</v>
      </c>
      <c r="N512" s="1" t="str">
        <f>IF(TRIM(H512)="","BLANK",IF(PROPER(TRIM(H512))=TRIM(M512),"MATCH","MISMATCH"))</f>
        <v>MATCH</v>
      </c>
      <c r="O512" s="5" t="str">
        <f>INDEX([1]Employee!$C$2:$C$276,MATCH(B512,[1]Employee!$A$2:$A$276,0))</f>
        <v>Sales &amp; Marketing</v>
      </c>
    </row>
    <row r="513" spans="1:15">
      <c r="A513" s="1" t="s">
        <v>1235</v>
      </c>
      <c r="B513" s="1" t="s">
        <v>352</v>
      </c>
      <c r="C513" s="1" t="s">
        <v>1236</v>
      </c>
      <c r="D513" s="2">
        <v>46051</v>
      </c>
      <c r="E513" s="2">
        <v>46055</v>
      </c>
      <c r="F513" s="1" t="s">
        <v>65</v>
      </c>
      <c r="G513" s="1" t="s">
        <v>18</v>
      </c>
      <c r="H513" s="1" t="s">
        <v>19</v>
      </c>
      <c r="I513" s="7">
        <v>276.86</v>
      </c>
      <c r="J513" s="1" t="s">
        <v>38</v>
      </c>
      <c r="K513" s="1"/>
      <c r="L513" s="1" t="s">
        <v>39</v>
      </c>
      <c r="M513" s="1" t="str">
        <f>INDEX(MCC_Lookup!$B$2:$B$12,MATCH(G513,MCC_Lookup!$A$2:$A$12,0))</f>
        <v>Events</v>
      </c>
      <c r="N513" s="1" t="str">
        <f>IF(TRIM(H513)="","BLANK",IF(PROPER(TRIM(H513))=TRIM(M513),"MATCH","MISMATCH"))</f>
        <v>MATCH</v>
      </c>
      <c r="O513" s="5" t="str">
        <f>INDEX([1]Employee!$C$2:$C$276,MATCH(B513,[1]Employee!$A$2:$A$276,0))</f>
        <v>Sales &amp; Marketing</v>
      </c>
    </row>
    <row r="514" spans="1:15">
      <c r="A514" s="1" t="s">
        <v>1237</v>
      </c>
      <c r="B514" s="1" t="s">
        <v>643</v>
      </c>
      <c r="C514" s="1" t="s">
        <v>1238</v>
      </c>
      <c r="D514" s="2">
        <v>46051</v>
      </c>
      <c r="E514" s="2">
        <v>46055</v>
      </c>
      <c r="F514" s="1" t="s">
        <v>99</v>
      </c>
      <c r="G514" s="1" t="s">
        <v>2</v>
      </c>
      <c r="H514" s="1"/>
      <c r="I514" s="7">
        <v>127.88</v>
      </c>
      <c r="J514" s="1" t="s">
        <v>38</v>
      </c>
      <c r="K514" s="1"/>
      <c r="L514" s="1" t="s">
        <v>39</v>
      </c>
      <c r="M514" s="1" t="str">
        <f>INDEX(MCC_Lookup!$B$2:$B$12,MATCH(G514,MCC_Lookup!$A$2:$A$12,0))</f>
        <v>Meals</v>
      </c>
      <c r="N514" s="1" t="str">
        <f>IF(TRIM(H514)="","BLANK",IF(PROPER(TRIM(H514))=TRIM(M514),"MATCH","MISMATCH"))</f>
        <v>BLANK</v>
      </c>
      <c r="O514" s="5" t="str">
        <f>INDEX([1]Employee!$C$2:$C$276,MATCH(B514,[1]Employee!$A$2:$A$276,0))</f>
        <v>Sales &amp; Marketing</v>
      </c>
    </row>
    <row r="515" spans="1:15">
      <c r="A515" s="1" t="s">
        <v>1239</v>
      </c>
      <c r="B515" s="1" t="s">
        <v>836</v>
      </c>
      <c r="C515" s="1" t="s">
        <v>1240</v>
      </c>
      <c r="D515" s="2">
        <v>46050</v>
      </c>
      <c r="E515" s="2">
        <v>46055</v>
      </c>
      <c r="F515" s="1" t="s">
        <v>99</v>
      </c>
      <c r="G515" s="1" t="s">
        <v>2</v>
      </c>
      <c r="H515" s="1" t="s">
        <v>3</v>
      </c>
      <c r="I515" s="7">
        <v>32.22</v>
      </c>
      <c r="J515" s="1" t="s">
        <v>38</v>
      </c>
      <c r="K515" s="1"/>
      <c r="L515" s="1" t="s">
        <v>39</v>
      </c>
      <c r="M515" s="1" t="str">
        <f>INDEX(MCC_Lookup!$B$2:$B$12,MATCH(G515,MCC_Lookup!$A$2:$A$12,0))</f>
        <v>Meals</v>
      </c>
      <c r="N515" s="1" t="str">
        <f>IF(TRIM(H515)="","BLANK",IF(PROPER(TRIM(H515))=TRIM(M515),"MATCH","MISMATCH"))</f>
        <v>MATCH</v>
      </c>
      <c r="O515" s="5" t="str">
        <f>INDEX([1]Employee!$C$2:$C$276,MATCH(B515,[1]Employee!$A$2:$A$276,0))</f>
        <v>Sales &amp; Marketing</v>
      </c>
    </row>
    <row r="516" spans="1:15">
      <c r="A516" s="1" t="s">
        <v>1241</v>
      </c>
      <c r="B516" s="1" t="s">
        <v>593</v>
      </c>
      <c r="C516" s="1"/>
      <c r="D516" s="2">
        <v>46055</v>
      </c>
      <c r="E516" s="2">
        <v>46055</v>
      </c>
      <c r="F516" s="1" t="s">
        <v>177</v>
      </c>
      <c r="G516" s="1" t="s">
        <v>13</v>
      </c>
      <c r="H516" s="1" t="s">
        <v>14</v>
      </c>
      <c r="I516" s="7">
        <v>28.64</v>
      </c>
      <c r="J516" s="1" t="s">
        <v>38</v>
      </c>
      <c r="K516" s="1"/>
      <c r="L516" s="1" t="s">
        <v>39</v>
      </c>
      <c r="M516" s="1" t="str">
        <f>INDEX(MCC_Lookup!$B$2:$B$12,MATCH(G516,MCC_Lookup!$A$2:$A$12,0))</f>
        <v>Software</v>
      </c>
      <c r="N516" s="1" t="str">
        <f>IF(TRIM(H516)="","BLANK",IF(PROPER(TRIM(H516))=TRIM(M516),"MATCH","MISMATCH"))</f>
        <v>MATCH</v>
      </c>
      <c r="O516" s="5" t="str">
        <f>INDEX([1]Employee!$C$2:$C$276,MATCH(B516,[1]Employee!$A$2:$A$276,0))</f>
        <v>Sales &amp; Marketing</v>
      </c>
    </row>
    <row r="517" spans="1:15">
      <c r="A517" s="1" t="s">
        <v>1242</v>
      </c>
      <c r="B517" s="1" t="s">
        <v>136</v>
      </c>
      <c r="C517" s="1"/>
      <c r="D517" s="2">
        <v>46054</v>
      </c>
      <c r="E517" s="2">
        <v>46055</v>
      </c>
      <c r="F517" s="1" t="s">
        <v>347</v>
      </c>
      <c r="G517" s="1" t="s">
        <v>8</v>
      </c>
      <c r="H517" s="1" t="s">
        <v>9</v>
      </c>
      <c r="I517" s="7">
        <v>43.99</v>
      </c>
      <c r="J517" s="1" t="s">
        <v>38</v>
      </c>
      <c r="K517" s="1"/>
      <c r="L517" s="1" t="s">
        <v>39</v>
      </c>
      <c r="M517" s="1" t="str">
        <f>INDEX(MCC_Lookup!$B$2:$B$12,MATCH(G517,MCC_Lookup!$A$2:$A$12,0))</f>
        <v>Transportation</v>
      </c>
      <c r="N517" s="1" t="str">
        <f>IF(TRIM(H517)="","BLANK",IF(PROPER(TRIM(H517))=TRIM(M517),"MATCH","MISMATCH"))</f>
        <v>MATCH</v>
      </c>
      <c r="O517" s="5" t="str">
        <f>INDEX([1]Employee!$C$2:$C$276,MATCH(B517,[1]Employee!$A$2:$A$276,0))</f>
        <v>Sales &amp; Marketing</v>
      </c>
    </row>
    <row r="518" spans="1:15">
      <c r="A518" s="1" t="s">
        <v>1243</v>
      </c>
      <c r="B518" s="1" t="s">
        <v>190</v>
      </c>
      <c r="C518" s="1" t="s">
        <v>1244</v>
      </c>
      <c r="D518" s="2">
        <v>46050</v>
      </c>
      <c r="E518" s="2">
        <v>46055</v>
      </c>
      <c r="F518" s="1" t="s">
        <v>99</v>
      </c>
      <c r="G518" s="1" t="s">
        <v>2</v>
      </c>
      <c r="H518" s="1" t="s">
        <v>154</v>
      </c>
      <c r="I518" s="7">
        <v>70.459999999999994</v>
      </c>
      <c r="J518" s="1" t="s">
        <v>38</v>
      </c>
      <c r="K518" s="1"/>
      <c r="L518" s="1" t="s">
        <v>39</v>
      </c>
      <c r="M518" s="1" t="str">
        <f>INDEX(MCC_Lookup!$B$2:$B$12,MATCH(G518,MCC_Lookup!$A$2:$A$12,0))</f>
        <v>Meals</v>
      </c>
      <c r="N518" s="1" t="str">
        <f>IF(TRIM(H518)="","BLANK",IF(PROPER(TRIM(H518))=TRIM(M518),"MATCH","MISMATCH"))</f>
        <v>MATCH</v>
      </c>
      <c r="O518" s="5" t="str">
        <f>INDEX([1]Employee!$C$2:$C$276,MATCH(B518,[1]Employee!$A$2:$A$276,0))</f>
        <v>Sales &amp; Marketing</v>
      </c>
    </row>
    <row r="519" spans="1:15">
      <c r="A519" s="1" t="s">
        <v>1245</v>
      </c>
      <c r="B519" s="1" t="s">
        <v>407</v>
      </c>
      <c r="C519" s="1" t="s">
        <v>1246</v>
      </c>
      <c r="D519" s="2">
        <v>46051</v>
      </c>
      <c r="E519" s="2">
        <v>46055</v>
      </c>
      <c r="F519" s="1" t="s">
        <v>160</v>
      </c>
      <c r="G519" s="1" t="s">
        <v>6</v>
      </c>
      <c r="H519" s="1" t="s">
        <v>7</v>
      </c>
      <c r="I519" s="7">
        <v>464.91</v>
      </c>
      <c r="J519" s="1" t="s">
        <v>38</v>
      </c>
      <c r="K519" s="1"/>
      <c r="L519" s="1" t="s">
        <v>39</v>
      </c>
      <c r="M519" s="1" t="str">
        <f>INDEX(MCC_Lookup!$B$2:$B$12,MATCH(G519,MCC_Lookup!$A$2:$A$12,0))</f>
        <v>Lodging</v>
      </c>
      <c r="N519" s="1" t="str">
        <f>IF(TRIM(H519)="","BLANK",IF(PROPER(TRIM(H519))=TRIM(M519),"MATCH","MISMATCH"))</f>
        <v>MATCH</v>
      </c>
      <c r="O519" s="5" t="str">
        <f>INDEX([1]Employee!$C$2:$C$276,MATCH(B519,[1]Employee!$A$2:$A$276,0))</f>
        <v>Executive &amp; Corporate</v>
      </c>
    </row>
    <row r="520" spans="1:15">
      <c r="A520" s="1" t="s">
        <v>1247</v>
      </c>
      <c r="B520" s="1" t="s">
        <v>159</v>
      </c>
      <c r="C520" s="1" t="s">
        <v>1248</v>
      </c>
      <c r="D520" s="2">
        <v>46053</v>
      </c>
      <c r="E520" s="2">
        <v>46055</v>
      </c>
      <c r="F520" s="1" t="s">
        <v>347</v>
      </c>
      <c r="G520" s="1" t="s">
        <v>8</v>
      </c>
      <c r="H520" s="1" t="s">
        <v>9</v>
      </c>
      <c r="I520" s="7">
        <v>37.21</v>
      </c>
      <c r="J520" s="1" t="s">
        <v>38</v>
      </c>
      <c r="K520" s="1"/>
      <c r="L520" s="1" t="s">
        <v>39</v>
      </c>
      <c r="M520" s="1" t="str">
        <f>INDEX(MCC_Lookup!$B$2:$B$12,MATCH(G520,MCC_Lookup!$A$2:$A$12,0))</f>
        <v>Transportation</v>
      </c>
      <c r="N520" s="1" t="str">
        <f>IF(TRIM(H520)="","BLANK",IF(PROPER(TRIM(H520))=TRIM(M520),"MATCH","MISMATCH"))</f>
        <v>MATCH</v>
      </c>
      <c r="O520" s="5" t="str">
        <f>INDEX([1]Employee!$C$2:$C$276,MATCH(B520,[1]Employee!$A$2:$A$276,0))</f>
        <v>Actuarial &amp; Risk</v>
      </c>
    </row>
    <row r="521" spans="1:15">
      <c r="A521" s="1" t="s">
        <v>1249</v>
      </c>
      <c r="B521" s="1" t="s">
        <v>908</v>
      </c>
      <c r="C521" s="1" t="s">
        <v>1250</v>
      </c>
      <c r="D521" s="2">
        <v>46046</v>
      </c>
      <c r="E521" s="2">
        <v>46055</v>
      </c>
      <c r="F521" s="1" t="s">
        <v>52</v>
      </c>
      <c r="G521" s="1" t="s">
        <v>15</v>
      </c>
      <c r="H521" s="1" t="s">
        <v>16</v>
      </c>
      <c r="I521" s="7">
        <v>43.62</v>
      </c>
      <c r="J521" s="1" t="s">
        <v>38</v>
      </c>
      <c r="K521" s="1"/>
      <c r="L521" s="1" t="s">
        <v>39</v>
      </c>
      <c r="M521" s="1" t="str">
        <f>INDEX(MCC_Lookup!$B$2:$B$12,MATCH(G521,MCC_Lookup!$A$2:$A$12,0))</f>
        <v>Entertainment</v>
      </c>
      <c r="N521" s="1" t="str">
        <f>IF(TRIM(H521)="","BLANK",IF(PROPER(TRIM(H521))=TRIM(M521),"MATCH","MISMATCH"))</f>
        <v>MATCH</v>
      </c>
      <c r="O521" s="5" t="str">
        <f>INDEX([1]Employee!$C$2:$C$276,MATCH(B521,[1]Employee!$A$2:$A$276,0))</f>
        <v>Claims</v>
      </c>
    </row>
    <row r="522" spans="1:15">
      <c r="A522" s="1" t="s">
        <v>1251</v>
      </c>
      <c r="B522" s="1" t="s">
        <v>1252</v>
      </c>
      <c r="C522" s="1" t="s">
        <v>1253</v>
      </c>
      <c r="D522" s="2">
        <v>46047</v>
      </c>
      <c r="E522" s="2">
        <v>46055</v>
      </c>
      <c r="F522" s="1" t="s">
        <v>79</v>
      </c>
      <c r="G522" s="1" t="s">
        <v>13</v>
      </c>
      <c r="H522" s="1" t="s">
        <v>14</v>
      </c>
      <c r="I522" s="7">
        <v>119.98</v>
      </c>
      <c r="J522" s="1" t="s">
        <v>38</v>
      </c>
      <c r="K522" s="1"/>
      <c r="L522" s="1" t="s">
        <v>39</v>
      </c>
      <c r="M522" s="1" t="str">
        <f>INDEX(MCC_Lookup!$B$2:$B$12,MATCH(G522,MCC_Lookup!$A$2:$A$12,0))</f>
        <v>Software</v>
      </c>
      <c r="N522" s="1" t="str">
        <f>IF(TRIM(H522)="","BLANK",IF(PROPER(TRIM(H522))=TRIM(M522),"MATCH","MISMATCH"))</f>
        <v>MATCH</v>
      </c>
      <c r="O522" s="5" t="str">
        <f>INDEX([1]Employee!$C$2:$C$276,MATCH(B522,[1]Employee!$A$2:$A$276,0))</f>
        <v>Underwriting</v>
      </c>
    </row>
    <row r="523" spans="1:15">
      <c r="A523" s="1" t="s">
        <v>1254</v>
      </c>
      <c r="B523" s="1" t="s">
        <v>264</v>
      </c>
      <c r="C523" s="1" t="s">
        <v>1255</v>
      </c>
      <c r="D523" s="2">
        <v>46045</v>
      </c>
      <c r="E523" s="2">
        <v>46055</v>
      </c>
      <c r="F523" s="1" t="s">
        <v>120</v>
      </c>
      <c r="G523" s="1" t="s">
        <v>12</v>
      </c>
      <c r="H523" s="1" t="s">
        <v>11</v>
      </c>
      <c r="I523" s="7">
        <v>460.11</v>
      </c>
      <c r="J523" s="1" t="s">
        <v>38</v>
      </c>
      <c r="K523" s="1"/>
      <c r="L523" s="1" t="s">
        <v>48</v>
      </c>
      <c r="M523" s="1" t="str">
        <f>INDEX(MCC_Lookup!$B$2:$B$12,MATCH(G523,MCC_Lookup!$A$2:$A$12,0))</f>
        <v>Office Supplies</v>
      </c>
      <c r="N523" s="1" t="str">
        <f>IF(TRIM(H523)="","BLANK",IF(PROPER(TRIM(H523))=TRIM(M523),"MATCH","MISMATCH"))</f>
        <v>MATCH</v>
      </c>
      <c r="O523" s="5" t="str">
        <f>INDEX([1]Employee!$C$2:$C$276,MATCH(B523,[1]Employee!$A$2:$A$276,0))</f>
        <v>Finance</v>
      </c>
    </row>
    <row r="524" spans="1:15">
      <c r="A524" s="1" t="s">
        <v>1256</v>
      </c>
      <c r="B524" s="1" t="s">
        <v>289</v>
      </c>
      <c r="C524" s="1" t="s">
        <v>1257</v>
      </c>
      <c r="D524" s="2">
        <v>46051</v>
      </c>
      <c r="E524" s="2">
        <v>46055</v>
      </c>
      <c r="F524" s="1" t="s">
        <v>124</v>
      </c>
      <c r="G524" s="1" t="s">
        <v>17</v>
      </c>
      <c r="H524" s="1"/>
      <c r="I524" s="7">
        <v>209.59</v>
      </c>
      <c r="J524" s="1" t="s">
        <v>38</v>
      </c>
      <c r="K524" s="1"/>
      <c r="L524" s="1" t="s">
        <v>39</v>
      </c>
      <c r="M524" s="1" t="str">
        <f>INDEX(MCC_Lookup!$B$2:$B$12,MATCH(G524,MCC_Lookup!$A$2:$A$12,0))</f>
        <v>Entertainment</v>
      </c>
      <c r="N524" s="1" t="str">
        <f>IF(TRIM(H524)="","BLANK",IF(PROPER(TRIM(H524))=TRIM(M524),"MATCH","MISMATCH"))</f>
        <v>BLANK</v>
      </c>
      <c r="O524" s="5" t="str">
        <f>INDEX([1]Employee!$C$2:$C$276,MATCH(B524,[1]Employee!$A$2:$A$276,0))</f>
        <v>Finance</v>
      </c>
    </row>
    <row r="525" spans="1:15">
      <c r="A525" s="1" t="s">
        <v>1258</v>
      </c>
      <c r="B525" s="1" t="s">
        <v>499</v>
      </c>
      <c r="C525" s="1" t="s">
        <v>1259</v>
      </c>
      <c r="D525" s="2">
        <v>46055</v>
      </c>
      <c r="E525" s="2">
        <v>46055</v>
      </c>
      <c r="F525" s="1" t="s">
        <v>173</v>
      </c>
      <c r="G525" s="1" t="s">
        <v>2</v>
      </c>
      <c r="H525" s="1" t="s">
        <v>3</v>
      </c>
      <c r="I525" s="7">
        <v>45.42</v>
      </c>
      <c r="J525" s="1" t="s">
        <v>38</v>
      </c>
      <c r="K525" s="1"/>
      <c r="L525" s="1" t="s">
        <v>39</v>
      </c>
      <c r="M525" s="1" t="str">
        <f>INDEX(MCC_Lookup!$B$2:$B$12,MATCH(G525,MCC_Lookup!$A$2:$A$12,0))</f>
        <v>Meals</v>
      </c>
      <c r="N525" s="1" t="str">
        <f>IF(TRIM(H525)="","BLANK",IF(PROPER(TRIM(H525))=TRIM(M525),"MATCH","MISMATCH"))</f>
        <v>MATCH</v>
      </c>
      <c r="O525" s="5" t="str">
        <f>INDEX([1]Employee!$C$2:$C$276,MATCH(B525,[1]Employee!$A$2:$A$276,0))</f>
        <v>Sales &amp; Marketing</v>
      </c>
    </row>
    <row r="526" spans="1:15">
      <c r="A526" s="1" t="s">
        <v>1260</v>
      </c>
      <c r="B526" s="1" t="s">
        <v>118</v>
      </c>
      <c r="C526" s="1" t="s">
        <v>1261</v>
      </c>
      <c r="D526" s="2">
        <v>46045</v>
      </c>
      <c r="E526" s="2">
        <v>46055</v>
      </c>
      <c r="F526" s="1" t="s">
        <v>95</v>
      </c>
      <c r="G526" s="1" t="s">
        <v>6</v>
      </c>
      <c r="H526" s="1" t="s">
        <v>7</v>
      </c>
      <c r="I526" s="7">
        <v>321.42</v>
      </c>
      <c r="J526" s="1" t="s">
        <v>38</v>
      </c>
      <c r="K526" s="1"/>
      <c r="L526" s="1" t="s">
        <v>39</v>
      </c>
      <c r="M526" s="1" t="str">
        <f>INDEX(MCC_Lookup!$B$2:$B$12,MATCH(G526,MCC_Lookup!$A$2:$A$12,0))</f>
        <v>Lodging</v>
      </c>
      <c r="N526" s="1" t="str">
        <f>IF(TRIM(H526)="","BLANK",IF(PROPER(TRIM(H526))=TRIM(M526),"MATCH","MISMATCH"))</f>
        <v>MATCH</v>
      </c>
      <c r="O526" s="5" t="str">
        <f>INDEX([1]Employee!$C$2:$C$276,MATCH(B526,[1]Employee!$A$2:$A$276,0))</f>
        <v>Underwriting</v>
      </c>
    </row>
    <row r="527" spans="1:15">
      <c r="A527" s="1" t="s">
        <v>1262</v>
      </c>
      <c r="B527" s="1" t="s">
        <v>1188</v>
      </c>
      <c r="C527" s="1" t="s">
        <v>1263</v>
      </c>
      <c r="D527" s="2">
        <v>46051</v>
      </c>
      <c r="E527" s="2">
        <v>46055</v>
      </c>
      <c r="F527" s="1" t="s">
        <v>242</v>
      </c>
      <c r="G527" s="1" t="s">
        <v>13</v>
      </c>
      <c r="H527" s="1" t="s">
        <v>14</v>
      </c>
      <c r="I527" s="7">
        <v>17.010000000000002</v>
      </c>
      <c r="J527" s="1" t="s">
        <v>38</v>
      </c>
      <c r="K527" s="1"/>
      <c r="L527" s="1" t="s">
        <v>39</v>
      </c>
      <c r="M527" s="1" t="str">
        <f>INDEX(MCC_Lookup!$B$2:$B$12,MATCH(G527,MCC_Lookup!$A$2:$A$12,0))</f>
        <v>Software</v>
      </c>
      <c r="N527" s="1" t="str">
        <f>IF(TRIM(H527)="","BLANK",IF(PROPER(TRIM(H527))=TRIM(M527),"MATCH","MISMATCH"))</f>
        <v>MATCH</v>
      </c>
      <c r="O527" s="5" t="str">
        <f>INDEX([1]Employee!$C$2:$C$276,MATCH(B527,[1]Employee!$A$2:$A$276,0))</f>
        <v>Executive &amp; Corporate</v>
      </c>
    </row>
    <row r="528" spans="1:15">
      <c r="A528" s="1" t="s">
        <v>1264</v>
      </c>
      <c r="B528" s="1" t="s">
        <v>407</v>
      </c>
      <c r="C528" s="1" t="s">
        <v>1265</v>
      </c>
      <c r="D528" s="2">
        <v>46048</v>
      </c>
      <c r="E528" s="2">
        <v>46056</v>
      </c>
      <c r="F528" s="1" t="s">
        <v>116</v>
      </c>
      <c r="G528" s="1" t="s">
        <v>2</v>
      </c>
      <c r="H528" s="1" t="s">
        <v>794</v>
      </c>
      <c r="I528" s="7">
        <v>14.07</v>
      </c>
      <c r="J528" s="1" t="s">
        <v>38</v>
      </c>
      <c r="K528" s="1"/>
      <c r="L528" s="1" t="s">
        <v>39</v>
      </c>
      <c r="M528" s="1" t="str">
        <f>INDEX(MCC_Lookup!$B$2:$B$12,MATCH(G528,MCC_Lookup!$A$2:$A$12,0))</f>
        <v>Meals</v>
      </c>
      <c r="N528" s="1" t="str">
        <f>IF(TRIM(H528)="","BLANK",IF(PROPER(TRIM(H528))=TRIM(M528),"MATCH","MISMATCH"))</f>
        <v>MATCH</v>
      </c>
      <c r="O528" s="5" t="str">
        <f>INDEX([1]Employee!$C$2:$C$276,MATCH(B528,[1]Employee!$A$2:$A$276,0))</f>
        <v>Executive &amp; Corporate</v>
      </c>
    </row>
    <row r="529" spans="1:15">
      <c r="A529" s="1" t="s">
        <v>1266</v>
      </c>
      <c r="B529" s="1" t="s">
        <v>373</v>
      </c>
      <c r="C529" s="1" t="s">
        <v>1267</v>
      </c>
      <c r="D529" s="2">
        <v>46047</v>
      </c>
      <c r="E529" s="2">
        <v>46056</v>
      </c>
      <c r="F529" s="1" t="s">
        <v>242</v>
      </c>
      <c r="G529" s="1" t="s">
        <v>13</v>
      </c>
      <c r="H529" s="1" t="s">
        <v>14</v>
      </c>
      <c r="I529" s="7">
        <v>52.62</v>
      </c>
      <c r="J529" s="1" t="s">
        <v>38</v>
      </c>
      <c r="K529" s="1"/>
      <c r="L529" s="1" t="s">
        <v>39</v>
      </c>
      <c r="M529" s="1" t="str">
        <f>INDEX(MCC_Lookup!$B$2:$B$12,MATCH(G529,MCC_Lookup!$A$2:$A$12,0))</f>
        <v>Software</v>
      </c>
      <c r="N529" s="1" t="str">
        <f>IF(TRIM(H529)="","BLANK",IF(PROPER(TRIM(H529))=TRIM(M529),"MATCH","MISMATCH"))</f>
        <v>MATCH</v>
      </c>
      <c r="O529" s="5" t="str">
        <f>INDEX([1]Employee!$C$2:$C$276,MATCH(B529,[1]Employee!$A$2:$A$276,0))</f>
        <v>Sales &amp; Marketing</v>
      </c>
    </row>
    <row r="530" spans="1:15">
      <c r="A530" s="1" t="s">
        <v>1268</v>
      </c>
      <c r="B530" s="1" t="s">
        <v>303</v>
      </c>
      <c r="C530" s="1" t="s">
        <v>1269</v>
      </c>
      <c r="D530" s="2">
        <v>46047</v>
      </c>
      <c r="E530" s="2">
        <v>46056</v>
      </c>
      <c r="F530" s="1" t="s">
        <v>52</v>
      </c>
      <c r="G530" s="1" t="s">
        <v>15</v>
      </c>
      <c r="H530" s="1"/>
      <c r="I530" s="7">
        <v>28.8</v>
      </c>
      <c r="J530" s="1" t="s">
        <v>38</v>
      </c>
      <c r="K530" s="1"/>
      <c r="L530" s="1" t="s">
        <v>39</v>
      </c>
      <c r="M530" s="1" t="str">
        <f>INDEX(MCC_Lookup!$B$2:$B$12,MATCH(G530,MCC_Lookup!$A$2:$A$12,0))</f>
        <v>Entertainment</v>
      </c>
      <c r="N530" s="1" t="str">
        <f>IF(TRIM(H530)="","BLANK",IF(PROPER(TRIM(H530))=TRIM(M530),"MATCH","MISMATCH"))</f>
        <v>BLANK</v>
      </c>
      <c r="O530" s="5" t="str">
        <f>INDEX([1]Employee!$C$2:$C$276,MATCH(B530,[1]Employee!$A$2:$A$276,0))</f>
        <v>Sales &amp; Marketing</v>
      </c>
    </row>
    <row r="531" spans="1:15">
      <c r="A531" s="1" t="s">
        <v>1270</v>
      </c>
      <c r="B531" s="1" t="s">
        <v>677</v>
      </c>
      <c r="C531" s="1" t="s">
        <v>1271</v>
      </c>
      <c r="D531" s="2">
        <v>46050</v>
      </c>
      <c r="E531" s="2">
        <v>46056</v>
      </c>
      <c r="F531" s="1" t="s">
        <v>79</v>
      </c>
      <c r="G531" s="1" t="s">
        <v>13</v>
      </c>
      <c r="H531" s="1" t="s">
        <v>14</v>
      </c>
      <c r="I531" s="7">
        <v>105.88</v>
      </c>
      <c r="J531" s="1" t="s">
        <v>38</v>
      </c>
      <c r="K531" s="1"/>
      <c r="L531" s="1" t="s">
        <v>48</v>
      </c>
      <c r="M531" s="1" t="str">
        <f>INDEX(MCC_Lookup!$B$2:$B$12,MATCH(G531,MCC_Lookup!$A$2:$A$12,0))</f>
        <v>Software</v>
      </c>
      <c r="N531" s="1" t="str">
        <f>IF(TRIM(H531)="","BLANK",IF(PROPER(TRIM(H531))=TRIM(M531),"MATCH","MISMATCH"))</f>
        <v>MATCH</v>
      </c>
      <c r="O531" s="5" t="str">
        <f>INDEX([1]Employee!$C$2:$C$276,MATCH(B531,[1]Employee!$A$2:$A$276,0))</f>
        <v>Sales &amp; Marketing</v>
      </c>
    </row>
    <row r="532" spans="1:15">
      <c r="A532" s="1" t="s">
        <v>1272</v>
      </c>
      <c r="B532" s="1" t="s">
        <v>1175</v>
      </c>
      <c r="C532" s="1" t="s">
        <v>1273</v>
      </c>
      <c r="D532" s="2">
        <v>46051</v>
      </c>
      <c r="E532" s="2">
        <v>46056</v>
      </c>
      <c r="F532" s="1" t="s">
        <v>116</v>
      </c>
      <c r="G532" s="1" t="s">
        <v>2</v>
      </c>
      <c r="H532" s="1" t="s">
        <v>3</v>
      </c>
      <c r="I532" s="7">
        <v>16.38</v>
      </c>
      <c r="J532" s="1" t="s">
        <v>38</v>
      </c>
      <c r="K532" s="1"/>
      <c r="L532" s="1" t="s">
        <v>48</v>
      </c>
      <c r="M532" s="1" t="str">
        <f>INDEX(MCC_Lookup!$B$2:$B$12,MATCH(G532,MCC_Lookup!$A$2:$A$12,0))</f>
        <v>Meals</v>
      </c>
      <c r="N532" s="1" t="str">
        <f>IF(TRIM(H532)="","BLANK",IF(PROPER(TRIM(H532))=TRIM(M532),"MATCH","MISMATCH"))</f>
        <v>MATCH</v>
      </c>
      <c r="O532" s="5" t="str">
        <f>INDEX([1]Employee!$C$2:$C$276,MATCH(B532,[1]Employee!$A$2:$A$276,0))</f>
        <v>Underwriting</v>
      </c>
    </row>
    <row r="533" spans="1:15">
      <c r="A533" s="1" t="s">
        <v>1274</v>
      </c>
      <c r="B533" s="1" t="s">
        <v>194</v>
      </c>
      <c r="C533" s="1" t="s">
        <v>1275</v>
      </c>
      <c r="D533" s="2">
        <v>46051</v>
      </c>
      <c r="E533" s="2">
        <v>46056</v>
      </c>
      <c r="F533" s="1" t="s">
        <v>65</v>
      </c>
      <c r="G533" s="1" t="s">
        <v>18</v>
      </c>
      <c r="H533" s="1" t="s">
        <v>19</v>
      </c>
      <c r="I533" s="7">
        <v>421.77</v>
      </c>
      <c r="J533" s="1" t="s">
        <v>38</v>
      </c>
      <c r="K533" s="1"/>
      <c r="L533" s="1" t="s">
        <v>39</v>
      </c>
      <c r="M533" s="1" t="str">
        <f>INDEX(MCC_Lookup!$B$2:$B$12,MATCH(G533,MCC_Lookup!$A$2:$A$12,0))</f>
        <v>Events</v>
      </c>
      <c r="N533" s="1" t="str">
        <f>IF(TRIM(H533)="","BLANK",IF(PROPER(TRIM(H533))=TRIM(M533),"MATCH","MISMATCH"))</f>
        <v>MATCH</v>
      </c>
      <c r="O533" s="5" t="str">
        <f>INDEX([1]Employee!$C$2:$C$276,MATCH(B533,[1]Employee!$A$2:$A$276,0))</f>
        <v>Claims</v>
      </c>
    </row>
    <row r="534" spans="1:15">
      <c r="A534" s="1" t="s">
        <v>1276</v>
      </c>
      <c r="B534" s="1" t="s">
        <v>289</v>
      </c>
      <c r="C534" s="1" t="s">
        <v>1277</v>
      </c>
      <c r="D534" s="2">
        <v>46047</v>
      </c>
      <c r="E534" s="2">
        <v>46056</v>
      </c>
      <c r="F534" s="1" t="s">
        <v>61</v>
      </c>
      <c r="G534" s="1" t="s">
        <v>13</v>
      </c>
      <c r="H534" s="1" t="s">
        <v>14</v>
      </c>
      <c r="I534" s="7">
        <v>53.96</v>
      </c>
      <c r="J534" s="1" t="s">
        <v>38</v>
      </c>
      <c r="K534" s="1"/>
      <c r="L534" s="1" t="s">
        <v>39</v>
      </c>
      <c r="M534" s="1" t="str">
        <f>INDEX(MCC_Lookup!$B$2:$B$12,MATCH(G534,MCC_Lookup!$A$2:$A$12,0))</f>
        <v>Software</v>
      </c>
      <c r="N534" s="1" t="str">
        <f>IF(TRIM(H534)="","BLANK",IF(PROPER(TRIM(H534))=TRIM(M534),"MATCH","MISMATCH"))</f>
        <v>MATCH</v>
      </c>
      <c r="O534" s="5" t="str">
        <f>INDEX([1]Employee!$C$2:$C$276,MATCH(B534,[1]Employee!$A$2:$A$276,0))</f>
        <v>Finance</v>
      </c>
    </row>
    <row r="535" spans="1:15">
      <c r="A535" s="1" t="s">
        <v>1278</v>
      </c>
      <c r="B535" s="1" t="s">
        <v>1279</v>
      </c>
      <c r="C535" s="1" t="s">
        <v>1280</v>
      </c>
      <c r="D535" s="2">
        <v>46046</v>
      </c>
      <c r="E535" s="2">
        <v>46056</v>
      </c>
      <c r="F535" s="1" t="s">
        <v>52</v>
      </c>
      <c r="G535" s="1" t="s">
        <v>15</v>
      </c>
      <c r="H535" s="1" t="s">
        <v>16</v>
      </c>
      <c r="I535" s="7">
        <v>46.96</v>
      </c>
      <c r="J535" s="1" t="s">
        <v>38</v>
      </c>
      <c r="K535" s="1"/>
      <c r="L535" s="1" t="s">
        <v>48</v>
      </c>
      <c r="M535" s="1" t="str">
        <f>INDEX(MCC_Lookup!$B$2:$B$12,MATCH(G535,MCC_Lookup!$A$2:$A$12,0))</f>
        <v>Entertainment</v>
      </c>
      <c r="N535" s="1" t="str">
        <f>IF(TRIM(H535)="","BLANK",IF(PROPER(TRIM(H535))=TRIM(M535),"MATCH","MISMATCH"))</f>
        <v>MATCH</v>
      </c>
      <c r="O535" s="5" t="str">
        <f>INDEX([1]Employee!$C$2:$C$276,MATCH(B535,[1]Employee!$A$2:$A$276,0))</f>
        <v>IT &amp; Platform Engineering</v>
      </c>
    </row>
    <row r="536" spans="1:15">
      <c r="A536" s="1" t="s">
        <v>1281</v>
      </c>
      <c r="B536" s="1" t="s">
        <v>832</v>
      </c>
      <c r="C536" s="1" t="s">
        <v>1282</v>
      </c>
      <c r="D536" s="2">
        <v>46054</v>
      </c>
      <c r="E536" s="2">
        <v>46056</v>
      </c>
      <c r="F536" s="1" t="s">
        <v>177</v>
      </c>
      <c r="G536" s="1" t="s">
        <v>13</v>
      </c>
      <c r="H536" s="1" t="s">
        <v>192</v>
      </c>
      <c r="I536" s="7">
        <v>64.02</v>
      </c>
      <c r="J536" s="1" t="s">
        <v>38</v>
      </c>
      <c r="K536" s="1"/>
      <c r="L536" s="1" t="s">
        <v>39</v>
      </c>
      <c r="M536" s="1" t="str">
        <f>INDEX(MCC_Lookup!$B$2:$B$12,MATCH(G536,MCC_Lookup!$A$2:$A$12,0))</f>
        <v>Software</v>
      </c>
      <c r="N536" s="1" t="str">
        <f>IF(TRIM(H536)="","BLANK",IF(PROPER(TRIM(H536))=TRIM(M536),"MATCH","MISMATCH"))</f>
        <v>MATCH</v>
      </c>
      <c r="O536" s="5" t="str">
        <f>INDEX([1]Employee!$C$2:$C$276,MATCH(B536,[1]Employee!$A$2:$A$276,0))</f>
        <v>Sales &amp; Marketing</v>
      </c>
    </row>
    <row r="537" spans="1:15">
      <c r="A537" s="1" t="s">
        <v>1283</v>
      </c>
      <c r="B537" s="1" t="s">
        <v>512</v>
      </c>
      <c r="C537" s="1" t="s">
        <v>1284</v>
      </c>
      <c r="D537" s="2">
        <v>46050</v>
      </c>
      <c r="E537" s="2">
        <v>46056</v>
      </c>
      <c r="F537" s="1" t="s">
        <v>65</v>
      </c>
      <c r="G537" s="1" t="s">
        <v>18</v>
      </c>
      <c r="H537" s="1" t="s">
        <v>19</v>
      </c>
      <c r="I537" s="7">
        <v>331.06</v>
      </c>
      <c r="J537" s="1" t="s">
        <v>38</v>
      </c>
      <c r="K537" s="1"/>
      <c r="L537" s="1" t="s">
        <v>39</v>
      </c>
      <c r="M537" s="1" t="str">
        <f>INDEX(MCC_Lookup!$B$2:$B$12,MATCH(G537,MCC_Lookup!$A$2:$A$12,0))</f>
        <v>Events</v>
      </c>
      <c r="N537" s="1" t="str">
        <f>IF(TRIM(H537)="","BLANK",IF(PROPER(TRIM(H537))=TRIM(M537),"MATCH","MISMATCH"))</f>
        <v>MATCH</v>
      </c>
      <c r="O537" s="5" t="str">
        <f>INDEX([1]Employee!$C$2:$C$276,MATCH(B537,[1]Employee!$A$2:$A$276,0))</f>
        <v>Sales &amp; Marketing</v>
      </c>
    </row>
    <row r="538" spans="1:15">
      <c r="A538" s="1" t="s">
        <v>1285</v>
      </c>
      <c r="B538" s="1" t="s">
        <v>1286</v>
      </c>
      <c r="C538" s="1" t="s">
        <v>1287</v>
      </c>
      <c r="D538" s="2">
        <v>46046</v>
      </c>
      <c r="E538" s="2">
        <v>46056</v>
      </c>
      <c r="F538" s="1" t="s">
        <v>95</v>
      </c>
      <c r="G538" s="1" t="s">
        <v>6</v>
      </c>
      <c r="H538" s="1" t="s">
        <v>7</v>
      </c>
      <c r="I538" s="7">
        <v>266.43</v>
      </c>
      <c r="J538" s="1" t="s">
        <v>38</v>
      </c>
      <c r="K538" s="1"/>
      <c r="L538" s="1" t="s">
        <v>39</v>
      </c>
      <c r="M538" s="1" t="str">
        <f>INDEX(MCC_Lookup!$B$2:$B$12,MATCH(G538,MCC_Lookup!$A$2:$A$12,0))</f>
        <v>Lodging</v>
      </c>
      <c r="N538" s="1" t="str">
        <f>IF(TRIM(H538)="","BLANK",IF(PROPER(TRIM(H538))=TRIM(M538),"MATCH","MISMATCH"))</f>
        <v>MATCH</v>
      </c>
      <c r="O538" s="5" t="str">
        <f>INDEX([1]Employee!$C$2:$C$276,MATCH(B538,[1]Employee!$A$2:$A$276,0))</f>
        <v>Customer Support</v>
      </c>
    </row>
    <row r="539" spans="1:15">
      <c r="A539" s="1" t="s">
        <v>1288</v>
      </c>
      <c r="B539" s="1" t="s">
        <v>661</v>
      </c>
      <c r="C539" s="1" t="s">
        <v>1289</v>
      </c>
      <c r="D539" s="2">
        <v>46056</v>
      </c>
      <c r="E539" s="2">
        <v>46056</v>
      </c>
      <c r="F539" s="1" t="s">
        <v>37</v>
      </c>
      <c r="G539" s="1" t="s">
        <v>4</v>
      </c>
      <c r="H539" s="1" t="s">
        <v>5</v>
      </c>
      <c r="I539" s="7">
        <v>458.57</v>
      </c>
      <c r="J539" s="1" t="s">
        <v>38</v>
      </c>
      <c r="K539" s="1"/>
      <c r="L539" s="1" t="s">
        <v>39</v>
      </c>
      <c r="M539" s="1" t="str">
        <f>INDEX(MCC_Lookup!$B$2:$B$12,MATCH(G539,MCC_Lookup!$A$2:$A$12,0))</f>
        <v>Travel</v>
      </c>
      <c r="N539" s="1" t="str">
        <f>IF(TRIM(H539)="","BLANK",IF(PROPER(TRIM(H539))=TRIM(M539),"MATCH","MISMATCH"))</f>
        <v>MATCH</v>
      </c>
      <c r="O539" s="5" t="str">
        <f>INDEX([1]Employee!$C$2:$C$276,MATCH(B539,[1]Employee!$A$2:$A$276,0))</f>
        <v>Sales &amp; Marketing</v>
      </c>
    </row>
    <row r="540" spans="1:15">
      <c r="A540" s="1" t="s">
        <v>1290</v>
      </c>
      <c r="B540" s="1" t="s">
        <v>300</v>
      </c>
      <c r="C540" s="1" t="s">
        <v>1291</v>
      </c>
      <c r="D540" s="2">
        <v>46053</v>
      </c>
      <c r="E540" s="2">
        <v>46056</v>
      </c>
      <c r="F540" s="1" t="s">
        <v>83</v>
      </c>
      <c r="G540" s="1" t="s">
        <v>2</v>
      </c>
      <c r="H540" s="1" t="s">
        <v>3</v>
      </c>
      <c r="I540" s="7">
        <v>28.66</v>
      </c>
      <c r="J540" s="1" t="s">
        <v>38</v>
      </c>
      <c r="K540" s="1"/>
      <c r="L540" s="1" t="s">
        <v>39</v>
      </c>
      <c r="M540" s="1" t="str">
        <f>INDEX(MCC_Lookup!$B$2:$B$12,MATCH(G540,MCC_Lookup!$A$2:$A$12,0))</f>
        <v>Meals</v>
      </c>
      <c r="N540" s="1" t="str">
        <f>IF(TRIM(H540)="","BLANK",IF(PROPER(TRIM(H540))=TRIM(M540),"MATCH","MISMATCH"))</f>
        <v>MATCH</v>
      </c>
      <c r="O540" s="5" t="str">
        <f>INDEX([1]Employee!$C$2:$C$276,MATCH(B540,[1]Employee!$A$2:$A$276,0))</f>
        <v>Sales &amp; Marketing</v>
      </c>
    </row>
    <row r="541" spans="1:15">
      <c r="A541" s="1" t="s">
        <v>1292</v>
      </c>
      <c r="B541" s="1" t="s">
        <v>542</v>
      </c>
      <c r="C541" s="1"/>
      <c r="D541" s="2">
        <v>46052</v>
      </c>
      <c r="E541" s="2">
        <v>46056</v>
      </c>
      <c r="F541" s="1" t="s">
        <v>99</v>
      </c>
      <c r="G541" s="1" t="s">
        <v>2</v>
      </c>
      <c r="H541" s="1" t="s">
        <v>3</v>
      </c>
      <c r="I541" s="7">
        <v>57.93</v>
      </c>
      <c r="J541" s="1" t="s">
        <v>111</v>
      </c>
      <c r="K541" s="1" t="s">
        <v>161</v>
      </c>
      <c r="L541" s="1" t="s">
        <v>39</v>
      </c>
      <c r="M541" s="1" t="str">
        <f>INDEX(MCC_Lookup!$B$2:$B$12,MATCH(G541,MCC_Lookup!$A$2:$A$12,0))</f>
        <v>Meals</v>
      </c>
      <c r="N541" s="1" t="str">
        <f>IF(TRIM(H541)="","BLANK",IF(PROPER(TRIM(H541))=TRIM(M541),"MATCH","MISMATCH"))</f>
        <v>MATCH</v>
      </c>
      <c r="O541" s="5" t="str">
        <f>INDEX([1]Employee!$C$2:$C$276,MATCH(B541,[1]Employee!$A$2:$A$276,0))</f>
        <v>Underwriting</v>
      </c>
    </row>
    <row r="542" spans="1:15">
      <c r="A542" s="1" t="s">
        <v>1293</v>
      </c>
      <c r="B542" s="1" t="s">
        <v>608</v>
      </c>
      <c r="C542" s="1"/>
      <c r="D542" s="2">
        <v>46056</v>
      </c>
      <c r="E542" s="2">
        <v>46056</v>
      </c>
      <c r="F542" s="1" t="s">
        <v>109</v>
      </c>
      <c r="G542" s="1" t="s">
        <v>18</v>
      </c>
      <c r="H542" s="1" t="s">
        <v>19</v>
      </c>
      <c r="I542" s="7">
        <v>143.33000000000001</v>
      </c>
      <c r="J542" s="1" t="s">
        <v>38</v>
      </c>
      <c r="K542" s="1"/>
      <c r="L542" s="1" t="s">
        <v>39</v>
      </c>
      <c r="M542" s="1" t="str">
        <f>INDEX(MCC_Lookup!$B$2:$B$12,MATCH(G542,MCC_Lookup!$A$2:$A$12,0))</f>
        <v>Events</v>
      </c>
      <c r="N542" s="1" t="str">
        <f>IF(TRIM(H542)="","BLANK",IF(PROPER(TRIM(H542))=TRIM(M542),"MATCH","MISMATCH"))</f>
        <v>MATCH</v>
      </c>
      <c r="O542" s="5" t="str">
        <f>INDEX([1]Employee!$C$2:$C$276,MATCH(B542,[1]Employee!$A$2:$A$276,0))</f>
        <v>IT &amp; Platform Engineering</v>
      </c>
    </row>
    <row r="543" spans="1:15">
      <c r="A543" s="1" t="s">
        <v>1294</v>
      </c>
      <c r="B543" s="1" t="s">
        <v>210</v>
      </c>
      <c r="C543" s="1" t="s">
        <v>1295</v>
      </c>
      <c r="D543" s="2">
        <v>46055</v>
      </c>
      <c r="E543" s="2">
        <v>46056</v>
      </c>
      <c r="F543" s="1" t="s">
        <v>160</v>
      </c>
      <c r="G543" s="1" t="s">
        <v>6</v>
      </c>
      <c r="H543" s="1" t="s">
        <v>7</v>
      </c>
      <c r="I543" s="7">
        <v>471.62</v>
      </c>
      <c r="J543" s="1" t="s">
        <v>38</v>
      </c>
      <c r="K543" s="1"/>
      <c r="L543" s="1" t="s">
        <v>39</v>
      </c>
      <c r="M543" s="1" t="str">
        <f>INDEX(MCC_Lookup!$B$2:$B$12,MATCH(G543,MCC_Lookup!$A$2:$A$12,0))</f>
        <v>Lodging</v>
      </c>
      <c r="N543" s="1" t="str">
        <f>IF(TRIM(H543)="","BLANK",IF(PROPER(TRIM(H543))=TRIM(M543),"MATCH","MISMATCH"))</f>
        <v>MATCH</v>
      </c>
      <c r="O543" s="5" t="str">
        <f>INDEX([1]Employee!$C$2:$C$276,MATCH(B543,[1]Employee!$A$2:$A$276,0))</f>
        <v>Sales &amp; Marketing</v>
      </c>
    </row>
    <row r="544" spans="1:15">
      <c r="A544" s="1" t="s">
        <v>1296</v>
      </c>
      <c r="B544" s="1" t="s">
        <v>991</v>
      </c>
      <c r="C544" s="1" t="s">
        <v>1297</v>
      </c>
      <c r="D544" s="2">
        <v>46052</v>
      </c>
      <c r="E544" s="2">
        <v>46056</v>
      </c>
      <c r="F544" s="1" t="s">
        <v>120</v>
      </c>
      <c r="G544" s="1" t="s">
        <v>12</v>
      </c>
      <c r="H544" s="1" t="s">
        <v>11</v>
      </c>
      <c r="I544" s="7">
        <v>410.04</v>
      </c>
      <c r="J544" s="1" t="s">
        <v>38</v>
      </c>
      <c r="K544" s="1"/>
      <c r="L544" s="1" t="s">
        <v>39</v>
      </c>
      <c r="M544" s="1" t="str">
        <f>INDEX(MCC_Lookup!$B$2:$B$12,MATCH(G544,MCC_Lookup!$A$2:$A$12,0))</f>
        <v>Office Supplies</v>
      </c>
      <c r="N544" s="1" t="str">
        <f>IF(TRIM(H544)="","BLANK",IF(PROPER(TRIM(H544))=TRIM(M544),"MATCH","MISMATCH"))</f>
        <v>MATCH</v>
      </c>
      <c r="O544" s="5" t="str">
        <f>INDEX([1]Employee!$C$2:$C$276,MATCH(B544,[1]Employee!$A$2:$A$276,0))</f>
        <v>Claims</v>
      </c>
    </row>
    <row r="545" spans="1:15">
      <c r="A545" s="1" t="s">
        <v>1298</v>
      </c>
      <c r="B545" s="1" t="s">
        <v>453</v>
      </c>
      <c r="C545" s="1" t="s">
        <v>1299</v>
      </c>
      <c r="D545" s="2">
        <v>46049</v>
      </c>
      <c r="E545" s="2">
        <v>46056</v>
      </c>
      <c r="F545" s="1" t="s">
        <v>99</v>
      </c>
      <c r="G545" s="1" t="s">
        <v>2</v>
      </c>
      <c r="H545" s="1" t="s">
        <v>3</v>
      </c>
      <c r="I545" s="7">
        <v>88.94</v>
      </c>
      <c r="J545" s="1" t="s">
        <v>38</v>
      </c>
      <c r="K545" s="1"/>
      <c r="L545" s="1" t="s">
        <v>39</v>
      </c>
      <c r="M545" s="1" t="str">
        <f>INDEX(MCC_Lookup!$B$2:$B$12,MATCH(G545,MCC_Lookup!$A$2:$A$12,0))</f>
        <v>Meals</v>
      </c>
      <c r="N545" s="1" t="str">
        <f>IF(TRIM(H545)="","BLANK",IF(PROPER(TRIM(H545))=TRIM(M545),"MATCH","MISMATCH"))</f>
        <v>MATCH</v>
      </c>
      <c r="O545" s="5" t="str">
        <f>INDEX([1]Employee!$C$2:$C$276,MATCH(B545,[1]Employee!$A$2:$A$276,0))</f>
        <v>IT &amp; Platform Engineering</v>
      </c>
    </row>
    <row r="546" spans="1:15">
      <c r="A546" s="1" t="s">
        <v>1300</v>
      </c>
      <c r="B546" s="1" t="s">
        <v>515</v>
      </c>
      <c r="C546" s="1"/>
      <c r="D546" s="2">
        <v>46052</v>
      </c>
      <c r="E546" s="2">
        <v>46056</v>
      </c>
      <c r="F546" s="1" t="s">
        <v>76</v>
      </c>
      <c r="G546" s="1" t="s">
        <v>13</v>
      </c>
      <c r="H546" s="1" t="s">
        <v>16</v>
      </c>
      <c r="I546" s="7">
        <v>410.91</v>
      </c>
      <c r="J546" s="1" t="s">
        <v>111</v>
      </c>
      <c r="K546" s="1" t="s">
        <v>161</v>
      </c>
      <c r="L546" s="1" t="s">
        <v>39</v>
      </c>
      <c r="M546" s="1" t="str">
        <f>INDEX(MCC_Lookup!$B$2:$B$12,MATCH(G546,MCC_Lookup!$A$2:$A$12,0))</f>
        <v>Software</v>
      </c>
      <c r="N546" s="1" t="str">
        <f>IF(TRIM(H546)="","BLANK",IF(PROPER(TRIM(H546))=TRIM(M546),"MATCH","MISMATCH"))</f>
        <v>MISMATCH</v>
      </c>
      <c r="O546" s="5" t="str">
        <f>INDEX([1]Employee!$C$2:$C$276,MATCH(B546,[1]Employee!$A$2:$A$276,0))</f>
        <v>Actuarial &amp; Risk</v>
      </c>
    </row>
    <row r="547" spans="1:15">
      <c r="A547" s="1" t="s">
        <v>1301</v>
      </c>
      <c r="B547" s="1" t="s">
        <v>1302</v>
      </c>
      <c r="C547" s="1" t="s">
        <v>1303</v>
      </c>
      <c r="D547" s="2">
        <v>46053</v>
      </c>
      <c r="E547" s="2">
        <v>46056</v>
      </c>
      <c r="F547" s="1" t="s">
        <v>47</v>
      </c>
      <c r="G547" s="1" t="s">
        <v>6</v>
      </c>
      <c r="H547" s="1" t="s">
        <v>7</v>
      </c>
      <c r="I547" s="7">
        <v>153.06</v>
      </c>
      <c r="J547" s="1" t="s">
        <v>38</v>
      </c>
      <c r="K547" s="1"/>
      <c r="L547" s="1" t="s">
        <v>48</v>
      </c>
      <c r="M547" s="1" t="str">
        <f>INDEX(MCC_Lookup!$B$2:$B$12,MATCH(G547,MCC_Lookup!$A$2:$A$12,0))</f>
        <v>Lodging</v>
      </c>
      <c r="N547" s="1" t="str">
        <f>IF(TRIM(H547)="","BLANK",IF(PROPER(TRIM(H547))=TRIM(M547),"MATCH","MISMATCH"))</f>
        <v>MATCH</v>
      </c>
      <c r="O547" s="5" t="str">
        <f>INDEX([1]Employee!$C$2:$C$276,MATCH(B547,[1]Employee!$A$2:$A$276,0))</f>
        <v>HR &amp; Events</v>
      </c>
    </row>
    <row r="548" spans="1:15">
      <c r="A548" s="1" t="s">
        <v>1304</v>
      </c>
      <c r="B548" s="1" t="s">
        <v>41</v>
      </c>
      <c r="C548" s="1" t="s">
        <v>1305</v>
      </c>
      <c r="D548" s="2">
        <v>46056</v>
      </c>
      <c r="E548" s="2">
        <v>46056</v>
      </c>
      <c r="F548" s="1" t="s">
        <v>109</v>
      </c>
      <c r="G548" s="1" t="s">
        <v>18</v>
      </c>
      <c r="H548" s="1"/>
      <c r="I548" s="7">
        <v>116.13</v>
      </c>
      <c r="J548" s="1" t="s">
        <v>38</v>
      </c>
      <c r="K548" s="1"/>
      <c r="L548" s="1" t="s">
        <v>39</v>
      </c>
      <c r="M548" s="1" t="str">
        <f>INDEX(MCC_Lookup!$B$2:$B$12,MATCH(G548,MCC_Lookup!$A$2:$A$12,0))</f>
        <v>Events</v>
      </c>
      <c r="N548" s="1" t="str">
        <f>IF(TRIM(H548)="","BLANK",IF(PROPER(TRIM(H548))=TRIM(M548),"MATCH","MISMATCH"))</f>
        <v>BLANK</v>
      </c>
      <c r="O548" s="5" t="str">
        <f>INDEX([1]Employee!$C$2:$C$276,MATCH(B548,[1]Employee!$A$2:$A$276,0))</f>
        <v>Sales &amp; Marketing</v>
      </c>
    </row>
    <row r="549" spans="1:15">
      <c r="A549" s="1" t="s">
        <v>1306</v>
      </c>
      <c r="B549" s="1" t="s">
        <v>146</v>
      </c>
      <c r="C549" s="1" t="s">
        <v>1307</v>
      </c>
      <c r="D549" s="2">
        <v>46057</v>
      </c>
      <c r="E549" s="2">
        <v>46057</v>
      </c>
      <c r="F549" s="1" t="s">
        <v>52</v>
      </c>
      <c r="G549" s="1" t="s">
        <v>15</v>
      </c>
      <c r="H549" s="1" t="s">
        <v>16</v>
      </c>
      <c r="I549" s="7">
        <v>59.92</v>
      </c>
      <c r="J549" s="1" t="s">
        <v>38</v>
      </c>
      <c r="K549" s="1"/>
      <c r="L549" s="1" t="s">
        <v>39</v>
      </c>
      <c r="M549" s="1" t="str">
        <f>INDEX(MCC_Lookup!$B$2:$B$12,MATCH(G549,MCC_Lookup!$A$2:$A$12,0))</f>
        <v>Entertainment</v>
      </c>
      <c r="N549" s="1" t="str">
        <f>IF(TRIM(H549)="","BLANK",IF(PROPER(TRIM(H549))=TRIM(M549),"MATCH","MISMATCH"))</f>
        <v>MATCH</v>
      </c>
      <c r="O549" s="5" t="str">
        <f>INDEX([1]Employee!$C$2:$C$276,MATCH(B549,[1]Employee!$A$2:$A$276,0))</f>
        <v>HR &amp; Events</v>
      </c>
    </row>
    <row r="550" spans="1:15">
      <c r="A550" s="1" t="s">
        <v>1308</v>
      </c>
      <c r="B550" s="1" t="s">
        <v>593</v>
      </c>
      <c r="C550" s="1" t="s">
        <v>1309</v>
      </c>
      <c r="D550" s="2">
        <v>46053</v>
      </c>
      <c r="E550" s="2">
        <v>46057</v>
      </c>
      <c r="F550" s="1" t="s">
        <v>76</v>
      </c>
      <c r="G550" s="1" t="s">
        <v>13</v>
      </c>
      <c r="H550" s="1" t="s">
        <v>14</v>
      </c>
      <c r="I550" s="7">
        <v>596.85</v>
      </c>
      <c r="J550" s="1" t="s">
        <v>38</v>
      </c>
      <c r="K550" s="1"/>
      <c r="L550" s="1" t="s">
        <v>39</v>
      </c>
      <c r="M550" s="1" t="str">
        <f>INDEX(MCC_Lookup!$B$2:$B$12,MATCH(G550,MCC_Lookup!$A$2:$A$12,0))</f>
        <v>Software</v>
      </c>
      <c r="N550" s="1" t="str">
        <f>IF(TRIM(H550)="","BLANK",IF(PROPER(TRIM(H550))=TRIM(M550),"MATCH","MISMATCH"))</f>
        <v>MATCH</v>
      </c>
      <c r="O550" s="5" t="str">
        <f>INDEX([1]Employee!$C$2:$C$276,MATCH(B550,[1]Employee!$A$2:$A$276,0))</f>
        <v>Sales &amp; Marketing</v>
      </c>
    </row>
    <row r="551" spans="1:15">
      <c r="A551" s="1" t="s">
        <v>1310</v>
      </c>
      <c r="B551" s="1" t="s">
        <v>947</v>
      </c>
      <c r="C551" s="1" t="s">
        <v>1311</v>
      </c>
      <c r="D551" s="2">
        <v>46051</v>
      </c>
      <c r="E551" s="2">
        <v>46057</v>
      </c>
      <c r="F551" s="1" t="s">
        <v>106</v>
      </c>
      <c r="G551" s="1" t="s">
        <v>13</v>
      </c>
      <c r="H551" s="1" t="s">
        <v>7</v>
      </c>
      <c r="I551" s="7">
        <v>220.85</v>
      </c>
      <c r="J551" s="1" t="s">
        <v>38</v>
      </c>
      <c r="K551" s="1"/>
      <c r="L551" s="1" t="s">
        <v>39</v>
      </c>
      <c r="M551" s="1" t="str">
        <f>INDEX(MCC_Lookup!$B$2:$B$12,MATCH(G551,MCC_Lookup!$A$2:$A$12,0))</f>
        <v>Software</v>
      </c>
      <c r="N551" s="1" t="str">
        <f>IF(TRIM(H551)="","BLANK",IF(PROPER(TRIM(H551))=TRIM(M551),"MATCH","MISMATCH"))</f>
        <v>MISMATCH</v>
      </c>
      <c r="O551" s="5" t="str">
        <f>INDEX([1]Employee!$C$2:$C$276,MATCH(B551,[1]Employee!$A$2:$A$276,0))</f>
        <v>Sales &amp; Marketing</v>
      </c>
    </row>
    <row r="552" spans="1:15">
      <c r="A552" s="1" t="s">
        <v>1312</v>
      </c>
      <c r="B552" s="1" t="s">
        <v>97</v>
      </c>
      <c r="C552" s="1" t="s">
        <v>1313</v>
      </c>
      <c r="D552" s="2">
        <v>46053</v>
      </c>
      <c r="E552" s="2">
        <v>46057</v>
      </c>
      <c r="F552" s="1" t="s">
        <v>124</v>
      </c>
      <c r="G552" s="1" t="s">
        <v>17</v>
      </c>
      <c r="H552" s="1" t="s">
        <v>16</v>
      </c>
      <c r="I552" s="7">
        <v>207.25</v>
      </c>
      <c r="J552" s="1" t="s">
        <v>38</v>
      </c>
      <c r="K552" s="1"/>
      <c r="L552" s="1" t="s">
        <v>39</v>
      </c>
      <c r="M552" s="1" t="str">
        <f>INDEX(MCC_Lookup!$B$2:$B$12,MATCH(G552,MCC_Lookup!$A$2:$A$12,0))</f>
        <v>Entertainment</v>
      </c>
      <c r="N552" s="1" t="str">
        <f>IF(TRIM(H552)="","BLANK",IF(PROPER(TRIM(H552))=TRIM(M552),"MATCH","MISMATCH"))</f>
        <v>MATCH</v>
      </c>
      <c r="O552" s="5" t="str">
        <f>INDEX([1]Employee!$C$2:$C$276,MATCH(B552,[1]Employee!$A$2:$A$276,0))</f>
        <v>Sales &amp; Marketing</v>
      </c>
    </row>
    <row r="553" spans="1:15">
      <c r="A553" s="1" t="s">
        <v>1314</v>
      </c>
      <c r="B553" s="1" t="s">
        <v>991</v>
      </c>
      <c r="C553" s="1"/>
      <c r="D553" s="2">
        <v>46050</v>
      </c>
      <c r="E553" s="2">
        <v>46057</v>
      </c>
      <c r="F553" s="1" t="s">
        <v>305</v>
      </c>
      <c r="G553" s="1" t="s">
        <v>2</v>
      </c>
      <c r="H553" s="1" t="s">
        <v>3</v>
      </c>
      <c r="I553" s="7">
        <v>15.96</v>
      </c>
      <c r="J553" s="1" t="s">
        <v>111</v>
      </c>
      <c r="K553" s="1" t="s">
        <v>112</v>
      </c>
      <c r="L553" s="1" t="s">
        <v>39</v>
      </c>
      <c r="M553" s="1" t="str">
        <f>INDEX(MCC_Lookup!$B$2:$B$12,MATCH(G553,MCC_Lookup!$A$2:$A$12,0))</f>
        <v>Meals</v>
      </c>
      <c r="N553" s="1" t="str">
        <f>IF(TRIM(H553)="","BLANK",IF(PROPER(TRIM(H553))=TRIM(M553),"MATCH","MISMATCH"))</f>
        <v>MATCH</v>
      </c>
      <c r="O553" s="5" t="str">
        <f>INDEX([1]Employee!$C$2:$C$276,MATCH(B553,[1]Employee!$A$2:$A$276,0))</f>
        <v>Claims</v>
      </c>
    </row>
    <row r="554" spans="1:15">
      <c r="A554" s="1" t="s">
        <v>1315</v>
      </c>
      <c r="B554" s="1" t="s">
        <v>108</v>
      </c>
      <c r="C554" s="1" t="s">
        <v>1316</v>
      </c>
      <c r="D554" s="2">
        <v>46048</v>
      </c>
      <c r="E554" s="2">
        <v>46057</v>
      </c>
      <c r="F554" s="1" t="s">
        <v>173</v>
      </c>
      <c r="G554" s="1" t="s">
        <v>2</v>
      </c>
      <c r="H554" s="1" t="s">
        <v>3</v>
      </c>
      <c r="I554" s="7">
        <v>40.32</v>
      </c>
      <c r="J554" s="1" t="s">
        <v>38</v>
      </c>
      <c r="K554" s="1"/>
      <c r="L554" s="1" t="s">
        <v>39</v>
      </c>
      <c r="M554" s="1" t="str">
        <f>INDEX(MCC_Lookup!$B$2:$B$12,MATCH(G554,MCC_Lookup!$A$2:$A$12,0))</f>
        <v>Meals</v>
      </c>
      <c r="N554" s="1" t="str">
        <f>IF(TRIM(H554)="","BLANK",IF(PROPER(TRIM(H554))=TRIM(M554),"MATCH","MISMATCH"))</f>
        <v>MATCH</v>
      </c>
      <c r="O554" s="5" t="str">
        <f>INDEX([1]Employee!$C$2:$C$276,MATCH(B554,[1]Employee!$A$2:$A$276,0))</f>
        <v>Sales &amp; Marketing</v>
      </c>
    </row>
    <row r="555" spans="1:15">
      <c r="A555" s="1" t="s">
        <v>1317</v>
      </c>
      <c r="B555" s="1" t="s">
        <v>575</v>
      </c>
      <c r="C555" s="1" t="s">
        <v>1318</v>
      </c>
      <c r="D555" s="2">
        <v>46057</v>
      </c>
      <c r="E555" s="2">
        <v>46057</v>
      </c>
      <c r="F555" s="1" t="s">
        <v>120</v>
      </c>
      <c r="G555" s="1" t="s">
        <v>12</v>
      </c>
      <c r="H555" s="1" t="s">
        <v>11</v>
      </c>
      <c r="I555" s="7">
        <v>161.76</v>
      </c>
      <c r="J555" s="1" t="s">
        <v>38</v>
      </c>
      <c r="K555" s="1"/>
      <c r="L555" s="1" t="s">
        <v>39</v>
      </c>
      <c r="M555" s="1" t="str">
        <f>INDEX(MCC_Lookup!$B$2:$B$12,MATCH(G555,MCC_Lookup!$A$2:$A$12,0))</f>
        <v>Office Supplies</v>
      </c>
      <c r="N555" s="1" t="str">
        <f>IF(TRIM(H555)="","BLANK",IF(PROPER(TRIM(H555))=TRIM(M555),"MATCH","MISMATCH"))</f>
        <v>MATCH</v>
      </c>
      <c r="O555" s="5" t="str">
        <f>INDEX([1]Employee!$C$2:$C$276,MATCH(B555,[1]Employee!$A$2:$A$276,0))</f>
        <v>Underwriting</v>
      </c>
    </row>
    <row r="556" spans="1:15">
      <c r="A556" s="1" t="s">
        <v>1319</v>
      </c>
      <c r="B556" s="1" t="s">
        <v>227</v>
      </c>
      <c r="C556" s="1" t="s">
        <v>1320</v>
      </c>
      <c r="D556" s="2">
        <v>46052</v>
      </c>
      <c r="E556" s="2">
        <v>46057</v>
      </c>
      <c r="F556" s="1" t="s">
        <v>43</v>
      </c>
      <c r="G556" s="1" t="s">
        <v>2</v>
      </c>
      <c r="H556" s="1"/>
      <c r="I556" s="7">
        <v>9.7100000000000009</v>
      </c>
      <c r="J556" s="1" t="s">
        <v>38</v>
      </c>
      <c r="K556" s="1"/>
      <c r="L556" s="1" t="s">
        <v>39</v>
      </c>
      <c r="M556" s="1" t="str">
        <f>INDEX(MCC_Lookup!$B$2:$B$12,MATCH(G556,MCC_Lookup!$A$2:$A$12,0))</f>
        <v>Meals</v>
      </c>
      <c r="N556" s="1" t="str">
        <f>IF(TRIM(H556)="","BLANK",IF(PROPER(TRIM(H556))=TRIM(M556),"MATCH","MISMATCH"))</f>
        <v>BLANK</v>
      </c>
      <c r="O556" s="5" t="str">
        <f>INDEX([1]Employee!$C$2:$C$276,MATCH(B556,[1]Employee!$A$2:$A$276,0))</f>
        <v>Claims</v>
      </c>
    </row>
    <row r="557" spans="1:15">
      <c r="A557" s="1" t="s">
        <v>1321</v>
      </c>
      <c r="B557" s="1" t="s">
        <v>490</v>
      </c>
      <c r="C557" s="1"/>
      <c r="D557" s="2">
        <v>46057</v>
      </c>
      <c r="E557" s="2">
        <v>46057</v>
      </c>
      <c r="F557" s="1" t="s">
        <v>305</v>
      </c>
      <c r="G557" s="1" t="s">
        <v>2</v>
      </c>
      <c r="H557" s="1" t="s">
        <v>3</v>
      </c>
      <c r="I557" s="7">
        <v>6.99</v>
      </c>
      <c r="J557" s="1" t="s">
        <v>38</v>
      </c>
      <c r="K557" s="1"/>
      <c r="L557" s="1" t="s">
        <v>39</v>
      </c>
      <c r="M557" s="1" t="str">
        <f>INDEX(MCC_Lookup!$B$2:$B$12,MATCH(G557,MCC_Lookup!$A$2:$A$12,0))</f>
        <v>Meals</v>
      </c>
      <c r="N557" s="1" t="str">
        <f>IF(TRIM(H557)="","BLANK",IF(PROPER(TRIM(H557))=TRIM(M557),"MATCH","MISMATCH"))</f>
        <v>MATCH</v>
      </c>
      <c r="O557" s="5" t="str">
        <f>INDEX([1]Employee!$C$2:$C$276,MATCH(B557,[1]Employee!$A$2:$A$276,0))</f>
        <v>Actuarial &amp; Risk</v>
      </c>
    </row>
    <row r="558" spans="1:15">
      <c r="A558" s="1" t="s">
        <v>1322</v>
      </c>
      <c r="B558" s="1" t="s">
        <v>250</v>
      </c>
      <c r="C558" s="1" t="s">
        <v>1323</v>
      </c>
      <c r="D558" s="2">
        <v>46050</v>
      </c>
      <c r="E558" s="2">
        <v>46057</v>
      </c>
      <c r="F558" s="1" t="s">
        <v>92</v>
      </c>
      <c r="G558" s="1" t="s">
        <v>10</v>
      </c>
      <c r="H558" s="1" t="s">
        <v>11</v>
      </c>
      <c r="I558" s="7">
        <v>178.45</v>
      </c>
      <c r="J558" s="1" t="s">
        <v>38</v>
      </c>
      <c r="K558" s="1"/>
      <c r="L558" s="1" t="s">
        <v>39</v>
      </c>
      <c r="M558" s="1" t="str">
        <f>INDEX(MCC_Lookup!$B$2:$B$12,MATCH(G558,MCC_Lookup!$A$2:$A$12,0))</f>
        <v>Office Supplies</v>
      </c>
      <c r="N558" s="1" t="str">
        <f>IF(TRIM(H558)="","BLANK",IF(PROPER(TRIM(H558))=TRIM(M558),"MATCH","MISMATCH"))</f>
        <v>MATCH</v>
      </c>
      <c r="O558" s="5" t="str">
        <f>INDEX([1]Employee!$C$2:$C$276,MATCH(B558,[1]Employee!$A$2:$A$276,0))</f>
        <v>Sales &amp; Marketing</v>
      </c>
    </row>
    <row r="559" spans="1:15">
      <c r="A559" s="1" t="s">
        <v>1324</v>
      </c>
      <c r="B559" s="1" t="s">
        <v>413</v>
      </c>
      <c r="C559" s="1" t="s">
        <v>1325</v>
      </c>
      <c r="D559" s="2">
        <v>46053</v>
      </c>
      <c r="E559" s="2">
        <v>46057</v>
      </c>
      <c r="F559" s="1" t="s">
        <v>37</v>
      </c>
      <c r="G559" s="1" t="s">
        <v>4</v>
      </c>
      <c r="H559" s="1" t="s">
        <v>714</v>
      </c>
      <c r="I559" s="7">
        <v>462.12</v>
      </c>
      <c r="J559" s="1" t="s">
        <v>38</v>
      </c>
      <c r="K559" s="1"/>
      <c r="L559" s="1" t="s">
        <v>39</v>
      </c>
      <c r="M559" s="1" t="str">
        <f>INDEX(MCC_Lookup!$B$2:$B$12,MATCH(G559,MCC_Lookup!$A$2:$A$12,0))</f>
        <v>Travel</v>
      </c>
      <c r="N559" s="1" t="str">
        <f>IF(TRIM(H559)="","BLANK",IF(PROPER(TRIM(H559))=TRIM(M559),"MATCH","MISMATCH"))</f>
        <v>MATCH</v>
      </c>
      <c r="O559" s="5" t="str">
        <f>INDEX([1]Employee!$C$2:$C$276,MATCH(B559,[1]Employee!$A$2:$A$276,0))</f>
        <v>Claims</v>
      </c>
    </row>
    <row r="560" spans="1:15">
      <c r="A560" s="1" t="s">
        <v>1326</v>
      </c>
      <c r="B560" s="1" t="s">
        <v>35</v>
      </c>
      <c r="C560" s="1" t="s">
        <v>1327</v>
      </c>
      <c r="D560" s="2">
        <v>46049</v>
      </c>
      <c r="E560" s="2">
        <v>46057</v>
      </c>
      <c r="F560" s="1" t="s">
        <v>259</v>
      </c>
      <c r="G560" s="1" t="s">
        <v>20</v>
      </c>
      <c r="H560" s="1" t="s">
        <v>19</v>
      </c>
      <c r="I560" s="7">
        <v>367.25</v>
      </c>
      <c r="J560" s="1" t="s">
        <v>38</v>
      </c>
      <c r="K560" s="1"/>
      <c r="L560" s="1" t="s">
        <v>39</v>
      </c>
      <c r="M560" s="1" t="str">
        <f>INDEX(MCC_Lookup!$B$2:$B$12,MATCH(G560,MCC_Lookup!$A$2:$A$12,0))</f>
        <v>Events</v>
      </c>
      <c r="N560" s="1" t="str">
        <f>IF(TRIM(H560)="","BLANK",IF(PROPER(TRIM(H560))=TRIM(M560),"MATCH","MISMATCH"))</f>
        <v>MATCH</v>
      </c>
      <c r="O560" s="5" t="str">
        <f>INDEX([1]Employee!$C$2:$C$276,MATCH(B560,[1]Employee!$A$2:$A$276,0))</f>
        <v>Sales &amp; Marketing</v>
      </c>
    </row>
    <row r="561" spans="1:15">
      <c r="A561" s="1" t="s">
        <v>1328</v>
      </c>
      <c r="B561" s="1" t="s">
        <v>196</v>
      </c>
      <c r="C561" s="1" t="s">
        <v>1329</v>
      </c>
      <c r="D561" s="2">
        <v>46054</v>
      </c>
      <c r="E561" s="2">
        <v>46057</v>
      </c>
      <c r="F561" s="1" t="s">
        <v>47</v>
      </c>
      <c r="G561" s="1" t="s">
        <v>6</v>
      </c>
      <c r="H561" s="1"/>
      <c r="I561" s="7">
        <v>352.52</v>
      </c>
      <c r="J561" s="1" t="s">
        <v>38</v>
      </c>
      <c r="K561" s="1"/>
      <c r="L561" s="1" t="s">
        <v>39</v>
      </c>
      <c r="M561" s="1" t="str">
        <f>INDEX(MCC_Lookup!$B$2:$B$12,MATCH(G561,MCC_Lookup!$A$2:$A$12,0))</f>
        <v>Lodging</v>
      </c>
      <c r="N561" s="1" t="str">
        <f>IF(TRIM(H561)="","BLANK",IF(PROPER(TRIM(H561))=TRIM(M561),"MATCH","MISMATCH"))</f>
        <v>BLANK</v>
      </c>
      <c r="O561" s="5" t="str">
        <f>INDEX([1]Employee!$C$2:$C$276,MATCH(B561,[1]Employee!$A$2:$A$276,0))</f>
        <v>Sales &amp; Marketing</v>
      </c>
    </row>
    <row r="562" spans="1:15">
      <c r="A562" s="1" t="s">
        <v>1330</v>
      </c>
      <c r="B562" s="1" t="s">
        <v>63</v>
      </c>
      <c r="C562" s="1" t="s">
        <v>1331</v>
      </c>
      <c r="D562" s="2">
        <v>46057</v>
      </c>
      <c r="E562" s="2">
        <v>46057</v>
      </c>
      <c r="F562" s="1" t="s">
        <v>92</v>
      </c>
      <c r="G562" s="1" t="s">
        <v>10</v>
      </c>
      <c r="H562" s="1"/>
      <c r="I562" s="7">
        <v>125.32</v>
      </c>
      <c r="J562" s="1" t="s">
        <v>38</v>
      </c>
      <c r="K562" s="1"/>
      <c r="L562" s="1" t="s">
        <v>39</v>
      </c>
      <c r="M562" s="1" t="str">
        <f>INDEX(MCC_Lookup!$B$2:$B$12,MATCH(G562,MCC_Lookup!$A$2:$A$12,0))</f>
        <v>Office Supplies</v>
      </c>
      <c r="N562" s="1" t="str">
        <f>IF(TRIM(H562)="","BLANK",IF(PROPER(TRIM(H562))=TRIM(M562),"MATCH","MISMATCH"))</f>
        <v>BLANK</v>
      </c>
      <c r="O562" s="5" t="str">
        <f>INDEX([1]Employee!$C$2:$C$276,MATCH(B562,[1]Employee!$A$2:$A$276,0))</f>
        <v>Sales &amp; Marketing</v>
      </c>
    </row>
    <row r="563" spans="1:15">
      <c r="A563" s="1" t="s">
        <v>1332</v>
      </c>
      <c r="B563" s="1" t="s">
        <v>231</v>
      </c>
      <c r="C563" s="1" t="s">
        <v>1333</v>
      </c>
      <c r="D563" s="2">
        <v>46047</v>
      </c>
      <c r="E563" s="2">
        <v>46057</v>
      </c>
      <c r="F563" s="1" t="s">
        <v>106</v>
      </c>
      <c r="G563" s="1" t="s">
        <v>13</v>
      </c>
      <c r="H563" s="1" t="s">
        <v>419</v>
      </c>
      <c r="I563" s="7">
        <v>112.11</v>
      </c>
      <c r="J563" s="1" t="s">
        <v>38</v>
      </c>
      <c r="K563" s="1"/>
      <c r="L563" s="1" t="s">
        <v>39</v>
      </c>
      <c r="M563" s="1" t="str">
        <f>INDEX(MCC_Lookup!$B$2:$B$12,MATCH(G563,MCC_Lookup!$A$2:$A$12,0))</f>
        <v>Software</v>
      </c>
      <c r="N563" s="1" t="str">
        <f>IF(TRIM(H563)="","BLANK",IF(PROPER(TRIM(H563))=TRIM(M563),"MATCH","MISMATCH"))</f>
        <v>MATCH</v>
      </c>
      <c r="O563" s="5" t="str">
        <f>INDEX([1]Employee!$C$2:$C$276,MATCH(B563,[1]Employee!$A$2:$A$276,0))</f>
        <v>Finance</v>
      </c>
    </row>
    <row r="564" spans="1:15">
      <c r="A564" s="1" t="s">
        <v>1334</v>
      </c>
      <c r="B564" s="1" t="s">
        <v>314</v>
      </c>
      <c r="C564" s="1"/>
      <c r="D564" s="2">
        <v>46048</v>
      </c>
      <c r="E564" s="2">
        <v>46057</v>
      </c>
      <c r="F564" s="1" t="s">
        <v>242</v>
      </c>
      <c r="G564" s="1" t="s">
        <v>13</v>
      </c>
      <c r="H564" s="1" t="s">
        <v>14</v>
      </c>
      <c r="I564" s="7">
        <v>22.44</v>
      </c>
      <c r="J564" s="1" t="s">
        <v>38</v>
      </c>
      <c r="K564" s="1"/>
      <c r="L564" s="1" t="s">
        <v>39</v>
      </c>
      <c r="M564" s="1" t="str">
        <f>INDEX(MCC_Lookup!$B$2:$B$12,MATCH(G564,MCC_Lookup!$A$2:$A$12,0))</f>
        <v>Software</v>
      </c>
      <c r="N564" s="1" t="str">
        <f>IF(TRIM(H564)="","BLANK",IF(PROPER(TRIM(H564))=TRIM(M564),"MATCH","MISMATCH"))</f>
        <v>MATCH</v>
      </c>
      <c r="O564" s="5" t="str">
        <f>INDEX([1]Employee!$C$2:$C$276,MATCH(B564,[1]Employee!$A$2:$A$276,0))</f>
        <v>Sales &amp; Marketing</v>
      </c>
    </row>
    <row r="565" spans="1:15">
      <c r="A565" s="1" t="s">
        <v>1335</v>
      </c>
      <c r="B565" s="1" t="s">
        <v>407</v>
      </c>
      <c r="C565" s="1" t="s">
        <v>1336</v>
      </c>
      <c r="D565" s="2">
        <v>46057</v>
      </c>
      <c r="E565" s="2">
        <v>46057</v>
      </c>
      <c r="F565" s="1" t="s">
        <v>201</v>
      </c>
      <c r="G565" s="1" t="s">
        <v>4</v>
      </c>
      <c r="H565" s="1" t="s">
        <v>57</v>
      </c>
      <c r="I565" s="7">
        <v>278.89999999999998</v>
      </c>
      <c r="J565" s="1" t="s">
        <v>38</v>
      </c>
      <c r="K565" s="1"/>
      <c r="L565" s="1" t="s">
        <v>39</v>
      </c>
      <c r="M565" s="1" t="str">
        <f>INDEX(MCC_Lookup!$B$2:$B$12,MATCH(G565,MCC_Lookup!$A$2:$A$12,0))</f>
        <v>Travel</v>
      </c>
      <c r="N565" s="1" t="str">
        <f>IF(TRIM(H565)="","BLANK",IF(PROPER(TRIM(H565))=TRIM(M565),"MATCH","MISMATCH"))</f>
        <v>MATCH</v>
      </c>
      <c r="O565" s="5" t="str">
        <f>INDEX([1]Employee!$C$2:$C$276,MATCH(B565,[1]Employee!$A$2:$A$276,0))</f>
        <v>Executive &amp; Corporate</v>
      </c>
    </row>
    <row r="566" spans="1:15">
      <c r="A566" s="1" t="s">
        <v>1337</v>
      </c>
      <c r="B566" s="1" t="s">
        <v>129</v>
      </c>
      <c r="C566" s="1"/>
      <c r="D566" s="2">
        <v>46053</v>
      </c>
      <c r="E566" s="2">
        <v>46057</v>
      </c>
      <c r="F566" s="1" t="s">
        <v>177</v>
      </c>
      <c r="G566" s="1" t="s">
        <v>13</v>
      </c>
      <c r="H566" s="1" t="s">
        <v>14</v>
      </c>
      <c r="I566" s="7">
        <v>20.420000000000002</v>
      </c>
      <c r="J566" s="1" t="s">
        <v>38</v>
      </c>
      <c r="K566" s="1"/>
      <c r="L566" s="1" t="s">
        <v>39</v>
      </c>
      <c r="M566" s="1" t="str">
        <f>INDEX(MCC_Lookup!$B$2:$B$12,MATCH(G566,MCC_Lookup!$A$2:$A$12,0))</f>
        <v>Software</v>
      </c>
      <c r="N566" s="1" t="str">
        <f>IF(TRIM(H566)="","BLANK",IF(PROPER(TRIM(H566))=TRIM(M566),"MATCH","MISMATCH"))</f>
        <v>MATCH</v>
      </c>
      <c r="O566" s="5" t="str">
        <f>INDEX([1]Employee!$C$2:$C$276,MATCH(B566,[1]Employee!$A$2:$A$276,0))</f>
        <v>Sales &amp; Marketing</v>
      </c>
    </row>
    <row r="567" spans="1:15">
      <c r="A567" s="1" t="s">
        <v>1338</v>
      </c>
      <c r="B567" s="1" t="s">
        <v>129</v>
      </c>
      <c r="C567" s="1" t="s">
        <v>1339</v>
      </c>
      <c r="D567" s="2">
        <v>46052</v>
      </c>
      <c r="E567" s="2">
        <v>46057</v>
      </c>
      <c r="F567" s="1" t="s">
        <v>347</v>
      </c>
      <c r="G567" s="1" t="s">
        <v>8</v>
      </c>
      <c r="H567" s="1" t="s">
        <v>9</v>
      </c>
      <c r="I567" s="7">
        <v>18.95</v>
      </c>
      <c r="J567" s="1" t="s">
        <v>38</v>
      </c>
      <c r="K567" s="1"/>
      <c r="L567" s="1" t="s">
        <v>39</v>
      </c>
      <c r="M567" s="1" t="str">
        <f>INDEX(MCC_Lookup!$B$2:$B$12,MATCH(G567,MCC_Lookup!$A$2:$A$12,0))</f>
        <v>Transportation</v>
      </c>
      <c r="N567" s="1" t="str">
        <f>IF(TRIM(H567)="","BLANK",IF(PROPER(TRIM(H567))=TRIM(M567),"MATCH","MISMATCH"))</f>
        <v>MATCH</v>
      </c>
      <c r="O567" s="5" t="str">
        <f>INDEX([1]Employee!$C$2:$C$276,MATCH(B567,[1]Employee!$A$2:$A$276,0))</f>
        <v>Sales &amp; Marketing</v>
      </c>
    </row>
    <row r="568" spans="1:15">
      <c r="A568" s="1" t="s">
        <v>1340</v>
      </c>
      <c r="B568" s="1" t="s">
        <v>1119</v>
      </c>
      <c r="C568" s="1" t="s">
        <v>1341</v>
      </c>
      <c r="D568" s="2">
        <v>46056</v>
      </c>
      <c r="E568" s="2">
        <v>46058</v>
      </c>
      <c r="F568" s="1" t="s">
        <v>83</v>
      </c>
      <c r="G568" s="1" t="s">
        <v>2</v>
      </c>
      <c r="H568" s="1" t="s">
        <v>3</v>
      </c>
      <c r="I568" s="7">
        <v>9.58</v>
      </c>
      <c r="J568" s="1" t="s">
        <v>38</v>
      </c>
      <c r="K568" s="1"/>
      <c r="L568" s="1" t="s">
        <v>48</v>
      </c>
      <c r="M568" s="1" t="str">
        <f>INDEX(MCC_Lookup!$B$2:$B$12,MATCH(G568,MCC_Lookup!$A$2:$A$12,0))</f>
        <v>Meals</v>
      </c>
      <c r="N568" s="1" t="str">
        <f>IF(TRIM(H568)="","BLANK",IF(PROPER(TRIM(H568))=TRIM(M568),"MATCH","MISMATCH"))</f>
        <v>MATCH</v>
      </c>
      <c r="O568" s="5" t="str">
        <f>INDEX([1]Employee!$C$2:$C$276,MATCH(B568,[1]Employee!$A$2:$A$276,0))</f>
        <v>Customer Support</v>
      </c>
    </row>
    <row r="569" spans="1:15">
      <c r="A569" s="1" t="s">
        <v>1342</v>
      </c>
      <c r="B569" s="1" t="s">
        <v>677</v>
      </c>
      <c r="C569" s="1" t="s">
        <v>1343</v>
      </c>
      <c r="D569" s="2">
        <v>46051</v>
      </c>
      <c r="E569" s="2">
        <v>46058</v>
      </c>
      <c r="F569" s="1" t="s">
        <v>76</v>
      </c>
      <c r="G569" s="1" t="s">
        <v>13</v>
      </c>
      <c r="H569" s="1"/>
      <c r="I569" s="7">
        <v>350.39</v>
      </c>
      <c r="J569" s="1" t="s">
        <v>38</v>
      </c>
      <c r="K569" s="1"/>
      <c r="L569" s="1" t="s">
        <v>39</v>
      </c>
      <c r="M569" s="1" t="str">
        <f>INDEX(MCC_Lookup!$B$2:$B$12,MATCH(G569,MCC_Lookup!$A$2:$A$12,0))</f>
        <v>Software</v>
      </c>
      <c r="N569" s="1" t="str">
        <f>IF(TRIM(H569)="","BLANK",IF(PROPER(TRIM(H569))=TRIM(M569),"MATCH","MISMATCH"))</f>
        <v>BLANK</v>
      </c>
      <c r="O569" s="5" t="str">
        <f>INDEX([1]Employee!$C$2:$C$276,MATCH(B569,[1]Employee!$A$2:$A$276,0))</f>
        <v>Sales &amp; Marketing</v>
      </c>
    </row>
    <row r="570" spans="1:15">
      <c r="A570" s="1" t="s">
        <v>1344</v>
      </c>
      <c r="B570" s="1" t="s">
        <v>163</v>
      </c>
      <c r="C570" s="1" t="s">
        <v>1345</v>
      </c>
      <c r="D570" s="2">
        <v>46052</v>
      </c>
      <c r="E570" s="2">
        <v>46058</v>
      </c>
      <c r="F570" s="1" t="s">
        <v>43</v>
      </c>
      <c r="G570" s="1" t="s">
        <v>2</v>
      </c>
      <c r="H570" s="1" t="s">
        <v>3</v>
      </c>
      <c r="I570" s="7">
        <v>9.41</v>
      </c>
      <c r="J570" s="1" t="s">
        <v>38</v>
      </c>
      <c r="K570" s="1"/>
      <c r="L570" s="1" t="s">
        <v>39</v>
      </c>
      <c r="M570" s="1" t="str">
        <f>INDEX(MCC_Lookup!$B$2:$B$12,MATCH(G570,MCC_Lookup!$A$2:$A$12,0))</f>
        <v>Meals</v>
      </c>
      <c r="N570" s="1" t="str">
        <f>IF(TRIM(H570)="","BLANK",IF(PROPER(TRIM(H570))=TRIM(M570),"MATCH","MISMATCH"))</f>
        <v>MATCH</v>
      </c>
      <c r="O570" s="5" t="str">
        <f>INDEX([1]Employee!$C$2:$C$276,MATCH(B570,[1]Employee!$A$2:$A$276,0))</f>
        <v>Customer Support</v>
      </c>
    </row>
    <row r="571" spans="1:15">
      <c r="A571" s="1" t="s">
        <v>1346</v>
      </c>
      <c r="B571" s="1" t="s">
        <v>643</v>
      </c>
      <c r="C571" s="1" t="s">
        <v>1347</v>
      </c>
      <c r="D571" s="2">
        <v>46055</v>
      </c>
      <c r="E571" s="2">
        <v>46058</v>
      </c>
      <c r="F571" s="1" t="s">
        <v>160</v>
      </c>
      <c r="G571" s="1" t="s">
        <v>6</v>
      </c>
      <c r="H571" s="1" t="s">
        <v>7</v>
      </c>
      <c r="I571" s="7">
        <v>405.45</v>
      </c>
      <c r="J571" s="1" t="s">
        <v>38</v>
      </c>
      <c r="K571" s="1"/>
      <c r="L571" s="1" t="s">
        <v>39</v>
      </c>
      <c r="M571" s="1" t="str">
        <f>INDEX(MCC_Lookup!$B$2:$B$12,MATCH(G571,MCC_Lookup!$A$2:$A$12,0))</f>
        <v>Lodging</v>
      </c>
      <c r="N571" s="1" t="str">
        <f>IF(TRIM(H571)="","BLANK",IF(PROPER(TRIM(H571))=TRIM(M571),"MATCH","MISMATCH"))</f>
        <v>MATCH</v>
      </c>
      <c r="O571" s="5" t="str">
        <f>INDEX([1]Employee!$C$2:$C$276,MATCH(B571,[1]Employee!$A$2:$A$276,0))</f>
        <v>Sales &amp; Marketing</v>
      </c>
    </row>
    <row r="572" spans="1:15">
      <c r="A572" s="1" t="s">
        <v>1348</v>
      </c>
      <c r="B572" s="1" t="s">
        <v>90</v>
      </c>
      <c r="C572" s="1" t="s">
        <v>1349</v>
      </c>
      <c r="D572" s="2">
        <v>46058</v>
      </c>
      <c r="E572" s="2">
        <v>46058</v>
      </c>
      <c r="F572" s="1" t="s">
        <v>79</v>
      </c>
      <c r="G572" s="1" t="s">
        <v>13</v>
      </c>
      <c r="H572" s="1" t="s">
        <v>470</v>
      </c>
      <c r="I572" s="7">
        <v>128.43</v>
      </c>
      <c r="J572" s="1" t="s">
        <v>38</v>
      </c>
      <c r="K572" s="1"/>
      <c r="L572" s="1" t="s">
        <v>48</v>
      </c>
      <c r="M572" s="1" t="str">
        <f>INDEX(MCC_Lookup!$B$2:$B$12,MATCH(G572,MCC_Lookup!$A$2:$A$12,0))</f>
        <v>Software</v>
      </c>
      <c r="N572" s="1" t="str">
        <f>IF(TRIM(H572)="","BLANK",IF(PROPER(TRIM(H572))=TRIM(M572),"MATCH","MISMATCH"))</f>
        <v>MATCH</v>
      </c>
      <c r="O572" s="5" t="str">
        <f>INDEX([1]Employee!$C$2:$C$276,MATCH(B572,[1]Employee!$A$2:$A$276,0))</f>
        <v>Sales &amp; Marketing</v>
      </c>
    </row>
    <row r="573" spans="1:15">
      <c r="A573" s="1" t="s">
        <v>1350</v>
      </c>
      <c r="B573" s="1" t="s">
        <v>90</v>
      </c>
      <c r="C573" s="1" t="s">
        <v>1351</v>
      </c>
      <c r="D573" s="2">
        <v>46048</v>
      </c>
      <c r="E573" s="2">
        <v>46058</v>
      </c>
      <c r="F573" s="1" t="s">
        <v>120</v>
      </c>
      <c r="G573" s="1" t="s">
        <v>12</v>
      </c>
      <c r="H573" s="1" t="s">
        <v>3</v>
      </c>
      <c r="I573" s="7">
        <v>383.24</v>
      </c>
      <c r="J573" s="1" t="s">
        <v>38</v>
      </c>
      <c r="K573" s="1"/>
      <c r="L573" s="1" t="s">
        <v>39</v>
      </c>
      <c r="M573" s="1" t="str">
        <f>INDEX(MCC_Lookup!$B$2:$B$12,MATCH(G573,MCC_Lookup!$A$2:$A$12,0))</f>
        <v>Office Supplies</v>
      </c>
      <c r="N573" s="1" t="str">
        <f>IF(TRIM(H573)="","BLANK",IF(PROPER(TRIM(H573))=TRIM(M573),"MATCH","MISMATCH"))</f>
        <v>MISMATCH</v>
      </c>
      <c r="O573" s="5" t="str">
        <f>INDEX([1]Employee!$C$2:$C$276,MATCH(B573,[1]Employee!$A$2:$A$276,0))</f>
        <v>Sales &amp; Marketing</v>
      </c>
    </row>
    <row r="574" spans="1:15">
      <c r="A574" s="1" t="s">
        <v>1352</v>
      </c>
      <c r="B574" s="1" t="s">
        <v>297</v>
      </c>
      <c r="C574" s="1" t="s">
        <v>1353</v>
      </c>
      <c r="D574" s="2">
        <v>46051</v>
      </c>
      <c r="E574" s="2">
        <v>46058</v>
      </c>
      <c r="F574" s="1" t="s">
        <v>109</v>
      </c>
      <c r="G574" s="1" t="s">
        <v>18</v>
      </c>
      <c r="H574" s="1" t="s">
        <v>19</v>
      </c>
      <c r="I574" s="7">
        <v>23.37</v>
      </c>
      <c r="J574" s="1" t="s">
        <v>38</v>
      </c>
      <c r="K574" s="1"/>
      <c r="L574" s="1" t="s">
        <v>39</v>
      </c>
      <c r="M574" s="1" t="str">
        <f>INDEX(MCC_Lookup!$B$2:$B$12,MATCH(G574,MCC_Lookup!$A$2:$A$12,0))</f>
        <v>Events</v>
      </c>
      <c r="N574" s="1" t="str">
        <f>IF(TRIM(H574)="","BLANK",IF(PROPER(TRIM(H574))=TRIM(M574),"MATCH","MISMATCH"))</f>
        <v>MATCH</v>
      </c>
      <c r="O574" s="5" t="str">
        <f>INDEX([1]Employee!$C$2:$C$276,MATCH(B574,[1]Employee!$A$2:$A$276,0))</f>
        <v>Underwriting</v>
      </c>
    </row>
    <row r="575" spans="1:15">
      <c r="A575" s="1" t="s">
        <v>1354</v>
      </c>
      <c r="B575" s="1" t="s">
        <v>297</v>
      </c>
      <c r="C575" s="1" t="s">
        <v>1355</v>
      </c>
      <c r="D575" s="2">
        <v>46054</v>
      </c>
      <c r="E575" s="2">
        <v>46058</v>
      </c>
      <c r="F575" s="1" t="s">
        <v>177</v>
      </c>
      <c r="G575" s="1" t="s">
        <v>13</v>
      </c>
      <c r="H575" s="1" t="s">
        <v>14</v>
      </c>
      <c r="I575" s="7">
        <v>61.32</v>
      </c>
      <c r="J575" s="1" t="s">
        <v>38</v>
      </c>
      <c r="K575" s="1"/>
      <c r="L575" s="1" t="s">
        <v>39</v>
      </c>
      <c r="M575" s="1" t="str">
        <f>INDEX(MCC_Lookup!$B$2:$B$12,MATCH(G575,MCC_Lookup!$A$2:$A$12,0))</f>
        <v>Software</v>
      </c>
      <c r="N575" s="1" t="str">
        <f>IF(TRIM(H575)="","BLANK",IF(PROPER(TRIM(H575))=TRIM(M575),"MATCH","MISMATCH"))</f>
        <v>MATCH</v>
      </c>
      <c r="O575" s="5" t="str">
        <f>INDEX([1]Employee!$C$2:$C$276,MATCH(B575,[1]Employee!$A$2:$A$276,0))</f>
        <v>Underwriting</v>
      </c>
    </row>
    <row r="576" spans="1:15">
      <c r="A576" s="1" t="s">
        <v>1356</v>
      </c>
      <c r="B576" s="1" t="s">
        <v>595</v>
      </c>
      <c r="C576" s="1" t="s">
        <v>1357</v>
      </c>
      <c r="D576" s="2">
        <v>46056</v>
      </c>
      <c r="E576" s="2">
        <v>46058</v>
      </c>
      <c r="F576" s="1" t="s">
        <v>109</v>
      </c>
      <c r="G576" s="1" t="s">
        <v>18</v>
      </c>
      <c r="H576" s="1" t="s">
        <v>19</v>
      </c>
      <c r="I576" s="7">
        <v>189.56</v>
      </c>
      <c r="J576" s="1" t="s">
        <v>38</v>
      </c>
      <c r="K576" s="1"/>
      <c r="L576" s="1" t="s">
        <v>39</v>
      </c>
      <c r="M576" s="1" t="str">
        <f>INDEX(MCC_Lookup!$B$2:$B$12,MATCH(G576,MCC_Lookup!$A$2:$A$12,0))</f>
        <v>Events</v>
      </c>
      <c r="N576" s="1" t="str">
        <f>IF(TRIM(H576)="","BLANK",IF(PROPER(TRIM(H576))=TRIM(M576),"MATCH","MISMATCH"))</f>
        <v>MATCH</v>
      </c>
      <c r="O576" s="5" t="str">
        <f>INDEX([1]Employee!$C$2:$C$276,MATCH(B576,[1]Employee!$A$2:$A$276,0))</f>
        <v>Executive &amp; Corporate</v>
      </c>
    </row>
    <row r="577" spans="1:15">
      <c r="A577" s="1" t="s">
        <v>1358</v>
      </c>
      <c r="B577" s="1" t="s">
        <v>741</v>
      </c>
      <c r="C577" s="1"/>
      <c r="D577" s="2">
        <v>46053</v>
      </c>
      <c r="E577" s="2">
        <v>46058</v>
      </c>
      <c r="F577" s="1" t="s">
        <v>160</v>
      </c>
      <c r="G577" s="1" t="s">
        <v>6</v>
      </c>
      <c r="H577" s="1" t="s">
        <v>269</v>
      </c>
      <c r="I577" s="7">
        <v>284.62</v>
      </c>
      <c r="J577" s="1" t="s">
        <v>38</v>
      </c>
      <c r="K577" s="1"/>
      <c r="L577" s="1" t="s">
        <v>39</v>
      </c>
      <c r="M577" s="1" t="str">
        <f>INDEX(MCC_Lookup!$B$2:$B$12,MATCH(G577,MCC_Lookup!$A$2:$A$12,0))</f>
        <v>Lodging</v>
      </c>
      <c r="N577" s="1" t="str">
        <f>IF(TRIM(H577)="","BLANK",IF(PROPER(TRIM(H577))=TRIM(M577),"MATCH","MISMATCH"))</f>
        <v>MISMATCH</v>
      </c>
      <c r="O577" s="5" t="str">
        <f>INDEX([1]Employee!$C$2:$C$276,MATCH(B577,[1]Employee!$A$2:$A$276,0))</f>
        <v>Customer Support</v>
      </c>
    </row>
    <row r="578" spans="1:15">
      <c r="A578" s="1" t="s">
        <v>1359</v>
      </c>
      <c r="B578" s="1" t="s">
        <v>687</v>
      </c>
      <c r="C578" s="1" t="s">
        <v>1360</v>
      </c>
      <c r="D578" s="2">
        <v>46057</v>
      </c>
      <c r="E578" s="2">
        <v>46058</v>
      </c>
      <c r="F578" s="1" t="s">
        <v>47</v>
      </c>
      <c r="G578" s="1" t="s">
        <v>6</v>
      </c>
      <c r="H578" s="1" t="s">
        <v>7</v>
      </c>
      <c r="I578" s="7">
        <v>261.52999999999997</v>
      </c>
      <c r="J578" s="1" t="s">
        <v>38</v>
      </c>
      <c r="K578" s="1"/>
      <c r="L578" s="1" t="s">
        <v>39</v>
      </c>
      <c r="M578" s="1" t="str">
        <f>INDEX(MCC_Lookup!$B$2:$B$12,MATCH(G578,MCC_Lookup!$A$2:$A$12,0))</f>
        <v>Lodging</v>
      </c>
      <c r="N578" s="1" t="str">
        <f>IF(TRIM(H578)="","BLANK",IF(PROPER(TRIM(H578))=TRIM(M578),"MATCH","MISMATCH"))</f>
        <v>MATCH</v>
      </c>
      <c r="O578" s="5" t="str">
        <f>INDEX([1]Employee!$C$2:$C$276,MATCH(B578,[1]Employee!$A$2:$A$276,0))</f>
        <v>Executive &amp; Corporate</v>
      </c>
    </row>
    <row r="579" spans="1:15">
      <c r="A579" s="1" t="s">
        <v>1361</v>
      </c>
      <c r="B579" s="1" t="s">
        <v>67</v>
      </c>
      <c r="C579" s="1"/>
      <c r="D579" s="2">
        <v>46053</v>
      </c>
      <c r="E579" s="2">
        <v>46058</v>
      </c>
      <c r="F579" s="1" t="s">
        <v>1362</v>
      </c>
      <c r="G579" s="1" t="s">
        <v>6</v>
      </c>
      <c r="H579" s="1" t="s">
        <v>7</v>
      </c>
      <c r="I579" s="7">
        <v>134.08000000000001</v>
      </c>
      <c r="J579" s="1" t="s">
        <v>111</v>
      </c>
      <c r="K579" s="1" t="s">
        <v>229</v>
      </c>
      <c r="L579" s="1" t="s">
        <v>39</v>
      </c>
      <c r="M579" s="1" t="str">
        <f>INDEX(MCC_Lookup!$B$2:$B$12,MATCH(G579,MCC_Lookup!$A$2:$A$12,0))</f>
        <v>Lodging</v>
      </c>
      <c r="N579" s="1" t="str">
        <f>IF(TRIM(H579)="","BLANK",IF(PROPER(TRIM(H579))=TRIM(M579),"MATCH","MISMATCH"))</f>
        <v>MATCH</v>
      </c>
      <c r="O579" s="5" t="str">
        <f>INDEX([1]Employee!$C$2:$C$276,MATCH(B579,[1]Employee!$A$2:$A$276,0))</f>
        <v>Sales &amp; Marketing</v>
      </c>
    </row>
    <row r="580" spans="1:15">
      <c r="A580" s="1" t="s">
        <v>1363</v>
      </c>
      <c r="B580" s="1" t="s">
        <v>475</v>
      </c>
      <c r="C580" s="1" t="s">
        <v>1364</v>
      </c>
      <c r="D580" s="2">
        <v>46057</v>
      </c>
      <c r="E580" s="2">
        <v>46058</v>
      </c>
      <c r="F580" s="1" t="s">
        <v>79</v>
      </c>
      <c r="G580" s="1" t="s">
        <v>13</v>
      </c>
      <c r="H580" s="1" t="s">
        <v>14</v>
      </c>
      <c r="I580" s="7">
        <v>218.36</v>
      </c>
      <c r="J580" s="1" t="s">
        <v>38</v>
      </c>
      <c r="K580" s="1"/>
      <c r="L580" s="1" t="s">
        <v>39</v>
      </c>
      <c r="M580" s="1" t="str">
        <f>INDEX(MCC_Lookup!$B$2:$B$12,MATCH(G580,MCC_Lookup!$A$2:$A$12,0))</f>
        <v>Software</v>
      </c>
      <c r="N580" s="1" t="str">
        <f>IF(TRIM(H580)="","BLANK",IF(PROPER(TRIM(H580))=TRIM(M580),"MATCH","MISMATCH"))</f>
        <v>MATCH</v>
      </c>
      <c r="O580" s="5" t="str">
        <f>INDEX([1]Employee!$C$2:$C$276,MATCH(B580,[1]Employee!$A$2:$A$276,0))</f>
        <v>Sales &amp; Marketing</v>
      </c>
    </row>
    <row r="581" spans="1:15">
      <c r="A581" s="1" t="s">
        <v>1365</v>
      </c>
      <c r="B581" s="1" t="s">
        <v>122</v>
      </c>
      <c r="C581" s="1" t="s">
        <v>1366</v>
      </c>
      <c r="D581" s="2">
        <v>46056</v>
      </c>
      <c r="E581" s="2">
        <v>46058</v>
      </c>
      <c r="F581" s="1" t="s">
        <v>61</v>
      </c>
      <c r="G581" s="1" t="s">
        <v>13</v>
      </c>
      <c r="H581" s="1" t="s">
        <v>14</v>
      </c>
      <c r="I581" s="7">
        <v>65.28</v>
      </c>
      <c r="J581" s="1" t="s">
        <v>38</v>
      </c>
      <c r="K581" s="1"/>
      <c r="L581" s="1" t="s">
        <v>39</v>
      </c>
      <c r="M581" s="1" t="str">
        <f>INDEX(MCC_Lookup!$B$2:$B$12,MATCH(G581,MCC_Lookup!$A$2:$A$12,0))</f>
        <v>Software</v>
      </c>
      <c r="N581" s="1" t="str">
        <f>IF(TRIM(H581)="","BLANK",IF(PROPER(TRIM(H581))=TRIM(M581),"MATCH","MISMATCH"))</f>
        <v>MATCH</v>
      </c>
      <c r="O581" s="5" t="str">
        <f>INDEX([1]Employee!$C$2:$C$276,MATCH(B581,[1]Employee!$A$2:$A$276,0))</f>
        <v>Sales &amp; Marketing</v>
      </c>
    </row>
    <row r="582" spans="1:15">
      <c r="A582" s="1" t="s">
        <v>1367</v>
      </c>
      <c r="B582" s="1" t="s">
        <v>129</v>
      </c>
      <c r="C582" s="1" t="s">
        <v>1368</v>
      </c>
      <c r="D582" s="2">
        <v>46057</v>
      </c>
      <c r="E582" s="2">
        <v>46058</v>
      </c>
      <c r="F582" s="1" t="s">
        <v>120</v>
      </c>
      <c r="G582" s="1" t="s">
        <v>12</v>
      </c>
      <c r="H582" s="1" t="s">
        <v>11</v>
      </c>
      <c r="I582" s="7">
        <v>33.020000000000003</v>
      </c>
      <c r="J582" s="1" t="s">
        <v>38</v>
      </c>
      <c r="K582" s="1"/>
      <c r="L582" s="1" t="s">
        <v>39</v>
      </c>
      <c r="M582" s="1" t="str">
        <f>INDEX(MCC_Lookup!$B$2:$B$12,MATCH(G582,MCC_Lookup!$A$2:$A$12,0))</f>
        <v>Office Supplies</v>
      </c>
      <c r="N582" s="1" t="str">
        <f>IF(TRIM(H582)="","BLANK",IF(PROPER(TRIM(H582))=TRIM(M582),"MATCH","MISMATCH"))</f>
        <v>MATCH</v>
      </c>
      <c r="O582" s="5" t="str">
        <f>INDEX([1]Employee!$C$2:$C$276,MATCH(B582,[1]Employee!$A$2:$A$276,0))</f>
        <v>Sales &amp; Marketing</v>
      </c>
    </row>
    <row r="583" spans="1:15">
      <c r="A583" s="1" t="s">
        <v>1369</v>
      </c>
      <c r="B583" s="1" t="s">
        <v>679</v>
      </c>
      <c r="C583" s="1"/>
      <c r="D583" s="2">
        <v>46056</v>
      </c>
      <c r="E583" s="2">
        <v>46058</v>
      </c>
      <c r="F583" s="1" t="s">
        <v>160</v>
      </c>
      <c r="G583" s="1" t="s">
        <v>6</v>
      </c>
      <c r="H583" s="1" t="s">
        <v>7</v>
      </c>
      <c r="I583" s="7">
        <v>221.6</v>
      </c>
      <c r="J583" s="1" t="s">
        <v>111</v>
      </c>
      <c r="K583" s="1" t="s">
        <v>127</v>
      </c>
      <c r="L583" s="1" t="s">
        <v>39</v>
      </c>
      <c r="M583" s="1" t="str">
        <f>INDEX(MCC_Lookup!$B$2:$B$12,MATCH(G583,MCC_Lookup!$A$2:$A$12,0))</f>
        <v>Lodging</v>
      </c>
      <c r="N583" s="1" t="str">
        <f>IF(TRIM(H583)="","BLANK",IF(PROPER(TRIM(H583))=TRIM(M583),"MATCH","MISMATCH"))</f>
        <v>MATCH</v>
      </c>
      <c r="O583" s="5" t="str">
        <f>INDEX([1]Employee!$C$2:$C$276,MATCH(B583,[1]Employee!$A$2:$A$276,0))</f>
        <v>Sales &amp; Marketing</v>
      </c>
    </row>
    <row r="584" spans="1:15">
      <c r="A584" s="1" t="s">
        <v>1370</v>
      </c>
      <c r="B584" s="1" t="s">
        <v>575</v>
      </c>
      <c r="C584" s="1" t="s">
        <v>1371</v>
      </c>
      <c r="D584" s="2">
        <v>46052</v>
      </c>
      <c r="E584" s="2">
        <v>46058</v>
      </c>
      <c r="F584" s="1" t="s">
        <v>109</v>
      </c>
      <c r="G584" s="1" t="s">
        <v>18</v>
      </c>
      <c r="H584" s="1" t="s">
        <v>19</v>
      </c>
      <c r="I584" s="7">
        <v>96.69</v>
      </c>
      <c r="J584" s="1" t="s">
        <v>38</v>
      </c>
      <c r="K584" s="1"/>
      <c r="L584" s="1" t="s">
        <v>48</v>
      </c>
      <c r="M584" s="1" t="str">
        <f>INDEX(MCC_Lookup!$B$2:$B$12,MATCH(G584,MCC_Lookup!$A$2:$A$12,0))</f>
        <v>Events</v>
      </c>
      <c r="N584" s="1" t="str">
        <f>IF(TRIM(H584)="","BLANK",IF(PROPER(TRIM(H584))=TRIM(M584),"MATCH","MISMATCH"))</f>
        <v>MATCH</v>
      </c>
      <c r="O584" s="5" t="str">
        <f>INDEX([1]Employee!$C$2:$C$276,MATCH(B584,[1]Employee!$A$2:$A$276,0))</f>
        <v>Underwriting</v>
      </c>
    </row>
    <row r="585" spans="1:15">
      <c r="A585" s="1" t="s">
        <v>1372</v>
      </c>
      <c r="B585" s="1" t="s">
        <v>1116</v>
      </c>
      <c r="C585" s="1" t="s">
        <v>1373</v>
      </c>
      <c r="D585" s="2">
        <v>46050</v>
      </c>
      <c r="E585" s="2">
        <v>46058</v>
      </c>
      <c r="F585" s="1" t="s">
        <v>37</v>
      </c>
      <c r="G585" s="1" t="s">
        <v>4</v>
      </c>
      <c r="H585" s="1" t="s">
        <v>5</v>
      </c>
      <c r="I585" s="7">
        <v>156.35</v>
      </c>
      <c r="J585" s="1" t="s">
        <v>38</v>
      </c>
      <c r="K585" s="1"/>
      <c r="L585" s="1" t="s">
        <v>39</v>
      </c>
      <c r="M585" s="1" t="str">
        <f>INDEX(MCC_Lookup!$B$2:$B$12,MATCH(G585,MCC_Lookup!$A$2:$A$12,0))</f>
        <v>Travel</v>
      </c>
      <c r="N585" s="1" t="str">
        <f>IF(TRIM(H585)="","BLANK",IF(PROPER(TRIM(H585))=TRIM(M585),"MATCH","MISMATCH"))</f>
        <v>MATCH</v>
      </c>
      <c r="O585" s="5" t="str">
        <f>INDEX([1]Employee!$C$2:$C$276,MATCH(B585,[1]Employee!$A$2:$A$276,0))</f>
        <v>Underwriting</v>
      </c>
    </row>
    <row r="586" spans="1:15">
      <c r="A586" s="1" t="s">
        <v>1374</v>
      </c>
      <c r="B586" s="1" t="s">
        <v>152</v>
      </c>
      <c r="C586" s="1" t="s">
        <v>1375</v>
      </c>
      <c r="D586" s="2">
        <v>46057</v>
      </c>
      <c r="E586" s="2">
        <v>46058</v>
      </c>
      <c r="F586" s="1" t="s">
        <v>201</v>
      </c>
      <c r="G586" s="1" t="s">
        <v>4</v>
      </c>
      <c r="H586" s="1" t="s">
        <v>5</v>
      </c>
      <c r="I586" s="7">
        <v>658.37</v>
      </c>
      <c r="J586" s="1" t="s">
        <v>38</v>
      </c>
      <c r="K586" s="1"/>
      <c r="L586" s="1" t="s">
        <v>39</v>
      </c>
      <c r="M586" s="1" t="str">
        <f>INDEX(MCC_Lookup!$B$2:$B$12,MATCH(G586,MCC_Lookup!$A$2:$A$12,0))</f>
        <v>Travel</v>
      </c>
      <c r="N586" s="1" t="str">
        <f>IF(TRIM(H586)="","BLANK",IF(PROPER(TRIM(H586))=TRIM(M586),"MATCH","MISMATCH"))</f>
        <v>MATCH</v>
      </c>
      <c r="O586" s="5" t="str">
        <f>INDEX([1]Employee!$C$2:$C$276,MATCH(B586,[1]Employee!$A$2:$A$276,0))</f>
        <v>Sales &amp; Marketing</v>
      </c>
    </row>
    <row r="587" spans="1:15">
      <c r="A587" s="1" t="s">
        <v>1376</v>
      </c>
      <c r="B587" s="1" t="s">
        <v>888</v>
      </c>
      <c r="C587" s="1" t="s">
        <v>1377</v>
      </c>
      <c r="D587" s="2">
        <v>46057</v>
      </c>
      <c r="E587" s="2">
        <v>46058</v>
      </c>
      <c r="F587" s="1" t="s">
        <v>56</v>
      </c>
      <c r="G587" s="1" t="s">
        <v>4</v>
      </c>
      <c r="H587" s="1" t="s">
        <v>5</v>
      </c>
      <c r="I587" s="7">
        <v>614.48</v>
      </c>
      <c r="J587" s="1" t="s">
        <v>38</v>
      </c>
      <c r="K587" s="1"/>
      <c r="L587" s="1" t="s">
        <v>39</v>
      </c>
      <c r="M587" s="1" t="str">
        <f>INDEX(MCC_Lookup!$B$2:$B$12,MATCH(G587,MCC_Lookup!$A$2:$A$12,0))</f>
        <v>Travel</v>
      </c>
      <c r="N587" s="1" t="str">
        <f>IF(TRIM(H587)="","BLANK",IF(PROPER(TRIM(H587))=TRIM(M587),"MATCH","MISMATCH"))</f>
        <v>MATCH</v>
      </c>
      <c r="O587" s="5" t="str">
        <f>INDEX([1]Employee!$C$2:$C$276,MATCH(B587,[1]Employee!$A$2:$A$276,0))</f>
        <v>Claims</v>
      </c>
    </row>
    <row r="588" spans="1:15">
      <c r="A588" s="1" t="s">
        <v>1378</v>
      </c>
      <c r="B588" s="1" t="s">
        <v>593</v>
      </c>
      <c r="C588" s="1" t="s">
        <v>1379</v>
      </c>
      <c r="D588" s="2">
        <v>46051</v>
      </c>
      <c r="E588" s="2">
        <v>46058</v>
      </c>
      <c r="F588" s="1" t="s">
        <v>92</v>
      </c>
      <c r="G588" s="1" t="s">
        <v>10</v>
      </c>
      <c r="H588" s="1" t="s">
        <v>11</v>
      </c>
      <c r="I588" s="7">
        <v>57.71</v>
      </c>
      <c r="J588" s="1" t="s">
        <v>38</v>
      </c>
      <c r="K588" s="1"/>
      <c r="L588" s="1" t="s">
        <v>39</v>
      </c>
      <c r="M588" s="1" t="str">
        <f>INDEX(MCC_Lookup!$B$2:$B$12,MATCH(G588,MCC_Lookup!$A$2:$A$12,0))</f>
        <v>Office Supplies</v>
      </c>
      <c r="N588" s="1" t="str">
        <f>IF(TRIM(H588)="","BLANK",IF(PROPER(TRIM(H588))=TRIM(M588),"MATCH","MISMATCH"))</f>
        <v>MATCH</v>
      </c>
      <c r="O588" s="5" t="str">
        <f>INDEX([1]Employee!$C$2:$C$276,MATCH(B588,[1]Employee!$A$2:$A$276,0))</f>
        <v>Sales &amp; Marketing</v>
      </c>
    </row>
    <row r="589" spans="1:15">
      <c r="A589" s="1" t="s">
        <v>1380</v>
      </c>
      <c r="B589" s="1" t="s">
        <v>1279</v>
      </c>
      <c r="C589" s="1" t="s">
        <v>1381</v>
      </c>
      <c r="D589" s="2">
        <v>46056</v>
      </c>
      <c r="E589" s="2">
        <v>46059</v>
      </c>
      <c r="F589" s="1" t="s">
        <v>124</v>
      </c>
      <c r="G589" s="1" t="s">
        <v>17</v>
      </c>
      <c r="H589" s="1" t="s">
        <v>16</v>
      </c>
      <c r="I589" s="7">
        <v>181.86</v>
      </c>
      <c r="J589" s="1" t="s">
        <v>38</v>
      </c>
      <c r="K589" s="1"/>
      <c r="L589" s="1" t="s">
        <v>39</v>
      </c>
      <c r="M589" s="1" t="str">
        <f>INDEX(MCC_Lookup!$B$2:$B$12,MATCH(G589,MCC_Lookup!$A$2:$A$12,0))</f>
        <v>Entertainment</v>
      </c>
      <c r="N589" s="1" t="str">
        <f>IF(TRIM(H589)="","BLANK",IF(PROPER(TRIM(H589))=TRIM(M589),"MATCH","MISMATCH"))</f>
        <v>MATCH</v>
      </c>
      <c r="O589" s="5" t="str">
        <f>INDEX([1]Employee!$C$2:$C$276,MATCH(B589,[1]Employee!$A$2:$A$276,0))</f>
        <v>IT &amp; Platform Engineering</v>
      </c>
    </row>
    <row r="590" spans="1:15">
      <c r="A590" s="1" t="s">
        <v>1382</v>
      </c>
      <c r="B590" s="1" t="s">
        <v>149</v>
      </c>
      <c r="C590" s="1" t="s">
        <v>1383</v>
      </c>
      <c r="D590" s="2">
        <v>46053</v>
      </c>
      <c r="E590" s="2">
        <v>46059</v>
      </c>
      <c r="F590" s="1" t="s">
        <v>160</v>
      </c>
      <c r="G590" s="1" t="s">
        <v>6</v>
      </c>
      <c r="H590" s="1" t="s">
        <v>7</v>
      </c>
      <c r="I590" s="7">
        <v>296.97000000000003</v>
      </c>
      <c r="J590" s="1" t="s">
        <v>38</v>
      </c>
      <c r="K590" s="1"/>
      <c r="L590" s="1" t="s">
        <v>39</v>
      </c>
      <c r="M590" s="1" t="str">
        <f>INDEX(MCC_Lookup!$B$2:$B$12,MATCH(G590,MCC_Lookup!$A$2:$A$12,0))</f>
        <v>Lodging</v>
      </c>
      <c r="N590" s="1" t="str">
        <f>IF(TRIM(H590)="","BLANK",IF(PROPER(TRIM(H590))=TRIM(M590),"MATCH","MISMATCH"))</f>
        <v>MATCH</v>
      </c>
      <c r="O590" s="5" t="str">
        <f>INDEX([1]Employee!$C$2:$C$276,MATCH(B590,[1]Employee!$A$2:$A$276,0))</f>
        <v>Sales &amp; Marketing</v>
      </c>
    </row>
    <row r="591" spans="1:15">
      <c r="A591" s="1" t="s">
        <v>1384</v>
      </c>
      <c r="B591" s="1" t="s">
        <v>104</v>
      </c>
      <c r="C591" s="1" t="s">
        <v>1385</v>
      </c>
      <c r="D591" s="2">
        <v>46050</v>
      </c>
      <c r="E591" s="2">
        <v>46059</v>
      </c>
      <c r="F591" s="1" t="s">
        <v>61</v>
      </c>
      <c r="G591" s="1" t="s">
        <v>13</v>
      </c>
      <c r="H591" s="1" t="s">
        <v>14</v>
      </c>
      <c r="I591" s="7">
        <v>63.93</v>
      </c>
      <c r="J591" s="1" t="s">
        <v>38</v>
      </c>
      <c r="K591" s="1"/>
      <c r="L591" s="1" t="s">
        <v>39</v>
      </c>
      <c r="M591" s="1" t="str">
        <f>INDEX(MCC_Lookup!$B$2:$B$12,MATCH(G591,MCC_Lookup!$A$2:$A$12,0))</f>
        <v>Software</v>
      </c>
      <c r="N591" s="1" t="str">
        <f>IF(TRIM(H591)="","BLANK",IF(PROPER(TRIM(H591))=TRIM(M591),"MATCH","MISMATCH"))</f>
        <v>MATCH</v>
      </c>
      <c r="O591" s="5" t="str">
        <f>INDEX([1]Employee!$C$2:$C$276,MATCH(B591,[1]Employee!$A$2:$A$276,0))</f>
        <v>Sales &amp; Marketing</v>
      </c>
    </row>
    <row r="592" spans="1:15">
      <c r="A592" s="1" t="s">
        <v>1386</v>
      </c>
      <c r="B592" s="1" t="s">
        <v>506</v>
      </c>
      <c r="C592" s="1" t="s">
        <v>1387</v>
      </c>
      <c r="D592" s="2">
        <v>46058</v>
      </c>
      <c r="E592" s="2">
        <v>46059</v>
      </c>
      <c r="F592" s="1" t="s">
        <v>72</v>
      </c>
      <c r="G592" s="1" t="s">
        <v>8</v>
      </c>
      <c r="H592" s="1" t="s">
        <v>9</v>
      </c>
      <c r="I592" s="7">
        <v>32.1</v>
      </c>
      <c r="J592" s="1" t="s">
        <v>38</v>
      </c>
      <c r="K592" s="1"/>
      <c r="L592" s="1" t="s">
        <v>39</v>
      </c>
      <c r="M592" s="1" t="str">
        <f>INDEX(MCC_Lookup!$B$2:$B$12,MATCH(G592,MCC_Lookup!$A$2:$A$12,0))</f>
        <v>Transportation</v>
      </c>
      <c r="N592" s="1" t="str">
        <f>IF(TRIM(H592)="","BLANK",IF(PROPER(TRIM(H592))=TRIM(M592),"MATCH","MISMATCH"))</f>
        <v>MATCH</v>
      </c>
      <c r="O592" s="5" t="str">
        <f>INDEX([1]Employee!$C$2:$C$276,MATCH(B592,[1]Employee!$A$2:$A$276,0))</f>
        <v>Executive &amp; Corporate</v>
      </c>
    </row>
    <row r="593" spans="1:15">
      <c r="A593" s="1" t="s">
        <v>1388</v>
      </c>
      <c r="B593" s="1" t="s">
        <v>506</v>
      </c>
      <c r="C593" s="1" t="s">
        <v>1389</v>
      </c>
      <c r="D593" s="2">
        <v>46059</v>
      </c>
      <c r="E593" s="2">
        <v>46059</v>
      </c>
      <c r="F593" s="1" t="s">
        <v>76</v>
      </c>
      <c r="G593" s="1" t="s">
        <v>13</v>
      </c>
      <c r="H593" s="1" t="s">
        <v>14</v>
      </c>
      <c r="I593" s="7">
        <v>504.78</v>
      </c>
      <c r="J593" s="1" t="s">
        <v>38</v>
      </c>
      <c r="K593" s="1"/>
      <c r="L593" s="1" t="s">
        <v>39</v>
      </c>
      <c r="M593" s="1" t="str">
        <f>INDEX(MCC_Lookup!$B$2:$B$12,MATCH(G593,MCC_Lookup!$A$2:$A$12,0))</f>
        <v>Software</v>
      </c>
      <c r="N593" s="1" t="str">
        <f>IF(TRIM(H593)="","BLANK",IF(PROPER(TRIM(H593))=TRIM(M593),"MATCH","MISMATCH"))</f>
        <v>MATCH</v>
      </c>
      <c r="O593" s="5" t="str">
        <f>INDEX([1]Employee!$C$2:$C$276,MATCH(B593,[1]Employee!$A$2:$A$276,0))</f>
        <v>Executive &amp; Corporate</v>
      </c>
    </row>
    <row r="594" spans="1:15">
      <c r="A594" s="1" t="s">
        <v>1390</v>
      </c>
      <c r="B594" s="1" t="s">
        <v>656</v>
      </c>
      <c r="C594" s="1" t="s">
        <v>1391</v>
      </c>
      <c r="D594" s="2">
        <v>46055</v>
      </c>
      <c r="E594" s="2">
        <v>46059</v>
      </c>
      <c r="F594" s="1" t="s">
        <v>124</v>
      </c>
      <c r="G594" s="1" t="s">
        <v>17</v>
      </c>
      <c r="H594" s="1"/>
      <c r="I594" s="7">
        <v>201.24</v>
      </c>
      <c r="J594" s="1" t="s">
        <v>38</v>
      </c>
      <c r="K594" s="1"/>
      <c r="L594" s="1" t="s">
        <v>39</v>
      </c>
      <c r="M594" s="1" t="str">
        <f>INDEX(MCC_Lookup!$B$2:$B$12,MATCH(G594,MCC_Lookup!$A$2:$A$12,0))</f>
        <v>Entertainment</v>
      </c>
      <c r="N594" s="1" t="str">
        <f>IF(TRIM(H594)="","BLANK",IF(PROPER(TRIM(H594))=TRIM(M594),"MATCH","MISMATCH"))</f>
        <v>BLANK</v>
      </c>
      <c r="O594" s="5" t="str">
        <f>INDEX([1]Employee!$C$2:$C$276,MATCH(B594,[1]Employee!$A$2:$A$276,0))</f>
        <v>Claims</v>
      </c>
    </row>
    <row r="595" spans="1:15">
      <c r="A595" s="1" t="s">
        <v>1392</v>
      </c>
      <c r="B595" s="1" t="s">
        <v>433</v>
      </c>
      <c r="C595" s="1" t="s">
        <v>1393</v>
      </c>
      <c r="D595" s="2">
        <v>46050</v>
      </c>
      <c r="E595" s="2">
        <v>46059</v>
      </c>
      <c r="F595" s="1" t="s">
        <v>259</v>
      </c>
      <c r="G595" s="1" t="s">
        <v>20</v>
      </c>
      <c r="H595" s="1" t="s">
        <v>19</v>
      </c>
      <c r="I595" s="7">
        <v>483.58</v>
      </c>
      <c r="J595" s="1" t="s">
        <v>38</v>
      </c>
      <c r="K595" s="1"/>
      <c r="L595" s="1" t="s">
        <v>39</v>
      </c>
      <c r="M595" s="1" t="str">
        <f>INDEX(MCC_Lookup!$B$2:$B$12,MATCH(G595,MCC_Lookup!$A$2:$A$12,0))</f>
        <v>Events</v>
      </c>
      <c r="N595" s="1" t="str">
        <f>IF(TRIM(H595)="","BLANK",IF(PROPER(TRIM(H595))=TRIM(M595),"MATCH","MISMATCH"))</f>
        <v>MATCH</v>
      </c>
      <c r="O595" s="5" t="str">
        <f>INDEX([1]Employee!$C$2:$C$276,MATCH(B595,[1]Employee!$A$2:$A$276,0))</f>
        <v>Sales &amp; Marketing</v>
      </c>
    </row>
    <row r="596" spans="1:15">
      <c r="A596" s="1" t="s">
        <v>1394</v>
      </c>
      <c r="B596" s="1" t="s">
        <v>677</v>
      </c>
      <c r="C596" s="1" t="s">
        <v>1395</v>
      </c>
      <c r="D596" s="2">
        <v>46059</v>
      </c>
      <c r="E596" s="2">
        <v>46059</v>
      </c>
      <c r="F596" s="1" t="s">
        <v>201</v>
      </c>
      <c r="G596" s="1" t="s">
        <v>4</v>
      </c>
      <c r="H596" s="1" t="s">
        <v>5</v>
      </c>
      <c r="I596" s="7">
        <v>494.98</v>
      </c>
      <c r="J596" s="1" t="s">
        <v>38</v>
      </c>
      <c r="K596" s="1"/>
      <c r="L596" s="1" t="s">
        <v>39</v>
      </c>
      <c r="M596" s="1" t="str">
        <f>INDEX(MCC_Lookup!$B$2:$B$12,MATCH(G596,MCC_Lookup!$A$2:$A$12,0))</f>
        <v>Travel</v>
      </c>
      <c r="N596" s="1" t="str">
        <f>IF(TRIM(H596)="","BLANK",IF(PROPER(TRIM(H596))=TRIM(M596),"MATCH","MISMATCH"))</f>
        <v>MATCH</v>
      </c>
      <c r="O596" s="5" t="str">
        <f>INDEX([1]Employee!$C$2:$C$276,MATCH(B596,[1]Employee!$A$2:$A$276,0))</f>
        <v>Sales &amp; Marketing</v>
      </c>
    </row>
    <row r="597" spans="1:15">
      <c r="A597" s="1" t="s">
        <v>1396</v>
      </c>
      <c r="B597" s="1" t="s">
        <v>550</v>
      </c>
      <c r="C597" s="1" t="s">
        <v>1397</v>
      </c>
      <c r="D597" s="2">
        <v>46051</v>
      </c>
      <c r="E597" s="2">
        <v>46059</v>
      </c>
      <c r="F597" s="1" t="s">
        <v>47</v>
      </c>
      <c r="G597" s="1" t="s">
        <v>6</v>
      </c>
      <c r="H597" s="1" t="s">
        <v>726</v>
      </c>
      <c r="I597" s="7">
        <v>419.61</v>
      </c>
      <c r="J597" s="1" t="s">
        <v>38</v>
      </c>
      <c r="K597" s="1"/>
      <c r="L597" s="1" t="s">
        <v>39</v>
      </c>
      <c r="M597" s="1" t="str">
        <f>INDEX(MCC_Lookup!$B$2:$B$12,MATCH(G597,MCC_Lookup!$A$2:$A$12,0))</f>
        <v>Lodging</v>
      </c>
      <c r="N597" s="1" t="str">
        <f>IF(TRIM(H597)="","BLANK",IF(PROPER(TRIM(H597))=TRIM(M597),"MATCH","MISMATCH"))</f>
        <v>MATCH</v>
      </c>
      <c r="O597" s="5" t="str">
        <f>INDEX([1]Employee!$C$2:$C$276,MATCH(B597,[1]Employee!$A$2:$A$276,0))</f>
        <v>Sales &amp; Marketing</v>
      </c>
    </row>
    <row r="598" spans="1:15">
      <c r="A598" s="1" t="s">
        <v>1398</v>
      </c>
      <c r="B598" s="1" t="s">
        <v>1399</v>
      </c>
      <c r="C598" s="1" t="s">
        <v>1400</v>
      </c>
      <c r="D598" s="2">
        <v>46058</v>
      </c>
      <c r="E598" s="2">
        <v>46059</v>
      </c>
      <c r="F598" s="1" t="s">
        <v>95</v>
      </c>
      <c r="G598" s="1" t="s">
        <v>6</v>
      </c>
      <c r="H598" s="1"/>
      <c r="I598" s="7">
        <v>295.39999999999998</v>
      </c>
      <c r="J598" s="1" t="s">
        <v>38</v>
      </c>
      <c r="K598" s="1"/>
      <c r="L598" s="1" t="s">
        <v>39</v>
      </c>
      <c r="M598" s="1" t="str">
        <f>INDEX(MCC_Lookup!$B$2:$B$12,MATCH(G598,MCC_Lookup!$A$2:$A$12,0))</f>
        <v>Lodging</v>
      </c>
      <c r="N598" s="1" t="str">
        <f>IF(TRIM(H598)="","BLANK",IF(PROPER(TRIM(H598))=TRIM(M598),"MATCH","MISMATCH"))</f>
        <v>BLANK</v>
      </c>
      <c r="O598" s="5" t="str">
        <f>INDEX([1]Employee!$C$2:$C$276,MATCH(B598,[1]Employee!$A$2:$A$276,0))</f>
        <v>Underwriting</v>
      </c>
    </row>
    <row r="599" spans="1:15">
      <c r="A599" s="1" t="s">
        <v>1401</v>
      </c>
      <c r="B599" s="1" t="s">
        <v>203</v>
      </c>
      <c r="C599" s="1" t="s">
        <v>1402</v>
      </c>
      <c r="D599" s="2">
        <v>46054</v>
      </c>
      <c r="E599" s="2">
        <v>46059</v>
      </c>
      <c r="F599" s="1" t="s">
        <v>65</v>
      </c>
      <c r="G599" s="1" t="s">
        <v>18</v>
      </c>
      <c r="H599" s="1" t="s">
        <v>19</v>
      </c>
      <c r="I599" s="7">
        <v>356.37</v>
      </c>
      <c r="J599" s="1" t="s">
        <v>38</v>
      </c>
      <c r="K599" s="1"/>
      <c r="L599" s="1" t="s">
        <v>48</v>
      </c>
      <c r="M599" s="1" t="str">
        <f>INDEX(MCC_Lookup!$B$2:$B$12,MATCH(G599,MCC_Lookup!$A$2:$A$12,0))</f>
        <v>Events</v>
      </c>
      <c r="N599" s="1" t="str">
        <f>IF(TRIM(H599)="","BLANK",IF(PROPER(TRIM(H599))=TRIM(M599),"MATCH","MISMATCH"))</f>
        <v>MATCH</v>
      </c>
      <c r="O599" s="5" t="str">
        <f>INDEX([1]Employee!$C$2:$C$276,MATCH(B599,[1]Employee!$A$2:$A$276,0))</f>
        <v>Finance</v>
      </c>
    </row>
    <row r="600" spans="1:15">
      <c r="A600" s="1" t="s">
        <v>1403</v>
      </c>
      <c r="B600" s="1" t="s">
        <v>821</v>
      </c>
      <c r="C600" s="1" t="s">
        <v>1404</v>
      </c>
      <c r="D600" s="2">
        <v>46058</v>
      </c>
      <c r="E600" s="2">
        <v>46059</v>
      </c>
      <c r="F600" s="1" t="s">
        <v>120</v>
      </c>
      <c r="G600" s="1" t="s">
        <v>12</v>
      </c>
      <c r="H600" s="1" t="s">
        <v>11</v>
      </c>
      <c r="I600" s="7">
        <v>245.18</v>
      </c>
      <c r="J600" s="1" t="s">
        <v>38</v>
      </c>
      <c r="K600" s="1"/>
      <c r="L600" s="1" t="s">
        <v>39</v>
      </c>
      <c r="M600" s="1" t="str">
        <f>INDEX(MCC_Lookup!$B$2:$B$12,MATCH(G600,MCC_Lookup!$A$2:$A$12,0))</f>
        <v>Office Supplies</v>
      </c>
      <c r="N600" s="1" t="str">
        <f>IF(TRIM(H600)="","BLANK",IF(PROPER(TRIM(H600))=TRIM(M600),"MATCH","MISMATCH"))</f>
        <v>MATCH</v>
      </c>
      <c r="O600" s="5" t="str">
        <f>INDEX([1]Employee!$C$2:$C$276,MATCH(B600,[1]Employee!$A$2:$A$276,0))</f>
        <v>Claims</v>
      </c>
    </row>
    <row r="601" spans="1:15">
      <c r="A601" s="1" t="s">
        <v>1405</v>
      </c>
      <c r="B601" s="1" t="s">
        <v>244</v>
      </c>
      <c r="C601" s="1" t="s">
        <v>1406</v>
      </c>
      <c r="D601" s="2">
        <v>46050</v>
      </c>
      <c r="E601" s="2">
        <v>46059</v>
      </c>
      <c r="F601" s="1" t="s">
        <v>56</v>
      </c>
      <c r="G601" s="1" t="s">
        <v>4</v>
      </c>
      <c r="H601" s="1" t="s">
        <v>5</v>
      </c>
      <c r="I601" s="7">
        <v>607.9</v>
      </c>
      <c r="J601" s="1" t="s">
        <v>38</v>
      </c>
      <c r="K601" s="1"/>
      <c r="L601" s="1" t="s">
        <v>39</v>
      </c>
      <c r="M601" s="1" t="str">
        <f>INDEX(MCC_Lookup!$B$2:$B$12,MATCH(G601,MCC_Lookup!$A$2:$A$12,0))</f>
        <v>Travel</v>
      </c>
      <c r="N601" s="1" t="str">
        <f>IF(TRIM(H601)="","BLANK",IF(PROPER(TRIM(H601))=TRIM(M601),"MATCH","MISMATCH"))</f>
        <v>MATCH</v>
      </c>
      <c r="O601" s="5" t="str">
        <f>INDEX([1]Employee!$C$2:$C$276,MATCH(B601,[1]Employee!$A$2:$A$276,0))</f>
        <v>Sales &amp; Marketing</v>
      </c>
    </row>
    <row r="602" spans="1:15">
      <c r="A602" s="1" t="s">
        <v>1407</v>
      </c>
      <c r="B602" s="1" t="s">
        <v>540</v>
      </c>
      <c r="C602" s="1" t="s">
        <v>1408</v>
      </c>
      <c r="D602" s="2">
        <v>46055</v>
      </c>
      <c r="E602" s="2">
        <v>46059</v>
      </c>
      <c r="F602" s="1" t="s">
        <v>124</v>
      </c>
      <c r="G602" s="1" t="s">
        <v>17</v>
      </c>
      <c r="H602" s="1" t="s">
        <v>16</v>
      </c>
      <c r="I602" s="7">
        <v>66.739999999999995</v>
      </c>
      <c r="J602" s="1" t="s">
        <v>38</v>
      </c>
      <c r="K602" s="1"/>
      <c r="L602" s="1" t="s">
        <v>39</v>
      </c>
      <c r="M602" s="1" t="str">
        <f>INDEX(MCC_Lookup!$B$2:$B$12,MATCH(G602,MCC_Lookup!$A$2:$A$12,0))</f>
        <v>Entertainment</v>
      </c>
      <c r="N602" s="1" t="str">
        <f>IF(TRIM(H602)="","BLANK",IF(PROPER(TRIM(H602))=TRIM(M602),"MATCH","MISMATCH"))</f>
        <v>MATCH</v>
      </c>
      <c r="O602" s="5" t="str">
        <f>INDEX([1]Employee!$C$2:$C$276,MATCH(B602,[1]Employee!$A$2:$A$276,0))</f>
        <v>Underwriting</v>
      </c>
    </row>
    <row r="603" spans="1:15">
      <c r="A603" s="1" t="s">
        <v>1409</v>
      </c>
      <c r="B603" s="1" t="s">
        <v>292</v>
      </c>
      <c r="C603" s="1" t="s">
        <v>1410</v>
      </c>
      <c r="D603" s="2">
        <v>46057</v>
      </c>
      <c r="E603" s="2">
        <v>46059</v>
      </c>
      <c r="F603" s="1" t="s">
        <v>92</v>
      </c>
      <c r="G603" s="1" t="s">
        <v>10</v>
      </c>
      <c r="H603" s="1" t="s">
        <v>11</v>
      </c>
      <c r="I603" s="7">
        <v>137.88</v>
      </c>
      <c r="J603" s="1" t="s">
        <v>38</v>
      </c>
      <c r="K603" s="1"/>
      <c r="L603" s="1" t="s">
        <v>48</v>
      </c>
      <c r="M603" s="1" t="str">
        <f>INDEX(MCC_Lookup!$B$2:$B$12,MATCH(G603,MCC_Lookup!$A$2:$A$12,0))</f>
        <v>Office Supplies</v>
      </c>
      <c r="N603" s="1" t="str">
        <f>IF(TRIM(H603)="","BLANK",IF(PROPER(TRIM(H603))=TRIM(M603),"MATCH","MISMATCH"))</f>
        <v>MATCH</v>
      </c>
      <c r="O603" s="5" t="str">
        <f>INDEX([1]Employee!$C$2:$C$276,MATCH(B603,[1]Employee!$A$2:$A$276,0))</f>
        <v>Sales &amp; Marketing</v>
      </c>
    </row>
    <row r="604" spans="1:15">
      <c r="A604" s="1" t="s">
        <v>1411</v>
      </c>
      <c r="B604" s="1" t="s">
        <v>603</v>
      </c>
      <c r="C604" s="1" t="s">
        <v>1412</v>
      </c>
      <c r="D604" s="2">
        <v>46050</v>
      </c>
      <c r="E604" s="2">
        <v>46059</v>
      </c>
      <c r="F604" s="1" t="s">
        <v>56</v>
      </c>
      <c r="G604" s="1" t="s">
        <v>4</v>
      </c>
      <c r="H604" s="1" t="s">
        <v>5</v>
      </c>
      <c r="I604" s="7">
        <v>581.4</v>
      </c>
      <c r="J604" s="1" t="s">
        <v>38</v>
      </c>
      <c r="K604" s="1"/>
      <c r="L604" s="1" t="s">
        <v>39</v>
      </c>
      <c r="M604" s="1" t="str">
        <f>INDEX(MCC_Lookup!$B$2:$B$12,MATCH(G604,MCC_Lookup!$A$2:$A$12,0))</f>
        <v>Travel</v>
      </c>
      <c r="N604" s="1" t="str">
        <f>IF(TRIM(H604)="","BLANK",IF(PROPER(TRIM(H604))=TRIM(M604),"MATCH","MISMATCH"))</f>
        <v>MATCH</v>
      </c>
      <c r="O604" s="5" t="str">
        <f>INDEX([1]Employee!$C$2:$C$276,MATCH(B604,[1]Employee!$A$2:$A$276,0))</f>
        <v>Underwriting</v>
      </c>
    </row>
    <row r="605" spans="1:15">
      <c r="A605" s="1" t="s">
        <v>1413</v>
      </c>
      <c r="B605" s="1" t="s">
        <v>888</v>
      </c>
      <c r="C605" s="1" t="s">
        <v>1414</v>
      </c>
      <c r="D605" s="2">
        <v>46053</v>
      </c>
      <c r="E605" s="2">
        <v>46059</v>
      </c>
      <c r="F605" s="1" t="s">
        <v>305</v>
      </c>
      <c r="G605" s="1" t="s">
        <v>2</v>
      </c>
      <c r="H605" s="1" t="s">
        <v>3</v>
      </c>
      <c r="I605" s="7">
        <v>13.83</v>
      </c>
      <c r="J605" s="1" t="s">
        <v>38</v>
      </c>
      <c r="K605" s="1"/>
      <c r="L605" s="1" t="s">
        <v>39</v>
      </c>
      <c r="M605" s="1" t="str">
        <f>INDEX(MCC_Lookup!$B$2:$B$12,MATCH(G605,MCC_Lookup!$A$2:$A$12,0))</f>
        <v>Meals</v>
      </c>
      <c r="N605" s="1" t="str">
        <f>IF(TRIM(H605)="","BLANK",IF(PROPER(TRIM(H605))=TRIM(M605),"MATCH","MISMATCH"))</f>
        <v>MATCH</v>
      </c>
      <c r="O605" s="5" t="str">
        <f>INDEX([1]Employee!$C$2:$C$276,MATCH(B605,[1]Employee!$A$2:$A$276,0))</f>
        <v>Claims</v>
      </c>
    </row>
    <row r="606" spans="1:15">
      <c r="A606" s="1" t="s">
        <v>1415</v>
      </c>
      <c r="B606" s="1" t="s">
        <v>1170</v>
      </c>
      <c r="C606" s="1"/>
      <c r="D606" s="2">
        <v>46051</v>
      </c>
      <c r="E606" s="2">
        <v>46060</v>
      </c>
      <c r="F606" s="1" t="s">
        <v>72</v>
      </c>
      <c r="G606" s="1" t="s">
        <v>8</v>
      </c>
      <c r="H606" s="1" t="s">
        <v>9</v>
      </c>
      <c r="I606" s="7">
        <v>18.260000000000002</v>
      </c>
      <c r="J606" s="1" t="s">
        <v>111</v>
      </c>
      <c r="K606" s="1" t="s">
        <v>229</v>
      </c>
      <c r="L606" s="1" t="s">
        <v>48</v>
      </c>
      <c r="M606" s="1" t="str">
        <f>INDEX(MCC_Lookup!$B$2:$B$12,MATCH(G606,MCC_Lookup!$A$2:$A$12,0))</f>
        <v>Transportation</v>
      </c>
      <c r="N606" s="1" t="str">
        <f>IF(TRIM(H606)="","BLANK",IF(PROPER(TRIM(H606))=TRIM(M606),"MATCH","MISMATCH"))</f>
        <v>MATCH</v>
      </c>
      <c r="O606" s="5" t="str">
        <f>INDEX([1]Employee!$C$2:$C$276,MATCH(B606,[1]Employee!$A$2:$A$276,0))</f>
        <v>Finance</v>
      </c>
    </row>
    <row r="607" spans="1:15">
      <c r="A607" s="1" t="s">
        <v>1416</v>
      </c>
      <c r="B607" s="1" t="s">
        <v>1170</v>
      </c>
      <c r="C607" s="1"/>
      <c r="D607" s="2">
        <v>46056</v>
      </c>
      <c r="E607" s="2">
        <v>46060</v>
      </c>
      <c r="F607" s="1" t="s">
        <v>109</v>
      </c>
      <c r="G607" s="1" t="s">
        <v>18</v>
      </c>
      <c r="H607" s="1" t="s">
        <v>19</v>
      </c>
      <c r="I607" s="7">
        <v>244.93</v>
      </c>
      <c r="J607" s="1" t="s">
        <v>111</v>
      </c>
      <c r="K607" s="1" t="s">
        <v>112</v>
      </c>
      <c r="L607" s="1" t="s">
        <v>39</v>
      </c>
      <c r="M607" s="1" t="str">
        <f>INDEX(MCC_Lookup!$B$2:$B$12,MATCH(G607,MCC_Lookup!$A$2:$A$12,0))</f>
        <v>Events</v>
      </c>
      <c r="N607" s="1" t="str">
        <f>IF(TRIM(H607)="","BLANK",IF(PROPER(TRIM(H607))=TRIM(M607),"MATCH","MISMATCH"))</f>
        <v>MATCH</v>
      </c>
      <c r="O607" s="5" t="str">
        <f>INDEX([1]Employee!$C$2:$C$276,MATCH(B607,[1]Employee!$A$2:$A$276,0))</f>
        <v>Finance</v>
      </c>
    </row>
    <row r="608" spans="1:15">
      <c r="A608" s="1" t="s">
        <v>1417</v>
      </c>
      <c r="B608" s="1" t="s">
        <v>466</v>
      </c>
      <c r="C608" s="1" t="s">
        <v>1418</v>
      </c>
      <c r="D608" s="2">
        <v>46057</v>
      </c>
      <c r="E608" s="2">
        <v>46060</v>
      </c>
      <c r="F608" s="1" t="s">
        <v>79</v>
      </c>
      <c r="G608" s="1" t="s">
        <v>13</v>
      </c>
      <c r="H608" s="1" t="s">
        <v>14</v>
      </c>
      <c r="I608" s="7">
        <v>100.39</v>
      </c>
      <c r="J608" s="1" t="s">
        <v>38</v>
      </c>
      <c r="K608" s="1"/>
      <c r="L608" s="1" t="s">
        <v>39</v>
      </c>
      <c r="M608" s="1" t="str">
        <f>INDEX(MCC_Lookup!$B$2:$B$12,MATCH(G608,MCC_Lookup!$A$2:$A$12,0))</f>
        <v>Software</v>
      </c>
      <c r="N608" s="1" t="str">
        <f>IF(TRIM(H608)="","BLANK",IF(PROPER(TRIM(H608))=TRIM(M608),"MATCH","MISMATCH"))</f>
        <v>MATCH</v>
      </c>
      <c r="O608" s="5" t="str">
        <f>INDEX([1]Employee!$C$2:$C$276,MATCH(B608,[1]Employee!$A$2:$A$276,0))</f>
        <v>Finance</v>
      </c>
    </row>
    <row r="609" spans="1:15">
      <c r="A609" s="1" t="s">
        <v>1419</v>
      </c>
      <c r="B609" s="1" t="s">
        <v>227</v>
      </c>
      <c r="C609" s="1"/>
      <c r="D609" s="2">
        <v>46059</v>
      </c>
      <c r="E609" s="2">
        <v>46060</v>
      </c>
      <c r="F609" s="1" t="s">
        <v>1420</v>
      </c>
      <c r="G609" s="1" t="s">
        <v>6</v>
      </c>
      <c r="H609" s="1" t="s">
        <v>7</v>
      </c>
      <c r="I609" s="7">
        <v>242.83</v>
      </c>
      <c r="J609" s="1" t="s">
        <v>38</v>
      </c>
      <c r="K609" s="1"/>
      <c r="L609" s="1" t="s">
        <v>39</v>
      </c>
      <c r="M609" s="1" t="str">
        <f>INDEX(MCC_Lookup!$B$2:$B$12,MATCH(G609,MCC_Lookup!$A$2:$A$12,0))</f>
        <v>Lodging</v>
      </c>
      <c r="N609" s="1" t="str">
        <f>IF(TRIM(H609)="","BLANK",IF(PROPER(TRIM(H609))=TRIM(M609),"MATCH","MISMATCH"))</f>
        <v>MATCH</v>
      </c>
      <c r="O609" s="5" t="str">
        <f>INDEX([1]Employee!$C$2:$C$276,MATCH(B609,[1]Employee!$A$2:$A$276,0))</f>
        <v>Claims</v>
      </c>
    </row>
    <row r="610" spans="1:15">
      <c r="A610" s="1" t="s">
        <v>1421</v>
      </c>
      <c r="B610" s="1" t="s">
        <v>1422</v>
      </c>
      <c r="C610" s="1" t="s">
        <v>1423</v>
      </c>
      <c r="D610" s="2">
        <v>46050</v>
      </c>
      <c r="E610" s="2">
        <v>46060</v>
      </c>
      <c r="F610" s="1" t="s">
        <v>56</v>
      </c>
      <c r="G610" s="1" t="s">
        <v>4</v>
      </c>
      <c r="H610" s="1" t="s">
        <v>5</v>
      </c>
      <c r="I610" s="7">
        <v>488.49</v>
      </c>
      <c r="J610" s="1" t="s">
        <v>38</v>
      </c>
      <c r="K610" s="1"/>
      <c r="L610" s="1" t="s">
        <v>39</v>
      </c>
      <c r="M610" s="1" t="str">
        <f>INDEX(MCC_Lookup!$B$2:$B$12,MATCH(G610,MCC_Lookup!$A$2:$A$12,0))</f>
        <v>Travel</v>
      </c>
      <c r="N610" s="1" t="str">
        <f>IF(TRIM(H610)="","BLANK",IF(PROPER(TRIM(H610))=TRIM(M610),"MATCH","MISMATCH"))</f>
        <v>MATCH</v>
      </c>
      <c r="O610" s="5" t="str">
        <f>INDEX([1]Employee!$C$2:$C$276,MATCH(B610,[1]Employee!$A$2:$A$276,0))</f>
        <v>Underwriting</v>
      </c>
    </row>
    <row r="611" spans="1:15">
      <c r="A611" s="1" t="s">
        <v>1424</v>
      </c>
      <c r="B611" s="1" t="s">
        <v>1128</v>
      </c>
      <c r="C611" s="1" t="s">
        <v>1425</v>
      </c>
      <c r="D611" s="2">
        <v>46058</v>
      </c>
      <c r="E611" s="2">
        <v>46060</v>
      </c>
      <c r="F611" s="1" t="s">
        <v>177</v>
      </c>
      <c r="G611" s="1" t="s">
        <v>13</v>
      </c>
      <c r="H611" s="1" t="s">
        <v>14</v>
      </c>
      <c r="I611" s="7">
        <v>69.98</v>
      </c>
      <c r="J611" s="1" t="s">
        <v>38</v>
      </c>
      <c r="K611" s="1"/>
      <c r="L611" s="1" t="s">
        <v>39</v>
      </c>
      <c r="M611" s="1" t="str">
        <f>INDEX(MCC_Lookup!$B$2:$B$12,MATCH(G611,MCC_Lookup!$A$2:$A$12,0))</f>
        <v>Software</v>
      </c>
      <c r="N611" s="1" t="str">
        <f>IF(TRIM(H611)="","BLANK",IF(PROPER(TRIM(H611))=TRIM(M611),"MATCH","MISMATCH"))</f>
        <v>MATCH</v>
      </c>
      <c r="O611" s="5" t="str">
        <f>INDEX([1]Employee!$C$2:$C$276,MATCH(B611,[1]Employee!$A$2:$A$276,0))</f>
        <v>Customer Support</v>
      </c>
    </row>
    <row r="612" spans="1:15">
      <c r="A612" s="1" t="s">
        <v>1426</v>
      </c>
      <c r="B612" s="1" t="s">
        <v>1427</v>
      </c>
      <c r="C612" s="1" t="s">
        <v>1428</v>
      </c>
      <c r="D612" s="2">
        <v>46058</v>
      </c>
      <c r="E612" s="2">
        <v>46060</v>
      </c>
      <c r="F612" s="1" t="s">
        <v>43</v>
      </c>
      <c r="G612" s="1" t="s">
        <v>2</v>
      </c>
      <c r="H612" s="1" t="s">
        <v>154</v>
      </c>
      <c r="I612" s="7">
        <v>13.82</v>
      </c>
      <c r="J612" s="1" t="s">
        <v>38</v>
      </c>
      <c r="K612" s="1"/>
      <c r="L612" s="1" t="s">
        <v>39</v>
      </c>
      <c r="M612" s="1" t="str">
        <f>INDEX(MCC_Lookup!$B$2:$B$12,MATCH(G612,MCC_Lookup!$A$2:$A$12,0))</f>
        <v>Meals</v>
      </c>
      <c r="N612" s="1" t="str">
        <f>IF(TRIM(H612)="","BLANK",IF(PROPER(TRIM(H612))=TRIM(M612),"MATCH","MISMATCH"))</f>
        <v>MATCH</v>
      </c>
      <c r="O612" s="5" t="str">
        <f>INDEX([1]Employee!$C$2:$C$276,MATCH(B612,[1]Employee!$A$2:$A$276,0))</f>
        <v>Finance</v>
      </c>
    </row>
    <row r="613" spans="1:15">
      <c r="A613" s="1" t="s">
        <v>1429</v>
      </c>
      <c r="B613" s="1" t="s">
        <v>149</v>
      </c>
      <c r="C613" s="1" t="s">
        <v>1430</v>
      </c>
      <c r="D613" s="2">
        <v>46057</v>
      </c>
      <c r="E613" s="2">
        <v>46060</v>
      </c>
      <c r="F613" s="1" t="s">
        <v>106</v>
      </c>
      <c r="G613" s="1" t="s">
        <v>13</v>
      </c>
      <c r="H613" s="1"/>
      <c r="I613" s="7">
        <v>225.58</v>
      </c>
      <c r="J613" s="1" t="s">
        <v>38</v>
      </c>
      <c r="K613" s="1"/>
      <c r="L613" s="1" t="s">
        <v>39</v>
      </c>
      <c r="M613" s="1" t="str">
        <f>INDEX(MCC_Lookup!$B$2:$B$12,MATCH(G613,MCC_Lookup!$A$2:$A$12,0))</f>
        <v>Software</v>
      </c>
      <c r="N613" s="1" t="str">
        <f>IF(TRIM(H613)="","BLANK",IF(PROPER(TRIM(H613))=TRIM(M613),"MATCH","MISMATCH"))</f>
        <v>BLANK</v>
      </c>
      <c r="O613" s="5" t="str">
        <f>INDEX([1]Employee!$C$2:$C$276,MATCH(B613,[1]Employee!$A$2:$A$276,0))</f>
        <v>Sales &amp; Marketing</v>
      </c>
    </row>
    <row r="614" spans="1:15">
      <c r="A614" s="1" t="s">
        <v>1431</v>
      </c>
      <c r="B614" s="1" t="s">
        <v>679</v>
      </c>
      <c r="C614" s="1"/>
      <c r="D614" s="2">
        <v>46053</v>
      </c>
      <c r="E614" s="2">
        <v>46060</v>
      </c>
      <c r="F614" s="1" t="s">
        <v>109</v>
      </c>
      <c r="G614" s="1" t="s">
        <v>18</v>
      </c>
      <c r="H614" s="1" t="s">
        <v>19</v>
      </c>
      <c r="I614" s="7">
        <v>58.39</v>
      </c>
      <c r="J614" s="1" t="s">
        <v>111</v>
      </c>
      <c r="K614" s="1" t="s">
        <v>127</v>
      </c>
      <c r="L614" s="1" t="s">
        <v>39</v>
      </c>
      <c r="M614" s="1" t="str">
        <f>INDEX(MCC_Lookup!$B$2:$B$12,MATCH(G614,MCC_Lookup!$A$2:$A$12,0))</f>
        <v>Events</v>
      </c>
      <c r="N614" s="1" t="str">
        <f>IF(TRIM(H614)="","BLANK",IF(PROPER(TRIM(H614))=TRIM(M614),"MATCH","MISMATCH"))</f>
        <v>MATCH</v>
      </c>
      <c r="O614" s="5" t="str">
        <f>INDEX([1]Employee!$C$2:$C$276,MATCH(B614,[1]Employee!$A$2:$A$276,0))</f>
        <v>Sales &amp; Marketing</v>
      </c>
    </row>
    <row r="615" spans="1:15">
      <c r="A615" s="1" t="s">
        <v>1432</v>
      </c>
      <c r="B615" s="1" t="s">
        <v>152</v>
      </c>
      <c r="C615" s="1" t="s">
        <v>1433</v>
      </c>
      <c r="D615" s="2">
        <v>46056</v>
      </c>
      <c r="E615" s="2">
        <v>46060</v>
      </c>
      <c r="F615" s="1" t="s">
        <v>61</v>
      </c>
      <c r="G615" s="1" t="s">
        <v>13</v>
      </c>
      <c r="H615" s="1" t="s">
        <v>14</v>
      </c>
      <c r="I615" s="7">
        <v>46.32</v>
      </c>
      <c r="J615" s="1" t="s">
        <v>38</v>
      </c>
      <c r="K615" s="1"/>
      <c r="L615" s="1" t="s">
        <v>48</v>
      </c>
      <c r="M615" s="1" t="str">
        <f>INDEX(MCC_Lookup!$B$2:$B$12,MATCH(G615,MCC_Lookup!$A$2:$A$12,0))</f>
        <v>Software</v>
      </c>
      <c r="N615" s="1" t="str">
        <f>IF(TRIM(H615)="","BLANK",IF(PROPER(TRIM(H615))=TRIM(M615),"MATCH","MISMATCH"))</f>
        <v>MATCH</v>
      </c>
      <c r="O615" s="5" t="str">
        <f>INDEX([1]Employee!$C$2:$C$276,MATCH(B615,[1]Employee!$A$2:$A$276,0))</f>
        <v>Sales &amp; Marketing</v>
      </c>
    </row>
    <row r="616" spans="1:15">
      <c r="A616" s="1" t="s">
        <v>1434</v>
      </c>
      <c r="B616" s="1" t="s">
        <v>90</v>
      </c>
      <c r="C616" s="1"/>
      <c r="D616" s="2">
        <v>46057</v>
      </c>
      <c r="E616" s="2">
        <v>46060</v>
      </c>
      <c r="F616" s="1" t="s">
        <v>259</v>
      </c>
      <c r="G616" s="1" t="s">
        <v>20</v>
      </c>
      <c r="H616" s="1" t="s">
        <v>19</v>
      </c>
      <c r="I616" s="7">
        <v>302.73</v>
      </c>
      <c r="J616" s="1" t="s">
        <v>38</v>
      </c>
      <c r="K616" s="1"/>
      <c r="L616" s="1" t="s">
        <v>39</v>
      </c>
      <c r="M616" s="1" t="str">
        <f>INDEX(MCC_Lookup!$B$2:$B$12,MATCH(G616,MCC_Lookup!$A$2:$A$12,0))</f>
        <v>Events</v>
      </c>
      <c r="N616" s="1" t="str">
        <f>IF(TRIM(H616)="","BLANK",IF(PROPER(TRIM(H616))=TRIM(M616),"MATCH","MISMATCH"))</f>
        <v>MATCH</v>
      </c>
      <c r="O616" s="5" t="str">
        <f>INDEX([1]Employee!$C$2:$C$276,MATCH(B616,[1]Employee!$A$2:$A$276,0))</f>
        <v>Sales &amp; Marketing</v>
      </c>
    </row>
    <row r="617" spans="1:15">
      <c r="A617" s="1" t="s">
        <v>1435</v>
      </c>
      <c r="B617" s="1" t="s">
        <v>136</v>
      </c>
      <c r="C617" s="1"/>
      <c r="D617" s="2">
        <v>46060</v>
      </c>
      <c r="E617" s="2">
        <v>46060</v>
      </c>
      <c r="F617" s="1" t="s">
        <v>52</v>
      </c>
      <c r="G617" s="1" t="s">
        <v>15</v>
      </c>
      <c r="H617" s="1" t="s">
        <v>403</v>
      </c>
      <c r="I617" s="7">
        <v>45.18</v>
      </c>
      <c r="J617" s="1" t="s">
        <v>111</v>
      </c>
      <c r="K617" s="1" t="s">
        <v>112</v>
      </c>
      <c r="L617" s="1" t="s">
        <v>39</v>
      </c>
      <c r="M617" s="1" t="str">
        <f>INDEX(MCC_Lookup!$B$2:$B$12,MATCH(G617,MCC_Lookup!$A$2:$A$12,0))</f>
        <v>Entertainment</v>
      </c>
      <c r="N617" s="1" t="str">
        <f>IF(TRIM(H617)="","BLANK",IF(PROPER(TRIM(H617))=TRIM(M617),"MATCH","MISMATCH"))</f>
        <v>MATCH</v>
      </c>
      <c r="O617" s="5" t="str">
        <f>INDEX([1]Employee!$C$2:$C$276,MATCH(B617,[1]Employee!$A$2:$A$276,0))</f>
        <v>Sales &amp; Marketing</v>
      </c>
    </row>
    <row r="618" spans="1:15">
      <c r="A618" s="1" t="s">
        <v>1436</v>
      </c>
      <c r="B618" s="1" t="s">
        <v>603</v>
      </c>
      <c r="C618" s="1"/>
      <c r="D618" s="2">
        <v>46057</v>
      </c>
      <c r="E618" s="2">
        <v>46060</v>
      </c>
      <c r="F618" s="1" t="s">
        <v>305</v>
      </c>
      <c r="G618" s="1" t="s">
        <v>2</v>
      </c>
      <c r="H618" s="1" t="s">
        <v>3</v>
      </c>
      <c r="I618" s="7">
        <v>7.77</v>
      </c>
      <c r="J618" s="1" t="s">
        <v>38</v>
      </c>
      <c r="K618" s="1"/>
      <c r="L618" s="1" t="s">
        <v>39</v>
      </c>
      <c r="M618" s="1" t="str">
        <f>INDEX(MCC_Lookup!$B$2:$B$12,MATCH(G618,MCC_Lookup!$A$2:$A$12,0))</f>
        <v>Meals</v>
      </c>
      <c r="N618" s="1" t="str">
        <f>IF(TRIM(H618)="","BLANK",IF(PROPER(TRIM(H618))=TRIM(M618),"MATCH","MISMATCH"))</f>
        <v>MATCH</v>
      </c>
      <c r="O618" s="5" t="str">
        <f>INDEX([1]Employee!$C$2:$C$276,MATCH(B618,[1]Employee!$A$2:$A$276,0))</f>
        <v>Underwriting</v>
      </c>
    </row>
    <row r="619" spans="1:15">
      <c r="A619" s="1" t="s">
        <v>1437</v>
      </c>
      <c r="B619" s="1" t="s">
        <v>524</v>
      </c>
      <c r="C619" s="1" t="s">
        <v>1438</v>
      </c>
      <c r="D619" s="2">
        <v>46053</v>
      </c>
      <c r="E619" s="2">
        <v>46060</v>
      </c>
      <c r="F619" s="1" t="s">
        <v>109</v>
      </c>
      <c r="G619" s="1" t="s">
        <v>18</v>
      </c>
      <c r="H619" s="1" t="s">
        <v>19</v>
      </c>
      <c r="I619" s="7">
        <v>222.88</v>
      </c>
      <c r="J619" s="1" t="s">
        <v>38</v>
      </c>
      <c r="K619" s="1"/>
      <c r="L619" s="1" t="s">
        <v>48</v>
      </c>
      <c r="M619" s="1" t="str">
        <f>INDEX(MCC_Lookup!$B$2:$B$12,MATCH(G619,MCC_Lookup!$A$2:$A$12,0))</f>
        <v>Events</v>
      </c>
      <c r="N619" s="1" t="str">
        <f>IF(TRIM(H619)="","BLANK",IF(PROPER(TRIM(H619))=TRIM(M619),"MATCH","MISMATCH"))</f>
        <v>MATCH</v>
      </c>
      <c r="O619" s="5" t="str">
        <f>INDEX([1]Employee!$C$2:$C$276,MATCH(B619,[1]Employee!$A$2:$A$276,0))</f>
        <v>Claims</v>
      </c>
    </row>
    <row r="620" spans="1:15">
      <c r="A620" s="1" t="s">
        <v>1439</v>
      </c>
      <c r="B620" s="1" t="s">
        <v>1440</v>
      </c>
      <c r="C620" s="1" t="s">
        <v>1441</v>
      </c>
      <c r="D620" s="2">
        <v>46055</v>
      </c>
      <c r="E620" s="2">
        <v>46060</v>
      </c>
      <c r="F620" s="1" t="s">
        <v>52</v>
      </c>
      <c r="G620" s="1" t="s">
        <v>15</v>
      </c>
      <c r="H620" s="1" t="s">
        <v>1442</v>
      </c>
      <c r="I620" s="7">
        <v>39.6</v>
      </c>
      <c r="J620" s="1" t="s">
        <v>38</v>
      </c>
      <c r="K620" s="1"/>
      <c r="L620" s="1" t="s">
        <v>39</v>
      </c>
      <c r="M620" s="1" t="str">
        <f>INDEX(MCC_Lookup!$B$2:$B$12,MATCH(G620,MCC_Lookup!$A$2:$A$12,0))</f>
        <v>Entertainment</v>
      </c>
      <c r="N620" s="1" t="str">
        <f>IF(TRIM(H620)="","BLANK",IF(PROPER(TRIM(H620))=TRIM(M620),"MATCH","MISMATCH"))</f>
        <v>MATCH</v>
      </c>
      <c r="O620" s="5" t="str">
        <f>INDEX([1]Employee!$C$2:$C$276,MATCH(B620,[1]Employee!$A$2:$A$276,0))</f>
        <v>Claims</v>
      </c>
    </row>
    <row r="621" spans="1:15">
      <c r="A621" s="1" t="s">
        <v>1443</v>
      </c>
      <c r="B621" s="1" t="s">
        <v>846</v>
      </c>
      <c r="C621" s="1"/>
      <c r="D621" s="2">
        <v>46060</v>
      </c>
      <c r="E621" s="2">
        <v>46060</v>
      </c>
      <c r="F621" s="1" t="s">
        <v>116</v>
      </c>
      <c r="G621" s="1" t="s">
        <v>2</v>
      </c>
      <c r="H621" s="1" t="s">
        <v>3</v>
      </c>
      <c r="I621" s="7">
        <v>14.1</v>
      </c>
      <c r="J621" s="1" t="s">
        <v>38</v>
      </c>
      <c r="K621" s="1"/>
      <c r="L621" s="1" t="s">
        <v>39</v>
      </c>
      <c r="M621" s="1" t="str">
        <f>INDEX(MCC_Lookup!$B$2:$B$12,MATCH(G621,MCC_Lookup!$A$2:$A$12,0))</f>
        <v>Meals</v>
      </c>
      <c r="N621" s="1" t="str">
        <f>IF(TRIM(H621)="","BLANK",IF(PROPER(TRIM(H621))=TRIM(M621),"MATCH","MISMATCH"))</f>
        <v>MATCH</v>
      </c>
      <c r="O621" s="5" t="str">
        <f>INDEX([1]Employee!$C$2:$C$276,MATCH(B621,[1]Employee!$A$2:$A$276,0))</f>
        <v>Sales &amp; Marketing</v>
      </c>
    </row>
    <row r="622" spans="1:15">
      <c r="A622" s="1" t="s">
        <v>1444</v>
      </c>
      <c r="B622" s="1" t="s">
        <v>67</v>
      </c>
      <c r="C622" s="1" t="s">
        <v>1445</v>
      </c>
      <c r="D622" s="2">
        <v>46060</v>
      </c>
      <c r="E622" s="2">
        <v>46060</v>
      </c>
      <c r="F622" s="1" t="s">
        <v>305</v>
      </c>
      <c r="G622" s="1" t="s">
        <v>2</v>
      </c>
      <c r="H622" s="1" t="s">
        <v>9</v>
      </c>
      <c r="I622" s="7">
        <v>9.76</v>
      </c>
      <c r="J622" s="1" t="s">
        <v>38</v>
      </c>
      <c r="K622" s="1"/>
      <c r="L622" s="1" t="s">
        <v>39</v>
      </c>
      <c r="M622" s="1" t="str">
        <f>INDEX(MCC_Lookup!$B$2:$B$12,MATCH(G622,MCC_Lookup!$A$2:$A$12,0))</f>
        <v>Meals</v>
      </c>
      <c r="N622" s="1" t="str">
        <f>IF(TRIM(H622)="","BLANK",IF(PROPER(TRIM(H622))=TRIM(M622),"MATCH","MISMATCH"))</f>
        <v>MISMATCH</v>
      </c>
      <c r="O622" s="5" t="str">
        <f>INDEX([1]Employee!$C$2:$C$276,MATCH(B622,[1]Employee!$A$2:$A$276,0))</f>
        <v>Sales &amp; Marketing</v>
      </c>
    </row>
    <row r="623" spans="1:15">
      <c r="A623" s="1" t="s">
        <v>1446</v>
      </c>
      <c r="B623" s="1" t="s">
        <v>108</v>
      </c>
      <c r="C623" s="1" t="s">
        <v>1447</v>
      </c>
      <c r="D623" s="2">
        <v>46056</v>
      </c>
      <c r="E623" s="2">
        <v>46060</v>
      </c>
      <c r="F623" s="1" t="s">
        <v>47</v>
      </c>
      <c r="G623" s="1" t="s">
        <v>6</v>
      </c>
      <c r="H623" s="1" t="s">
        <v>7</v>
      </c>
      <c r="I623" s="7">
        <v>148.34</v>
      </c>
      <c r="J623" s="1" t="s">
        <v>38</v>
      </c>
      <c r="K623" s="1"/>
      <c r="L623" s="1" t="s">
        <v>39</v>
      </c>
      <c r="M623" s="1" t="str">
        <f>INDEX(MCC_Lookup!$B$2:$B$12,MATCH(G623,MCC_Lookup!$A$2:$A$12,0))</f>
        <v>Lodging</v>
      </c>
      <c r="N623" s="1" t="str">
        <f>IF(TRIM(H623)="","BLANK",IF(PROPER(TRIM(H623))=TRIM(M623),"MATCH","MISMATCH"))</f>
        <v>MATCH</v>
      </c>
      <c r="O623" s="5" t="str">
        <f>INDEX([1]Employee!$C$2:$C$276,MATCH(B623,[1]Employee!$A$2:$A$276,0))</f>
        <v>Sales &amp; Marketing</v>
      </c>
    </row>
    <row r="624" spans="1:15">
      <c r="A624" s="1" t="s">
        <v>1448</v>
      </c>
      <c r="B624" s="1" t="s">
        <v>382</v>
      </c>
      <c r="C624" s="1" t="s">
        <v>1449</v>
      </c>
      <c r="D624" s="2">
        <v>46055</v>
      </c>
      <c r="E624" s="2">
        <v>46061</v>
      </c>
      <c r="F624" s="1" t="s">
        <v>92</v>
      </c>
      <c r="G624" s="1" t="s">
        <v>10</v>
      </c>
      <c r="H624" s="1" t="s">
        <v>11</v>
      </c>
      <c r="I624" s="7">
        <v>26.85</v>
      </c>
      <c r="J624" s="1" t="s">
        <v>38</v>
      </c>
      <c r="K624" s="1"/>
      <c r="L624" s="1" t="s">
        <v>48</v>
      </c>
      <c r="M624" s="1" t="str">
        <f>INDEX(MCC_Lookup!$B$2:$B$12,MATCH(G624,MCC_Lookup!$A$2:$A$12,0))</f>
        <v>Office Supplies</v>
      </c>
      <c r="N624" s="1" t="str">
        <f>IF(TRIM(H624)="","BLANK",IF(PROPER(TRIM(H624))=TRIM(M624),"MATCH","MISMATCH"))</f>
        <v>MATCH</v>
      </c>
      <c r="O624" s="5" t="str">
        <f>INDEX([1]Employee!$C$2:$C$276,MATCH(B624,[1]Employee!$A$2:$A$276,0))</f>
        <v>Sales &amp; Marketing</v>
      </c>
    </row>
    <row r="625" spans="1:15">
      <c r="A625" s="1" t="s">
        <v>1450</v>
      </c>
      <c r="B625" s="1" t="s">
        <v>709</v>
      </c>
      <c r="C625" s="1" t="s">
        <v>1451</v>
      </c>
      <c r="D625" s="2">
        <v>46053</v>
      </c>
      <c r="E625" s="2">
        <v>46061</v>
      </c>
      <c r="F625" s="1" t="s">
        <v>43</v>
      </c>
      <c r="G625" s="1" t="s">
        <v>2</v>
      </c>
      <c r="H625" s="1" t="s">
        <v>3</v>
      </c>
      <c r="I625" s="7">
        <v>14.23</v>
      </c>
      <c r="J625" s="1" t="s">
        <v>38</v>
      </c>
      <c r="K625" s="1"/>
      <c r="L625" s="1" t="s">
        <v>39</v>
      </c>
      <c r="M625" s="1" t="str">
        <f>INDEX(MCC_Lookup!$B$2:$B$12,MATCH(G625,MCC_Lookup!$A$2:$A$12,0))</f>
        <v>Meals</v>
      </c>
      <c r="N625" s="1" t="str">
        <f>IF(TRIM(H625)="","BLANK",IF(PROPER(TRIM(H625))=TRIM(M625),"MATCH","MISMATCH"))</f>
        <v>MATCH</v>
      </c>
      <c r="O625" s="5" t="str">
        <f>INDEX([1]Employee!$C$2:$C$276,MATCH(B625,[1]Employee!$A$2:$A$276,0))</f>
        <v>Underwriting</v>
      </c>
    </row>
    <row r="626" spans="1:15">
      <c r="A626" s="1" t="s">
        <v>1452</v>
      </c>
      <c r="B626" s="1" t="s">
        <v>413</v>
      </c>
      <c r="C626" s="1" t="s">
        <v>1453</v>
      </c>
      <c r="D626" s="2">
        <v>46054</v>
      </c>
      <c r="E626" s="2">
        <v>46061</v>
      </c>
      <c r="F626" s="1" t="s">
        <v>92</v>
      </c>
      <c r="G626" s="1" t="s">
        <v>10</v>
      </c>
      <c r="H626" s="1" t="s">
        <v>131</v>
      </c>
      <c r="I626" s="7">
        <v>158.59</v>
      </c>
      <c r="J626" s="1" t="s">
        <v>38</v>
      </c>
      <c r="K626" s="1"/>
      <c r="L626" s="1" t="s">
        <v>39</v>
      </c>
      <c r="M626" s="1" t="str">
        <f>INDEX(MCC_Lookup!$B$2:$B$12,MATCH(G626,MCC_Lookup!$A$2:$A$12,0))</f>
        <v>Office Supplies</v>
      </c>
      <c r="N626" s="1" t="str">
        <f>IF(TRIM(H626)="","BLANK",IF(PROPER(TRIM(H626))=TRIM(M626),"MATCH","MISMATCH"))</f>
        <v>MATCH</v>
      </c>
      <c r="O626" s="5" t="str">
        <f>INDEX([1]Employee!$C$2:$C$276,MATCH(B626,[1]Employee!$A$2:$A$276,0))</f>
        <v>Claims</v>
      </c>
    </row>
    <row r="627" spans="1:15">
      <c r="A627" s="1" t="s">
        <v>1454</v>
      </c>
      <c r="B627" s="1" t="s">
        <v>108</v>
      </c>
      <c r="C627" s="1" t="s">
        <v>1455</v>
      </c>
      <c r="D627" s="2">
        <v>46057</v>
      </c>
      <c r="E627" s="2">
        <v>46061</v>
      </c>
      <c r="F627" s="1" t="s">
        <v>242</v>
      </c>
      <c r="G627" s="1" t="s">
        <v>13</v>
      </c>
      <c r="H627" s="1" t="s">
        <v>14</v>
      </c>
      <c r="I627" s="7">
        <v>40.22</v>
      </c>
      <c r="J627" s="1" t="s">
        <v>38</v>
      </c>
      <c r="K627" s="1"/>
      <c r="L627" s="1" t="s">
        <v>39</v>
      </c>
      <c r="M627" s="1" t="str">
        <f>INDEX(MCC_Lookup!$B$2:$B$12,MATCH(G627,MCC_Lookup!$A$2:$A$12,0))</f>
        <v>Software</v>
      </c>
      <c r="N627" s="1" t="str">
        <f>IF(TRIM(H627)="","BLANK",IF(PROPER(TRIM(H627))=TRIM(M627),"MATCH","MISMATCH"))</f>
        <v>MATCH</v>
      </c>
      <c r="O627" s="5" t="str">
        <f>INDEX([1]Employee!$C$2:$C$276,MATCH(B627,[1]Employee!$A$2:$A$276,0))</f>
        <v>Sales &amp; Marketing</v>
      </c>
    </row>
    <row r="628" spans="1:15">
      <c r="A628" s="1" t="s">
        <v>1456</v>
      </c>
      <c r="B628" s="1" t="s">
        <v>292</v>
      </c>
      <c r="C628" s="1" t="s">
        <v>1457</v>
      </c>
      <c r="D628" s="2">
        <v>46051</v>
      </c>
      <c r="E628" s="2">
        <v>46061</v>
      </c>
      <c r="F628" s="1" t="s">
        <v>347</v>
      </c>
      <c r="G628" s="1" t="s">
        <v>8</v>
      </c>
      <c r="H628" s="1" t="s">
        <v>9</v>
      </c>
      <c r="I628" s="7">
        <v>17.190000000000001</v>
      </c>
      <c r="J628" s="1" t="s">
        <v>38</v>
      </c>
      <c r="K628" s="1"/>
      <c r="L628" s="1" t="s">
        <v>39</v>
      </c>
      <c r="M628" s="1" t="str">
        <f>INDEX(MCC_Lookup!$B$2:$B$12,MATCH(G628,MCC_Lookup!$A$2:$A$12,0))</f>
        <v>Transportation</v>
      </c>
      <c r="N628" s="1" t="str">
        <f>IF(TRIM(H628)="","BLANK",IF(PROPER(TRIM(H628))=TRIM(M628),"MATCH","MISMATCH"))</f>
        <v>MATCH</v>
      </c>
      <c r="O628" s="5" t="str">
        <f>INDEX([1]Employee!$C$2:$C$276,MATCH(B628,[1]Employee!$A$2:$A$276,0))</f>
        <v>Sales &amp; Marketing</v>
      </c>
    </row>
    <row r="629" spans="1:15">
      <c r="A629" s="1" t="s">
        <v>1458</v>
      </c>
      <c r="B629" s="1" t="s">
        <v>631</v>
      </c>
      <c r="C629" s="1" t="s">
        <v>1459</v>
      </c>
      <c r="D629" s="2">
        <v>46057</v>
      </c>
      <c r="E629" s="2">
        <v>46061</v>
      </c>
      <c r="F629" s="1" t="s">
        <v>79</v>
      </c>
      <c r="G629" s="1" t="s">
        <v>13</v>
      </c>
      <c r="H629" s="1" t="s">
        <v>14</v>
      </c>
      <c r="I629" s="7">
        <v>139.69</v>
      </c>
      <c r="J629" s="1" t="s">
        <v>38</v>
      </c>
      <c r="K629" s="1"/>
      <c r="L629" s="1" t="s">
        <v>39</v>
      </c>
      <c r="M629" s="1" t="str">
        <f>INDEX(MCC_Lookup!$B$2:$B$12,MATCH(G629,MCC_Lookup!$A$2:$A$12,0))</f>
        <v>Software</v>
      </c>
      <c r="N629" s="1" t="str">
        <f>IF(TRIM(H629)="","BLANK",IF(PROPER(TRIM(H629))=TRIM(M629),"MATCH","MISMATCH"))</f>
        <v>MATCH</v>
      </c>
      <c r="O629" s="5" t="str">
        <f>INDEX([1]Employee!$C$2:$C$276,MATCH(B629,[1]Employee!$A$2:$A$276,0))</f>
        <v>Claims</v>
      </c>
    </row>
    <row r="630" spans="1:15">
      <c r="A630" s="1" t="s">
        <v>1460</v>
      </c>
      <c r="B630" s="1" t="s">
        <v>300</v>
      </c>
      <c r="C630" s="1" t="s">
        <v>1461</v>
      </c>
      <c r="D630" s="2">
        <v>46051</v>
      </c>
      <c r="E630" s="2">
        <v>46061</v>
      </c>
      <c r="F630" s="1" t="s">
        <v>109</v>
      </c>
      <c r="G630" s="1" t="s">
        <v>18</v>
      </c>
      <c r="H630" s="1" t="s">
        <v>19</v>
      </c>
      <c r="I630" s="7">
        <v>18.010000000000002</v>
      </c>
      <c r="J630" s="1" t="s">
        <v>38</v>
      </c>
      <c r="K630" s="1"/>
      <c r="L630" s="1" t="s">
        <v>39</v>
      </c>
      <c r="M630" s="1" t="str">
        <f>INDEX(MCC_Lookup!$B$2:$B$12,MATCH(G630,MCC_Lookup!$A$2:$A$12,0))</f>
        <v>Events</v>
      </c>
      <c r="N630" s="1" t="str">
        <f>IF(TRIM(H630)="","BLANK",IF(PROPER(TRIM(H630))=TRIM(M630),"MATCH","MISMATCH"))</f>
        <v>MATCH</v>
      </c>
      <c r="O630" s="5" t="str">
        <f>INDEX([1]Employee!$C$2:$C$276,MATCH(B630,[1]Employee!$A$2:$A$276,0))</f>
        <v>Sales &amp; Marketing</v>
      </c>
    </row>
    <row r="631" spans="1:15">
      <c r="A631" s="1" t="s">
        <v>1462</v>
      </c>
      <c r="B631" s="1" t="s">
        <v>300</v>
      </c>
      <c r="C631" s="1" t="s">
        <v>1463</v>
      </c>
      <c r="D631" s="2">
        <v>46055</v>
      </c>
      <c r="E631" s="2">
        <v>46061</v>
      </c>
      <c r="F631" s="1" t="s">
        <v>116</v>
      </c>
      <c r="G631" s="1" t="s">
        <v>2</v>
      </c>
      <c r="H631" s="1" t="s">
        <v>138</v>
      </c>
      <c r="I631" s="7">
        <v>11.17</v>
      </c>
      <c r="J631" s="1" t="s">
        <v>38</v>
      </c>
      <c r="K631" s="1"/>
      <c r="L631" s="1" t="s">
        <v>39</v>
      </c>
      <c r="M631" s="1" t="str">
        <f>INDEX(MCC_Lookup!$B$2:$B$12,MATCH(G631,MCC_Lookup!$A$2:$A$12,0))</f>
        <v>Meals</v>
      </c>
      <c r="N631" s="1" t="str">
        <f>IF(TRIM(H631)="","BLANK",IF(PROPER(TRIM(H631))=TRIM(M631),"MATCH","MISMATCH"))</f>
        <v>MATCH</v>
      </c>
      <c r="O631" s="5" t="str">
        <f>INDEX([1]Employee!$C$2:$C$276,MATCH(B631,[1]Employee!$A$2:$A$276,0))</f>
        <v>Sales &amp; Marketing</v>
      </c>
    </row>
    <row r="632" spans="1:15">
      <c r="A632" s="1" t="s">
        <v>1464</v>
      </c>
      <c r="B632" s="1" t="s">
        <v>426</v>
      </c>
      <c r="C632" s="1" t="s">
        <v>1465</v>
      </c>
      <c r="D632" s="2">
        <v>46054</v>
      </c>
      <c r="E632" s="2">
        <v>46061</v>
      </c>
      <c r="F632" s="1" t="s">
        <v>1466</v>
      </c>
      <c r="G632" s="1" t="s">
        <v>17</v>
      </c>
      <c r="H632" s="1" t="s">
        <v>690</v>
      </c>
      <c r="I632" s="7">
        <v>235.64</v>
      </c>
      <c r="J632" s="1" t="s">
        <v>38</v>
      </c>
      <c r="K632" s="1"/>
      <c r="L632" s="1" t="s">
        <v>48</v>
      </c>
      <c r="M632" s="1" t="str">
        <f>INDEX(MCC_Lookup!$B$2:$B$12,MATCH(G632,MCC_Lookup!$A$2:$A$12,0))</f>
        <v>Entertainment</v>
      </c>
      <c r="N632" s="1" t="str">
        <f>IF(TRIM(H632)="","BLANK",IF(PROPER(TRIM(H632))=TRIM(M632),"MATCH","MISMATCH"))</f>
        <v>MATCH</v>
      </c>
      <c r="O632" s="5" t="str">
        <f>INDEX([1]Employee!$C$2:$C$276,MATCH(B632,[1]Employee!$A$2:$A$276,0))</f>
        <v>Sales &amp; Marketing</v>
      </c>
    </row>
    <row r="633" spans="1:15">
      <c r="A633" s="1" t="s">
        <v>1467</v>
      </c>
      <c r="B633" s="1" t="s">
        <v>947</v>
      </c>
      <c r="C633" s="1"/>
      <c r="D633" s="2">
        <v>46057</v>
      </c>
      <c r="E633" s="2">
        <v>46061</v>
      </c>
      <c r="F633" s="1" t="s">
        <v>72</v>
      </c>
      <c r="G633" s="1" t="s">
        <v>8</v>
      </c>
      <c r="H633" s="1" t="s">
        <v>11</v>
      </c>
      <c r="I633" s="7">
        <v>27.87</v>
      </c>
      <c r="J633" s="1" t="s">
        <v>38</v>
      </c>
      <c r="K633" s="1"/>
      <c r="L633" s="1" t="s">
        <v>39</v>
      </c>
      <c r="M633" s="1" t="str">
        <f>INDEX(MCC_Lookup!$B$2:$B$12,MATCH(G633,MCC_Lookup!$A$2:$A$12,0))</f>
        <v>Transportation</v>
      </c>
      <c r="N633" s="1" t="str">
        <f>IF(TRIM(H633)="","BLANK",IF(PROPER(TRIM(H633))=TRIM(M633),"MATCH","MISMATCH"))</f>
        <v>MISMATCH</v>
      </c>
      <c r="O633" s="5" t="str">
        <f>INDEX([1]Employee!$C$2:$C$276,MATCH(B633,[1]Employee!$A$2:$A$276,0))</f>
        <v>Sales &amp; Marketing</v>
      </c>
    </row>
    <row r="634" spans="1:15">
      <c r="A634" s="1" t="s">
        <v>1468</v>
      </c>
      <c r="B634" s="1" t="s">
        <v>512</v>
      </c>
      <c r="C634" s="1" t="s">
        <v>1469</v>
      </c>
      <c r="D634" s="2">
        <v>46059</v>
      </c>
      <c r="E634" s="2">
        <v>46061</v>
      </c>
      <c r="F634" s="1" t="s">
        <v>160</v>
      </c>
      <c r="G634" s="1" t="s">
        <v>6</v>
      </c>
      <c r="H634" s="1" t="s">
        <v>7</v>
      </c>
      <c r="I634" s="7">
        <v>201.03</v>
      </c>
      <c r="J634" s="1" t="s">
        <v>38</v>
      </c>
      <c r="K634" s="1"/>
      <c r="L634" s="1" t="s">
        <v>48</v>
      </c>
      <c r="M634" s="1" t="str">
        <f>INDEX(MCC_Lookup!$B$2:$B$12,MATCH(G634,MCC_Lookup!$A$2:$A$12,0))</f>
        <v>Lodging</v>
      </c>
      <c r="N634" s="1" t="str">
        <f>IF(TRIM(H634)="","BLANK",IF(PROPER(TRIM(H634))=TRIM(M634),"MATCH","MISMATCH"))</f>
        <v>MATCH</v>
      </c>
      <c r="O634" s="5" t="str">
        <f>INDEX([1]Employee!$C$2:$C$276,MATCH(B634,[1]Employee!$A$2:$A$276,0))</f>
        <v>Sales &amp; Marketing</v>
      </c>
    </row>
    <row r="635" spans="1:15">
      <c r="A635" s="1" t="s">
        <v>1470</v>
      </c>
      <c r="B635" s="1" t="s">
        <v>97</v>
      </c>
      <c r="C635" s="1" t="s">
        <v>1471</v>
      </c>
      <c r="D635" s="2">
        <v>46057</v>
      </c>
      <c r="E635" s="2">
        <v>46061</v>
      </c>
      <c r="F635" s="1" t="s">
        <v>201</v>
      </c>
      <c r="G635" s="1" t="s">
        <v>4</v>
      </c>
      <c r="H635" s="1" t="s">
        <v>5</v>
      </c>
      <c r="I635" s="7">
        <v>673.54</v>
      </c>
      <c r="J635" s="1" t="s">
        <v>38</v>
      </c>
      <c r="K635" s="1"/>
      <c r="L635" s="1" t="s">
        <v>39</v>
      </c>
      <c r="M635" s="1" t="str">
        <f>INDEX(MCC_Lookup!$B$2:$B$12,MATCH(G635,MCC_Lookup!$A$2:$A$12,0))</f>
        <v>Travel</v>
      </c>
      <c r="N635" s="1" t="str">
        <f>IF(TRIM(H635)="","BLANK",IF(PROPER(TRIM(H635))=TRIM(M635),"MATCH","MISMATCH"))</f>
        <v>MATCH</v>
      </c>
      <c r="O635" s="5" t="str">
        <f>INDEX([1]Employee!$C$2:$C$276,MATCH(B635,[1]Employee!$A$2:$A$276,0))</f>
        <v>Sales &amp; Marketing</v>
      </c>
    </row>
    <row r="636" spans="1:15">
      <c r="A636" s="1" t="s">
        <v>1472</v>
      </c>
      <c r="B636" s="1" t="s">
        <v>542</v>
      </c>
      <c r="C636" s="1" t="s">
        <v>1473</v>
      </c>
      <c r="D636" s="2">
        <v>46056</v>
      </c>
      <c r="E636" s="2">
        <v>46061</v>
      </c>
      <c r="F636" s="1" t="s">
        <v>242</v>
      </c>
      <c r="G636" s="1" t="s">
        <v>13</v>
      </c>
      <c r="H636" s="1" t="s">
        <v>470</v>
      </c>
      <c r="I636" s="7">
        <v>27.57</v>
      </c>
      <c r="J636" s="1" t="s">
        <v>38</v>
      </c>
      <c r="K636" s="1"/>
      <c r="L636" s="1" t="s">
        <v>39</v>
      </c>
      <c r="M636" s="1" t="str">
        <f>INDEX(MCC_Lookup!$B$2:$B$12,MATCH(G636,MCC_Lookup!$A$2:$A$12,0))</f>
        <v>Software</v>
      </c>
      <c r="N636" s="1" t="str">
        <f>IF(TRIM(H636)="","BLANK",IF(PROPER(TRIM(H636))=TRIM(M636),"MATCH","MISMATCH"))</f>
        <v>MATCH</v>
      </c>
      <c r="O636" s="5" t="str">
        <f>INDEX([1]Employee!$C$2:$C$276,MATCH(B636,[1]Employee!$A$2:$A$276,0))</f>
        <v>Underwriting</v>
      </c>
    </row>
    <row r="637" spans="1:15">
      <c r="A637" s="1" t="s">
        <v>1474</v>
      </c>
      <c r="B637" s="1" t="s">
        <v>550</v>
      </c>
      <c r="C637" s="1" t="s">
        <v>1475</v>
      </c>
      <c r="D637" s="2">
        <v>46060</v>
      </c>
      <c r="E637" s="2">
        <v>46061</v>
      </c>
      <c r="F637" s="1" t="s">
        <v>95</v>
      </c>
      <c r="G637" s="1" t="s">
        <v>6</v>
      </c>
      <c r="H637" s="1" t="s">
        <v>1476</v>
      </c>
      <c r="I637" s="7">
        <v>213.97</v>
      </c>
      <c r="J637" s="1" t="s">
        <v>38</v>
      </c>
      <c r="K637" s="1"/>
      <c r="L637" s="1" t="s">
        <v>39</v>
      </c>
      <c r="M637" s="1" t="str">
        <f>INDEX(MCC_Lookup!$B$2:$B$12,MATCH(G637,MCC_Lookup!$A$2:$A$12,0))</f>
        <v>Lodging</v>
      </c>
      <c r="N637" s="1" t="str">
        <f>IF(TRIM(H637)="","BLANK",IF(PROPER(TRIM(H637))=TRIM(M637),"MATCH","MISMATCH"))</f>
        <v>MATCH</v>
      </c>
      <c r="O637" s="5" t="str">
        <f>INDEX([1]Employee!$C$2:$C$276,MATCH(B637,[1]Employee!$A$2:$A$276,0))</f>
        <v>Sales &amp; Marketing</v>
      </c>
    </row>
    <row r="638" spans="1:15">
      <c r="A638" s="1" t="s">
        <v>1477</v>
      </c>
      <c r="B638" s="1" t="s">
        <v>564</v>
      </c>
      <c r="C638" s="1" t="s">
        <v>1478</v>
      </c>
      <c r="D638" s="2">
        <v>46057</v>
      </c>
      <c r="E638" s="2">
        <v>46062</v>
      </c>
      <c r="F638" s="1" t="s">
        <v>43</v>
      </c>
      <c r="G638" s="1" t="s">
        <v>2</v>
      </c>
      <c r="H638" s="1" t="s">
        <v>3</v>
      </c>
      <c r="I638" s="7">
        <v>20.69</v>
      </c>
      <c r="J638" s="1" t="s">
        <v>38</v>
      </c>
      <c r="K638" s="1"/>
      <c r="L638" s="1" t="s">
        <v>39</v>
      </c>
      <c r="M638" s="1" t="str">
        <f>INDEX(MCC_Lookup!$B$2:$B$12,MATCH(G638,MCC_Lookup!$A$2:$A$12,0))</f>
        <v>Meals</v>
      </c>
      <c r="N638" s="1" t="str">
        <f>IF(TRIM(H638)="","BLANK",IF(PROPER(TRIM(H638))=TRIM(M638),"MATCH","MISMATCH"))</f>
        <v>MATCH</v>
      </c>
      <c r="O638" s="5" t="str">
        <f>INDEX([1]Employee!$C$2:$C$276,MATCH(B638,[1]Employee!$A$2:$A$276,0))</f>
        <v>Sales &amp; Marketing</v>
      </c>
    </row>
    <row r="639" spans="1:15">
      <c r="A639" s="1" t="s">
        <v>1479</v>
      </c>
      <c r="B639" s="1" t="s">
        <v>35</v>
      </c>
      <c r="C639" s="1" t="s">
        <v>1480</v>
      </c>
      <c r="D639" s="2">
        <v>46059</v>
      </c>
      <c r="E639" s="2">
        <v>46062</v>
      </c>
      <c r="F639" s="1" t="s">
        <v>305</v>
      </c>
      <c r="G639" s="1" t="s">
        <v>2</v>
      </c>
      <c r="H639" s="1" t="s">
        <v>3</v>
      </c>
      <c r="I639" s="7">
        <v>8.6199999999999992</v>
      </c>
      <c r="J639" s="1" t="s">
        <v>38</v>
      </c>
      <c r="K639" s="1"/>
      <c r="L639" s="1" t="s">
        <v>39</v>
      </c>
      <c r="M639" s="1" t="str">
        <f>INDEX(MCC_Lookup!$B$2:$B$12,MATCH(G639,MCC_Lookup!$A$2:$A$12,0))</f>
        <v>Meals</v>
      </c>
      <c r="N639" s="1" t="str">
        <f>IF(TRIM(H639)="","BLANK",IF(PROPER(TRIM(H639))=TRIM(M639),"MATCH","MISMATCH"))</f>
        <v>MATCH</v>
      </c>
      <c r="O639" s="5" t="str">
        <f>INDEX([1]Employee!$C$2:$C$276,MATCH(B639,[1]Employee!$A$2:$A$276,0))</f>
        <v>Sales &amp; Marketing</v>
      </c>
    </row>
    <row r="640" spans="1:15">
      <c r="A640" s="1" t="s">
        <v>1481</v>
      </c>
      <c r="B640" s="1" t="s">
        <v>741</v>
      </c>
      <c r="C640" s="1" t="s">
        <v>1482</v>
      </c>
      <c r="D640" s="2">
        <v>46058</v>
      </c>
      <c r="E640" s="2">
        <v>46062</v>
      </c>
      <c r="F640" s="1" t="s">
        <v>69</v>
      </c>
      <c r="G640" s="1" t="s">
        <v>8</v>
      </c>
      <c r="H640" s="1" t="s">
        <v>9</v>
      </c>
      <c r="I640" s="7">
        <v>21.88</v>
      </c>
      <c r="J640" s="1" t="s">
        <v>38</v>
      </c>
      <c r="K640" s="1"/>
      <c r="L640" s="1" t="s">
        <v>48</v>
      </c>
      <c r="M640" s="1" t="str">
        <f>INDEX(MCC_Lookup!$B$2:$B$12,MATCH(G640,MCC_Lookup!$A$2:$A$12,0))</f>
        <v>Transportation</v>
      </c>
      <c r="N640" s="1" t="str">
        <f>IF(TRIM(H640)="","BLANK",IF(PROPER(TRIM(H640))=TRIM(M640),"MATCH","MISMATCH"))</f>
        <v>MATCH</v>
      </c>
      <c r="O640" s="5" t="str">
        <f>INDEX([1]Employee!$C$2:$C$276,MATCH(B640,[1]Employee!$A$2:$A$276,0))</f>
        <v>Customer Support</v>
      </c>
    </row>
    <row r="641" spans="1:15">
      <c r="A641" s="1" t="s">
        <v>1483</v>
      </c>
      <c r="B641" s="1" t="s">
        <v>129</v>
      </c>
      <c r="C641" s="1" t="s">
        <v>1484</v>
      </c>
      <c r="D641" s="2">
        <v>46056</v>
      </c>
      <c r="E641" s="2">
        <v>46062</v>
      </c>
      <c r="F641" s="1" t="s">
        <v>52</v>
      </c>
      <c r="G641" s="1" t="s">
        <v>15</v>
      </c>
      <c r="H641" s="1" t="s">
        <v>16</v>
      </c>
      <c r="I641" s="7">
        <v>31.24</v>
      </c>
      <c r="J641" s="1" t="s">
        <v>38</v>
      </c>
      <c r="K641" s="1"/>
      <c r="L641" s="1" t="s">
        <v>39</v>
      </c>
      <c r="M641" s="1" t="str">
        <f>INDEX(MCC_Lookup!$B$2:$B$12,MATCH(G641,MCC_Lookup!$A$2:$A$12,0))</f>
        <v>Entertainment</v>
      </c>
      <c r="N641" s="1" t="str">
        <f>IF(TRIM(H641)="","BLANK",IF(PROPER(TRIM(H641))=TRIM(M641),"MATCH","MISMATCH"))</f>
        <v>MATCH</v>
      </c>
      <c r="O641" s="5" t="str">
        <f>INDEX([1]Employee!$C$2:$C$276,MATCH(B641,[1]Employee!$A$2:$A$276,0))</f>
        <v>Sales &amp; Marketing</v>
      </c>
    </row>
    <row r="642" spans="1:15">
      <c r="A642" s="1" t="s">
        <v>1485</v>
      </c>
      <c r="B642" s="1" t="s">
        <v>394</v>
      </c>
      <c r="C642" s="1" t="s">
        <v>1486</v>
      </c>
      <c r="D642" s="2">
        <v>46055</v>
      </c>
      <c r="E642" s="2">
        <v>46062</v>
      </c>
      <c r="F642" s="1" t="s">
        <v>95</v>
      </c>
      <c r="G642" s="1" t="s">
        <v>6</v>
      </c>
      <c r="H642" s="1" t="s">
        <v>7</v>
      </c>
      <c r="I642" s="7">
        <v>202.71</v>
      </c>
      <c r="J642" s="1" t="s">
        <v>38</v>
      </c>
      <c r="K642" s="1"/>
      <c r="L642" s="1" t="s">
        <v>39</v>
      </c>
      <c r="M642" s="1" t="str">
        <f>INDEX(MCC_Lookup!$B$2:$B$12,MATCH(G642,MCC_Lookup!$A$2:$A$12,0))</f>
        <v>Lodging</v>
      </c>
      <c r="N642" s="1" t="str">
        <f>IF(TRIM(H642)="","BLANK",IF(PROPER(TRIM(H642))=TRIM(M642),"MATCH","MISMATCH"))</f>
        <v>MATCH</v>
      </c>
      <c r="O642" s="5" t="str">
        <f>INDEX([1]Employee!$C$2:$C$276,MATCH(B642,[1]Employee!$A$2:$A$276,0))</f>
        <v>IT &amp; Platform Engineering</v>
      </c>
    </row>
    <row r="643" spans="1:15">
      <c r="A643" s="1" t="s">
        <v>1487</v>
      </c>
      <c r="B643" s="1" t="s">
        <v>1488</v>
      </c>
      <c r="C643" s="1" t="s">
        <v>1489</v>
      </c>
      <c r="D643" s="2">
        <v>46058</v>
      </c>
      <c r="E643" s="2">
        <v>46062</v>
      </c>
      <c r="F643" s="1" t="s">
        <v>109</v>
      </c>
      <c r="G643" s="1" t="s">
        <v>18</v>
      </c>
      <c r="H643" s="1" t="s">
        <v>19</v>
      </c>
      <c r="I643" s="7">
        <v>174.25</v>
      </c>
      <c r="J643" s="1" t="s">
        <v>38</v>
      </c>
      <c r="K643" s="1"/>
      <c r="L643" s="1" t="s">
        <v>39</v>
      </c>
      <c r="M643" s="1" t="str">
        <f>INDEX(MCC_Lookup!$B$2:$B$12,MATCH(G643,MCC_Lookup!$A$2:$A$12,0))</f>
        <v>Events</v>
      </c>
      <c r="N643" s="1" t="str">
        <f>IF(TRIM(H643)="","BLANK",IF(PROPER(TRIM(H643))=TRIM(M643),"MATCH","MISMATCH"))</f>
        <v>MATCH</v>
      </c>
      <c r="O643" s="5" t="str">
        <f>INDEX([1]Employee!$C$2:$C$276,MATCH(B643,[1]Employee!$A$2:$A$276,0))</f>
        <v>Claims</v>
      </c>
    </row>
    <row r="644" spans="1:15">
      <c r="A644" s="1" t="s">
        <v>1490</v>
      </c>
      <c r="B644" s="1" t="s">
        <v>1491</v>
      </c>
      <c r="C644" s="1" t="s">
        <v>1492</v>
      </c>
      <c r="D644" s="2">
        <v>46060</v>
      </c>
      <c r="E644" s="2">
        <v>46062</v>
      </c>
      <c r="F644" s="1" t="s">
        <v>83</v>
      </c>
      <c r="G644" s="1" t="s">
        <v>2</v>
      </c>
      <c r="H644" s="1" t="s">
        <v>3</v>
      </c>
      <c r="I644" s="7">
        <v>21.65</v>
      </c>
      <c r="J644" s="1" t="s">
        <v>38</v>
      </c>
      <c r="K644" s="1"/>
      <c r="L644" s="1" t="s">
        <v>39</v>
      </c>
      <c r="M644" s="1" t="str">
        <f>INDEX(MCC_Lookup!$B$2:$B$12,MATCH(G644,MCC_Lookup!$A$2:$A$12,0))</f>
        <v>Meals</v>
      </c>
      <c r="N644" s="1" t="str">
        <f>IF(TRIM(H644)="","BLANK",IF(PROPER(TRIM(H644))=TRIM(M644),"MATCH","MISMATCH"))</f>
        <v>MATCH</v>
      </c>
      <c r="O644" s="5" t="str">
        <f>INDEX([1]Employee!$C$2:$C$276,MATCH(B644,[1]Employee!$A$2:$A$276,0))</f>
        <v>Actuarial &amp; Risk</v>
      </c>
    </row>
    <row r="645" spans="1:15">
      <c r="A645" s="1" t="s">
        <v>1493</v>
      </c>
      <c r="B645" s="1" t="s">
        <v>54</v>
      </c>
      <c r="C645" s="1" t="s">
        <v>1494</v>
      </c>
      <c r="D645" s="2">
        <v>46062</v>
      </c>
      <c r="E645" s="2">
        <v>46062</v>
      </c>
      <c r="F645" s="1" t="s">
        <v>173</v>
      </c>
      <c r="G645" s="1" t="s">
        <v>2</v>
      </c>
      <c r="H645" s="1" t="s">
        <v>3</v>
      </c>
      <c r="I645" s="7">
        <v>68.400000000000006</v>
      </c>
      <c r="J645" s="1" t="s">
        <v>38</v>
      </c>
      <c r="K645" s="1"/>
      <c r="L645" s="1" t="s">
        <v>39</v>
      </c>
      <c r="M645" s="1" t="str">
        <f>INDEX(MCC_Lookup!$B$2:$B$12,MATCH(G645,MCC_Lookup!$A$2:$A$12,0))</f>
        <v>Meals</v>
      </c>
      <c r="N645" s="1" t="str">
        <f>IF(TRIM(H645)="","BLANK",IF(PROPER(TRIM(H645))=TRIM(M645),"MATCH","MISMATCH"))</f>
        <v>MATCH</v>
      </c>
      <c r="O645" s="5" t="str">
        <f>INDEX([1]Employee!$C$2:$C$276,MATCH(B645,[1]Employee!$A$2:$A$276,0))</f>
        <v>Sales &amp; Marketing</v>
      </c>
    </row>
    <row r="646" spans="1:15">
      <c r="A646" s="1" t="s">
        <v>1495</v>
      </c>
      <c r="B646" s="1" t="s">
        <v>1496</v>
      </c>
      <c r="C646" s="1" t="s">
        <v>1497</v>
      </c>
      <c r="D646" s="2">
        <v>46052</v>
      </c>
      <c r="E646" s="2">
        <v>46062</v>
      </c>
      <c r="F646" s="1" t="s">
        <v>79</v>
      </c>
      <c r="G646" s="1" t="s">
        <v>13</v>
      </c>
      <c r="H646" s="1" t="s">
        <v>470</v>
      </c>
      <c r="I646" s="7">
        <v>190.72</v>
      </c>
      <c r="J646" s="1" t="s">
        <v>38</v>
      </c>
      <c r="K646" s="1"/>
      <c r="L646" s="1" t="s">
        <v>39</v>
      </c>
      <c r="M646" s="1" t="str">
        <f>INDEX(MCC_Lookup!$B$2:$B$12,MATCH(G646,MCC_Lookup!$A$2:$A$12,0))</f>
        <v>Software</v>
      </c>
      <c r="N646" s="1" t="str">
        <f>IF(TRIM(H646)="","BLANK",IF(PROPER(TRIM(H646))=TRIM(M646),"MATCH","MISMATCH"))</f>
        <v>MATCH</v>
      </c>
      <c r="O646" s="5" t="str">
        <f>INDEX([1]Employee!$C$2:$C$276,MATCH(B646,[1]Employee!$A$2:$A$276,0))</f>
        <v>Underwriting</v>
      </c>
    </row>
    <row r="647" spans="1:15">
      <c r="A647" s="1" t="s">
        <v>1498</v>
      </c>
      <c r="B647" s="1" t="s">
        <v>667</v>
      </c>
      <c r="C647" s="1"/>
      <c r="D647" s="2">
        <v>46053</v>
      </c>
      <c r="E647" s="2">
        <v>46062</v>
      </c>
      <c r="F647" s="1" t="s">
        <v>259</v>
      </c>
      <c r="G647" s="1" t="s">
        <v>20</v>
      </c>
      <c r="H647" s="1" t="s">
        <v>19</v>
      </c>
      <c r="I647" s="7">
        <v>74.680000000000007</v>
      </c>
      <c r="J647" s="1" t="s">
        <v>38</v>
      </c>
      <c r="K647" s="1"/>
      <c r="L647" s="1" t="s">
        <v>39</v>
      </c>
      <c r="M647" s="1" t="str">
        <f>INDEX(MCC_Lookup!$B$2:$B$12,MATCH(G647,MCC_Lookup!$A$2:$A$12,0))</f>
        <v>Events</v>
      </c>
      <c r="N647" s="1" t="str">
        <f>IF(TRIM(H647)="","BLANK",IF(PROPER(TRIM(H647))=TRIM(M647),"MATCH","MISMATCH"))</f>
        <v>MATCH</v>
      </c>
      <c r="O647" s="5" t="str">
        <f>INDEX([1]Employee!$C$2:$C$276,MATCH(B647,[1]Employee!$A$2:$A$276,0))</f>
        <v>Sales &amp; Marketing</v>
      </c>
    </row>
    <row r="648" spans="1:15">
      <c r="A648" s="1" t="s">
        <v>1499</v>
      </c>
      <c r="B648" s="1" t="s">
        <v>1061</v>
      </c>
      <c r="C648" s="1" t="s">
        <v>1500</v>
      </c>
      <c r="D648" s="2">
        <v>46056</v>
      </c>
      <c r="E648" s="2">
        <v>46062</v>
      </c>
      <c r="F648" s="1" t="s">
        <v>99</v>
      </c>
      <c r="G648" s="1" t="s">
        <v>2</v>
      </c>
      <c r="H648" s="1" t="s">
        <v>794</v>
      </c>
      <c r="I648" s="7">
        <v>118.64</v>
      </c>
      <c r="J648" s="1" t="s">
        <v>38</v>
      </c>
      <c r="K648" s="1"/>
      <c r="L648" s="1" t="s">
        <v>39</v>
      </c>
      <c r="M648" s="1" t="str">
        <f>INDEX(MCC_Lookup!$B$2:$B$12,MATCH(G648,MCC_Lookup!$A$2:$A$12,0))</f>
        <v>Meals</v>
      </c>
      <c r="N648" s="1" t="str">
        <f>IF(TRIM(H648)="","BLANK",IF(PROPER(TRIM(H648))=TRIM(M648),"MATCH","MISMATCH"))</f>
        <v>MATCH</v>
      </c>
      <c r="O648" s="5" t="str">
        <f>INDEX([1]Employee!$C$2:$C$276,MATCH(B648,[1]Employee!$A$2:$A$276,0))</f>
        <v>Claims</v>
      </c>
    </row>
    <row r="649" spans="1:15">
      <c r="A649" s="1" t="s">
        <v>1501</v>
      </c>
      <c r="B649" s="1" t="s">
        <v>352</v>
      </c>
      <c r="C649" s="1" t="s">
        <v>1502</v>
      </c>
      <c r="D649" s="2">
        <v>46058</v>
      </c>
      <c r="E649" s="2">
        <v>46062</v>
      </c>
      <c r="F649" s="1" t="s">
        <v>106</v>
      </c>
      <c r="G649" s="1" t="s">
        <v>13</v>
      </c>
      <c r="H649" s="1" t="s">
        <v>14</v>
      </c>
      <c r="I649" s="7">
        <v>173.52</v>
      </c>
      <c r="J649" s="1" t="s">
        <v>38</v>
      </c>
      <c r="K649" s="1"/>
      <c r="L649" s="1" t="s">
        <v>39</v>
      </c>
      <c r="M649" s="1" t="str">
        <f>INDEX(MCC_Lookup!$B$2:$B$12,MATCH(G649,MCC_Lookup!$A$2:$A$12,0))</f>
        <v>Software</v>
      </c>
      <c r="N649" s="1" t="str">
        <f>IF(TRIM(H649)="","BLANK",IF(PROPER(TRIM(H649))=TRIM(M649),"MATCH","MISMATCH"))</f>
        <v>MATCH</v>
      </c>
      <c r="O649" s="5" t="str">
        <f>INDEX([1]Employee!$C$2:$C$276,MATCH(B649,[1]Employee!$A$2:$A$276,0))</f>
        <v>Sales &amp; Marketing</v>
      </c>
    </row>
    <row r="650" spans="1:15">
      <c r="A650" s="1" t="s">
        <v>1503</v>
      </c>
      <c r="B650" s="1" t="s">
        <v>1504</v>
      </c>
      <c r="C650" s="1" t="s">
        <v>1505</v>
      </c>
      <c r="D650" s="2">
        <v>46058</v>
      </c>
      <c r="E650" s="2">
        <v>46062</v>
      </c>
      <c r="F650" s="1" t="s">
        <v>177</v>
      </c>
      <c r="G650" s="1" t="s">
        <v>13</v>
      </c>
      <c r="H650" s="1" t="s">
        <v>192</v>
      </c>
      <c r="I650" s="7">
        <v>34.049999999999997</v>
      </c>
      <c r="J650" s="1" t="s">
        <v>38</v>
      </c>
      <c r="K650" s="1"/>
      <c r="L650" s="1" t="s">
        <v>39</v>
      </c>
      <c r="M650" s="1" t="str">
        <f>INDEX(MCC_Lookup!$B$2:$B$12,MATCH(G650,MCC_Lookup!$A$2:$A$12,0))</f>
        <v>Software</v>
      </c>
      <c r="N650" s="1" t="str">
        <f>IF(TRIM(H650)="","BLANK",IF(PROPER(TRIM(H650))=TRIM(M650),"MATCH","MISMATCH"))</f>
        <v>MATCH</v>
      </c>
      <c r="O650" s="5" t="str">
        <f>INDEX([1]Employee!$C$2:$C$276,MATCH(B650,[1]Employee!$A$2:$A$276,0))</f>
        <v>Sales &amp; Marketing</v>
      </c>
    </row>
    <row r="651" spans="1:15">
      <c r="A651" s="1" t="s">
        <v>1506</v>
      </c>
      <c r="B651" s="1" t="s">
        <v>1504</v>
      </c>
      <c r="C651" s="1"/>
      <c r="D651" s="2">
        <v>46057</v>
      </c>
      <c r="E651" s="2">
        <v>46062</v>
      </c>
      <c r="F651" s="1" t="s">
        <v>1507</v>
      </c>
      <c r="G651" s="1" t="s">
        <v>10</v>
      </c>
      <c r="H651" s="1" t="s">
        <v>11</v>
      </c>
      <c r="I651" s="7">
        <v>62.18</v>
      </c>
      <c r="J651" s="1" t="s">
        <v>38</v>
      </c>
      <c r="K651" s="1"/>
      <c r="L651" s="1" t="s">
        <v>39</v>
      </c>
      <c r="M651" s="1" t="str">
        <f>INDEX(MCC_Lookup!$B$2:$B$12,MATCH(G651,MCC_Lookup!$A$2:$A$12,0))</f>
        <v>Office Supplies</v>
      </c>
      <c r="N651" s="1" t="str">
        <f>IF(TRIM(H651)="","BLANK",IF(PROPER(TRIM(H651))=TRIM(M651),"MATCH","MISMATCH"))</f>
        <v>MATCH</v>
      </c>
      <c r="O651" s="5" t="str">
        <f>INDEX([1]Employee!$C$2:$C$276,MATCH(B651,[1]Employee!$A$2:$A$276,0))</f>
        <v>Sales &amp; Marketing</v>
      </c>
    </row>
    <row r="652" spans="1:15">
      <c r="A652" s="1" t="s">
        <v>1508</v>
      </c>
      <c r="B652" s="1" t="s">
        <v>1509</v>
      </c>
      <c r="C652" s="1" t="s">
        <v>1510</v>
      </c>
      <c r="D652" s="2">
        <v>46055</v>
      </c>
      <c r="E652" s="2">
        <v>46062</v>
      </c>
      <c r="F652" s="1" t="s">
        <v>43</v>
      </c>
      <c r="G652" s="1" t="s">
        <v>2</v>
      </c>
      <c r="H652" s="1" t="s">
        <v>3</v>
      </c>
      <c r="I652" s="7">
        <v>23.09</v>
      </c>
      <c r="J652" s="1" t="s">
        <v>38</v>
      </c>
      <c r="K652" s="1"/>
      <c r="L652" s="1" t="s">
        <v>39</v>
      </c>
      <c r="M652" s="1" t="str">
        <f>INDEX(MCC_Lookup!$B$2:$B$12,MATCH(G652,MCC_Lookup!$A$2:$A$12,0))</f>
        <v>Meals</v>
      </c>
      <c r="N652" s="1" t="str">
        <f>IF(TRIM(H652)="","BLANK",IF(PROPER(TRIM(H652))=TRIM(M652),"MATCH","MISMATCH"))</f>
        <v>MATCH</v>
      </c>
      <c r="O652" s="5" t="str">
        <f>INDEX([1]Employee!$C$2:$C$276,MATCH(B652,[1]Employee!$A$2:$A$276,0))</f>
        <v>Claims</v>
      </c>
    </row>
    <row r="653" spans="1:15">
      <c r="A653" s="1" t="s">
        <v>1511</v>
      </c>
      <c r="B653" s="1" t="s">
        <v>512</v>
      </c>
      <c r="C653" s="1"/>
      <c r="D653" s="2">
        <v>46054</v>
      </c>
      <c r="E653" s="2">
        <v>46062</v>
      </c>
      <c r="F653" s="1" t="s">
        <v>201</v>
      </c>
      <c r="G653" s="1" t="s">
        <v>4</v>
      </c>
      <c r="H653" s="1" t="s">
        <v>57</v>
      </c>
      <c r="I653" s="7">
        <v>570.12</v>
      </c>
      <c r="J653" s="1" t="s">
        <v>111</v>
      </c>
      <c r="K653" s="1" t="s">
        <v>229</v>
      </c>
      <c r="L653" s="1" t="s">
        <v>39</v>
      </c>
      <c r="M653" s="1" t="str">
        <f>INDEX(MCC_Lookup!$B$2:$B$12,MATCH(G653,MCC_Lookup!$A$2:$A$12,0))</f>
        <v>Travel</v>
      </c>
      <c r="N653" s="1" t="str">
        <f>IF(TRIM(H653)="","BLANK",IF(PROPER(TRIM(H653))=TRIM(M653),"MATCH","MISMATCH"))</f>
        <v>MATCH</v>
      </c>
      <c r="O653" s="5" t="str">
        <f>INDEX([1]Employee!$C$2:$C$276,MATCH(B653,[1]Employee!$A$2:$A$276,0))</f>
        <v>Sales &amp; Marketing</v>
      </c>
    </row>
    <row r="654" spans="1:15">
      <c r="A654" s="1" t="s">
        <v>1512</v>
      </c>
      <c r="B654" s="1" t="s">
        <v>496</v>
      </c>
      <c r="C654" s="1" t="s">
        <v>1513</v>
      </c>
      <c r="D654" s="2">
        <v>46057</v>
      </c>
      <c r="E654" s="2">
        <v>46062</v>
      </c>
      <c r="F654" s="1" t="s">
        <v>72</v>
      </c>
      <c r="G654" s="1" t="s">
        <v>8</v>
      </c>
      <c r="H654" s="1" t="s">
        <v>9</v>
      </c>
      <c r="I654" s="7">
        <v>40.75</v>
      </c>
      <c r="J654" s="1" t="s">
        <v>38</v>
      </c>
      <c r="K654" s="1"/>
      <c r="L654" s="1" t="s">
        <v>48</v>
      </c>
      <c r="M654" s="1" t="str">
        <f>INDEX(MCC_Lookup!$B$2:$B$12,MATCH(G654,MCC_Lookup!$A$2:$A$12,0))</f>
        <v>Transportation</v>
      </c>
      <c r="N654" s="1" t="str">
        <f>IF(TRIM(H654)="","BLANK",IF(PROPER(TRIM(H654))=TRIM(M654),"MATCH","MISMATCH"))</f>
        <v>MATCH</v>
      </c>
      <c r="O654" s="5" t="str">
        <f>INDEX([1]Employee!$C$2:$C$276,MATCH(B654,[1]Employee!$A$2:$A$276,0))</f>
        <v>Actuarial &amp; Risk</v>
      </c>
    </row>
    <row r="655" spans="1:15">
      <c r="A655" s="1" t="s">
        <v>1514</v>
      </c>
      <c r="B655" s="1" t="s">
        <v>373</v>
      </c>
      <c r="C655" s="1" t="s">
        <v>1515</v>
      </c>
      <c r="D655" s="2">
        <v>46058</v>
      </c>
      <c r="E655" s="2">
        <v>46062</v>
      </c>
      <c r="F655" s="1" t="s">
        <v>109</v>
      </c>
      <c r="G655" s="1" t="s">
        <v>18</v>
      </c>
      <c r="H655" s="1" t="s">
        <v>19</v>
      </c>
      <c r="I655" s="7">
        <v>203.26</v>
      </c>
      <c r="J655" s="1" t="s">
        <v>38</v>
      </c>
      <c r="K655" s="1"/>
      <c r="L655" s="1" t="s">
        <v>48</v>
      </c>
      <c r="M655" s="1" t="str">
        <f>INDEX(MCC_Lookup!$B$2:$B$12,MATCH(G655,MCC_Lookup!$A$2:$A$12,0))</f>
        <v>Events</v>
      </c>
      <c r="N655" s="1" t="str">
        <f>IF(TRIM(H655)="","BLANK",IF(PROPER(TRIM(H655))=TRIM(M655),"MATCH","MISMATCH"))</f>
        <v>MATCH</v>
      </c>
      <c r="O655" s="5" t="str">
        <f>INDEX([1]Employee!$C$2:$C$276,MATCH(B655,[1]Employee!$A$2:$A$276,0))</f>
        <v>Sales &amp; Marketing</v>
      </c>
    </row>
    <row r="656" spans="1:15">
      <c r="A656" s="1" t="s">
        <v>1516</v>
      </c>
      <c r="B656" s="1" t="s">
        <v>1110</v>
      </c>
      <c r="C656" s="1"/>
      <c r="D656" s="2">
        <v>46056</v>
      </c>
      <c r="E656" s="2">
        <v>46062</v>
      </c>
      <c r="F656" s="1" t="s">
        <v>37</v>
      </c>
      <c r="G656" s="1" t="s">
        <v>4</v>
      </c>
      <c r="H656" s="1"/>
      <c r="I656" s="7">
        <v>217.52</v>
      </c>
      <c r="J656" s="1" t="s">
        <v>111</v>
      </c>
      <c r="K656" s="1" t="s">
        <v>112</v>
      </c>
      <c r="L656" s="1" t="s">
        <v>39</v>
      </c>
      <c r="M656" s="1" t="str">
        <f>INDEX(MCC_Lookup!$B$2:$B$12,MATCH(G656,MCC_Lookup!$A$2:$A$12,0))</f>
        <v>Travel</v>
      </c>
      <c r="N656" s="1" t="str">
        <f>IF(TRIM(H656)="","BLANK",IF(PROPER(TRIM(H656))=TRIM(M656),"MATCH","MISMATCH"))</f>
        <v>BLANK</v>
      </c>
      <c r="O656" s="5" t="str">
        <f>INDEX([1]Employee!$C$2:$C$276,MATCH(B656,[1]Employee!$A$2:$A$276,0))</f>
        <v>Executive &amp; Corporate</v>
      </c>
    </row>
    <row r="657" spans="1:15">
      <c r="A657" s="1" t="s">
        <v>1517</v>
      </c>
      <c r="B657" s="1" t="s">
        <v>1518</v>
      </c>
      <c r="C657" s="1" t="s">
        <v>1519</v>
      </c>
      <c r="D657" s="2">
        <v>46058</v>
      </c>
      <c r="E657" s="2">
        <v>46062</v>
      </c>
      <c r="F657" s="1" t="s">
        <v>95</v>
      </c>
      <c r="G657" s="1" t="s">
        <v>6</v>
      </c>
      <c r="H657" s="1" t="s">
        <v>7</v>
      </c>
      <c r="I657" s="7">
        <v>185.83</v>
      </c>
      <c r="J657" s="1" t="s">
        <v>38</v>
      </c>
      <c r="K657" s="1"/>
      <c r="L657" s="1" t="s">
        <v>39</v>
      </c>
      <c r="M657" s="1" t="str">
        <f>INDEX(MCC_Lookup!$B$2:$B$12,MATCH(G657,MCC_Lookup!$A$2:$A$12,0))</f>
        <v>Lodging</v>
      </c>
      <c r="N657" s="1" t="str">
        <f>IF(TRIM(H657)="","BLANK",IF(PROPER(TRIM(H657))=TRIM(M657),"MATCH","MISMATCH"))</f>
        <v>MATCH</v>
      </c>
      <c r="O657" s="5" t="str">
        <f>INDEX([1]Employee!$C$2:$C$276,MATCH(B657,[1]Employee!$A$2:$A$276,0))</f>
        <v>HR &amp; Events</v>
      </c>
    </row>
    <row r="658" spans="1:15">
      <c r="A658" s="1" t="s">
        <v>1520</v>
      </c>
      <c r="B658" s="1" t="s">
        <v>1518</v>
      </c>
      <c r="C658" s="1" t="s">
        <v>1521</v>
      </c>
      <c r="D658" s="2">
        <v>46053</v>
      </c>
      <c r="E658" s="2">
        <v>46062</v>
      </c>
      <c r="F658" s="1" t="s">
        <v>61</v>
      </c>
      <c r="G658" s="1" t="s">
        <v>13</v>
      </c>
      <c r="H658" s="1" t="s">
        <v>192</v>
      </c>
      <c r="I658" s="7">
        <v>44.91</v>
      </c>
      <c r="J658" s="1" t="s">
        <v>38</v>
      </c>
      <c r="K658" s="1"/>
      <c r="L658" s="1" t="s">
        <v>39</v>
      </c>
      <c r="M658" s="1" t="str">
        <f>INDEX(MCC_Lookup!$B$2:$B$12,MATCH(G658,MCC_Lookup!$A$2:$A$12,0))</f>
        <v>Software</v>
      </c>
      <c r="N658" s="1" t="str">
        <f>IF(TRIM(H658)="","BLANK",IF(PROPER(TRIM(H658))=TRIM(M658),"MATCH","MISMATCH"))</f>
        <v>MATCH</v>
      </c>
      <c r="O658" s="5" t="str">
        <f>INDEX([1]Employee!$C$2:$C$276,MATCH(B658,[1]Employee!$A$2:$A$276,0))</f>
        <v>HR &amp; Events</v>
      </c>
    </row>
    <row r="659" spans="1:15">
      <c r="A659" s="1" t="s">
        <v>1522</v>
      </c>
      <c r="B659" s="1" t="s">
        <v>648</v>
      </c>
      <c r="C659" s="1" t="s">
        <v>1523</v>
      </c>
      <c r="D659" s="2">
        <v>46061</v>
      </c>
      <c r="E659" s="2">
        <v>46062</v>
      </c>
      <c r="F659" s="1" t="s">
        <v>65</v>
      </c>
      <c r="G659" s="1" t="s">
        <v>18</v>
      </c>
      <c r="H659" s="1" t="s">
        <v>19</v>
      </c>
      <c r="I659" s="7">
        <v>87.76</v>
      </c>
      <c r="J659" s="1" t="s">
        <v>38</v>
      </c>
      <c r="K659" s="1"/>
      <c r="L659" s="1" t="s">
        <v>39</v>
      </c>
      <c r="M659" s="1" t="str">
        <f>INDEX(MCC_Lookup!$B$2:$B$12,MATCH(G659,MCC_Lookup!$A$2:$A$12,0))</f>
        <v>Events</v>
      </c>
      <c r="N659" s="1" t="str">
        <f>IF(TRIM(H659)="","BLANK",IF(PROPER(TRIM(H659))=TRIM(M659),"MATCH","MISMATCH"))</f>
        <v>MATCH</v>
      </c>
      <c r="O659" s="5" t="str">
        <f>INDEX([1]Employee!$C$2:$C$276,MATCH(B659,[1]Employee!$A$2:$A$276,0))</f>
        <v>Sales &amp; Marketing</v>
      </c>
    </row>
    <row r="660" spans="1:15">
      <c r="A660" s="1" t="s">
        <v>1524</v>
      </c>
      <c r="B660" s="1" t="s">
        <v>63</v>
      </c>
      <c r="C660" s="1"/>
      <c r="D660" s="2">
        <v>46053</v>
      </c>
      <c r="E660" s="2">
        <v>46062</v>
      </c>
      <c r="F660" s="1" t="s">
        <v>116</v>
      </c>
      <c r="G660" s="1" t="s">
        <v>2</v>
      </c>
      <c r="H660" s="1" t="s">
        <v>794</v>
      </c>
      <c r="I660" s="7">
        <v>15.41</v>
      </c>
      <c r="J660" s="1" t="s">
        <v>38</v>
      </c>
      <c r="K660" s="1"/>
      <c r="L660" s="1" t="s">
        <v>39</v>
      </c>
      <c r="M660" s="1" t="str">
        <f>INDEX(MCC_Lookup!$B$2:$B$12,MATCH(G660,MCC_Lookup!$A$2:$A$12,0))</f>
        <v>Meals</v>
      </c>
      <c r="N660" s="1" t="str">
        <f>IF(TRIM(H660)="","BLANK",IF(PROPER(TRIM(H660))=TRIM(M660),"MATCH","MISMATCH"))</f>
        <v>MATCH</v>
      </c>
      <c r="O660" s="5" t="str">
        <f>INDEX([1]Employee!$C$2:$C$276,MATCH(B660,[1]Employee!$A$2:$A$276,0))</f>
        <v>Sales &amp; Marketing</v>
      </c>
    </row>
    <row r="661" spans="1:15">
      <c r="A661" s="1" t="s">
        <v>1525</v>
      </c>
      <c r="B661" s="1" t="s">
        <v>1440</v>
      </c>
      <c r="C661" s="1" t="s">
        <v>1526</v>
      </c>
      <c r="D661" s="2">
        <v>46058</v>
      </c>
      <c r="E661" s="2">
        <v>46062</v>
      </c>
      <c r="F661" s="1" t="s">
        <v>259</v>
      </c>
      <c r="G661" s="1" t="s">
        <v>20</v>
      </c>
      <c r="H661" s="1" t="s">
        <v>19</v>
      </c>
      <c r="I661" s="7">
        <v>554.20000000000005</v>
      </c>
      <c r="J661" s="1" t="s">
        <v>38</v>
      </c>
      <c r="K661" s="1"/>
      <c r="L661" s="1" t="s">
        <v>39</v>
      </c>
      <c r="M661" s="1" t="str">
        <f>INDEX(MCC_Lookup!$B$2:$B$12,MATCH(G661,MCC_Lookup!$A$2:$A$12,0))</f>
        <v>Events</v>
      </c>
      <c r="N661" s="1" t="str">
        <f>IF(TRIM(H661)="","BLANK",IF(PROPER(TRIM(H661))=TRIM(M661),"MATCH","MISMATCH"))</f>
        <v>MATCH</v>
      </c>
      <c r="O661" s="5" t="str">
        <f>INDEX([1]Employee!$C$2:$C$276,MATCH(B661,[1]Employee!$A$2:$A$276,0))</f>
        <v>Claims</v>
      </c>
    </row>
    <row r="662" spans="1:15">
      <c r="A662" s="1" t="s">
        <v>1527</v>
      </c>
      <c r="B662" s="1" t="s">
        <v>199</v>
      </c>
      <c r="C662" s="1" t="s">
        <v>1528</v>
      </c>
      <c r="D662" s="2">
        <v>46056</v>
      </c>
      <c r="E662" s="2">
        <v>46062</v>
      </c>
      <c r="F662" s="1" t="s">
        <v>79</v>
      </c>
      <c r="G662" s="1" t="s">
        <v>13</v>
      </c>
      <c r="H662" s="1" t="s">
        <v>14</v>
      </c>
      <c r="I662" s="7">
        <v>234.64</v>
      </c>
      <c r="J662" s="1" t="s">
        <v>38</v>
      </c>
      <c r="K662" s="1"/>
      <c r="L662" s="1" t="s">
        <v>39</v>
      </c>
      <c r="M662" s="1" t="str">
        <f>INDEX(MCC_Lookup!$B$2:$B$12,MATCH(G662,MCC_Lookup!$A$2:$A$12,0))</f>
        <v>Software</v>
      </c>
      <c r="N662" s="1" t="str">
        <f>IF(TRIM(H662)="","BLANK",IF(PROPER(TRIM(H662))=TRIM(M662),"MATCH","MISMATCH"))</f>
        <v>MATCH</v>
      </c>
      <c r="O662" s="5" t="str">
        <f>INDEX([1]Employee!$C$2:$C$276,MATCH(B662,[1]Employee!$A$2:$A$276,0))</f>
        <v>Sales &amp; Marketing</v>
      </c>
    </row>
    <row r="663" spans="1:15">
      <c r="A663" s="1" t="s">
        <v>1529</v>
      </c>
      <c r="B663" s="1" t="s">
        <v>387</v>
      </c>
      <c r="C663" s="1" t="s">
        <v>1530</v>
      </c>
      <c r="D663" s="2">
        <v>46062</v>
      </c>
      <c r="E663" s="2">
        <v>46062</v>
      </c>
      <c r="F663" s="1" t="s">
        <v>95</v>
      </c>
      <c r="G663" s="1" t="s">
        <v>6</v>
      </c>
      <c r="H663" s="1" t="s">
        <v>7</v>
      </c>
      <c r="I663" s="7">
        <v>150.72</v>
      </c>
      <c r="J663" s="1" t="s">
        <v>38</v>
      </c>
      <c r="K663" s="1"/>
      <c r="L663" s="1" t="s">
        <v>39</v>
      </c>
      <c r="M663" s="1" t="str">
        <f>INDEX(MCC_Lookup!$B$2:$B$12,MATCH(G663,MCC_Lookup!$A$2:$A$12,0))</f>
        <v>Lodging</v>
      </c>
      <c r="N663" s="1" t="str">
        <f>IF(TRIM(H663)="","BLANK",IF(PROPER(TRIM(H663))=TRIM(M663),"MATCH","MISMATCH"))</f>
        <v>MATCH</v>
      </c>
      <c r="O663" s="5" t="str">
        <f>INDEX([1]Employee!$C$2:$C$276,MATCH(B663,[1]Employee!$A$2:$A$276,0))</f>
        <v>IT &amp; Platform Engineering</v>
      </c>
    </row>
    <row r="664" spans="1:15">
      <c r="A664" s="1" t="s">
        <v>1531</v>
      </c>
      <c r="B664" s="1" t="s">
        <v>379</v>
      </c>
      <c r="C664" s="1" t="s">
        <v>1532</v>
      </c>
      <c r="D664" s="2">
        <v>46059</v>
      </c>
      <c r="E664" s="2">
        <v>46062</v>
      </c>
      <c r="F664" s="1" t="s">
        <v>109</v>
      </c>
      <c r="G664" s="1" t="s">
        <v>18</v>
      </c>
      <c r="H664" s="1" t="s">
        <v>19</v>
      </c>
      <c r="I664" s="7">
        <v>15.79</v>
      </c>
      <c r="J664" s="1" t="s">
        <v>38</v>
      </c>
      <c r="K664" s="1"/>
      <c r="L664" s="1" t="s">
        <v>39</v>
      </c>
      <c r="M664" s="1" t="str">
        <f>INDEX(MCC_Lookup!$B$2:$B$12,MATCH(G664,MCC_Lookup!$A$2:$A$12,0))</f>
        <v>Events</v>
      </c>
      <c r="N664" s="1" t="str">
        <f>IF(TRIM(H664)="","BLANK",IF(PROPER(TRIM(H664))=TRIM(M664),"MATCH","MISMATCH"))</f>
        <v>MATCH</v>
      </c>
      <c r="O664" s="5" t="str">
        <f>INDEX([1]Employee!$C$2:$C$276,MATCH(B664,[1]Employee!$A$2:$A$276,0))</f>
        <v>Sales &amp; Marketing</v>
      </c>
    </row>
    <row r="665" spans="1:15">
      <c r="A665" s="1" t="s">
        <v>1533</v>
      </c>
      <c r="B665" s="1" t="s">
        <v>364</v>
      </c>
      <c r="C665" s="1" t="s">
        <v>1534</v>
      </c>
      <c r="D665" s="2">
        <v>46060</v>
      </c>
      <c r="E665" s="2">
        <v>46062</v>
      </c>
      <c r="F665" s="1" t="s">
        <v>79</v>
      </c>
      <c r="G665" s="1" t="s">
        <v>13</v>
      </c>
      <c r="H665" s="1" t="s">
        <v>14</v>
      </c>
      <c r="I665" s="7">
        <v>239.72</v>
      </c>
      <c r="J665" s="1" t="s">
        <v>38</v>
      </c>
      <c r="K665" s="1"/>
      <c r="L665" s="1" t="s">
        <v>39</v>
      </c>
      <c r="M665" s="1" t="str">
        <f>INDEX(MCC_Lookup!$B$2:$B$12,MATCH(G665,MCC_Lookup!$A$2:$A$12,0))</f>
        <v>Software</v>
      </c>
      <c r="N665" s="1" t="str">
        <f>IF(TRIM(H665)="","BLANK",IF(PROPER(TRIM(H665))=TRIM(M665),"MATCH","MISMATCH"))</f>
        <v>MATCH</v>
      </c>
      <c r="O665" s="5" t="str">
        <f>INDEX([1]Employee!$C$2:$C$276,MATCH(B665,[1]Employee!$A$2:$A$276,0))</f>
        <v>Sales &amp; Marketing</v>
      </c>
    </row>
    <row r="666" spans="1:15">
      <c r="A666" s="1" t="s">
        <v>1535</v>
      </c>
      <c r="B666" s="1" t="s">
        <v>1147</v>
      </c>
      <c r="C666" s="1" t="s">
        <v>1536</v>
      </c>
      <c r="D666" s="2">
        <v>46062</v>
      </c>
      <c r="E666" s="2">
        <v>46062</v>
      </c>
      <c r="F666" s="1" t="s">
        <v>43</v>
      </c>
      <c r="G666" s="1" t="s">
        <v>2</v>
      </c>
      <c r="H666" s="1" t="s">
        <v>3</v>
      </c>
      <c r="I666" s="7">
        <v>16.68</v>
      </c>
      <c r="J666" s="1" t="s">
        <v>38</v>
      </c>
      <c r="K666" s="1"/>
      <c r="L666" s="1" t="s">
        <v>39</v>
      </c>
      <c r="M666" s="1" t="str">
        <f>INDEX(MCC_Lookup!$B$2:$B$12,MATCH(G666,MCC_Lookup!$A$2:$A$12,0))</f>
        <v>Meals</v>
      </c>
      <c r="N666" s="1" t="str">
        <f>IF(TRIM(H666)="","BLANK",IF(PROPER(TRIM(H666))=TRIM(M666),"MATCH","MISMATCH"))</f>
        <v>MATCH</v>
      </c>
      <c r="O666" s="5" t="str">
        <f>INDEX([1]Employee!$C$2:$C$276,MATCH(B666,[1]Employee!$A$2:$A$276,0))</f>
        <v>Finance</v>
      </c>
    </row>
    <row r="667" spans="1:15">
      <c r="A667" s="1" t="s">
        <v>1537</v>
      </c>
      <c r="B667" s="1" t="s">
        <v>749</v>
      </c>
      <c r="C667" s="1"/>
      <c r="D667" s="2">
        <v>46052</v>
      </c>
      <c r="E667" s="2">
        <v>46062</v>
      </c>
      <c r="F667" s="1" t="s">
        <v>69</v>
      </c>
      <c r="G667" s="1" t="s">
        <v>8</v>
      </c>
      <c r="H667" s="1" t="s">
        <v>9</v>
      </c>
      <c r="I667" s="7">
        <v>48.31</v>
      </c>
      <c r="J667" s="1" t="s">
        <v>38</v>
      </c>
      <c r="K667" s="1"/>
      <c r="L667" s="1" t="s">
        <v>39</v>
      </c>
      <c r="M667" s="1" t="str">
        <f>INDEX(MCC_Lookup!$B$2:$B$12,MATCH(G667,MCC_Lookup!$A$2:$A$12,0))</f>
        <v>Transportation</v>
      </c>
      <c r="N667" s="1" t="str">
        <f>IF(TRIM(H667)="","BLANK",IF(PROPER(TRIM(H667))=TRIM(M667),"MATCH","MISMATCH"))</f>
        <v>MATCH</v>
      </c>
      <c r="O667" s="5" t="str">
        <f>INDEX([1]Employee!$C$2:$C$276,MATCH(B667,[1]Employee!$A$2:$A$276,0))</f>
        <v>Actuarial &amp; Risk</v>
      </c>
    </row>
    <row r="668" spans="1:15">
      <c r="A668" s="1" t="s">
        <v>1538</v>
      </c>
      <c r="B668" s="1" t="s">
        <v>314</v>
      </c>
      <c r="C668" s="1" t="s">
        <v>1539</v>
      </c>
      <c r="D668" s="2">
        <v>46055</v>
      </c>
      <c r="E668" s="2">
        <v>46063</v>
      </c>
      <c r="F668" s="1" t="s">
        <v>173</v>
      </c>
      <c r="G668" s="1" t="s">
        <v>2</v>
      </c>
      <c r="H668" s="1" t="s">
        <v>3</v>
      </c>
      <c r="I668" s="7">
        <v>22.93</v>
      </c>
      <c r="J668" s="1" t="s">
        <v>38</v>
      </c>
      <c r="K668" s="1"/>
      <c r="L668" s="1" t="s">
        <v>39</v>
      </c>
      <c r="M668" s="1" t="str">
        <f>INDEX(MCC_Lookup!$B$2:$B$12,MATCH(G668,MCC_Lookup!$A$2:$A$12,0))</f>
        <v>Meals</v>
      </c>
      <c r="N668" s="1" t="str">
        <f>IF(TRIM(H668)="","BLANK",IF(PROPER(TRIM(H668))=TRIM(M668),"MATCH","MISMATCH"))</f>
        <v>MATCH</v>
      </c>
      <c r="O668" s="5" t="str">
        <f>INDEX([1]Employee!$C$2:$C$276,MATCH(B668,[1]Employee!$A$2:$A$276,0))</f>
        <v>Sales &amp; Marketing</v>
      </c>
    </row>
    <row r="669" spans="1:15">
      <c r="A669" s="1" t="s">
        <v>1540</v>
      </c>
      <c r="B669" s="1" t="s">
        <v>190</v>
      </c>
      <c r="C669" s="1" t="s">
        <v>1541</v>
      </c>
      <c r="D669" s="2">
        <v>46063</v>
      </c>
      <c r="E669" s="2">
        <v>46063</v>
      </c>
      <c r="F669" s="1" t="s">
        <v>43</v>
      </c>
      <c r="G669" s="1" t="s">
        <v>2</v>
      </c>
      <c r="H669" s="1" t="s">
        <v>154</v>
      </c>
      <c r="I669" s="7">
        <v>10.45</v>
      </c>
      <c r="J669" s="1" t="s">
        <v>38</v>
      </c>
      <c r="K669" s="1"/>
      <c r="L669" s="1" t="s">
        <v>39</v>
      </c>
      <c r="M669" s="1" t="str">
        <f>INDEX(MCC_Lookup!$B$2:$B$12,MATCH(G669,MCC_Lookup!$A$2:$A$12,0))</f>
        <v>Meals</v>
      </c>
      <c r="N669" s="1" t="str">
        <f>IF(TRIM(H669)="","BLANK",IF(PROPER(TRIM(H669))=TRIM(M669),"MATCH","MISMATCH"))</f>
        <v>MATCH</v>
      </c>
      <c r="O669" s="5" t="str">
        <f>INDEX([1]Employee!$C$2:$C$276,MATCH(B669,[1]Employee!$A$2:$A$276,0))</f>
        <v>Sales &amp; Marketing</v>
      </c>
    </row>
    <row r="670" spans="1:15">
      <c r="A670" s="1" t="s">
        <v>1542</v>
      </c>
      <c r="B670" s="1" t="s">
        <v>166</v>
      </c>
      <c r="C670" s="1"/>
      <c r="D670" s="2">
        <v>46060</v>
      </c>
      <c r="E670" s="2">
        <v>46063</v>
      </c>
      <c r="F670" s="1" t="s">
        <v>160</v>
      </c>
      <c r="G670" s="1" t="s">
        <v>6</v>
      </c>
      <c r="H670" s="1" t="s">
        <v>7</v>
      </c>
      <c r="I670" s="7">
        <v>471.88</v>
      </c>
      <c r="J670" s="1" t="s">
        <v>111</v>
      </c>
      <c r="K670" s="1" t="s">
        <v>112</v>
      </c>
      <c r="L670" s="1" t="s">
        <v>39</v>
      </c>
      <c r="M670" s="1" t="str">
        <f>INDEX(MCC_Lookup!$B$2:$B$12,MATCH(G670,MCC_Lookup!$A$2:$A$12,0))</f>
        <v>Lodging</v>
      </c>
      <c r="N670" s="1" t="str">
        <f>IF(TRIM(H670)="","BLANK",IF(PROPER(TRIM(H670))=TRIM(M670),"MATCH","MISMATCH"))</f>
        <v>MATCH</v>
      </c>
      <c r="O670" s="5" t="str">
        <f>INDEX([1]Employee!$C$2:$C$276,MATCH(B670,[1]Employee!$A$2:$A$276,0))</f>
        <v>Actuarial &amp; Risk</v>
      </c>
    </row>
    <row r="671" spans="1:15">
      <c r="A671" s="1" t="s">
        <v>1543</v>
      </c>
      <c r="B671" s="1" t="s">
        <v>542</v>
      </c>
      <c r="C671" s="1" t="s">
        <v>1544</v>
      </c>
      <c r="D671" s="2">
        <v>46058</v>
      </c>
      <c r="E671" s="2">
        <v>46063</v>
      </c>
      <c r="F671" s="1" t="s">
        <v>173</v>
      </c>
      <c r="G671" s="1" t="s">
        <v>2</v>
      </c>
      <c r="H671" s="1" t="s">
        <v>3</v>
      </c>
      <c r="I671" s="7">
        <v>74.790000000000006</v>
      </c>
      <c r="J671" s="1" t="s">
        <v>38</v>
      </c>
      <c r="K671" s="1"/>
      <c r="L671" s="1" t="s">
        <v>39</v>
      </c>
      <c r="M671" s="1" t="str">
        <f>INDEX(MCC_Lookup!$B$2:$B$12,MATCH(G671,MCC_Lookup!$A$2:$A$12,0))</f>
        <v>Meals</v>
      </c>
      <c r="N671" s="1" t="str">
        <f>IF(TRIM(H671)="","BLANK",IF(PROPER(TRIM(H671))=TRIM(M671),"MATCH","MISMATCH"))</f>
        <v>MATCH</v>
      </c>
      <c r="O671" s="5" t="str">
        <f>INDEX([1]Employee!$C$2:$C$276,MATCH(B671,[1]Employee!$A$2:$A$276,0))</f>
        <v>Underwriting</v>
      </c>
    </row>
    <row r="672" spans="1:15">
      <c r="A672" s="1" t="s">
        <v>1545</v>
      </c>
      <c r="B672" s="1" t="s">
        <v>207</v>
      </c>
      <c r="C672" s="1" t="s">
        <v>1546</v>
      </c>
      <c r="D672" s="2">
        <v>46061</v>
      </c>
      <c r="E672" s="2">
        <v>46063</v>
      </c>
      <c r="F672" s="1" t="s">
        <v>160</v>
      </c>
      <c r="G672" s="1" t="s">
        <v>6</v>
      </c>
      <c r="H672" s="1" t="s">
        <v>7</v>
      </c>
      <c r="I672" s="7">
        <v>410.55</v>
      </c>
      <c r="J672" s="1" t="s">
        <v>38</v>
      </c>
      <c r="K672" s="1"/>
      <c r="L672" s="1" t="s">
        <v>39</v>
      </c>
      <c r="M672" s="1" t="str">
        <f>INDEX(MCC_Lookup!$B$2:$B$12,MATCH(G672,MCC_Lookup!$A$2:$A$12,0))</f>
        <v>Lodging</v>
      </c>
      <c r="N672" s="1" t="str">
        <f>IF(TRIM(H672)="","BLANK",IF(PROPER(TRIM(H672))=TRIM(M672),"MATCH","MISMATCH"))</f>
        <v>MATCH</v>
      </c>
      <c r="O672" s="5" t="str">
        <f>INDEX([1]Employee!$C$2:$C$276,MATCH(B672,[1]Employee!$A$2:$A$276,0))</f>
        <v>Claims</v>
      </c>
    </row>
    <row r="673" spans="1:15">
      <c r="A673" s="1" t="s">
        <v>1547</v>
      </c>
      <c r="B673" s="1" t="s">
        <v>118</v>
      </c>
      <c r="C673" s="1" t="s">
        <v>1548</v>
      </c>
      <c r="D673" s="2">
        <v>46054</v>
      </c>
      <c r="E673" s="2">
        <v>46063</v>
      </c>
      <c r="F673" s="1" t="s">
        <v>79</v>
      </c>
      <c r="G673" s="1" t="s">
        <v>13</v>
      </c>
      <c r="H673" s="1" t="s">
        <v>14</v>
      </c>
      <c r="I673" s="7">
        <v>154.99</v>
      </c>
      <c r="J673" s="1" t="s">
        <v>38</v>
      </c>
      <c r="K673" s="1"/>
      <c r="L673" s="1" t="s">
        <v>39</v>
      </c>
      <c r="M673" s="1" t="str">
        <f>INDEX(MCC_Lookup!$B$2:$B$12,MATCH(G673,MCC_Lookup!$A$2:$A$12,0))</f>
        <v>Software</v>
      </c>
      <c r="N673" s="1" t="str">
        <f>IF(TRIM(H673)="","BLANK",IF(PROPER(TRIM(H673))=TRIM(M673),"MATCH","MISMATCH"))</f>
        <v>MATCH</v>
      </c>
      <c r="O673" s="5" t="str">
        <f>INDEX([1]Employee!$C$2:$C$276,MATCH(B673,[1]Employee!$A$2:$A$276,0))</f>
        <v>Underwriting</v>
      </c>
    </row>
    <row r="674" spans="1:15">
      <c r="A674" s="1" t="s">
        <v>1549</v>
      </c>
      <c r="B674" s="1" t="s">
        <v>196</v>
      </c>
      <c r="C674" s="1" t="s">
        <v>1550</v>
      </c>
      <c r="D674" s="2">
        <v>46057</v>
      </c>
      <c r="E674" s="2">
        <v>46063</v>
      </c>
      <c r="F674" s="1" t="s">
        <v>76</v>
      </c>
      <c r="G674" s="1" t="s">
        <v>13</v>
      </c>
      <c r="H674" s="1" t="s">
        <v>14</v>
      </c>
      <c r="I674" s="7">
        <v>433.79</v>
      </c>
      <c r="J674" s="1" t="s">
        <v>38</v>
      </c>
      <c r="K674" s="1"/>
      <c r="L674" s="1" t="s">
        <v>39</v>
      </c>
      <c r="M674" s="1" t="str">
        <f>INDEX(MCC_Lookup!$B$2:$B$12,MATCH(G674,MCC_Lookup!$A$2:$A$12,0))</f>
        <v>Software</v>
      </c>
      <c r="N674" s="1" t="str">
        <f>IF(TRIM(H674)="","BLANK",IF(PROPER(TRIM(H674))=TRIM(M674),"MATCH","MISMATCH"))</f>
        <v>MATCH</v>
      </c>
      <c r="O674" s="5" t="str">
        <f>INDEX([1]Employee!$C$2:$C$276,MATCH(B674,[1]Employee!$A$2:$A$276,0))</f>
        <v>Sales &amp; Marketing</v>
      </c>
    </row>
    <row r="675" spans="1:15">
      <c r="A675" s="1" t="s">
        <v>1551</v>
      </c>
      <c r="B675" s="1" t="s">
        <v>1552</v>
      </c>
      <c r="C675" s="1" t="s">
        <v>1553</v>
      </c>
      <c r="D675" s="2">
        <v>46063</v>
      </c>
      <c r="E675" s="2">
        <v>46063</v>
      </c>
      <c r="F675" s="1" t="s">
        <v>120</v>
      </c>
      <c r="G675" s="1" t="s">
        <v>12</v>
      </c>
      <c r="H675" s="1" t="s">
        <v>11</v>
      </c>
      <c r="I675" s="7">
        <v>49.16</v>
      </c>
      <c r="J675" s="1" t="s">
        <v>38</v>
      </c>
      <c r="K675" s="1"/>
      <c r="L675" s="1" t="s">
        <v>39</v>
      </c>
      <c r="M675" s="1" t="str">
        <f>INDEX(MCC_Lookup!$B$2:$B$12,MATCH(G675,MCC_Lookup!$A$2:$A$12,0))</f>
        <v>Office Supplies</v>
      </c>
      <c r="N675" s="1" t="str">
        <f>IF(TRIM(H675)="","BLANK",IF(PROPER(TRIM(H675))=TRIM(M675),"MATCH","MISMATCH"))</f>
        <v>MATCH</v>
      </c>
      <c r="O675" s="5" t="str">
        <f>INDEX([1]Employee!$C$2:$C$276,MATCH(B675,[1]Employee!$A$2:$A$276,0))</f>
        <v>Underwriting</v>
      </c>
    </row>
    <row r="676" spans="1:15">
      <c r="A676" s="1" t="s">
        <v>1554</v>
      </c>
      <c r="B676" s="1" t="s">
        <v>179</v>
      </c>
      <c r="C676" s="1" t="s">
        <v>1555</v>
      </c>
      <c r="D676" s="2">
        <v>46054</v>
      </c>
      <c r="E676" s="2">
        <v>46063</v>
      </c>
      <c r="F676" s="1" t="s">
        <v>61</v>
      </c>
      <c r="G676" s="1" t="s">
        <v>13</v>
      </c>
      <c r="H676" s="1"/>
      <c r="I676" s="7">
        <v>89.04</v>
      </c>
      <c r="J676" s="1" t="s">
        <v>38</v>
      </c>
      <c r="K676" s="1"/>
      <c r="L676" s="1" t="s">
        <v>39</v>
      </c>
      <c r="M676" s="1" t="str">
        <f>INDEX(MCC_Lookup!$B$2:$B$12,MATCH(G676,MCC_Lookup!$A$2:$A$12,0))</f>
        <v>Software</v>
      </c>
      <c r="N676" s="1" t="str">
        <f>IF(TRIM(H676)="","BLANK",IF(PROPER(TRIM(H676))=TRIM(M676),"MATCH","MISMATCH"))</f>
        <v>BLANK</v>
      </c>
      <c r="O676" s="5" t="str">
        <f>INDEX([1]Employee!$C$2:$C$276,MATCH(B676,[1]Employee!$A$2:$A$276,0))</f>
        <v>Claims</v>
      </c>
    </row>
    <row r="677" spans="1:15">
      <c r="A677" s="1" t="s">
        <v>1556</v>
      </c>
      <c r="B677" s="1" t="s">
        <v>179</v>
      </c>
      <c r="C677" s="1" t="s">
        <v>1557</v>
      </c>
      <c r="D677" s="2">
        <v>46060</v>
      </c>
      <c r="E677" s="2">
        <v>46063</v>
      </c>
      <c r="F677" s="1" t="s">
        <v>56</v>
      </c>
      <c r="G677" s="1" t="s">
        <v>4</v>
      </c>
      <c r="H677" s="1" t="s">
        <v>5</v>
      </c>
      <c r="I677" s="7">
        <v>243.55</v>
      </c>
      <c r="J677" s="1" t="s">
        <v>38</v>
      </c>
      <c r="K677" s="1"/>
      <c r="L677" s="1" t="s">
        <v>39</v>
      </c>
      <c r="M677" s="1" t="str">
        <f>INDEX(MCC_Lookup!$B$2:$B$12,MATCH(G677,MCC_Lookup!$A$2:$A$12,0))</f>
        <v>Travel</v>
      </c>
      <c r="N677" s="1" t="str">
        <f>IF(TRIM(H677)="","BLANK",IF(PROPER(TRIM(H677))=TRIM(M677),"MATCH","MISMATCH"))</f>
        <v>MATCH</v>
      </c>
      <c r="O677" s="5" t="str">
        <f>INDEX([1]Employee!$C$2:$C$276,MATCH(B677,[1]Employee!$A$2:$A$276,0))</f>
        <v>Claims</v>
      </c>
    </row>
    <row r="678" spans="1:15">
      <c r="A678" s="1" t="s">
        <v>1558</v>
      </c>
      <c r="B678" s="1" t="s">
        <v>600</v>
      </c>
      <c r="C678" s="1" t="s">
        <v>1559</v>
      </c>
      <c r="D678" s="2">
        <v>46058</v>
      </c>
      <c r="E678" s="2">
        <v>46063</v>
      </c>
      <c r="F678" s="1" t="s">
        <v>61</v>
      </c>
      <c r="G678" s="1" t="s">
        <v>13</v>
      </c>
      <c r="H678" s="1" t="s">
        <v>14</v>
      </c>
      <c r="I678" s="7">
        <v>33.51</v>
      </c>
      <c r="J678" s="1" t="s">
        <v>38</v>
      </c>
      <c r="K678" s="1"/>
      <c r="L678" s="1" t="s">
        <v>39</v>
      </c>
      <c r="M678" s="1" t="str">
        <f>INDEX(MCC_Lookup!$B$2:$B$12,MATCH(G678,MCC_Lookup!$A$2:$A$12,0))</f>
        <v>Software</v>
      </c>
      <c r="N678" s="1" t="str">
        <f>IF(TRIM(H678)="","BLANK",IF(PROPER(TRIM(H678))=TRIM(M678),"MATCH","MISMATCH"))</f>
        <v>MATCH</v>
      </c>
      <c r="O678" s="5" t="str">
        <f>INDEX([1]Employee!$C$2:$C$276,MATCH(B678,[1]Employee!$A$2:$A$276,0))</f>
        <v>Actuarial &amp; Risk</v>
      </c>
    </row>
    <row r="679" spans="1:15">
      <c r="A679" s="1" t="s">
        <v>1560</v>
      </c>
      <c r="B679" s="1" t="s">
        <v>35</v>
      </c>
      <c r="C679" s="1" t="s">
        <v>1561</v>
      </c>
      <c r="D679" s="2">
        <v>46063</v>
      </c>
      <c r="E679" s="2">
        <v>46063</v>
      </c>
      <c r="F679" s="1" t="s">
        <v>177</v>
      </c>
      <c r="G679" s="1" t="s">
        <v>13</v>
      </c>
      <c r="H679" s="1" t="s">
        <v>14</v>
      </c>
      <c r="I679" s="7">
        <v>19.260000000000002</v>
      </c>
      <c r="J679" s="1" t="s">
        <v>38</v>
      </c>
      <c r="K679" s="1"/>
      <c r="L679" s="1" t="s">
        <v>39</v>
      </c>
      <c r="M679" s="1" t="str">
        <f>INDEX(MCC_Lookup!$B$2:$B$12,MATCH(G679,MCC_Lookup!$A$2:$A$12,0))</f>
        <v>Software</v>
      </c>
      <c r="N679" s="1" t="str">
        <f>IF(TRIM(H679)="","BLANK",IF(PROPER(TRIM(H679))=TRIM(M679),"MATCH","MISMATCH"))</f>
        <v>MATCH</v>
      </c>
      <c r="O679" s="5" t="str">
        <f>INDEX([1]Employee!$C$2:$C$276,MATCH(B679,[1]Employee!$A$2:$A$276,0))</f>
        <v>Sales &amp; Marketing</v>
      </c>
    </row>
    <row r="680" spans="1:15">
      <c r="A680" s="1" t="s">
        <v>1562</v>
      </c>
      <c r="B680" s="1" t="s">
        <v>108</v>
      </c>
      <c r="C680" s="1" t="s">
        <v>1563</v>
      </c>
      <c r="D680" s="2">
        <v>46057</v>
      </c>
      <c r="E680" s="2">
        <v>46063</v>
      </c>
      <c r="F680" s="1" t="s">
        <v>124</v>
      </c>
      <c r="G680" s="1" t="s">
        <v>17</v>
      </c>
      <c r="H680" s="1" t="s">
        <v>403</v>
      </c>
      <c r="I680" s="7">
        <v>93.27</v>
      </c>
      <c r="J680" s="1" t="s">
        <v>38</v>
      </c>
      <c r="K680" s="1"/>
      <c r="L680" s="1" t="s">
        <v>39</v>
      </c>
      <c r="M680" s="1" t="str">
        <f>INDEX(MCC_Lookup!$B$2:$B$12,MATCH(G680,MCC_Lookup!$A$2:$A$12,0))</f>
        <v>Entertainment</v>
      </c>
      <c r="N680" s="1" t="str">
        <f>IF(TRIM(H680)="","BLANK",IF(PROPER(TRIM(H680))=TRIM(M680),"MATCH","MISMATCH"))</f>
        <v>MATCH</v>
      </c>
      <c r="O680" s="5" t="str">
        <f>INDEX([1]Employee!$C$2:$C$276,MATCH(B680,[1]Employee!$A$2:$A$276,0))</f>
        <v>Sales &amp; Marketing</v>
      </c>
    </row>
    <row r="681" spans="1:15">
      <c r="A681" s="1" t="s">
        <v>1564</v>
      </c>
      <c r="B681" s="1" t="s">
        <v>219</v>
      </c>
      <c r="C681" s="1" t="s">
        <v>1565</v>
      </c>
      <c r="D681" s="2">
        <v>46057</v>
      </c>
      <c r="E681" s="2">
        <v>46063</v>
      </c>
      <c r="F681" s="1" t="s">
        <v>83</v>
      </c>
      <c r="G681" s="1" t="s">
        <v>2</v>
      </c>
      <c r="H681" s="1" t="s">
        <v>3</v>
      </c>
      <c r="I681" s="7">
        <v>9.7100000000000009</v>
      </c>
      <c r="J681" s="1" t="s">
        <v>38</v>
      </c>
      <c r="K681" s="1"/>
      <c r="L681" s="1" t="s">
        <v>39</v>
      </c>
      <c r="M681" s="1" t="str">
        <f>INDEX(MCC_Lookup!$B$2:$B$12,MATCH(G681,MCC_Lookup!$A$2:$A$12,0))</f>
        <v>Meals</v>
      </c>
      <c r="N681" s="1" t="str">
        <f>IF(TRIM(H681)="","BLANK",IF(PROPER(TRIM(H681))=TRIM(M681),"MATCH","MISMATCH"))</f>
        <v>MATCH</v>
      </c>
      <c r="O681" s="5" t="str">
        <f>INDEX([1]Employee!$C$2:$C$276,MATCH(B681,[1]Employee!$A$2:$A$276,0))</f>
        <v>Underwriting</v>
      </c>
    </row>
    <row r="682" spans="1:15">
      <c r="A682" s="1" t="s">
        <v>1566</v>
      </c>
      <c r="B682" s="1" t="s">
        <v>1567</v>
      </c>
      <c r="C682" s="1" t="s">
        <v>1568</v>
      </c>
      <c r="D682" s="2">
        <v>46056</v>
      </c>
      <c r="E682" s="2">
        <v>46063</v>
      </c>
      <c r="F682" s="1" t="s">
        <v>242</v>
      </c>
      <c r="G682" s="1" t="s">
        <v>13</v>
      </c>
      <c r="H682" s="1" t="s">
        <v>14</v>
      </c>
      <c r="I682" s="7">
        <v>49.25</v>
      </c>
      <c r="J682" s="1" t="s">
        <v>38</v>
      </c>
      <c r="K682" s="1"/>
      <c r="L682" s="1" t="s">
        <v>39</v>
      </c>
      <c r="M682" s="1" t="str">
        <f>INDEX(MCC_Lookup!$B$2:$B$12,MATCH(G682,MCC_Lookup!$A$2:$A$12,0))</f>
        <v>Software</v>
      </c>
      <c r="N682" s="1" t="str">
        <f>IF(TRIM(H682)="","BLANK",IF(PROPER(TRIM(H682))=TRIM(M682),"MATCH","MISMATCH"))</f>
        <v>MATCH</v>
      </c>
      <c r="O682" s="5" t="str">
        <f>INDEX([1]Employee!$C$2:$C$276,MATCH(B682,[1]Employee!$A$2:$A$276,0))</f>
        <v>Underwriting</v>
      </c>
    </row>
    <row r="683" spans="1:15">
      <c r="A683" s="1" t="s">
        <v>1569</v>
      </c>
      <c r="B683" s="1" t="s">
        <v>506</v>
      </c>
      <c r="C683" s="1" t="s">
        <v>1570</v>
      </c>
      <c r="D683" s="2">
        <v>46056</v>
      </c>
      <c r="E683" s="2">
        <v>46063</v>
      </c>
      <c r="F683" s="1" t="s">
        <v>95</v>
      </c>
      <c r="G683" s="1" t="s">
        <v>6</v>
      </c>
      <c r="H683" s="1" t="s">
        <v>726</v>
      </c>
      <c r="I683" s="7">
        <v>179.39</v>
      </c>
      <c r="J683" s="1" t="s">
        <v>38</v>
      </c>
      <c r="K683" s="1"/>
      <c r="L683" s="1" t="s">
        <v>39</v>
      </c>
      <c r="M683" s="1" t="str">
        <f>INDEX(MCC_Lookup!$B$2:$B$12,MATCH(G683,MCC_Lookup!$A$2:$A$12,0))</f>
        <v>Lodging</v>
      </c>
      <c r="N683" s="1" t="str">
        <f>IF(TRIM(H683)="","BLANK",IF(PROPER(TRIM(H683))=TRIM(M683),"MATCH","MISMATCH"))</f>
        <v>MATCH</v>
      </c>
      <c r="O683" s="5" t="str">
        <f>INDEX([1]Employee!$C$2:$C$276,MATCH(B683,[1]Employee!$A$2:$A$276,0))</f>
        <v>Executive &amp; Corporate</v>
      </c>
    </row>
    <row r="684" spans="1:15">
      <c r="A684" s="1" t="s">
        <v>1571</v>
      </c>
      <c r="B684" s="1" t="s">
        <v>763</v>
      </c>
      <c r="C684" s="1"/>
      <c r="D684" s="2">
        <v>46062</v>
      </c>
      <c r="E684" s="2">
        <v>46063</v>
      </c>
      <c r="F684" s="1" t="s">
        <v>106</v>
      </c>
      <c r="G684" s="1" t="s">
        <v>13</v>
      </c>
      <c r="H684" s="1"/>
      <c r="I684" s="7">
        <v>165.37</v>
      </c>
      <c r="J684" s="1" t="s">
        <v>38</v>
      </c>
      <c r="K684" s="1"/>
      <c r="L684" s="1" t="s">
        <v>39</v>
      </c>
      <c r="M684" s="1" t="str">
        <f>INDEX(MCC_Lookup!$B$2:$B$12,MATCH(G684,MCC_Lookup!$A$2:$A$12,0))</f>
        <v>Software</v>
      </c>
      <c r="N684" s="1" t="str">
        <f>IF(TRIM(H684)="","BLANK",IF(PROPER(TRIM(H684))=TRIM(M684),"MATCH","MISMATCH"))</f>
        <v>BLANK</v>
      </c>
      <c r="O684" s="5" t="str">
        <f>INDEX([1]Employee!$C$2:$C$276,MATCH(B684,[1]Employee!$A$2:$A$276,0))</f>
        <v>Executive &amp; Corporate</v>
      </c>
    </row>
    <row r="685" spans="1:15">
      <c r="A685" s="1" t="s">
        <v>1572</v>
      </c>
      <c r="B685" s="1" t="s">
        <v>738</v>
      </c>
      <c r="C685" s="1" t="s">
        <v>1573</v>
      </c>
      <c r="D685" s="2">
        <v>46053</v>
      </c>
      <c r="E685" s="2">
        <v>46063</v>
      </c>
      <c r="F685" s="1" t="s">
        <v>69</v>
      </c>
      <c r="G685" s="1" t="s">
        <v>8</v>
      </c>
      <c r="H685" s="1" t="s">
        <v>9</v>
      </c>
      <c r="I685" s="7">
        <v>37.049999999999997</v>
      </c>
      <c r="J685" s="1" t="s">
        <v>38</v>
      </c>
      <c r="K685" s="1"/>
      <c r="L685" s="1" t="s">
        <v>39</v>
      </c>
      <c r="M685" s="1" t="str">
        <f>INDEX(MCC_Lookup!$B$2:$B$12,MATCH(G685,MCC_Lookup!$A$2:$A$12,0))</f>
        <v>Transportation</v>
      </c>
      <c r="N685" s="1" t="str">
        <f>IF(TRIM(H685)="","BLANK",IF(PROPER(TRIM(H685))=TRIM(M685),"MATCH","MISMATCH"))</f>
        <v>MATCH</v>
      </c>
      <c r="O685" s="5" t="str">
        <f>INDEX([1]Employee!$C$2:$C$276,MATCH(B685,[1]Employee!$A$2:$A$276,0))</f>
        <v>Sales &amp; Marketing</v>
      </c>
    </row>
    <row r="686" spans="1:15">
      <c r="A686" s="1" t="s">
        <v>1574</v>
      </c>
      <c r="B686" s="1" t="s">
        <v>1208</v>
      </c>
      <c r="C686" s="1" t="s">
        <v>1575</v>
      </c>
      <c r="D686" s="2">
        <v>46053</v>
      </c>
      <c r="E686" s="2">
        <v>46063</v>
      </c>
      <c r="F686" s="1" t="s">
        <v>76</v>
      </c>
      <c r="G686" s="1" t="s">
        <v>13</v>
      </c>
      <c r="H686" s="1" t="s">
        <v>14</v>
      </c>
      <c r="I686" s="7">
        <v>431.22</v>
      </c>
      <c r="J686" s="1" t="s">
        <v>38</v>
      </c>
      <c r="K686" s="1"/>
      <c r="L686" s="1" t="s">
        <v>39</v>
      </c>
      <c r="M686" s="1" t="str">
        <f>INDEX(MCC_Lookup!$B$2:$B$12,MATCH(G686,MCC_Lookup!$A$2:$A$12,0))</f>
        <v>Software</v>
      </c>
      <c r="N686" s="1" t="str">
        <f>IF(TRIM(H686)="","BLANK",IF(PROPER(TRIM(H686))=TRIM(M686),"MATCH","MISMATCH"))</f>
        <v>MATCH</v>
      </c>
      <c r="O686" s="5" t="str">
        <f>INDEX([1]Employee!$C$2:$C$276,MATCH(B686,[1]Employee!$A$2:$A$276,0))</f>
        <v>HR &amp; Events</v>
      </c>
    </row>
    <row r="687" spans="1:15">
      <c r="A687" s="1" t="s">
        <v>1576</v>
      </c>
      <c r="B687" s="1" t="s">
        <v>136</v>
      </c>
      <c r="C687" s="1"/>
      <c r="D687" s="2">
        <v>46062</v>
      </c>
      <c r="E687" s="2">
        <v>46063</v>
      </c>
      <c r="F687" s="1" t="s">
        <v>160</v>
      </c>
      <c r="G687" s="1" t="s">
        <v>6</v>
      </c>
      <c r="H687" s="1" t="s">
        <v>7</v>
      </c>
      <c r="I687" s="7">
        <v>454.18</v>
      </c>
      <c r="J687" s="1" t="s">
        <v>111</v>
      </c>
      <c r="K687" s="1" t="s">
        <v>112</v>
      </c>
      <c r="L687" s="1" t="s">
        <v>39</v>
      </c>
      <c r="M687" s="1" t="str">
        <f>INDEX(MCC_Lookup!$B$2:$B$12,MATCH(G687,MCC_Lookup!$A$2:$A$12,0))</f>
        <v>Lodging</v>
      </c>
      <c r="N687" s="1" t="str">
        <f>IF(TRIM(H687)="","BLANK",IF(PROPER(TRIM(H687))=TRIM(M687),"MATCH","MISMATCH"))</f>
        <v>MATCH</v>
      </c>
      <c r="O687" s="5" t="str">
        <f>INDEX([1]Employee!$C$2:$C$276,MATCH(B687,[1]Employee!$A$2:$A$276,0))</f>
        <v>Sales &amp; Marketing</v>
      </c>
    </row>
    <row r="688" spans="1:15">
      <c r="A688" s="1" t="s">
        <v>1577</v>
      </c>
      <c r="B688" s="1" t="s">
        <v>426</v>
      </c>
      <c r="C688" s="1" t="s">
        <v>1578</v>
      </c>
      <c r="D688" s="2">
        <v>46062</v>
      </c>
      <c r="E688" s="2">
        <v>46063</v>
      </c>
      <c r="F688" s="1" t="s">
        <v>347</v>
      </c>
      <c r="G688" s="1" t="s">
        <v>8</v>
      </c>
      <c r="H688" s="1" t="s">
        <v>9</v>
      </c>
      <c r="I688" s="7">
        <v>26.35</v>
      </c>
      <c r="J688" s="1" t="s">
        <v>38</v>
      </c>
      <c r="K688" s="1"/>
      <c r="L688" s="1" t="s">
        <v>39</v>
      </c>
      <c r="M688" s="1" t="str">
        <f>INDEX(MCC_Lookup!$B$2:$B$12,MATCH(G688,MCC_Lookup!$A$2:$A$12,0))</f>
        <v>Transportation</v>
      </c>
      <c r="N688" s="1" t="str">
        <f>IF(TRIM(H688)="","BLANK",IF(PROPER(TRIM(H688))=TRIM(M688),"MATCH","MISMATCH"))</f>
        <v>MATCH</v>
      </c>
      <c r="O688" s="5" t="str">
        <f>INDEX([1]Employee!$C$2:$C$276,MATCH(B688,[1]Employee!$A$2:$A$276,0))</f>
        <v>Sales &amp; Marketing</v>
      </c>
    </row>
    <row r="689" spans="1:15">
      <c r="A689" s="1" t="s">
        <v>1579</v>
      </c>
      <c r="B689" s="1" t="s">
        <v>1504</v>
      </c>
      <c r="C689" s="1" t="s">
        <v>1580</v>
      </c>
      <c r="D689" s="2">
        <v>46057</v>
      </c>
      <c r="E689" s="2">
        <v>46063</v>
      </c>
      <c r="F689" s="1" t="s">
        <v>76</v>
      </c>
      <c r="G689" s="1" t="s">
        <v>13</v>
      </c>
      <c r="H689" s="1" t="s">
        <v>14</v>
      </c>
      <c r="I689" s="7">
        <v>483.08</v>
      </c>
      <c r="J689" s="1" t="s">
        <v>38</v>
      </c>
      <c r="K689" s="1"/>
      <c r="L689" s="1" t="s">
        <v>39</v>
      </c>
      <c r="M689" s="1" t="str">
        <f>INDEX(MCC_Lookup!$B$2:$B$12,MATCH(G689,MCC_Lookup!$A$2:$A$12,0))</f>
        <v>Software</v>
      </c>
      <c r="N689" s="1" t="str">
        <f>IF(TRIM(H689)="","BLANK",IF(PROPER(TRIM(H689))=TRIM(M689),"MATCH","MISMATCH"))</f>
        <v>MATCH</v>
      </c>
      <c r="O689" s="5" t="str">
        <f>INDEX([1]Employee!$C$2:$C$276,MATCH(B689,[1]Employee!$A$2:$A$276,0))</f>
        <v>Sales &amp; Marketing</v>
      </c>
    </row>
    <row r="690" spans="1:15">
      <c r="A690" s="1" t="s">
        <v>1581</v>
      </c>
      <c r="B690" s="1" t="s">
        <v>810</v>
      </c>
      <c r="C690" s="1" t="s">
        <v>1582</v>
      </c>
      <c r="D690" s="2">
        <v>46058</v>
      </c>
      <c r="E690" s="2">
        <v>46064</v>
      </c>
      <c r="F690" s="1" t="s">
        <v>72</v>
      </c>
      <c r="G690" s="1" t="s">
        <v>8</v>
      </c>
      <c r="H690" s="1" t="s">
        <v>9</v>
      </c>
      <c r="I690" s="7">
        <v>8.5399999999999991</v>
      </c>
      <c r="J690" s="1" t="s">
        <v>38</v>
      </c>
      <c r="K690" s="1"/>
      <c r="L690" s="1" t="s">
        <v>39</v>
      </c>
      <c r="M690" s="1" t="str">
        <f>INDEX(MCC_Lookup!$B$2:$B$12,MATCH(G690,MCC_Lookup!$A$2:$A$12,0))</f>
        <v>Transportation</v>
      </c>
      <c r="N690" s="1" t="str">
        <f>IF(TRIM(H690)="","BLANK",IF(PROPER(TRIM(H690))=TRIM(M690),"MATCH","MISMATCH"))</f>
        <v>MATCH</v>
      </c>
      <c r="O690" s="5" t="str">
        <f>INDEX([1]Employee!$C$2:$C$276,MATCH(B690,[1]Employee!$A$2:$A$276,0))</f>
        <v>Sales &amp; Marketing</v>
      </c>
    </row>
    <row r="691" spans="1:15">
      <c r="A691" s="1" t="s">
        <v>1583</v>
      </c>
      <c r="B691" s="1" t="s">
        <v>832</v>
      </c>
      <c r="C691" s="1"/>
      <c r="D691" s="2">
        <v>46062</v>
      </c>
      <c r="E691" s="2">
        <v>46064</v>
      </c>
      <c r="F691" s="1" t="s">
        <v>242</v>
      </c>
      <c r="G691" s="1" t="s">
        <v>13</v>
      </c>
      <c r="H691" s="1" t="s">
        <v>14</v>
      </c>
      <c r="I691" s="7">
        <v>39.54</v>
      </c>
      <c r="J691" s="1" t="s">
        <v>111</v>
      </c>
      <c r="K691" s="1" t="s">
        <v>229</v>
      </c>
      <c r="L691" s="1" t="s">
        <v>39</v>
      </c>
      <c r="M691" s="1" t="str">
        <f>INDEX(MCC_Lookup!$B$2:$B$12,MATCH(G691,MCC_Lookup!$A$2:$A$12,0))</f>
        <v>Software</v>
      </c>
      <c r="N691" s="1" t="str">
        <f>IF(TRIM(H691)="","BLANK",IF(PROPER(TRIM(H691))=TRIM(M691),"MATCH","MISMATCH"))</f>
        <v>MATCH</v>
      </c>
      <c r="O691" s="5" t="str">
        <f>INDEX([1]Employee!$C$2:$C$276,MATCH(B691,[1]Employee!$A$2:$A$276,0))</f>
        <v>Sales &amp; Marketing</v>
      </c>
    </row>
    <row r="692" spans="1:15">
      <c r="A692" s="1" t="s">
        <v>1584</v>
      </c>
      <c r="B692" s="1" t="s">
        <v>1440</v>
      </c>
      <c r="C692" s="1"/>
      <c r="D692" s="2">
        <v>46057</v>
      </c>
      <c r="E692" s="2">
        <v>46064</v>
      </c>
      <c r="F692" s="1" t="s">
        <v>47</v>
      </c>
      <c r="G692" s="1" t="s">
        <v>6</v>
      </c>
      <c r="H692" s="1"/>
      <c r="I692" s="7">
        <v>294.89</v>
      </c>
      <c r="J692" s="1" t="s">
        <v>111</v>
      </c>
      <c r="K692" s="1" t="s">
        <v>161</v>
      </c>
      <c r="L692" s="1" t="s">
        <v>39</v>
      </c>
      <c r="M692" s="1" t="str">
        <f>INDEX(MCC_Lookup!$B$2:$B$12,MATCH(G692,MCC_Lookup!$A$2:$A$12,0))</f>
        <v>Lodging</v>
      </c>
      <c r="N692" s="1" t="str">
        <f>IF(TRIM(H692)="","BLANK",IF(PROPER(TRIM(H692))=TRIM(M692),"MATCH","MISMATCH"))</f>
        <v>BLANK</v>
      </c>
      <c r="O692" s="5" t="str">
        <f>INDEX([1]Employee!$C$2:$C$276,MATCH(B692,[1]Employee!$A$2:$A$276,0))</f>
        <v>Claims</v>
      </c>
    </row>
    <row r="693" spans="1:15">
      <c r="A693" s="1" t="s">
        <v>1585</v>
      </c>
      <c r="B693" s="1" t="s">
        <v>542</v>
      </c>
      <c r="C693" s="1" t="s">
        <v>1586</v>
      </c>
      <c r="D693" s="2">
        <v>46056</v>
      </c>
      <c r="E693" s="2">
        <v>46064</v>
      </c>
      <c r="F693" s="1" t="s">
        <v>76</v>
      </c>
      <c r="G693" s="1" t="s">
        <v>13</v>
      </c>
      <c r="H693" s="1" t="s">
        <v>14</v>
      </c>
      <c r="I693" s="7">
        <v>253.98</v>
      </c>
      <c r="J693" s="1" t="s">
        <v>38</v>
      </c>
      <c r="K693" s="1"/>
      <c r="L693" s="1" t="s">
        <v>39</v>
      </c>
      <c r="M693" s="1" t="str">
        <f>INDEX(MCC_Lookup!$B$2:$B$12,MATCH(G693,MCC_Lookup!$A$2:$A$12,0))</f>
        <v>Software</v>
      </c>
      <c r="N693" s="1" t="str">
        <f>IF(TRIM(H693)="","BLANK",IF(PROPER(TRIM(H693))=TRIM(M693),"MATCH","MISMATCH"))</f>
        <v>MATCH</v>
      </c>
      <c r="O693" s="5" t="str">
        <f>INDEX([1]Employee!$C$2:$C$276,MATCH(B693,[1]Employee!$A$2:$A$276,0))</f>
        <v>Underwriting</v>
      </c>
    </row>
    <row r="694" spans="1:15">
      <c r="A694" s="1" t="s">
        <v>1587</v>
      </c>
      <c r="B694" s="1" t="s">
        <v>664</v>
      </c>
      <c r="C694" s="1" t="s">
        <v>1588</v>
      </c>
      <c r="D694" s="2">
        <v>46058</v>
      </c>
      <c r="E694" s="2">
        <v>46064</v>
      </c>
      <c r="F694" s="1" t="s">
        <v>116</v>
      </c>
      <c r="G694" s="1" t="s">
        <v>2</v>
      </c>
      <c r="H694" s="1" t="s">
        <v>3</v>
      </c>
      <c r="I694" s="7">
        <v>11.58</v>
      </c>
      <c r="J694" s="1" t="s">
        <v>38</v>
      </c>
      <c r="K694" s="1"/>
      <c r="L694" s="1" t="s">
        <v>39</v>
      </c>
      <c r="M694" s="1" t="str">
        <f>INDEX(MCC_Lookup!$B$2:$B$12,MATCH(G694,MCC_Lookup!$A$2:$A$12,0))</f>
        <v>Meals</v>
      </c>
      <c r="N694" s="1" t="str">
        <f>IF(TRIM(H694)="","BLANK",IF(PROPER(TRIM(H694))=TRIM(M694),"MATCH","MISMATCH"))</f>
        <v>MATCH</v>
      </c>
      <c r="O694" s="5" t="str">
        <f>INDEX([1]Employee!$C$2:$C$276,MATCH(B694,[1]Employee!$A$2:$A$276,0))</f>
        <v>Actuarial &amp; Risk</v>
      </c>
    </row>
    <row r="695" spans="1:15">
      <c r="A695" s="1" t="s">
        <v>1589</v>
      </c>
      <c r="B695" s="1" t="s">
        <v>490</v>
      </c>
      <c r="C695" s="1" t="s">
        <v>1590</v>
      </c>
      <c r="D695" s="2">
        <v>46062</v>
      </c>
      <c r="E695" s="2">
        <v>46064</v>
      </c>
      <c r="F695" s="1" t="s">
        <v>109</v>
      </c>
      <c r="G695" s="1" t="s">
        <v>18</v>
      </c>
      <c r="H695" s="1" t="s">
        <v>19</v>
      </c>
      <c r="I695" s="7">
        <v>131.30000000000001</v>
      </c>
      <c r="J695" s="1" t="s">
        <v>38</v>
      </c>
      <c r="K695" s="1"/>
      <c r="L695" s="1" t="s">
        <v>39</v>
      </c>
      <c r="M695" s="1" t="str">
        <f>INDEX(MCC_Lookup!$B$2:$B$12,MATCH(G695,MCC_Lookup!$A$2:$A$12,0))</f>
        <v>Events</v>
      </c>
      <c r="N695" s="1" t="str">
        <f>IF(TRIM(H695)="","BLANK",IF(PROPER(TRIM(H695))=TRIM(M695),"MATCH","MISMATCH"))</f>
        <v>MATCH</v>
      </c>
      <c r="O695" s="5" t="str">
        <f>INDEX([1]Employee!$C$2:$C$276,MATCH(B695,[1]Employee!$A$2:$A$276,0))</f>
        <v>Actuarial &amp; Risk</v>
      </c>
    </row>
    <row r="696" spans="1:15">
      <c r="A696" s="1" t="s">
        <v>1591</v>
      </c>
      <c r="B696" s="1" t="s">
        <v>487</v>
      </c>
      <c r="C696" s="1" t="s">
        <v>1592</v>
      </c>
      <c r="D696" s="2">
        <v>46060</v>
      </c>
      <c r="E696" s="2">
        <v>46064</v>
      </c>
      <c r="F696" s="1" t="s">
        <v>95</v>
      </c>
      <c r="G696" s="1" t="s">
        <v>6</v>
      </c>
      <c r="H696" s="1" t="s">
        <v>7</v>
      </c>
      <c r="I696" s="7">
        <v>334.22</v>
      </c>
      <c r="J696" s="1" t="s">
        <v>38</v>
      </c>
      <c r="K696" s="1"/>
      <c r="L696" s="1" t="s">
        <v>39</v>
      </c>
      <c r="M696" s="1" t="str">
        <f>INDEX(MCC_Lookup!$B$2:$B$12,MATCH(G696,MCC_Lookup!$A$2:$A$12,0))</f>
        <v>Lodging</v>
      </c>
      <c r="N696" s="1" t="str">
        <f>IF(TRIM(H696)="","BLANK",IF(PROPER(TRIM(H696))=TRIM(M696),"MATCH","MISMATCH"))</f>
        <v>MATCH</v>
      </c>
      <c r="O696" s="5" t="str">
        <f>INDEX([1]Employee!$C$2:$C$276,MATCH(B696,[1]Employee!$A$2:$A$276,0))</f>
        <v>IT &amp; Platform Engineering</v>
      </c>
    </row>
    <row r="697" spans="1:15">
      <c r="A697" s="1" t="s">
        <v>1593</v>
      </c>
      <c r="B697" s="1" t="s">
        <v>317</v>
      </c>
      <c r="C697" s="1"/>
      <c r="D697" s="2">
        <v>46059</v>
      </c>
      <c r="E697" s="2">
        <v>46064</v>
      </c>
      <c r="F697" s="1" t="s">
        <v>95</v>
      </c>
      <c r="G697" s="1" t="s">
        <v>6</v>
      </c>
      <c r="H697" s="1" t="s">
        <v>7</v>
      </c>
      <c r="I697" s="7">
        <v>335.9</v>
      </c>
      <c r="J697" s="1" t="s">
        <v>38</v>
      </c>
      <c r="K697" s="1"/>
      <c r="L697" s="1" t="s">
        <v>39</v>
      </c>
      <c r="M697" s="1" t="str">
        <f>INDEX(MCC_Lookup!$B$2:$B$12,MATCH(G697,MCC_Lookup!$A$2:$A$12,0))</f>
        <v>Lodging</v>
      </c>
      <c r="N697" s="1" t="str">
        <f>IF(TRIM(H697)="","BLANK",IF(PROPER(TRIM(H697))=TRIM(M697),"MATCH","MISMATCH"))</f>
        <v>MATCH</v>
      </c>
      <c r="O697" s="5" t="str">
        <f>INDEX([1]Employee!$C$2:$C$276,MATCH(B697,[1]Employee!$A$2:$A$276,0))</f>
        <v>Sales &amp; Marketing</v>
      </c>
    </row>
    <row r="698" spans="1:15">
      <c r="A698" s="1" t="s">
        <v>1594</v>
      </c>
      <c r="B698" s="1" t="s">
        <v>1595</v>
      </c>
      <c r="C698" s="1" t="s">
        <v>1596</v>
      </c>
      <c r="D698" s="2">
        <v>46057</v>
      </c>
      <c r="E698" s="2">
        <v>46064</v>
      </c>
      <c r="F698" s="1" t="s">
        <v>79</v>
      </c>
      <c r="G698" s="1" t="s">
        <v>13</v>
      </c>
      <c r="H698" s="1" t="s">
        <v>14</v>
      </c>
      <c r="I698" s="7">
        <v>127.86</v>
      </c>
      <c r="J698" s="1" t="s">
        <v>38</v>
      </c>
      <c r="K698" s="1"/>
      <c r="L698" s="1" t="s">
        <v>39</v>
      </c>
      <c r="M698" s="1" t="str">
        <f>INDEX(MCC_Lookup!$B$2:$B$12,MATCH(G698,MCC_Lookup!$A$2:$A$12,0))</f>
        <v>Software</v>
      </c>
      <c r="N698" s="1" t="str">
        <f>IF(TRIM(H698)="","BLANK",IF(PROPER(TRIM(H698))=TRIM(M698),"MATCH","MISMATCH"))</f>
        <v>MATCH</v>
      </c>
      <c r="O698" s="5" t="str">
        <f>INDEX([1]Employee!$C$2:$C$276,MATCH(B698,[1]Employee!$A$2:$A$276,0))</f>
        <v>HR &amp; Events</v>
      </c>
    </row>
    <row r="699" spans="1:15">
      <c r="A699" s="1" t="s">
        <v>1597</v>
      </c>
      <c r="B699" s="1" t="s">
        <v>1110</v>
      </c>
      <c r="C699" s="1" t="s">
        <v>1598</v>
      </c>
      <c r="D699" s="2">
        <v>46056</v>
      </c>
      <c r="E699" s="2">
        <v>46064</v>
      </c>
      <c r="F699" s="1" t="s">
        <v>92</v>
      </c>
      <c r="G699" s="1" t="s">
        <v>10</v>
      </c>
      <c r="H699" s="1" t="s">
        <v>11</v>
      </c>
      <c r="I699" s="7">
        <v>138.22999999999999</v>
      </c>
      <c r="J699" s="1" t="s">
        <v>38</v>
      </c>
      <c r="K699" s="1"/>
      <c r="L699" s="1" t="s">
        <v>39</v>
      </c>
      <c r="M699" s="1" t="str">
        <f>INDEX(MCC_Lookup!$B$2:$B$12,MATCH(G699,MCC_Lookup!$A$2:$A$12,0))</f>
        <v>Office Supplies</v>
      </c>
      <c r="N699" s="1" t="str">
        <f>IF(TRIM(H699)="","BLANK",IF(PROPER(TRIM(H699))=TRIM(M699),"MATCH","MISMATCH"))</f>
        <v>MATCH</v>
      </c>
      <c r="O699" s="5" t="str">
        <f>INDEX([1]Employee!$C$2:$C$276,MATCH(B699,[1]Employee!$A$2:$A$276,0))</f>
        <v>Executive &amp; Corporate</v>
      </c>
    </row>
    <row r="700" spans="1:15">
      <c r="A700" s="1" t="s">
        <v>1599</v>
      </c>
      <c r="B700" s="1" t="s">
        <v>199</v>
      </c>
      <c r="C700" s="1" t="s">
        <v>1600</v>
      </c>
      <c r="D700" s="2">
        <v>46060</v>
      </c>
      <c r="E700" s="2">
        <v>46064</v>
      </c>
      <c r="F700" s="1" t="s">
        <v>106</v>
      </c>
      <c r="G700" s="1" t="s">
        <v>13</v>
      </c>
      <c r="H700" s="1"/>
      <c r="I700" s="7">
        <v>215.56</v>
      </c>
      <c r="J700" s="1" t="s">
        <v>38</v>
      </c>
      <c r="K700" s="1"/>
      <c r="L700" s="1" t="s">
        <v>48</v>
      </c>
      <c r="M700" s="1" t="str">
        <f>INDEX(MCC_Lookup!$B$2:$B$12,MATCH(G700,MCC_Lookup!$A$2:$A$12,0))</f>
        <v>Software</v>
      </c>
      <c r="N700" s="1" t="str">
        <f>IF(TRIM(H700)="","BLANK",IF(PROPER(TRIM(H700))=TRIM(M700),"MATCH","MISMATCH"))</f>
        <v>BLANK</v>
      </c>
      <c r="O700" s="5" t="str">
        <f>INDEX([1]Employee!$C$2:$C$276,MATCH(B700,[1]Employee!$A$2:$A$276,0))</f>
        <v>Sales &amp; Marketing</v>
      </c>
    </row>
    <row r="701" spans="1:15">
      <c r="A701" s="1" t="s">
        <v>1601</v>
      </c>
      <c r="B701" s="1" t="s">
        <v>146</v>
      </c>
      <c r="C701" s="1" t="s">
        <v>1602</v>
      </c>
      <c r="D701" s="2">
        <v>46054</v>
      </c>
      <c r="E701" s="2">
        <v>46064</v>
      </c>
      <c r="F701" s="1" t="s">
        <v>56</v>
      </c>
      <c r="G701" s="1" t="s">
        <v>4</v>
      </c>
      <c r="H701" s="1" t="s">
        <v>5</v>
      </c>
      <c r="I701" s="7">
        <v>566.59</v>
      </c>
      <c r="J701" s="1" t="s">
        <v>38</v>
      </c>
      <c r="K701" s="1"/>
      <c r="L701" s="1" t="s">
        <v>39</v>
      </c>
      <c r="M701" s="1" t="str">
        <f>INDEX(MCC_Lookup!$B$2:$B$12,MATCH(G701,MCC_Lookup!$A$2:$A$12,0))</f>
        <v>Travel</v>
      </c>
      <c r="N701" s="1" t="str">
        <f>IF(TRIM(H701)="","BLANK",IF(PROPER(TRIM(H701))=TRIM(M701),"MATCH","MISMATCH"))</f>
        <v>MATCH</v>
      </c>
      <c r="O701" s="5" t="str">
        <f>INDEX([1]Employee!$C$2:$C$276,MATCH(B701,[1]Employee!$A$2:$A$276,0))</f>
        <v>HR &amp; Events</v>
      </c>
    </row>
    <row r="702" spans="1:15">
      <c r="A702" s="1" t="s">
        <v>1603</v>
      </c>
      <c r="B702" s="1" t="s">
        <v>352</v>
      </c>
      <c r="C702" s="1" t="s">
        <v>1604</v>
      </c>
      <c r="D702" s="2">
        <v>46054</v>
      </c>
      <c r="E702" s="2">
        <v>46064</v>
      </c>
      <c r="F702" s="1" t="s">
        <v>65</v>
      </c>
      <c r="G702" s="1" t="s">
        <v>18</v>
      </c>
      <c r="H702" s="1" t="s">
        <v>19</v>
      </c>
      <c r="I702" s="7">
        <v>343.96</v>
      </c>
      <c r="J702" s="1" t="s">
        <v>38</v>
      </c>
      <c r="K702" s="1"/>
      <c r="L702" s="1" t="s">
        <v>39</v>
      </c>
      <c r="M702" s="1" t="str">
        <f>INDEX(MCC_Lookup!$B$2:$B$12,MATCH(G702,MCC_Lookup!$A$2:$A$12,0))</f>
        <v>Events</v>
      </c>
      <c r="N702" s="1" t="str">
        <f>IF(TRIM(H702)="","BLANK",IF(PROPER(TRIM(H702))=TRIM(M702),"MATCH","MISMATCH"))</f>
        <v>MATCH</v>
      </c>
      <c r="O702" s="5" t="str">
        <f>INDEX([1]Employee!$C$2:$C$276,MATCH(B702,[1]Employee!$A$2:$A$276,0))</f>
        <v>Sales &amp; Marketing</v>
      </c>
    </row>
    <row r="703" spans="1:15">
      <c r="A703" s="1" t="s">
        <v>1605</v>
      </c>
      <c r="B703" s="1" t="s">
        <v>50</v>
      </c>
      <c r="C703" s="1" t="s">
        <v>1606</v>
      </c>
      <c r="D703" s="2">
        <v>46057</v>
      </c>
      <c r="E703" s="2">
        <v>46064</v>
      </c>
      <c r="F703" s="1" t="s">
        <v>347</v>
      </c>
      <c r="G703" s="1" t="s">
        <v>8</v>
      </c>
      <c r="H703" s="1"/>
      <c r="I703" s="7">
        <v>20.8</v>
      </c>
      <c r="J703" s="1" t="s">
        <v>38</v>
      </c>
      <c r="K703" s="1"/>
      <c r="L703" s="1" t="s">
        <v>48</v>
      </c>
      <c r="M703" s="1" t="str">
        <f>INDEX(MCC_Lookup!$B$2:$B$12,MATCH(G703,MCC_Lookup!$A$2:$A$12,0))</f>
        <v>Transportation</v>
      </c>
      <c r="N703" s="1" t="str">
        <f>IF(TRIM(H703)="","BLANK",IF(PROPER(TRIM(H703))=TRIM(M703),"MATCH","MISMATCH"))</f>
        <v>BLANK</v>
      </c>
      <c r="O703" s="5" t="str">
        <f>INDEX([1]Employee!$C$2:$C$276,MATCH(B703,[1]Employee!$A$2:$A$276,0))</f>
        <v>Sales &amp; Marketing</v>
      </c>
    </row>
    <row r="704" spans="1:15">
      <c r="A704" s="1" t="s">
        <v>1607</v>
      </c>
      <c r="B704" s="1" t="s">
        <v>643</v>
      </c>
      <c r="C704" s="1" t="s">
        <v>1608</v>
      </c>
      <c r="D704" s="2">
        <v>46056</v>
      </c>
      <c r="E704" s="2">
        <v>46064</v>
      </c>
      <c r="F704" s="1" t="s">
        <v>99</v>
      </c>
      <c r="G704" s="1" t="s">
        <v>2</v>
      </c>
      <c r="H704" s="1" t="s">
        <v>3</v>
      </c>
      <c r="I704" s="7">
        <v>59.23</v>
      </c>
      <c r="J704" s="1" t="s">
        <v>38</v>
      </c>
      <c r="K704" s="1"/>
      <c r="L704" s="1" t="s">
        <v>39</v>
      </c>
      <c r="M704" s="1" t="str">
        <f>INDEX(MCC_Lookup!$B$2:$B$12,MATCH(G704,MCC_Lookup!$A$2:$A$12,0))</f>
        <v>Meals</v>
      </c>
      <c r="N704" s="1" t="str">
        <f>IF(TRIM(H704)="","BLANK",IF(PROPER(TRIM(H704))=TRIM(M704),"MATCH","MISMATCH"))</f>
        <v>MATCH</v>
      </c>
      <c r="O704" s="5" t="str">
        <f>INDEX([1]Employee!$C$2:$C$276,MATCH(B704,[1]Employee!$A$2:$A$276,0))</f>
        <v>Sales &amp; Marketing</v>
      </c>
    </row>
    <row r="705" spans="1:15">
      <c r="A705" s="1" t="s">
        <v>1609</v>
      </c>
      <c r="B705" s="1" t="s">
        <v>407</v>
      </c>
      <c r="C705" s="1" t="s">
        <v>1610</v>
      </c>
      <c r="D705" s="2">
        <v>46055</v>
      </c>
      <c r="E705" s="2">
        <v>46064</v>
      </c>
      <c r="F705" s="1" t="s">
        <v>109</v>
      </c>
      <c r="G705" s="1" t="s">
        <v>18</v>
      </c>
      <c r="H705" s="1" t="s">
        <v>19</v>
      </c>
      <c r="I705" s="7">
        <v>163.13999999999999</v>
      </c>
      <c r="J705" s="1" t="s">
        <v>38</v>
      </c>
      <c r="K705" s="1"/>
      <c r="L705" s="1" t="s">
        <v>39</v>
      </c>
      <c r="M705" s="1" t="str">
        <f>INDEX(MCC_Lookup!$B$2:$B$12,MATCH(G705,MCC_Lookup!$A$2:$A$12,0))</f>
        <v>Events</v>
      </c>
      <c r="N705" s="1" t="str">
        <f>IF(TRIM(H705)="","BLANK",IF(PROPER(TRIM(H705))=TRIM(M705),"MATCH","MISMATCH"))</f>
        <v>MATCH</v>
      </c>
      <c r="O705" s="5" t="str">
        <f>INDEX([1]Employee!$C$2:$C$276,MATCH(B705,[1]Employee!$A$2:$A$276,0))</f>
        <v>Executive &amp; Corporate</v>
      </c>
    </row>
    <row r="706" spans="1:15">
      <c r="A706" s="1" t="s">
        <v>1611</v>
      </c>
      <c r="B706" s="1" t="s">
        <v>175</v>
      </c>
      <c r="C706" s="1" t="s">
        <v>1612</v>
      </c>
      <c r="D706" s="2">
        <v>46061</v>
      </c>
      <c r="E706" s="2">
        <v>46064</v>
      </c>
      <c r="F706" s="1" t="s">
        <v>37</v>
      </c>
      <c r="G706" s="1" t="s">
        <v>4</v>
      </c>
      <c r="H706" s="1" t="s">
        <v>5</v>
      </c>
      <c r="I706" s="7">
        <v>425.46</v>
      </c>
      <c r="J706" s="1" t="s">
        <v>38</v>
      </c>
      <c r="K706" s="1"/>
      <c r="L706" s="1" t="s">
        <v>39</v>
      </c>
      <c r="M706" s="1" t="str">
        <f>INDEX(MCC_Lookup!$B$2:$B$12,MATCH(G706,MCC_Lookup!$A$2:$A$12,0))</f>
        <v>Travel</v>
      </c>
      <c r="N706" s="1" t="str">
        <f>IF(TRIM(H706)="","BLANK",IF(PROPER(TRIM(H706))=TRIM(M706),"MATCH","MISMATCH"))</f>
        <v>MATCH</v>
      </c>
      <c r="O706" s="5" t="str">
        <f>INDEX([1]Employee!$C$2:$C$276,MATCH(B706,[1]Employee!$A$2:$A$276,0))</f>
        <v>Claims</v>
      </c>
    </row>
    <row r="707" spans="1:15">
      <c r="A707" s="1" t="s">
        <v>1613</v>
      </c>
      <c r="B707" s="1" t="s">
        <v>499</v>
      </c>
      <c r="C707" s="1" t="s">
        <v>1614</v>
      </c>
      <c r="D707" s="2">
        <v>46055</v>
      </c>
      <c r="E707" s="2">
        <v>46064</v>
      </c>
      <c r="F707" s="1" t="s">
        <v>99</v>
      </c>
      <c r="G707" s="1" t="s">
        <v>2</v>
      </c>
      <c r="H707" s="1" t="s">
        <v>3</v>
      </c>
      <c r="I707" s="7">
        <v>36.479999999999997</v>
      </c>
      <c r="J707" s="1" t="s">
        <v>38</v>
      </c>
      <c r="K707" s="1"/>
      <c r="L707" s="1" t="s">
        <v>39</v>
      </c>
      <c r="M707" s="1" t="str">
        <f>INDEX(MCC_Lookup!$B$2:$B$12,MATCH(G707,MCC_Lookup!$A$2:$A$12,0))</f>
        <v>Meals</v>
      </c>
      <c r="N707" s="1" t="str">
        <f>IF(TRIM(H707)="","BLANK",IF(PROPER(TRIM(H707))=TRIM(M707),"MATCH","MISMATCH"))</f>
        <v>MATCH</v>
      </c>
      <c r="O707" s="5" t="str">
        <f>INDEX([1]Employee!$C$2:$C$276,MATCH(B707,[1]Employee!$A$2:$A$276,0))</f>
        <v>Sales &amp; Marketing</v>
      </c>
    </row>
    <row r="708" spans="1:15">
      <c r="A708" s="1" t="s">
        <v>1615</v>
      </c>
      <c r="B708" s="1" t="s">
        <v>651</v>
      </c>
      <c r="C708" s="1" t="s">
        <v>1616</v>
      </c>
      <c r="D708" s="2">
        <v>46059</v>
      </c>
      <c r="E708" s="2">
        <v>46065</v>
      </c>
      <c r="F708" s="1" t="s">
        <v>116</v>
      </c>
      <c r="G708" s="1" t="s">
        <v>2</v>
      </c>
      <c r="H708" s="1" t="s">
        <v>3</v>
      </c>
      <c r="I708" s="7">
        <v>15.76</v>
      </c>
      <c r="J708" s="1" t="s">
        <v>38</v>
      </c>
      <c r="K708" s="1"/>
      <c r="L708" s="1" t="s">
        <v>39</v>
      </c>
      <c r="M708" s="1" t="str">
        <f>INDEX(MCC_Lookup!$B$2:$B$12,MATCH(G708,MCC_Lookup!$A$2:$A$12,0))</f>
        <v>Meals</v>
      </c>
      <c r="N708" s="1" t="str">
        <f>IF(TRIM(H708)="","BLANK",IF(PROPER(TRIM(H708))=TRIM(M708),"MATCH","MISMATCH"))</f>
        <v>MATCH</v>
      </c>
      <c r="O708" s="5" t="str">
        <f>INDEX([1]Employee!$C$2:$C$276,MATCH(B708,[1]Employee!$A$2:$A$276,0))</f>
        <v>IT &amp; Platform Engineering</v>
      </c>
    </row>
    <row r="709" spans="1:15">
      <c r="A709" s="1" t="s">
        <v>1617</v>
      </c>
      <c r="B709" s="1" t="s">
        <v>71</v>
      </c>
      <c r="C709" s="1" t="s">
        <v>1618</v>
      </c>
      <c r="D709" s="2">
        <v>46058</v>
      </c>
      <c r="E709" s="2">
        <v>46065</v>
      </c>
      <c r="F709" s="1" t="s">
        <v>65</v>
      </c>
      <c r="G709" s="1" t="s">
        <v>18</v>
      </c>
      <c r="H709" s="1" t="s">
        <v>19</v>
      </c>
      <c r="I709" s="7">
        <v>460.51</v>
      </c>
      <c r="J709" s="1" t="s">
        <v>38</v>
      </c>
      <c r="K709" s="1"/>
      <c r="L709" s="1" t="s">
        <v>39</v>
      </c>
      <c r="M709" s="1" t="str">
        <f>INDEX(MCC_Lookup!$B$2:$B$12,MATCH(G709,MCC_Lookup!$A$2:$A$12,0))</f>
        <v>Events</v>
      </c>
      <c r="N709" s="1" t="str">
        <f>IF(TRIM(H709)="","BLANK",IF(PROPER(TRIM(H709))=TRIM(M709),"MATCH","MISMATCH"))</f>
        <v>MATCH</v>
      </c>
      <c r="O709" s="5" t="str">
        <f>INDEX([1]Employee!$C$2:$C$276,MATCH(B709,[1]Employee!$A$2:$A$276,0))</f>
        <v>Sales &amp; Marketing</v>
      </c>
    </row>
    <row r="710" spans="1:15">
      <c r="A710" s="1" t="s">
        <v>1619</v>
      </c>
      <c r="B710" s="1" t="s">
        <v>300</v>
      </c>
      <c r="C710" s="1" t="s">
        <v>1620</v>
      </c>
      <c r="D710" s="2">
        <v>46065</v>
      </c>
      <c r="E710" s="2">
        <v>46065</v>
      </c>
      <c r="F710" s="1" t="s">
        <v>79</v>
      </c>
      <c r="G710" s="1" t="s">
        <v>13</v>
      </c>
      <c r="H710" s="1"/>
      <c r="I710" s="7">
        <v>146.46</v>
      </c>
      <c r="J710" s="1" t="s">
        <v>38</v>
      </c>
      <c r="K710" s="1"/>
      <c r="L710" s="1" t="s">
        <v>39</v>
      </c>
      <c r="M710" s="1" t="str">
        <f>INDEX(MCC_Lookup!$B$2:$B$12,MATCH(G710,MCC_Lookup!$A$2:$A$12,0))</f>
        <v>Software</v>
      </c>
      <c r="N710" s="1" t="str">
        <f>IF(TRIM(H710)="","BLANK",IF(PROPER(TRIM(H710))=TRIM(M710),"MATCH","MISMATCH"))</f>
        <v>BLANK</v>
      </c>
      <c r="O710" s="5" t="str">
        <f>INDEX([1]Employee!$C$2:$C$276,MATCH(B710,[1]Employee!$A$2:$A$276,0))</f>
        <v>Sales &amp; Marketing</v>
      </c>
    </row>
    <row r="711" spans="1:15">
      <c r="A711" s="1" t="s">
        <v>1621</v>
      </c>
      <c r="B711" s="1" t="s">
        <v>261</v>
      </c>
      <c r="C711" s="1" t="s">
        <v>1622</v>
      </c>
      <c r="D711" s="2">
        <v>46056</v>
      </c>
      <c r="E711" s="2">
        <v>46065</v>
      </c>
      <c r="F711" s="1" t="s">
        <v>173</v>
      </c>
      <c r="G711" s="1" t="s">
        <v>2</v>
      </c>
      <c r="H711" s="1" t="s">
        <v>3</v>
      </c>
      <c r="I711" s="7">
        <v>61.08</v>
      </c>
      <c r="J711" s="1" t="s">
        <v>38</v>
      </c>
      <c r="K711" s="1"/>
      <c r="L711" s="1" t="s">
        <v>39</v>
      </c>
      <c r="M711" s="1" t="str">
        <f>INDEX(MCC_Lookup!$B$2:$B$12,MATCH(G711,MCC_Lookup!$A$2:$A$12,0))</f>
        <v>Meals</v>
      </c>
      <c r="N711" s="1" t="str">
        <f>IF(TRIM(H711)="","BLANK",IF(PROPER(TRIM(H711))=TRIM(M711),"MATCH","MISMATCH"))</f>
        <v>MATCH</v>
      </c>
      <c r="O711" s="5" t="str">
        <f>INDEX([1]Employee!$C$2:$C$276,MATCH(B711,[1]Employee!$A$2:$A$276,0))</f>
        <v>Sales &amp; Marketing</v>
      </c>
    </row>
    <row r="712" spans="1:15">
      <c r="A712" s="1" t="s">
        <v>1623</v>
      </c>
      <c r="B712" s="1" t="s">
        <v>1110</v>
      </c>
      <c r="C712" s="1"/>
      <c r="D712" s="2">
        <v>46060</v>
      </c>
      <c r="E712" s="2">
        <v>46065</v>
      </c>
      <c r="F712" s="1" t="s">
        <v>69</v>
      </c>
      <c r="G712" s="1" t="s">
        <v>8</v>
      </c>
      <c r="H712" s="1" t="s">
        <v>494</v>
      </c>
      <c r="I712" s="7">
        <v>15.47</v>
      </c>
      <c r="J712" s="1" t="s">
        <v>38</v>
      </c>
      <c r="K712" s="1"/>
      <c r="L712" s="1" t="s">
        <v>39</v>
      </c>
      <c r="M712" s="1" t="str">
        <f>INDEX(MCC_Lookup!$B$2:$B$12,MATCH(G712,MCC_Lookup!$A$2:$A$12,0))</f>
        <v>Transportation</v>
      </c>
      <c r="N712" s="1" t="str">
        <f>IF(TRIM(H712)="","BLANK",IF(PROPER(TRIM(H712))=TRIM(M712),"MATCH","MISMATCH"))</f>
        <v>MATCH</v>
      </c>
      <c r="O712" s="5" t="str">
        <f>INDEX([1]Employee!$C$2:$C$276,MATCH(B712,[1]Employee!$A$2:$A$276,0))</f>
        <v>Executive &amp; Corporate</v>
      </c>
    </row>
    <row r="713" spans="1:15">
      <c r="A713" s="1" t="s">
        <v>1624</v>
      </c>
      <c r="B713" s="1" t="s">
        <v>475</v>
      </c>
      <c r="C713" s="1" t="s">
        <v>1625</v>
      </c>
      <c r="D713" s="2">
        <v>46063</v>
      </c>
      <c r="E713" s="2">
        <v>46065</v>
      </c>
      <c r="F713" s="1" t="s">
        <v>76</v>
      </c>
      <c r="G713" s="1" t="s">
        <v>13</v>
      </c>
      <c r="H713" s="1" t="s">
        <v>14</v>
      </c>
      <c r="I713" s="7">
        <v>515.25</v>
      </c>
      <c r="J713" s="1" t="s">
        <v>38</v>
      </c>
      <c r="K713" s="1"/>
      <c r="L713" s="1" t="s">
        <v>39</v>
      </c>
      <c r="M713" s="1" t="str">
        <f>INDEX(MCC_Lookup!$B$2:$B$12,MATCH(G713,MCC_Lookup!$A$2:$A$12,0))</f>
        <v>Software</v>
      </c>
      <c r="N713" s="1" t="str">
        <f>IF(TRIM(H713)="","BLANK",IF(PROPER(TRIM(H713))=TRIM(M713),"MATCH","MISMATCH"))</f>
        <v>MATCH</v>
      </c>
      <c r="O713" s="5" t="str">
        <f>INDEX([1]Employee!$C$2:$C$276,MATCH(B713,[1]Employee!$A$2:$A$276,0))</f>
        <v>Sales &amp; Marketing</v>
      </c>
    </row>
    <row r="714" spans="1:15">
      <c r="A714" s="1" t="s">
        <v>1626</v>
      </c>
      <c r="B714" s="1" t="s">
        <v>50</v>
      </c>
      <c r="C714" s="1" t="s">
        <v>1627</v>
      </c>
      <c r="D714" s="2">
        <v>46065</v>
      </c>
      <c r="E714" s="2">
        <v>46065</v>
      </c>
      <c r="F714" s="1" t="s">
        <v>347</v>
      </c>
      <c r="G714" s="1" t="s">
        <v>8</v>
      </c>
      <c r="H714" s="1"/>
      <c r="I714" s="7">
        <v>34.299999999999997</v>
      </c>
      <c r="J714" s="1" t="s">
        <v>38</v>
      </c>
      <c r="K714" s="1"/>
      <c r="L714" s="1" t="s">
        <v>39</v>
      </c>
      <c r="M714" s="1" t="str">
        <f>INDEX(MCC_Lookup!$B$2:$B$12,MATCH(G714,MCC_Lookup!$A$2:$A$12,0))</f>
        <v>Transportation</v>
      </c>
      <c r="N714" s="1" t="str">
        <f>IF(TRIM(H714)="","BLANK",IF(PROPER(TRIM(H714))=TRIM(M714),"MATCH","MISMATCH"))</f>
        <v>BLANK</v>
      </c>
      <c r="O714" s="5" t="str">
        <f>INDEX([1]Employee!$C$2:$C$276,MATCH(B714,[1]Employee!$A$2:$A$276,0))</f>
        <v>Sales &amp; Marketing</v>
      </c>
    </row>
    <row r="715" spans="1:15">
      <c r="A715" s="1" t="s">
        <v>1628</v>
      </c>
      <c r="B715" s="1" t="s">
        <v>240</v>
      </c>
      <c r="C715" s="1"/>
      <c r="D715" s="2">
        <v>46061</v>
      </c>
      <c r="E715" s="2">
        <v>46065</v>
      </c>
      <c r="F715" s="1" t="s">
        <v>83</v>
      </c>
      <c r="G715" s="1" t="s">
        <v>2</v>
      </c>
      <c r="H715" s="1" t="s">
        <v>3</v>
      </c>
      <c r="I715" s="7">
        <v>21.17</v>
      </c>
      <c r="J715" s="1" t="s">
        <v>111</v>
      </c>
      <c r="K715" s="1" t="s">
        <v>112</v>
      </c>
      <c r="L715" s="1" t="s">
        <v>39</v>
      </c>
      <c r="M715" s="1" t="str">
        <f>INDEX(MCC_Lookup!$B$2:$B$12,MATCH(G715,MCC_Lookup!$A$2:$A$12,0))</f>
        <v>Meals</v>
      </c>
      <c r="N715" s="1" t="str">
        <f>IF(TRIM(H715)="","BLANK",IF(PROPER(TRIM(H715))=TRIM(M715),"MATCH","MISMATCH"))</f>
        <v>MATCH</v>
      </c>
      <c r="O715" s="5" t="str">
        <f>INDEX([1]Employee!$C$2:$C$276,MATCH(B715,[1]Employee!$A$2:$A$276,0))</f>
        <v>Claims</v>
      </c>
    </row>
    <row r="716" spans="1:15">
      <c r="A716" s="1" t="s">
        <v>1629</v>
      </c>
      <c r="B716" s="1" t="s">
        <v>836</v>
      </c>
      <c r="C716" s="1" t="s">
        <v>1630</v>
      </c>
      <c r="D716" s="2">
        <v>46059</v>
      </c>
      <c r="E716" s="2">
        <v>46065</v>
      </c>
      <c r="F716" s="1" t="s">
        <v>177</v>
      </c>
      <c r="G716" s="1" t="s">
        <v>13</v>
      </c>
      <c r="H716" s="1" t="s">
        <v>14</v>
      </c>
      <c r="I716" s="7">
        <v>13.37</v>
      </c>
      <c r="J716" s="1" t="s">
        <v>38</v>
      </c>
      <c r="K716" s="1"/>
      <c r="L716" s="1" t="s">
        <v>39</v>
      </c>
      <c r="M716" s="1" t="str">
        <f>INDEX(MCC_Lookup!$B$2:$B$12,MATCH(G716,MCC_Lookup!$A$2:$A$12,0))</f>
        <v>Software</v>
      </c>
      <c r="N716" s="1" t="str">
        <f>IF(TRIM(H716)="","BLANK",IF(PROPER(TRIM(H716))=TRIM(M716),"MATCH","MISMATCH"))</f>
        <v>MATCH</v>
      </c>
      <c r="O716" s="5" t="str">
        <f>INDEX([1]Employee!$C$2:$C$276,MATCH(B716,[1]Employee!$A$2:$A$276,0))</f>
        <v>Sales &amp; Marketing</v>
      </c>
    </row>
    <row r="717" spans="1:15">
      <c r="A717" s="1" t="s">
        <v>1631</v>
      </c>
      <c r="B717" s="1" t="s">
        <v>1632</v>
      </c>
      <c r="C717" s="1"/>
      <c r="D717" s="2">
        <v>46058</v>
      </c>
      <c r="E717" s="2">
        <v>46065</v>
      </c>
      <c r="F717" s="1" t="s">
        <v>79</v>
      </c>
      <c r="G717" s="1" t="s">
        <v>13</v>
      </c>
      <c r="H717" s="1" t="s">
        <v>14</v>
      </c>
      <c r="I717" s="7">
        <v>112.43</v>
      </c>
      <c r="J717" s="1" t="s">
        <v>38</v>
      </c>
      <c r="K717" s="1"/>
      <c r="L717" s="1" t="s">
        <v>39</v>
      </c>
      <c r="M717" s="1" t="str">
        <f>INDEX(MCC_Lookup!$B$2:$B$12,MATCH(G717,MCC_Lookup!$A$2:$A$12,0))</f>
        <v>Software</v>
      </c>
      <c r="N717" s="1" t="str">
        <f>IF(TRIM(H717)="","BLANK",IF(PROPER(TRIM(H717))=TRIM(M717),"MATCH","MISMATCH"))</f>
        <v>MATCH</v>
      </c>
      <c r="O717" s="5" t="str">
        <f>INDEX([1]Employee!$C$2:$C$276,MATCH(B717,[1]Employee!$A$2:$A$276,0))</f>
        <v>HR &amp; Events</v>
      </c>
    </row>
    <row r="718" spans="1:15">
      <c r="A718" s="1" t="s">
        <v>1633</v>
      </c>
      <c r="B718" s="1" t="s">
        <v>1634</v>
      </c>
      <c r="C718" s="1" t="s">
        <v>1635</v>
      </c>
      <c r="D718" s="2">
        <v>46056</v>
      </c>
      <c r="E718" s="2">
        <v>46065</v>
      </c>
      <c r="F718" s="1" t="s">
        <v>177</v>
      </c>
      <c r="G718" s="1" t="s">
        <v>13</v>
      </c>
      <c r="H718" s="1" t="s">
        <v>14</v>
      </c>
      <c r="I718" s="7">
        <v>62.01</v>
      </c>
      <c r="J718" s="1" t="s">
        <v>38</v>
      </c>
      <c r="K718" s="1"/>
      <c r="L718" s="1" t="s">
        <v>39</v>
      </c>
      <c r="M718" s="1" t="str">
        <f>INDEX(MCC_Lookup!$B$2:$B$12,MATCH(G718,MCC_Lookup!$A$2:$A$12,0))</f>
        <v>Software</v>
      </c>
      <c r="N718" s="1" t="str">
        <f>IF(TRIM(H718)="","BLANK",IF(PROPER(TRIM(H718))=TRIM(M718),"MATCH","MISMATCH"))</f>
        <v>MATCH</v>
      </c>
      <c r="O718" s="5" t="str">
        <f>INDEX([1]Employee!$C$2:$C$276,MATCH(B718,[1]Employee!$A$2:$A$276,0))</f>
        <v>Customer Support</v>
      </c>
    </row>
    <row r="719" spans="1:15">
      <c r="A719" s="1" t="s">
        <v>1636</v>
      </c>
      <c r="B719" s="1" t="s">
        <v>1637</v>
      </c>
      <c r="C719" s="1" t="s">
        <v>1638</v>
      </c>
      <c r="D719" s="2">
        <v>46061</v>
      </c>
      <c r="E719" s="2">
        <v>46065</v>
      </c>
      <c r="F719" s="1" t="s">
        <v>92</v>
      </c>
      <c r="G719" s="1" t="s">
        <v>10</v>
      </c>
      <c r="H719" s="1" t="s">
        <v>11</v>
      </c>
      <c r="I719" s="7">
        <v>53.66</v>
      </c>
      <c r="J719" s="1" t="s">
        <v>38</v>
      </c>
      <c r="K719" s="1"/>
      <c r="L719" s="1" t="s">
        <v>39</v>
      </c>
      <c r="M719" s="1" t="str">
        <f>INDEX(MCC_Lookup!$B$2:$B$12,MATCH(G719,MCC_Lookup!$A$2:$A$12,0))</f>
        <v>Office Supplies</v>
      </c>
      <c r="N719" s="1" t="str">
        <f>IF(TRIM(H719)="","BLANK",IF(PROPER(TRIM(H719))=TRIM(M719),"MATCH","MISMATCH"))</f>
        <v>MATCH</v>
      </c>
      <c r="O719" s="5" t="str">
        <f>INDEX([1]Employee!$C$2:$C$276,MATCH(B719,[1]Employee!$A$2:$A$276,0))</f>
        <v>Underwriting</v>
      </c>
    </row>
    <row r="720" spans="1:15">
      <c r="A720" s="1" t="s">
        <v>1639</v>
      </c>
      <c r="B720" s="1" t="s">
        <v>129</v>
      </c>
      <c r="C720" s="1" t="s">
        <v>1640</v>
      </c>
      <c r="D720" s="2">
        <v>46055</v>
      </c>
      <c r="E720" s="2">
        <v>46065</v>
      </c>
      <c r="F720" s="1" t="s">
        <v>61</v>
      </c>
      <c r="G720" s="1" t="s">
        <v>13</v>
      </c>
      <c r="H720" s="1" t="s">
        <v>14</v>
      </c>
      <c r="I720" s="7">
        <v>45.29</v>
      </c>
      <c r="J720" s="1" t="s">
        <v>38</v>
      </c>
      <c r="K720" s="1"/>
      <c r="L720" s="1" t="s">
        <v>39</v>
      </c>
      <c r="M720" s="1" t="str">
        <f>INDEX(MCC_Lookup!$B$2:$B$12,MATCH(G720,MCC_Lookup!$A$2:$A$12,0))</f>
        <v>Software</v>
      </c>
      <c r="N720" s="1" t="str">
        <f>IF(TRIM(H720)="","BLANK",IF(PROPER(TRIM(H720))=TRIM(M720),"MATCH","MISMATCH"))</f>
        <v>MATCH</v>
      </c>
      <c r="O720" s="5" t="str">
        <f>INDEX([1]Employee!$C$2:$C$276,MATCH(B720,[1]Employee!$A$2:$A$276,0))</f>
        <v>Sales &amp; Marketing</v>
      </c>
    </row>
    <row r="721" spans="1:15">
      <c r="A721" s="1" t="s">
        <v>1641</v>
      </c>
      <c r="B721" s="1" t="s">
        <v>1642</v>
      </c>
      <c r="C721" s="1" t="s">
        <v>1643</v>
      </c>
      <c r="D721" s="2">
        <v>46061</v>
      </c>
      <c r="E721" s="2">
        <v>46065</v>
      </c>
      <c r="F721" s="1" t="s">
        <v>95</v>
      </c>
      <c r="G721" s="1" t="s">
        <v>6</v>
      </c>
      <c r="H721" s="1" t="s">
        <v>726</v>
      </c>
      <c r="I721" s="7">
        <v>322.33</v>
      </c>
      <c r="J721" s="1" t="s">
        <v>38</v>
      </c>
      <c r="K721" s="1"/>
      <c r="L721" s="1" t="s">
        <v>39</v>
      </c>
      <c r="M721" s="1" t="str">
        <f>INDEX(MCC_Lookup!$B$2:$B$12,MATCH(G721,MCC_Lookup!$A$2:$A$12,0))</f>
        <v>Lodging</v>
      </c>
      <c r="N721" s="1" t="str">
        <f>IF(TRIM(H721)="","BLANK",IF(PROPER(TRIM(H721))=TRIM(M721),"MATCH","MISMATCH"))</f>
        <v>MATCH</v>
      </c>
      <c r="O721" s="5" t="str">
        <f>INDEX([1]Employee!$C$2:$C$276,MATCH(B721,[1]Employee!$A$2:$A$276,0))</f>
        <v>Underwriting</v>
      </c>
    </row>
    <row r="722" spans="1:15">
      <c r="A722" s="1" t="s">
        <v>1644</v>
      </c>
      <c r="B722" s="1" t="s">
        <v>868</v>
      </c>
      <c r="C722" s="1" t="s">
        <v>1645</v>
      </c>
      <c r="D722" s="2">
        <v>46061</v>
      </c>
      <c r="E722" s="2">
        <v>46065</v>
      </c>
      <c r="F722" s="1" t="s">
        <v>173</v>
      </c>
      <c r="G722" s="1" t="s">
        <v>2</v>
      </c>
      <c r="H722" s="1" t="s">
        <v>3</v>
      </c>
      <c r="I722" s="7">
        <v>31.91</v>
      </c>
      <c r="J722" s="1" t="s">
        <v>38</v>
      </c>
      <c r="K722" s="1"/>
      <c r="L722" s="1" t="s">
        <v>39</v>
      </c>
      <c r="M722" s="1" t="str">
        <f>INDEX(MCC_Lookup!$B$2:$B$12,MATCH(G722,MCC_Lookup!$A$2:$A$12,0))</f>
        <v>Meals</v>
      </c>
      <c r="N722" s="1" t="str">
        <f>IF(TRIM(H722)="","BLANK",IF(PROPER(TRIM(H722))=TRIM(M722),"MATCH","MISMATCH"))</f>
        <v>MATCH</v>
      </c>
      <c r="O722" s="5" t="str">
        <f>INDEX([1]Employee!$C$2:$C$276,MATCH(B722,[1]Employee!$A$2:$A$276,0))</f>
        <v>Sales &amp; Marketing</v>
      </c>
    </row>
    <row r="723" spans="1:15">
      <c r="A723" s="1" t="s">
        <v>1646</v>
      </c>
      <c r="B723" s="1" t="s">
        <v>1122</v>
      </c>
      <c r="C723" s="1"/>
      <c r="D723" s="2">
        <v>46061</v>
      </c>
      <c r="E723" s="2">
        <v>46066</v>
      </c>
      <c r="F723" s="1" t="s">
        <v>573</v>
      </c>
      <c r="G723" s="1" t="s">
        <v>18</v>
      </c>
      <c r="H723" s="1" t="s">
        <v>19</v>
      </c>
      <c r="I723" s="7">
        <v>518.84</v>
      </c>
      <c r="J723" s="1" t="s">
        <v>38</v>
      </c>
      <c r="K723" s="1"/>
      <c r="L723" s="1" t="s">
        <v>39</v>
      </c>
      <c r="M723" s="1" t="str">
        <f>INDEX(MCC_Lookup!$B$2:$B$12,MATCH(G723,MCC_Lookup!$A$2:$A$12,0))</f>
        <v>Events</v>
      </c>
      <c r="N723" s="1" t="str">
        <f>IF(TRIM(H723)="","BLANK",IF(PROPER(TRIM(H723))=TRIM(M723),"MATCH","MISMATCH"))</f>
        <v>MATCH</v>
      </c>
      <c r="O723" s="5" t="str">
        <f>INDEX([1]Employee!$C$2:$C$276,MATCH(B723,[1]Employee!$A$2:$A$276,0))</f>
        <v>Customer Support</v>
      </c>
    </row>
    <row r="724" spans="1:15">
      <c r="A724" s="1" t="s">
        <v>1647</v>
      </c>
      <c r="B724" s="1" t="s">
        <v>1427</v>
      </c>
      <c r="C724" s="1" t="s">
        <v>1648</v>
      </c>
      <c r="D724" s="2">
        <v>46058</v>
      </c>
      <c r="E724" s="2">
        <v>46066</v>
      </c>
      <c r="F724" s="1" t="s">
        <v>233</v>
      </c>
      <c r="G724" s="1" t="s">
        <v>2</v>
      </c>
      <c r="H724" s="1" t="s">
        <v>3</v>
      </c>
      <c r="I724" s="7">
        <v>11.61</v>
      </c>
      <c r="J724" s="1" t="s">
        <v>38</v>
      </c>
      <c r="K724" s="1"/>
      <c r="L724" s="1" t="s">
        <v>39</v>
      </c>
      <c r="M724" s="1" t="str">
        <f>INDEX(MCC_Lookup!$B$2:$B$12,MATCH(G724,MCC_Lookup!$A$2:$A$12,0))</f>
        <v>Meals</v>
      </c>
      <c r="N724" s="1" t="str">
        <f>IF(TRIM(H724)="","BLANK",IF(PROPER(TRIM(H724))=TRIM(M724),"MATCH","MISMATCH"))</f>
        <v>MATCH</v>
      </c>
      <c r="O724" s="5" t="str">
        <f>INDEX([1]Employee!$C$2:$C$276,MATCH(B724,[1]Employee!$A$2:$A$276,0))</f>
        <v>Finance</v>
      </c>
    </row>
    <row r="725" spans="1:15">
      <c r="A725" s="1" t="s">
        <v>1649</v>
      </c>
      <c r="B725" s="1" t="s">
        <v>1650</v>
      </c>
      <c r="C725" s="1" t="s">
        <v>1651</v>
      </c>
      <c r="D725" s="2">
        <v>46062</v>
      </c>
      <c r="E725" s="2">
        <v>46066</v>
      </c>
      <c r="F725" s="1" t="s">
        <v>65</v>
      </c>
      <c r="G725" s="1" t="s">
        <v>18</v>
      </c>
      <c r="H725" s="1" t="s">
        <v>19</v>
      </c>
      <c r="I725" s="7">
        <v>439.67</v>
      </c>
      <c r="J725" s="1" t="s">
        <v>38</v>
      </c>
      <c r="K725" s="1"/>
      <c r="L725" s="1" t="s">
        <v>39</v>
      </c>
      <c r="M725" s="1" t="str">
        <f>INDEX(MCC_Lookup!$B$2:$B$12,MATCH(G725,MCC_Lookup!$A$2:$A$12,0))</f>
        <v>Events</v>
      </c>
      <c r="N725" s="1" t="str">
        <f>IF(TRIM(H725)="","BLANK",IF(PROPER(TRIM(H725))=TRIM(M725),"MATCH","MISMATCH"))</f>
        <v>MATCH</v>
      </c>
      <c r="O725" s="5" t="str">
        <f>INDEX([1]Employee!$C$2:$C$276,MATCH(B725,[1]Employee!$A$2:$A$276,0))</f>
        <v>HR &amp; Events</v>
      </c>
    </row>
    <row r="726" spans="1:15">
      <c r="A726" s="1" t="s">
        <v>1652</v>
      </c>
      <c r="B726" s="1" t="s">
        <v>656</v>
      </c>
      <c r="C726" s="1" t="s">
        <v>1653</v>
      </c>
      <c r="D726" s="2">
        <v>46066</v>
      </c>
      <c r="E726" s="2">
        <v>46066</v>
      </c>
      <c r="F726" s="1" t="s">
        <v>173</v>
      </c>
      <c r="G726" s="1" t="s">
        <v>2</v>
      </c>
      <c r="H726" s="1" t="s">
        <v>3</v>
      </c>
      <c r="I726" s="7">
        <v>82.38</v>
      </c>
      <c r="J726" s="1" t="s">
        <v>38</v>
      </c>
      <c r="K726" s="1"/>
      <c r="L726" s="1" t="s">
        <v>39</v>
      </c>
      <c r="M726" s="1" t="str">
        <f>INDEX(MCC_Lookup!$B$2:$B$12,MATCH(G726,MCC_Lookup!$A$2:$A$12,0))</f>
        <v>Meals</v>
      </c>
      <c r="N726" s="1" t="str">
        <f>IF(TRIM(H726)="","BLANK",IF(PROPER(TRIM(H726))=TRIM(M726),"MATCH","MISMATCH"))</f>
        <v>MATCH</v>
      </c>
      <c r="O726" s="5" t="str">
        <f>INDEX([1]Employee!$C$2:$C$276,MATCH(B726,[1]Employee!$A$2:$A$276,0))</f>
        <v>Claims</v>
      </c>
    </row>
    <row r="727" spans="1:15">
      <c r="A727" s="1" t="s">
        <v>1654</v>
      </c>
      <c r="B727" s="1" t="s">
        <v>815</v>
      </c>
      <c r="C727" s="1"/>
      <c r="D727" s="2">
        <v>46058</v>
      </c>
      <c r="E727" s="2">
        <v>46066</v>
      </c>
      <c r="F727" s="1" t="s">
        <v>99</v>
      </c>
      <c r="G727" s="1" t="s">
        <v>2</v>
      </c>
      <c r="H727" s="1" t="s">
        <v>3</v>
      </c>
      <c r="I727" s="7">
        <v>27.51</v>
      </c>
      <c r="J727" s="1" t="s">
        <v>111</v>
      </c>
      <c r="K727" s="1" t="s">
        <v>229</v>
      </c>
      <c r="L727" s="1" t="s">
        <v>39</v>
      </c>
      <c r="M727" s="1" t="str">
        <f>INDEX(MCC_Lookup!$B$2:$B$12,MATCH(G727,MCC_Lookup!$A$2:$A$12,0))</f>
        <v>Meals</v>
      </c>
      <c r="N727" s="1" t="str">
        <f>IF(TRIM(H727)="","BLANK",IF(PROPER(TRIM(H727))=TRIM(M727),"MATCH","MISMATCH"))</f>
        <v>MATCH</v>
      </c>
      <c r="O727" s="5" t="str">
        <f>INDEX([1]Employee!$C$2:$C$276,MATCH(B727,[1]Employee!$A$2:$A$276,0))</f>
        <v>Claims</v>
      </c>
    </row>
    <row r="728" spans="1:15">
      <c r="A728" s="1" t="s">
        <v>1655</v>
      </c>
      <c r="B728" s="1" t="s">
        <v>71</v>
      </c>
      <c r="C728" s="1" t="s">
        <v>1656</v>
      </c>
      <c r="D728" s="2">
        <v>46058</v>
      </c>
      <c r="E728" s="2">
        <v>46066</v>
      </c>
      <c r="F728" s="1" t="s">
        <v>65</v>
      </c>
      <c r="G728" s="1" t="s">
        <v>18</v>
      </c>
      <c r="H728" s="1" t="s">
        <v>19</v>
      </c>
      <c r="I728" s="7">
        <v>531.37</v>
      </c>
      <c r="J728" s="1" t="s">
        <v>38</v>
      </c>
      <c r="K728" s="1"/>
      <c r="L728" s="1" t="s">
        <v>39</v>
      </c>
      <c r="M728" s="1" t="str">
        <f>INDEX(MCC_Lookup!$B$2:$B$12,MATCH(G728,MCC_Lookup!$A$2:$A$12,0))</f>
        <v>Events</v>
      </c>
      <c r="N728" s="1" t="str">
        <f>IF(TRIM(H728)="","BLANK",IF(PROPER(TRIM(H728))=TRIM(M728),"MATCH","MISMATCH"))</f>
        <v>MATCH</v>
      </c>
      <c r="O728" s="5" t="str">
        <f>INDEX([1]Employee!$C$2:$C$276,MATCH(B728,[1]Employee!$A$2:$A$276,0))</f>
        <v>Sales &amp; Marketing</v>
      </c>
    </row>
    <row r="729" spans="1:15">
      <c r="A729" s="1" t="s">
        <v>1657</v>
      </c>
      <c r="B729" s="1" t="s">
        <v>741</v>
      </c>
      <c r="C729" s="1" t="s">
        <v>1658</v>
      </c>
      <c r="D729" s="2">
        <v>46065</v>
      </c>
      <c r="E729" s="2">
        <v>46066</v>
      </c>
      <c r="F729" s="1" t="s">
        <v>83</v>
      </c>
      <c r="G729" s="1" t="s">
        <v>2</v>
      </c>
      <c r="H729" s="1" t="s">
        <v>3</v>
      </c>
      <c r="I729" s="7">
        <v>27.71</v>
      </c>
      <c r="J729" s="1" t="s">
        <v>38</v>
      </c>
      <c r="K729" s="1"/>
      <c r="L729" s="1" t="s">
        <v>39</v>
      </c>
      <c r="M729" s="1" t="str">
        <f>INDEX(MCC_Lookup!$B$2:$B$12,MATCH(G729,MCC_Lookup!$A$2:$A$12,0))</f>
        <v>Meals</v>
      </c>
      <c r="N729" s="1" t="str">
        <f>IF(TRIM(H729)="","BLANK",IF(PROPER(TRIM(H729))=TRIM(M729),"MATCH","MISMATCH"))</f>
        <v>MATCH</v>
      </c>
      <c r="O729" s="5" t="str">
        <f>INDEX([1]Employee!$C$2:$C$276,MATCH(B729,[1]Employee!$A$2:$A$276,0))</f>
        <v>Customer Support</v>
      </c>
    </row>
    <row r="730" spans="1:15">
      <c r="A730" s="1" t="s">
        <v>1659</v>
      </c>
      <c r="B730" s="1" t="s">
        <v>50</v>
      </c>
      <c r="C730" s="1"/>
      <c r="D730" s="2">
        <v>46056</v>
      </c>
      <c r="E730" s="2">
        <v>46066</v>
      </c>
      <c r="F730" s="1" t="s">
        <v>160</v>
      </c>
      <c r="G730" s="1" t="s">
        <v>6</v>
      </c>
      <c r="H730" s="1" t="s">
        <v>7</v>
      </c>
      <c r="I730" s="7">
        <v>412.73</v>
      </c>
      <c r="J730" s="1" t="s">
        <v>111</v>
      </c>
      <c r="K730" s="1" t="s">
        <v>161</v>
      </c>
      <c r="L730" s="1" t="s">
        <v>39</v>
      </c>
      <c r="M730" s="1" t="str">
        <f>INDEX(MCC_Lookup!$B$2:$B$12,MATCH(G730,MCC_Lookup!$A$2:$A$12,0))</f>
        <v>Lodging</v>
      </c>
      <c r="N730" s="1" t="str">
        <f>IF(TRIM(H730)="","BLANK",IF(PROPER(TRIM(H730))=TRIM(M730),"MATCH","MISMATCH"))</f>
        <v>MATCH</v>
      </c>
      <c r="O730" s="5" t="str">
        <f>INDEX([1]Employee!$C$2:$C$276,MATCH(B730,[1]Employee!$A$2:$A$276,0))</f>
        <v>Sales &amp; Marketing</v>
      </c>
    </row>
    <row r="731" spans="1:15">
      <c r="A731" s="1" t="s">
        <v>1660</v>
      </c>
      <c r="B731" s="1" t="s">
        <v>87</v>
      </c>
      <c r="C731" s="1" t="s">
        <v>1661</v>
      </c>
      <c r="D731" s="2">
        <v>46064</v>
      </c>
      <c r="E731" s="2">
        <v>46066</v>
      </c>
      <c r="F731" s="1" t="s">
        <v>106</v>
      </c>
      <c r="G731" s="1" t="s">
        <v>13</v>
      </c>
      <c r="H731" s="1" t="s">
        <v>192</v>
      </c>
      <c r="I731" s="7">
        <v>221.19</v>
      </c>
      <c r="J731" s="1" t="s">
        <v>38</v>
      </c>
      <c r="K731" s="1"/>
      <c r="L731" s="1" t="s">
        <v>39</v>
      </c>
      <c r="M731" s="1" t="str">
        <f>INDEX(MCC_Lookup!$B$2:$B$12,MATCH(G731,MCC_Lookup!$A$2:$A$12,0))</f>
        <v>Software</v>
      </c>
      <c r="N731" s="1" t="str">
        <f>IF(TRIM(H731)="","BLANK",IF(PROPER(TRIM(H731))=TRIM(M731),"MATCH","MISMATCH"))</f>
        <v>MATCH</v>
      </c>
      <c r="O731" s="5" t="str">
        <f>INDEX([1]Employee!$C$2:$C$276,MATCH(B731,[1]Employee!$A$2:$A$276,0))</f>
        <v>HR &amp; Events</v>
      </c>
    </row>
    <row r="732" spans="1:15">
      <c r="A732" s="1" t="s">
        <v>1662</v>
      </c>
      <c r="B732" s="1" t="s">
        <v>207</v>
      </c>
      <c r="C732" s="1" t="s">
        <v>1663</v>
      </c>
      <c r="D732" s="2">
        <v>46063</v>
      </c>
      <c r="E732" s="2">
        <v>46066</v>
      </c>
      <c r="F732" s="1" t="s">
        <v>160</v>
      </c>
      <c r="G732" s="1" t="s">
        <v>6</v>
      </c>
      <c r="H732" s="1" t="s">
        <v>7</v>
      </c>
      <c r="I732" s="7">
        <v>229.38</v>
      </c>
      <c r="J732" s="1" t="s">
        <v>38</v>
      </c>
      <c r="K732" s="1"/>
      <c r="L732" s="1" t="s">
        <v>39</v>
      </c>
      <c r="M732" s="1" t="str">
        <f>INDEX(MCC_Lookup!$B$2:$B$12,MATCH(G732,MCC_Lookup!$A$2:$A$12,0))</f>
        <v>Lodging</v>
      </c>
      <c r="N732" s="1" t="str">
        <f>IF(TRIM(H732)="","BLANK",IF(PROPER(TRIM(H732))=TRIM(M732),"MATCH","MISMATCH"))</f>
        <v>MATCH</v>
      </c>
      <c r="O732" s="5" t="str">
        <f>INDEX([1]Employee!$C$2:$C$276,MATCH(B732,[1]Employee!$A$2:$A$276,0))</f>
        <v>Claims</v>
      </c>
    </row>
    <row r="733" spans="1:15">
      <c r="A733" s="1" t="s">
        <v>1664</v>
      </c>
      <c r="B733" s="1" t="s">
        <v>1509</v>
      </c>
      <c r="C733" s="1" t="s">
        <v>1665</v>
      </c>
      <c r="D733" s="2">
        <v>46057</v>
      </c>
      <c r="E733" s="2">
        <v>46066</v>
      </c>
      <c r="F733" s="1" t="s">
        <v>76</v>
      </c>
      <c r="G733" s="1" t="s">
        <v>13</v>
      </c>
      <c r="H733" s="1" t="s">
        <v>14</v>
      </c>
      <c r="I733" s="7">
        <v>514.41999999999996</v>
      </c>
      <c r="J733" s="1" t="s">
        <v>38</v>
      </c>
      <c r="K733" s="1"/>
      <c r="L733" s="1" t="s">
        <v>39</v>
      </c>
      <c r="M733" s="1" t="str">
        <f>INDEX(MCC_Lookup!$B$2:$B$12,MATCH(G733,MCC_Lookup!$A$2:$A$12,0))</f>
        <v>Software</v>
      </c>
      <c r="N733" s="1" t="str">
        <f>IF(TRIM(H733)="","BLANK",IF(PROPER(TRIM(H733))=TRIM(M733),"MATCH","MISMATCH"))</f>
        <v>MATCH</v>
      </c>
      <c r="O733" s="5" t="str">
        <f>INDEX([1]Employee!$C$2:$C$276,MATCH(B733,[1]Employee!$A$2:$A$276,0))</f>
        <v>Claims</v>
      </c>
    </row>
    <row r="734" spans="1:15">
      <c r="A734" s="1" t="s">
        <v>1666</v>
      </c>
      <c r="B734" s="1" t="s">
        <v>643</v>
      </c>
      <c r="C734" s="1" t="s">
        <v>1667</v>
      </c>
      <c r="D734" s="2">
        <v>46061</v>
      </c>
      <c r="E734" s="2">
        <v>46066</v>
      </c>
      <c r="F734" s="1" t="s">
        <v>43</v>
      </c>
      <c r="G734" s="1" t="s">
        <v>2</v>
      </c>
      <c r="H734" s="1" t="s">
        <v>154</v>
      </c>
      <c r="I734" s="7">
        <v>12.38</v>
      </c>
      <c r="J734" s="1" t="s">
        <v>38</v>
      </c>
      <c r="K734" s="1"/>
      <c r="L734" s="1" t="s">
        <v>39</v>
      </c>
      <c r="M734" s="1" t="str">
        <f>INDEX(MCC_Lookup!$B$2:$B$12,MATCH(G734,MCC_Lookup!$A$2:$A$12,0))</f>
        <v>Meals</v>
      </c>
      <c r="N734" s="1" t="str">
        <f>IF(TRIM(H734)="","BLANK",IF(PROPER(TRIM(H734))=TRIM(M734),"MATCH","MISMATCH"))</f>
        <v>MATCH</v>
      </c>
      <c r="O734" s="5" t="str">
        <f>INDEX([1]Employee!$C$2:$C$276,MATCH(B734,[1]Employee!$A$2:$A$276,0))</f>
        <v>Sales &amp; Marketing</v>
      </c>
    </row>
    <row r="735" spans="1:15">
      <c r="A735" s="1" t="s">
        <v>1668</v>
      </c>
      <c r="B735" s="1" t="s">
        <v>97</v>
      </c>
      <c r="C735" s="1" t="s">
        <v>1669</v>
      </c>
      <c r="D735" s="2">
        <v>46063</v>
      </c>
      <c r="E735" s="2">
        <v>46066</v>
      </c>
      <c r="F735" s="1" t="s">
        <v>116</v>
      </c>
      <c r="G735" s="1" t="s">
        <v>2</v>
      </c>
      <c r="H735" s="1"/>
      <c r="I735" s="7">
        <v>21.14</v>
      </c>
      <c r="J735" s="1" t="s">
        <v>38</v>
      </c>
      <c r="K735" s="1"/>
      <c r="L735" s="1" t="s">
        <v>39</v>
      </c>
      <c r="M735" s="1" t="str">
        <f>INDEX(MCC_Lookup!$B$2:$B$12,MATCH(G735,MCC_Lookup!$A$2:$A$12,0))</f>
        <v>Meals</v>
      </c>
      <c r="N735" s="1" t="str">
        <f>IF(TRIM(H735)="","BLANK",IF(PROPER(TRIM(H735))=TRIM(M735),"MATCH","MISMATCH"))</f>
        <v>BLANK</v>
      </c>
      <c r="O735" s="5" t="str">
        <f>INDEX([1]Employee!$C$2:$C$276,MATCH(B735,[1]Employee!$A$2:$A$276,0))</f>
        <v>Sales &amp; Marketing</v>
      </c>
    </row>
    <row r="736" spans="1:15">
      <c r="A736" s="1" t="s">
        <v>1670</v>
      </c>
      <c r="B736" s="1" t="s">
        <v>1595</v>
      </c>
      <c r="C736" s="1" t="s">
        <v>1671</v>
      </c>
      <c r="D736" s="2">
        <v>46056</v>
      </c>
      <c r="E736" s="2">
        <v>46066</v>
      </c>
      <c r="F736" s="1" t="s">
        <v>99</v>
      </c>
      <c r="G736" s="1" t="s">
        <v>2</v>
      </c>
      <c r="H736" s="1" t="s">
        <v>3</v>
      </c>
      <c r="I736" s="7">
        <v>70.59</v>
      </c>
      <c r="J736" s="1" t="s">
        <v>38</v>
      </c>
      <c r="K736" s="1"/>
      <c r="L736" s="1" t="s">
        <v>48</v>
      </c>
      <c r="M736" s="1" t="str">
        <f>INDEX(MCC_Lookup!$B$2:$B$12,MATCH(G736,MCC_Lookup!$A$2:$A$12,0))</f>
        <v>Meals</v>
      </c>
      <c r="N736" s="1" t="str">
        <f>IF(TRIM(H736)="","BLANK",IF(PROPER(TRIM(H736))=TRIM(M736),"MATCH","MISMATCH"))</f>
        <v>MATCH</v>
      </c>
      <c r="O736" s="5" t="str">
        <f>INDEX([1]Employee!$C$2:$C$276,MATCH(B736,[1]Employee!$A$2:$A$276,0))</f>
        <v>HR &amp; Events</v>
      </c>
    </row>
    <row r="737" spans="1:15">
      <c r="A737" s="1" t="s">
        <v>1672</v>
      </c>
      <c r="B737" s="1" t="s">
        <v>1518</v>
      </c>
      <c r="C737" s="1" t="s">
        <v>1673</v>
      </c>
      <c r="D737" s="2">
        <v>46065</v>
      </c>
      <c r="E737" s="2">
        <v>46066</v>
      </c>
      <c r="F737" s="1" t="s">
        <v>52</v>
      </c>
      <c r="G737" s="1" t="s">
        <v>15</v>
      </c>
      <c r="H737" s="1" t="s">
        <v>16</v>
      </c>
      <c r="I737" s="7">
        <v>47.21</v>
      </c>
      <c r="J737" s="1" t="s">
        <v>38</v>
      </c>
      <c r="K737" s="1"/>
      <c r="L737" s="1" t="s">
        <v>39</v>
      </c>
      <c r="M737" s="1" t="str">
        <f>INDEX(MCC_Lookup!$B$2:$B$12,MATCH(G737,MCC_Lookup!$A$2:$A$12,0))</f>
        <v>Entertainment</v>
      </c>
      <c r="N737" s="1" t="str">
        <f>IF(TRIM(H737)="","BLANK",IF(PROPER(TRIM(H737))=TRIM(M737),"MATCH","MISMATCH"))</f>
        <v>MATCH</v>
      </c>
      <c r="O737" s="5" t="str">
        <f>INDEX([1]Employee!$C$2:$C$276,MATCH(B737,[1]Employee!$A$2:$A$276,0))</f>
        <v>HR &amp; Events</v>
      </c>
    </row>
    <row r="738" spans="1:15">
      <c r="A738" s="1" t="s">
        <v>1674</v>
      </c>
      <c r="B738" s="1" t="s">
        <v>595</v>
      </c>
      <c r="C738" s="1" t="s">
        <v>1675</v>
      </c>
      <c r="D738" s="2">
        <v>46059</v>
      </c>
      <c r="E738" s="2">
        <v>46067</v>
      </c>
      <c r="F738" s="1" t="s">
        <v>56</v>
      </c>
      <c r="G738" s="1" t="s">
        <v>4</v>
      </c>
      <c r="H738" s="1" t="s">
        <v>5</v>
      </c>
      <c r="I738" s="7">
        <v>239.95</v>
      </c>
      <c r="J738" s="1" t="s">
        <v>38</v>
      </c>
      <c r="K738" s="1"/>
      <c r="L738" s="1" t="s">
        <v>39</v>
      </c>
      <c r="M738" s="1" t="str">
        <f>INDEX(MCC_Lookup!$B$2:$B$12,MATCH(G738,MCC_Lookup!$A$2:$A$12,0))</f>
        <v>Travel</v>
      </c>
      <c r="N738" s="1" t="str">
        <f>IF(TRIM(H738)="","BLANK",IF(PROPER(TRIM(H738))=TRIM(M738),"MATCH","MISMATCH"))</f>
        <v>MATCH</v>
      </c>
      <c r="O738" s="5" t="str">
        <f>INDEX([1]Employee!$C$2:$C$276,MATCH(B738,[1]Employee!$A$2:$A$276,0))</f>
        <v>Executive &amp; Corporate</v>
      </c>
    </row>
    <row r="739" spans="1:15">
      <c r="A739" s="1" t="s">
        <v>1676</v>
      </c>
      <c r="B739" s="1" t="s">
        <v>608</v>
      </c>
      <c r="C739" s="1" t="s">
        <v>1677</v>
      </c>
      <c r="D739" s="2">
        <v>46057</v>
      </c>
      <c r="E739" s="2">
        <v>46067</v>
      </c>
      <c r="F739" s="1" t="s">
        <v>99</v>
      </c>
      <c r="G739" s="1" t="s">
        <v>2</v>
      </c>
      <c r="H739" s="1" t="s">
        <v>3</v>
      </c>
      <c r="I739" s="7">
        <v>100.18</v>
      </c>
      <c r="J739" s="1" t="s">
        <v>38</v>
      </c>
      <c r="K739" s="1"/>
      <c r="L739" s="1" t="s">
        <v>39</v>
      </c>
      <c r="M739" s="1" t="str">
        <f>INDEX(MCC_Lookup!$B$2:$B$12,MATCH(G739,MCC_Lookup!$A$2:$A$12,0))</f>
        <v>Meals</v>
      </c>
      <c r="N739" s="1" t="str">
        <f>IF(TRIM(H739)="","BLANK",IF(PROPER(TRIM(H739))=TRIM(M739),"MATCH","MISMATCH"))</f>
        <v>MATCH</v>
      </c>
      <c r="O739" s="5" t="str">
        <f>INDEX([1]Employee!$C$2:$C$276,MATCH(B739,[1]Employee!$A$2:$A$276,0))</f>
        <v>IT &amp; Platform Engineering</v>
      </c>
    </row>
    <row r="740" spans="1:15">
      <c r="A740" s="1" t="s">
        <v>1678</v>
      </c>
      <c r="B740" s="1" t="s">
        <v>1504</v>
      </c>
      <c r="C740" s="1"/>
      <c r="D740" s="2">
        <v>46067</v>
      </c>
      <c r="E740" s="2">
        <v>46067</v>
      </c>
      <c r="F740" s="1" t="s">
        <v>305</v>
      </c>
      <c r="G740" s="1" t="s">
        <v>2</v>
      </c>
      <c r="H740" s="1" t="s">
        <v>3</v>
      </c>
      <c r="I740" s="7">
        <v>14.96</v>
      </c>
      <c r="J740" s="1" t="s">
        <v>111</v>
      </c>
      <c r="K740" s="1" t="s">
        <v>112</v>
      </c>
      <c r="L740" s="1" t="s">
        <v>39</v>
      </c>
      <c r="M740" s="1" t="str">
        <f>INDEX(MCC_Lookup!$B$2:$B$12,MATCH(G740,MCC_Lookup!$A$2:$A$12,0))</f>
        <v>Meals</v>
      </c>
      <c r="N740" s="1" t="str">
        <f>IF(TRIM(H740)="","BLANK",IF(PROPER(TRIM(H740))=TRIM(M740),"MATCH","MISMATCH"))</f>
        <v>MATCH</v>
      </c>
      <c r="O740" s="5" t="str">
        <f>INDEX([1]Employee!$C$2:$C$276,MATCH(B740,[1]Employee!$A$2:$A$276,0))</f>
        <v>Sales &amp; Marketing</v>
      </c>
    </row>
    <row r="741" spans="1:15">
      <c r="A741" s="1" t="s">
        <v>1679</v>
      </c>
      <c r="B741" s="1" t="s">
        <v>274</v>
      </c>
      <c r="C741" s="1" t="s">
        <v>1680</v>
      </c>
      <c r="D741" s="2">
        <v>46057</v>
      </c>
      <c r="E741" s="2">
        <v>46067</v>
      </c>
      <c r="F741" s="1" t="s">
        <v>83</v>
      </c>
      <c r="G741" s="1" t="s">
        <v>2</v>
      </c>
      <c r="H741" s="1" t="s">
        <v>154</v>
      </c>
      <c r="I741" s="7">
        <v>9.76</v>
      </c>
      <c r="J741" s="1" t="s">
        <v>38</v>
      </c>
      <c r="K741" s="1"/>
      <c r="L741" s="1" t="s">
        <v>39</v>
      </c>
      <c r="M741" s="1" t="str">
        <f>INDEX(MCC_Lookup!$B$2:$B$12,MATCH(G741,MCC_Lookup!$A$2:$A$12,0))</f>
        <v>Meals</v>
      </c>
      <c r="N741" s="1" t="str">
        <f>IF(TRIM(H741)="","BLANK",IF(PROPER(TRIM(H741))=TRIM(M741),"MATCH","MISMATCH"))</f>
        <v>MATCH</v>
      </c>
      <c r="O741" s="5" t="str">
        <f>INDEX([1]Employee!$C$2:$C$276,MATCH(B741,[1]Employee!$A$2:$A$276,0))</f>
        <v>Finance</v>
      </c>
    </row>
    <row r="742" spans="1:15">
      <c r="A742" s="1" t="s">
        <v>1681</v>
      </c>
      <c r="B742" s="1" t="s">
        <v>45</v>
      </c>
      <c r="C742" s="1" t="s">
        <v>1682</v>
      </c>
      <c r="D742" s="2">
        <v>46060</v>
      </c>
      <c r="E742" s="2">
        <v>46067</v>
      </c>
      <c r="F742" s="1" t="s">
        <v>259</v>
      </c>
      <c r="G742" s="1" t="s">
        <v>20</v>
      </c>
      <c r="H742" s="1" t="s">
        <v>19</v>
      </c>
      <c r="I742" s="7">
        <v>382.47</v>
      </c>
      <c r="J742" s="1" t="s">
        <v>38</v>
      </c>
      <c r="K742" s="1"/>
      <c r="L742" s="1" t="s">
        <v>39</v>
      </c>
      <c r="M742" s="1" t="str">
        <f>INDEX(MCC_Lookup!$B$2:$B$12,MATCH(G742,MCC_Lookup!$A$2:$A$12,0))</f>
        <v>Events</v>
      </c>
      <c r="N742" s="1" t="str">
        <f>IF(TRIM(H742)="","BLANK",IF(PROPER(TRIM(H742))=TRIM(M742),"MATCH","MISMATCH"))</f>
        <v>MATCH</v>
      </c>
      <c r="O742" s="5" t="str">
        <f>INDEX([1]Employee!$C$2:$C$276,MATCH(B742,[1]Employee!$A$2:$A$276,0))</f>
        <v>IT &amp; Platform Engineering</v>
      </c>
    </row>
    <row r="743" spans="1:15">
      <c r="A743" s="1" t="s">
        <v>1683</v>
      </c>
      <c r="B743" s="1" t="s">
        <v>71</v>
      </c>
      <c r="C743" s="1" t="s">
        <v>1684</v>
      </c>
      <c r="D743" s="2">
        <v>46063</v>
      </c>
      <c r="E743" s="2">
        <v>46067</v>
      </c>
      <c r="F743" s="1" t="s">
        <v>56</v>
      </c>
      <c r="G743" s="1" t="s">
        <v>4</v>
      </c>
      <c r="H743" s="1" t="s">
        <v>5</v>
      </c>
      <c r="I743" s="7">
        <v>593.55999999999995</v>
      </c>
      <c r="J743" s="1" t="s">
        <v>38</v>
      </c>
      <c r="K743" s="1"/>
      <c r="L743" s="1" t="s">
        <v>39</v>
      </c>
      <c r="M743" s="1" t="str">
        <f>INDEX(MCC_Lookup!$B$2:$B$12,MATCH(G743,MCC_Lookup!$A$2:$A$12,0))</f>
        <v>Travel</v>
      </c>
      <c r="N743" s="1" t="str">
        <f>IF(TRIM(H743)="","BLANK",IF(PROPER(TRIM(H743))=TRIM(M743),"MATCH","MISMATCH"))</f>
        <v>MATCH</v>
      </c>
      <c r="O743" s="5" t="str">
        <f>INDEX([1]Employee!$C$2:$C$276,MATCH(B743,[1]Employee!$A$2:$A$276,0))</f>
        <v>Sales &amp; Marketing</v>
      </c>
    </row>
    <row r="744" spans="1:15">
      <c r="A744" s="1" t="s">
        <v>1685</v>
      </c>
      <c r="B744" s="1" t="s">
        <v>71</v>
      </c>
      <c r="C744" s="1" t="s">
        <v>1686</v>
      </c>
      <c r="D744" s="2">
        <v>46059</v>
      </c>
      <c r="E744" s="2">
        <v>46067</v>
      </c>
      <c r="F744" s="1" t="s">
        <v>201</v>
      </c>
      <c r="G744" s="1" t="s">
        <v>4</v>
      </c>
      <c r="H744" s="1" t="s">
        <v>5</v>
      </c>
      <c r="I744" s="7">
        <v>376.5</v>
      </c>
      <c r="J744" s="1" t="s">
        <v>38</v>
      </c>
      <c r="K744" s="1"/>
      <c r="L744" s="1" t="s">
        <v>39</v>
      </c>
      <c r="M744" s="1" t="str">
        <f>INDEX(MCC_Lookup!$B$2:$B$12,MATCH(G744,MCC_Lookup!$A$2:$A$12,0))</f>
        <v>Travel</v>
      </c>
      <c r="N744" s="1" t="str">
        <f>IF(TRIM(H744)="","BLANK",IF(PROPER(TRIM(H744))=TRIM(M744),"MATCH","MISMATCH"))</f>
        <v>MATCH</v>
      </c>
      <c r="O744" s="5" t="str">
        <f>INDEX([1]Employee!$C$2:$C$276,MATCH(B744,[1]Employee!$A$2:$A$276,0))</f>
        <v>Sales &amp; Marketing</v>
      </c>
    </row>
    <row r="745" spans="1:15">
      <c r="A745" s="1" t="s">
        <v>1687</v>
      </c>
      <c r="B745" s="1" t="s">
        <v>499</v>
      </c>
      <c r="C745" s="1" t="s">
        <v>1688</v>
      </c>
      <c r="D745" s="2">
        <v>46057</v>
      </c>
      <c r="E745" s="2">
        <v>46067</v>
      </c>
      <c r="F745" s="1" t="s">
        <v>95</v>
      </c>
      <c r="G745" s="1" t="s">
        <v>6</v>
      </c>
      <c r="H745" s="1" t="s">
        <v>7</v>
      </c>
      <c r="I745" s="7">
        <v>198.02</v>
      </c>
      <c r="J745" s="1" t="s">
        <v>38</v>
      </c>
      <c r="K745" s="1"/>
      <c r="L745" s="1" t="s">
        <v>39</v>
      </c>
      <c r="M745" s="1" t="str">
        <f>INDEX(MCC_Lookup!$B$2:$B$12,MATCH(G745,MCC_Lookup!$A$2:$A$12,0))</f>
        <v>Lodging</v>
      </c>
      <c r="N745" s="1" t="str">
        <f>IF(TRIM(H745)="","BLANK",IF(PROPER(TRIM(H745))=TRIM(M745),"MATCH","MISMATCH"))</f>
        <v>MATCH</v>
      </c>
      <c r="O745" s="5" t="str">
        <f>INDEX([1]Employee!$C$2:$C$276,MATCH(B745,[1]Employee!$A$2:$A$276,0))</f>
        <v>Sales &amp; Marketing</v>
      </c>
    </row>
    <row r="746" spans="1:15">
      <c r="A746" s="1" t="s">
        <v>1689</v>
      </c>
      <c r="B746" s="1" t="s">
        <v>122</v>
      </c>
      <c r="C746" s="1" t="s">
        <v>1690</v>
      </c>
      <c r="D746" s="2">
        <v>46057</v>
      </c>
      <c r="E746" s="2">
        <v>46067</v>
      </c>
      <c r="F746" s="1" t="s">
        <v>56</v>
      </c>
      <c r="G746" s="1" t="s">
        <v>4</v>
      </c>
      <c r="H746" s="1" t="s">
        <v>5</v>
      </c>
      <c r="I746" s="7">
        <v>511.96</v>
      </c>
      <c r="J746" s="1" t="s">
        <v>38</v>
      </c>
      <c r="K746" s="1"/>
      <c r="L746" s="1" t="s">
        <v>39</v>
      </c>
      <c r="M746" s="1" t="str">
        <f>INDEX(MCC_Lookup!$B$2:$B$12,MATCH(G746,MCC_Lookup!$A$2:$A$12,0))</f>
        <v>Travel</v>
      </c>
      <c r="N746" s="1" t="str">
        <f>IF(TRIM(H746)="","BLANK",IF(PROPER(TRIM(H746))=TRIM(M746),"MATCH","MISMATCH"))</f>
        <v>MATCH</v>
      </c>
      <c r="O746" s="5" t="str">
        <f>INDEX([1]Employee!$C$2:$C$276,MATCH(B746,[1]Employee!$A$2:$A$276,0))</f>
        <v>Sales &amp; Marketing</v>
      </c>
    </row>
    <row r="747" spans="1:15">
      <c r="A747" s="1" t="s">
        <v>1691</v>
      </c>
      <c r="B747" s="1" t="s">
        <v>461</v>
      </c>
      <c r="C747" s="1" t="s">
        <v>1692</v>
      </c>
      <c r="D747" s="2">
        <v>46065</v>
      </c>
      <c r="E747" s="2">
        <v>46067</v>
      </c>
      <c r="F747" s="1" t="s">
        <v>99</v>
      </c>
      <c r="G747" s="1" t="s">
        <v>2</v>
      </c>
      <c r="H747" s="1" t="s">
        <v>154</v>
      </c>
      <c r="I747" s="7">
        <v>100.6</v>
      </c>
      <c r="J747" s="1" t="s">
        <v>38</v>
      </c>
      <c r="K747" s="1"/>
      <c r="L747" s="1" t="s">
        <v>39</v>
      </c>
      <c r="M747" s="1" t="str">
        <f>INDEX(MCC_Lookup!$B$2:$B$12,MATCH(G747,MCC_Lookup!$A$2:$A$12,0))</f>
        <v>Meals</v>
      </c>
      <c r="N747" s="1" t="str">
        <f>IF(TRIM(H747)="","BLANK",IF(PROPER(TRIM(H747))=TRIM(M747),"MATCH","MISMATCH"))</f>
        <v>MATCH</v>
      </c>
      <c r="O747" s="5" t="str">
        <f>INDEX([1]Employee!$C$2:$C$276,MATCH(B747,[1]Employee!$A$2:$A$276,0))</f>
        <v>Finance</v>
      </c>
    </row>
    <row r="748" spans="1:15">
      <c r="A748" s="1" t="s">
        <v>1693</v>
      </c>
      <c r="B748" s="1" t="s">
        <v>267</v>
      </c>
      <c r="C748" s="1" t="s">
        <v>1694</v>
      </c>
      <c r="D748" s="2">
        <v>46067</v>
      </c>
      <c r="E748" s="2">
        <v>46067</v>
      </c>
      <c r="F748" s="1" t="s">
        <v>120</v>
      </c>
      <c r="G748" s="1" t="s">
        <v>12</v>
      </c>
      <c r="H748" s="1" t="s">
        <v>16</v>
      </c>
      <c r="I748" s="7">
        <v>416.43</v>
      </c>
      <c r="J748" s="1" t="s">
        <v>38</v>
      </c>
      <c r="K748" s="1"/>
      <c r="L748" s="1" t="s">
        <v>39</v>
      </c>
      <c r="M748" s="1" t="str">
        <f>INDEX(MCC_Lookup!$B$2:$B$12,MATCH(G748,MCC_Lookup!$A$2:$A$12,0))</f>
        <v>Office Supplies</v>
      </c>
      <c r="N748" s="1" t="str">
        <f>IF(TRIM(H748)="","BLANK",IF(PROPER(TRIM(H748))=TRIM(M748),"MATCH","MISMATCH"))</f>
        <v>MISMATCH</v>
      </c>
      <c r="O748" s="5" t="str">
        <f>INDEX([1]Employee!$C$2:$C$276,MATCH(B748,[1]Employee!$A$2:$A$276,0))</f>
        <v>Claims</v>
      </c>
    </row>
    <row r="749" spans="1:15">
      <c r="A749" s="1" t="s">
        <v>1695</v>
      </c>
      <c r="B749" s="1" t="s">
        <v>317</v>
      </c>
      <c r="C749" s="1"/>
      <c r="D749" s="2">
        <v>46057</v>
      </c>
      <c r="E749" s="2">
        <v>46067</v>
      </c>
      <c r="F749" s="1" t="s">
        <v>72</v>
      </c>
      <c r="G749" s="1" t="s">
        <v>8</v>
      </c>
      <c r="H749" s="1" t="s">
        <v>494</v>
      </c>
      <c r="I749" s="7">
        <v>20.94</v>
      </c>
      <c r="J749" s="1" t="s">
        <v>111</v>
      </c>
      <c r="K749" s="1" t="s">
        <v>112</v>
      </c>
      <c r="L749" s="1" t="s">
        <v>39</v>
      </c>
      <c r="M749" s="1" t="str">
        <f>INDEX(MCC_Lookup!$B$2:$B$12,MATCH(G749,MCC_Lookup!$A$2:$A$12,0))</f>
        <v>Transportation</v>
      </c>
      <c r="N749" s="1" t="str">
        <f>IF(TRIM(H749)="","BLANK",IF(PROPER(TRIM(H749))=TRIM(M749),"MATCH","MISMATCH"))</f>
        <v>MATCH</v>
      </c>
      <c r="O749" s="5" t="str">
        <f>INDEX([1]Employee!$C$2:$C$276,MATCH(B749,[1]Employee!$A$2:$A$276,0))</f>
        <v>Sales &amp; Marketing</v>
      </c>
    </row>
    <row r="750" spans="1:15">
      <c r="A750" s="1" t="s">
        <v>1696</v>
      </c>
      <c r="B750" s="1" t="s">
        <v>709</v>
      </c>
      <c r="C750" s="1" t="s">
        <v>1697</v>
      </c>
      <c r="D750" s="2">
        <v>46064</v>
      </c>
      <c r="E750" s="2">
        <v>46067</v>
      </c>
      <c r="F750" s="1" t="s">
        <v>124</v>
      </c>
      <c r="G750" s="1" t="s">
        <v>17</v>
      </c>
      <c r="H750" s="1" t="s">
        <v>16</v>
      </c>
      <c r="I750" s="7">
        <v>231.24</v>
      </c>
      <c r="J750" s="1" t="s">
        <v>38</v>
      </c>
      <c r="K750" s="1"/>
      <c r="L750" s="1" t="s">
        <v>39</v>
      </c>
      <c r="M750" s="1" t="str">
        <f>INDEX(MCC_Lookup!$B$2:$B$12,MATCH(G750,MCC_Lookup!$A$2:$A$12,0))</f>
        <v>Entertainment</v>
      </c>
      <c r="N750" s="1" t="str">
        <f>IF(TRIM(H750)="","BLANK",IF(PROPER(TRIM(H750))=TRIM(M750),"MATCH","MISMATCH"))</f>
        <v>MATCH</v>
      </c>
      <c r="O750" s="5" t="str">
        <f>INDEX([1]Employee!$C$2:$C$276,MATCH(B750,[1]Employee!$A$2:$A$276,0))</f>
        <v>Underwriting</v>
      </c>
    </row>
    <row r="751" spans="1:15">
      <c r="A751" s="1" t="s">
        <v>1698</v>
      </c>
      <c r="B751" s="1" t="s">
        <v>709</v>
      </c>
      <c r="C751" s="1"/>
      <c r="D751" s="2">
        <v>46057</v>
      </c>
      <c r="E751" s="2">
        <v>46067</v>
      </c>
      <c r="F751" s="1" t="s">
        <v>120</v>
      </c>
      <c r="G751" s="1" t="s">
        <v>12</v>
      </c>
      <c r="H751" s="1" t="s">
        <v>11</v>
      </c>
      <c r="I751" s="7">
        <v>277.58</v>
      </c>
      <c r="J751" s="1" t="s">
        <v>111</v>
      </c>
      <c r="K751" s="1" t="s">
        <v>112</v>
      </c>
      <c r="L751" s="1" t="s">
        <v>39</v>
      </c>
      <c r="M751" s="1" t="str">
        <f>INDEX(MCC_Lookup!$B$2:$B$12,MATCH(G751,MCC_Lookup!$A$2:$A$12,0))</f>
        <v>Office Supplies</v>
      </c>
      <c r="N751" s="1" t="str">
        <f>IF(TRIM(H751)="","BLANK",IF(PROPER(TRIM(H751))=TRIM(M751),"MATCH","MISMATCH"))</f>
        <v>MATCH</v>
      </c>
      <c r="O751" s="5" t="str">
        <f>INDEX([1]Employee!$C$2:$C$276,MATCH(B751,[1]Employee!$A$2:$A$276,0))</f>
        <v>Underwriting</v>
      </c>
    </row>
    <row r="752" spans="1:15">
      <c r="A752" s="1" t="s">
        <v>1699</v>
      </c>
      <c r="B752" s="1" t="s">
        <v>185</v>
      </c>
      <c r="C752" s="1" t="s">
        <v>1700</v>
      </c>
      <c r="D752" s="2">
        <v>46064</v>
      </c>
      <c r="E752" s="2">
        <v>46067</v>
      </c>
      <c r="F752" s="1" t="s">
        <v>124</v>
      </c>
      <c r="G752" s="1" t="s">
        <v>17</v>
      </c>
      <c r="H752" s="1" t="s">
        <v>16</v>
      </c>
      <c r="I752" s="7">
        <v>138.43</v>
      </c>
      <c r="J752" s="1" t="s">
        <v>38</v>
      </c>
      <c r="K752" s="1"/>
      <c r="L752" s="1" t="s">
        <v>39</v>
      </c>
      <c r="M752" s="1" t="str">
        <f>INDEX(MCC_Lookup!$B$2:$B$12,MATCH(G752,MCC_Lookup!$A$2:$A$12,0))</f>
        <v>Entertainment</v>
      </c>
      <c r="N752" s="1" t="str">
        <f>IF(TRIM(H752)="","BLANK",IF(PROPER(TRIM(H752))=TRIM(M752),"MATCH","MISMATCH"))</f>
        <v>MATCH</v>
      </c>
      <c r="O752" s="5" t="str">
        <f>INDEX([1]Employee!$C$2:$C$276,MATCH(B752,[1]Employee!$A$2:$A$276,0))</f>
        <v>Underwriting</v>
      </c>
    </row>
    <row r="753" spans="1:15">
      <c r="A753" s="1" t="s">
        <v>1701</v>
      </c>
      <c r="B753" s="1" t="s">
        <v>1702</v>
      </c>
      <c r="C753" s="1" t="s">
        <v>1703</v>
      </c>
      <c r="D753" s="2">
        <v>46064</v>
      </c>
      <c r="E753" s="2">
        <v>46067</v>
      </c>
      <c r="F753" s="1" t="s">
        <v>201</v>
      </c>
      <c r="G753" s="1" t="s">
        <v>4</v>
      </c>
      <c r="H753" s="1" t="s">
        <v>5</v>
      </c>
      <c r="I753" s="7">
        <v>463.86</v>
      </c>
      <c r="J753" s="1" t="s">
        <v>38</v>
      </c>
      <c r="K753" s="1"/>
      <c r="L753" s="1" t="s">
        <v>39</v>
      </c>
      <c r="M753" s="1" t="str">
        <f>INDEX(MCC_Lookup!$B$2:$B$12,MATCH(G753,MCC_Lookup!$A$2:$A$12,0))</f>
        <v>Travel</v>
      </c>
      <c r="N753" s="1" t="str">
        <f>IF(TRIM(H753)="","BLANK",IF(PROPER(TRIM(H753))=TRIM(M753),"MATCH","MISMATCH"))</f>
        <v>MATCH</v>
      </c>
      <c r="O753" s="5" t="str">
        <f>INDEX([1]Employee!$C$2:$C$276,MATCH(B753,[1]Employee!$A$2:$A$276,0))</f>
        <v>Actuarial &amp; Risk</v>
      </c>
    </row>
    <row r="754" spans="1:15">
      <c r="A754" s="1" t="s">
        <v>1704</v>
      </c>
      <c r="B754" s="1" t="s">
        <v>129</v>
      </c>
      <c r="C754" s="1" t="s">
        <v>1705</v>
      </c>
      <c r="D754" s="2">
        <v>46060</v>
      </c>
      <c r="E754" s="2">
        <v>46067</v>
      </c>
      <c r="F754" s="1" t="s">
        <v>61</v>
      </c>
      <c r="G754" s="1" t="s">
        <v>13</v>
      </c>
      <c r="H754" s="1" t="s">
        <v>419</v>
      </c>
      <c r="I754" s="7">
        <v>32.130000000000003</v>
      </c>
      <c r="J754" s="1" t="s">
        <v>38</v>
      </c>
      <c r="K754" s="1"/>
      <c r="L754" s="1" t="s">
        <v>39</v>
      </c>
      <c r="M754" s="1" t="str">
        <f>INDEX(MCC_Lookup!$B$2:$B$12,MATCH(G754,MCC_Lookup!$A$2:$A$12,0))</f>
        <v>Software</v>
      </c>
      <c r="N754" s="1" t="str">
        <f>IF(TRIM(H754)="","BLANK",IF(PROPER(TRIM(H754))=TRIM(M754),"MATCH","MISMATCH"))</f>
        <v>MATCH</v>
      </c>
      <c r="O754" s="5" t="str">
        <f>INDEX([1]Employee!$C$2:$C$276,MATCH(B754,[1]Employee!$A$2:$A$276,0))</f>
        <v>Sales &amp; Marketing</v>
      </c>
    </row>
    <row r="755" spans="1:15">
      <c r="A755" s="1" t="s">
        <v>1706</v>
      </c>
      <c r="B755" s="1" t="s">
        <v>490</v>
      </c>
      <c r="C755" s="1"/>
      <c r="D755" s="2">
        <v>46063</v>
      </c>
      <c r="E755" s="2">
        <v>46067</v>
      </c>
      <c r="F755" s="1" t="s">
        <v>120</v>
      </c>
      <c r="G755" s="1" t="s">
        <v>12</v>
      </c>
      <c r="H755" s="1" t="s">
        <v>11</v>
      </c>
      <c r="I755" s="7">
        <v>208.81</v>
      </c>
      <c r="J755" s="1" t="s">
        <v>38</v>
      </c>
      <c r="K755" s="1"/>
      <c r="L755" s="1" t="s">
        <v>39</v>
      </c>
      <c r="M755" s="1" t="str">
        <f>INDEX(MCC_Lookup!$B$2:$B$12,MATCH(G755,MCC_Lookup!$A$2:$A$12,0))</f>
        <v>Office Supplies</v>
      </c>
      <c r="N755" s="1" t="str">
        <f>IF(TRIM(H755)="","BLANK",IF(PROPER(TRIM(H755))=TRIM(M755),"MATCH","MISMATCH"))</f>
        <v>MATCH</v>
      </c>
      <c r="O755" s="5" t="str">
        <f>INDEX([1]Employee!$C$2:$C$276,MATCH(B755,[1]Employee!$A$2:$A$276,0))</f>
        <v>Actuarial &amp; Risk</v>
      </c>
    </row>
    <row r="756" spans="1:15">
      <c r="A756" s="1" t="s">
        <v>1707</v>
      </c>
      <c r="B756" s="1" t="s">
        <v>1110</v>
      </c>
      <c r="C756" s="1" t="s">
        <v>1708</v>
      </c>
      <c r="D756" s="2">
        <v>46065</v>
      </c>
      <c r="E756" s="2">
        <v>46067</v>
      </c>
      <c r="F756" s="1" t="s">
        <v>109</v>
      </c>
      <c r="G756" s="1" t="s">
        <v>18</v>
      </c>
      <c r="H756" s="1" t="s">
        <v>19</v>
      </c>
      <c r="I756" s="7">
        <v>274.5</v>
      </c>
      <c r="J756" s="1" t="s">
        <v>38</v>
      </c>
      <c r="K756" s="1"/>
      <c r="L756" s="1" t="s">
        <v>39</v>
      </c>
      <c r="M756" s="1" t="str">
        <f>INDEX(MCC_Lookup!$B$2:$B$12,MATCH(G756,MCC_Lookup!$A$2:$A$12,0))</f>
        <v>Events</v>
      </c>
      <c r="N756" s="1" t="str">
        <f>IF(TRIM(H756)="","BLANK",IF(PROPER(TRIM(H756))=TRIM(M756),"MATCH","MISMATCH"))</f>
        <v>MATCH</v>
      </c>
      <c r="O756" s="5" t="str">
        <f>INDEX([1]Employee!$C$2:$C$276,MATCH(B756,[1]Employee!$A$2:$A$276,0))</f>
        <v>Executive &amp; Corporate</v>
      </c>
    </row>
    <row r="757" spans="1:15">
      <c r="A757" s="1" t="s">
        <v>1709</v>
      </c>
      <c r="B757" s="1" t="s">
        <v>433</v>
      </c>
      <c r="C757" s="1" t="s">
        <v>1710</v>
      </c>
      <c r="D757" s="2">
        <v>46060</v>
      </c>
      <c r="E757" s="2">
        <v>46067</v>
      </c>
      <c r="F757" s="1" t="s">
        <v>120</v>
      </c>
      <c r="G757" s="1" t="s">
        <v>12</v>
      </c>
      <c r="H757" s="1" t="s">
        <v>11</v>
      </c>
      <c r="I757" s="7">
        <v>402.21</v>
      </c>
      <c r="J757" s="1" t="s">
        <v>38</v>
      </c>
      <c r="K757" s="1"/>
      <c r="L757" s="1" t="s">
        <v>39</v>
      </c>
      <c r="M757" s="1" t="str">
        <f>INDEX(MCC_Lookup!$B$2:$B$12,MATCH(G757,MCC_Lookup!$A$2:$A$12,0))</f>
        <v>Office Supplies</v>
      </c>
      <c r="N757" s="1" t="str">
        <f>IF(TRIM(H757)="","BLANK",IF(PROPER(TRIM(H757))=TRIM(M757),"MATCH","MISMATCH"))</f>
        <v>MATCH</v>
      </c>
      <c r="O757" s="5" t="str">
        <f>INDEX([1]Employee!$C$2:$C$276,MATCH(B757,[1]Employee!$A$2:$A$276,0))</f>
        <v>Sales &amp; Marketing</v>
      </c>
    </row>
    <row r="758" spans="1:15">
      <c r="A758" s="1" t="s">
        <v>1711</v>
      </c>
      <c r="B758" s="1" t="s">
        <v>631</v>
      </c>
      <c r="C758" s="1" t="s">
        <v>1712</v>
      </c>
      <c r="D758" s="2">
        <v>46058</v>
      </c>
      <c r="E758" s="2">
        <v>46067</v>
      </c>
      <c r="F758" s="1" t="s">
        <v>52</v>
      </c>
      <c r="G758" s="1" t="s">
        <v>15</v>
      </c>
      <c r="H758" s="1" t="s">
        <v>16</v>
      </c>
      <c r="I758" s="7">
        <v>52.8</v>
      </c>
      <c r="J758" s="1" t="s">
        <v>38</v>
      </c>
      <c r="K758" s="1"/>
      <c r="L758" s="1" t="s">
        <v>39</v>
      </c>
      <c r="M758" s="1" t="str">
        <f>INDEX(MCC_Lookup!$B$2:$B$12,MATCH(G758,MCC_Lookup!$A$2:$A$12,0))</f>
        <v>Entertainment</v>
      </c>
      <c r="N758" s="1" t="str">
        <f>IF(TRIM(H758)="","BLANK",IF(PROPER(TRIM(H758))=TRIM(M758),"MATCH","MISMATCH"))</f>
        <v>MATCH</v>
      </c>
      <c r="O758" s="5" t="str">
        <f>INDEX([1]Employee!$C$2:$C$276,MATCH(B758,[1]Employee!$A$2:$A$276,0))</f>
        <v>Claims</v>
      </c>
    </row>
    <row r="759" spans="1:15">
      <c r="A759" s="1" t="s">
        <v>1713</v>
      </c>
      <c r="B759" s="1" t="s">
        <v>1714</v>
      </c>
      <c r="C759" s="1"/>
      <c r="D759" s="2">
        <v>46066</v>
      </c>
      <c r="E759" s="2">
        <v>46067</v>
      </c>
      <c r="F759" s="1" t="s">
        <v>52</v>
      </c>
      <c r="G759" s="1" t="s">
        <v>15</v>
      </c>
      <c r="H759" s="1" t="s">
        <v>16</v>
      </c>
      <c r="I759" s="7">
        <v>23.37</v>
      </c>
      <c r="J759" s="1" t="s">
        <v>38</v>
      </c>
      <c r="K759" s="1"/>
      <c r="L759" s="1" t="s">
        <v>48</v>
      </c>
      <c r="M759" s="1" t="str">
        <f>INDEX(MCC_Lookup!$B$2:$B$12,MATCH(G759,MCC_Lookup!$A$2:$A$12,0))</f>
        <v>Entertainment</v>
      </c>
      <c r="N759" s="1" t="str">
        <f>IF(TRIM(H759)="","BLANK",IF(PROPER(TRIM(H759))=TRIM(M759),"MATCH","MISMATCH"))</f>
        <v>MATCH</v>
      </c>
      <c r="O759" s="5" t="str">
        <f>INDEX([1]Employee!$C$2:$C$276,MATCH(B759,[1]Employee!$A$2:$A$276,0))</f>
        <v>IT &amp; Platform Engineering</v>
      </c>
    </row>
    <row r="760" spans="1:15">
      <c r="A760" s="1" t="s">
        <v>1715</v>
      </c>
      <c r="B760" s="1" t="s">
        <v>821</v>
      </c>
      <c r="C760" s="1" t="s">
        <v>1716</v>
      </c>
      <c r="D760" s="2">
        <v>46064</v>
      </c>
      <c r="E760" s="2">
        <v>46068</v>
      </c>
      <c r="F760" s="1" t="s">
        <v>92</v>
      </c>
      <c r="G760" s="1" t="s">
        <v>10</v>
      </c>
      <c r="H760" s="1" t="s">
        <v>11</v>
      </c>
      <c r="I760" s="7">
        <v>16.21</v>
      </c>
      <c r="J760" s="1" t="s">
        <v>38</v>
      </c>
      <c r="K760" s="1"/>
      <c r="L760" s="1" t="s">
        <v>39</v>
      </c>
      <c r="M760" s="1" t="str">
        <f>INDEX(MCC_Lookup!$B$2:$B$12,MATCH(G760,MCC_Lookup!$A$2:$A$12,0))</f>
        <v>Office Supplies</v>
      </c>
      <c r="N760" s="1" t="str">
        <f>IF(TRIM(H760)="","BLANK",IF(PROPER(TRIM(H760))=TRIM(M760),"MATCH","MISMATCH"))</f>
        <v>MATCH</v>
      </c>
      <c r="O760" s="5" t="str">
        <f>INDEX([1]Employee!$C$2:$C$276,MATCH(B760,[1]Employee!$A$2:$A$276,0))</f>
        <v>Claims</v>
      </c>
    </row>
    <row r="761" spans="1:15">
      <c r="A761" s="1" t="s">
        <v>1717</v>
      </c>
      <c r="B761" s="1" t="s">
        <v>868</v>
      </c>
      <c r="C761" s="1" t="s">
        <v>1718</v>
      </c>
      <c r="D761" s="2">
        <v>46063</v>
      </c>
      <c r="E761" s="2">
        <v>46068</v>
      </c>
      <c r="F761" s="1" t="s">
        <v>177</v>
      </c>
      <c r="G761" s="1" t="s">
        <v>13</v>
      </c>
      <c r="H761" s="1" t="s">
        <v>14</v>
      </c>
      <c r="I761" s="7">
        <v>34.869999999999997</v>
      </c>
      <c r="J761" s="1" t="s">
        <v>38</v>
      </c>
      <c r="K761" s="1"/>
      <c r="L761" s="1" t="s">
        <v>39</v>
      </c>
      <c r="M761" s="1" t="str">
        <f>INDEX(MCC_Lookup!$B$2:$B$12,MATCH(G761,MCC_Lookup!$A$2:$A$12,0))</f>
        <v>Software</v>
      </c>
      <c r="N761" s="1" t="str">
        <f>IF(TRIM(H761)="","BLANK",IF(PROPER(TRIM(H761))=TRIM(M761),"MATCH","MISMATCH"))</f>
        <v>MATCH</v>
      </c>
      <c r="O761" s="5" t="str">
        <f>INDEX([1]Employee!$C$2:$C$276,MATCH(B761,[1]Employee!$A$2:$A$276,0))</f>
        <v>Sales &amp; Marketing</v>
      </c>
    </row>
    <row r="762" spans="1:15">
      <c r="A762" s="1" t="s">
        <v>1719</v>
      </c>
      <c r="B762" s="1" t="s">
        <v>149</v>
      </c>
      <c r="C762" s="1"/>
      <c r="D762" s="2">
        <v>46068</v>
      </c>
      <c r="E762" s="2">
        <v>46068</v>
      </c>
      <c r="F762" s="1" t="s">
        <v>124</v>
      </c>
      <c r="G762" s="1" t="s">
        <v>17</v>
      </c>
      <c r="H762" s="1" t="s">
        <v>16</v>
      </c>
      <c r="I762" s="7">
        <v>76.41</v>
      </c>
      <c r="J762" s="1" t="s">
        <v>38</v>
      </c>
      <c r="K762" s="1"/>
      <c r="L762" s="1" t="s">
        <v>48</v>
      </c>
      <c r="M762" s="1" t="str">
        <f>INDEX(MCC_Lookup!$B$2:$B$12,MATCH(G762,MCC_Lookup!$A$2:$A$12,0))</f>
        <v>Entertainment</v>
      </c>
      <c r="N762" s="1" t="str">
        <f>IF(TRIM(H762)="","BLANK",IF(PROPER(TRIM(H762))=TRIM(M762),"MATCH","MISMATCH"))</f>
        <v>MATCH</v>
      </c>
      <c r="O762" s="5" t="str">
        <f>INDEX([1]Employee!$C$2:$C$276,MATCH(B762,[1]Employee!$A$2:$A$276,0))</f>
        <v>Sales &amp; Marketing</v>
      </c>
    </row>
    <row r="763" spans="1:15">
      <c r="A763" s="1" t="s">
        <v>1720</v>
      </c>
      <c r="B763" s="1" t="s">
        <v>314</v>
      </c>
      <c r="C763" s="1"/>
      <c r="D763" s="2">
        <v>46061</v>
      </c>
      <c r="E763" s="2">
        <v>46068</v>
      </c>
      <c r="F763" s="1" t="s">
        <v>160</v>
      </c>
      <c r="G763" s="1" t="s">
        <v>6</v>
      </c>
      <c r="H763" s="1" t="s">
        <v>726</v>
      </c>
      <c r="I763" s="7">
        <v>433.62</v>
      </c>
      <c r="J763" s="1" t="s">
        <v>111</v>
      </c>
      <c r="K763" s="1" t="s">
        <v>161</v>
      </c>
      <c r="L763" s="1" t="s">
        <v>39</v>
      </c>
      <c r="M763" s="1" t="str">
        <f>INDEX(MCC_Lookup!$B$2:$B$12,MATCH(G763,MCC_Lookup!$A$2:$A$12,0))</f>
        <v>Lodging</v>
      </c>
      <c r="N763" s="1" t="str">
        <f>IF(TRIM(H763)="","BLANK",IF(PROPER(TRIM(H763))=TRIM(M763),"MATCH","MISMATCH"))</f>
        <v>MATCH</v>
      </c>
      <c r="O763" s="5" t="str">
        <f>INDEX([1]Employee!$C$2:$C$276,MATCH(B763,[1]Employee!$A$2:$A$276,0))</f>
        <v>Sales &amp; Marketing</v>
      </c>
    </row>
    <row r="764" spans="1:15">
      <c r="A764" s="1" t="s">
        <v>1721</v>
      </c>
      <c r="B764" s="1" t="s">
        <v>314</v>
      </c>
      <c r="C764" s="1" t="s">
        <v>1722</v>
      </c>
      <c r="D764" s="2">
        <v>46063</v>
      </c>
      <c r="E764" s="2">
        <v>46068</v>
      </c>
      <c r="F764" s="1" t="s">
        <v>347</v>
      </c>
      <c r="G764" s="1" t="s">
        <v>8</v>
      </c>
      <c r="H764" s="1" t="s">
        <v>9</v>
      </c>
      <c r="I764" s="7">
        <v>46.72</v>
      </c>
      <c r="J764" s="1" t="s">
        <v>38</v>
      </c>
      <c r="K764" s="1"/>
      <c r="L764" s="1" t="s">
        <v>39</v>
      </c>
      <c r="M764" s="1" t="str">
        <f>INDEX(MCC_Lookup!$B$2:$B$12,MATCH(G764,MCC_Lookup!$A$2:$A$12,0))</f>
        <v>Transportation</v>
      </c>
      <c r="N764" s="1" t="str">
        <f>IF(TRIM(H764)="","BLANK",IF(PROPER(TRIM(H764))=TRIM(M764),"MATCH","MISMATCH"))</f>
        <v>MATCH</v>
      </c>
      <c r="O764" s="5" t="str">
        <f>INDEX([1]Employee!$C$2:$C$276,MATCH(B764,[1]Employee!$A$2:$A$276,0))</f>
        <v>Sales &amp; Marketing</v>
      </c>
    </row>
    <row r="765" spans="1:15">
      <c r="A765" s="1" t="s">
        <v>1723</v>
      </c>
      <c r="B765" s="1" t="s">
        <v>394</v>
      </c>
      <c r="C765" s="1" t="s">
        <v>1724</v>
      </c>
      <c r="D765" s="2">
        <v>46065</v>
      </c>
      <c r="E765" s="2">
        <v>46068</v>
      </c>
      <c r="F765" s="1" t="s">
        <v>124</v>
      </c>
      <c r="G765" s="1" t="s">
        <v>17</v>
      </c>
      <c r="H765" s="1" t="s">
        <v>16</v>
      </c>
      <c r="I765" s="7">
        <v>83.62</v>
      </c>
      <c r="J765" s="1" t="s">
        <v>38</v>
      </c>
      <c r="K765" s="1"/>
      <c r="L765" s="1" t="s">
        <v>39</v>
      </c>
      <c r="M765" s="1" t="str">
        <f>INDEX(MCC_Lookup!$B$2:$B$12,MATCH(G765,MCC_Lookup!$A$2:$A$12,0))</f>
        <v>Entertainment</v>
      </c>
      <c r="N765" s="1" t="str">
        <f>IF(TRIM(H765)="","BLANK",IF(PROPER(TRIM(H765))=TRIM(M765),"MATCH","MISMATCH"))</f>
        <v>MATCH</v>
      </c>
      <c r="O765" s="5" t="str">
        <f>INDEX([1]Employee!$C$2:$C$276,MATCH(B765,[1]Employee!$A$2:$A$276,0))</f>
        <v>IT &amp; Platform Engineering</v>
      </c>
    </row>
    <row r="766" spans="1:15">
      <c r="A766" s="1" t="s">
        <v>1725</v>
      </c>
      <c r="B766" s="1" t="s">
        <v>1726</v>
      </c>
      <c r="C766" s="1"/>
      <c r="D766" s="2">
        <v>46066</v>
      </c>
      <c r="E766" s="2">
        <v>46068</v>
      </c>
      <c r="F766" s="1" t="s">
        <v>347</v>
      </c>
      <c r="G766" s="1" t="s">
        <v>8</v>
      </c>
      <c r="H766" s="1" t="s">
        <v>9</v>
      </c>
      <c r="I766" s="7">
        <v>12.86</v>
      </c>
      <c r="J766" s="1" t="s">
        <v>38</v>
      </c>
      <c r="K766" s="1"/>
      <c r="L766" s="1" t="s">
        <v>39</v>
      </c>
      <c r="M766" s="1" t="str">
        <f>INDEX(MCC_Lookup!$B$2:$B$12,MATCH(G766,MCC_Lookup!$A$2:$A$12,0))</f>
        <v>Transportation</v>
      </c>
      <c r="N766" s="1" t="str">
        <f>IF(TRIM(H766)="","BLANK",IF(PROPER(TRIM(H766))=TRIM(M766),"MATCH","MISMATCH"))</f>
        <v>MATCH</v>
      </c>
      <c r="O766" s="5" t="str">
        <f>INDEX([1]Employee!$C$2:$C$276,MATCH(B766,[1]Employee!$A$2:$A$276,0))</f>
        <v>Customer Support</v>
      </c>
    </row>
    <row r="767" spans="1:15">
      <c r="A767" s="1" t="s">
        <v>1727</v>
      </c>
      <c r="B767" s="1" t="s">
        <v>433</v>
      </c>
      <c r="C767" s="1" t="s">
        <v>1728</v>
      </c>
      <c r="D767" s="2">
        <v>46066</v>
      </c>
      <c r="E767" s="2">
        <v>46068</v>
      </c>
      <c r="F767" s="1" t="s">
        <v>56</v>
      </c>
      <c r="G767" s="1" t="s">
        <v>4</v>
      </c>
      <c r="H767" s="1" t="s">
        <v>5</v>
      </c>
      <c r="I767" s="7">
        <v>322.2</v>
      </c>
      <c r="J767" s="1" t="s">
        <v>38</v>
      </c>
      <c r="K767" s="1"/>
      <c r="L767" s="1" t="s">
        <v>39</v>
      </c>
      <c r="M767" s="1" t="str">
        <f>INDEX(MCC_Lookup!$B$2:$B$12,MATCH(G767,MCC_Lookup!$A$2:$A$12,0))</f>
        <v>Travel</v>
      </c>
      <c r="N767" s="1" t="str">
        <f>IF(TRIM(H767)="","BLANK",IF(PROPER(TRIM(H767))=TRIM(M767),"MATCH","MISMATCH"))</f>
        <v>MATCH</v>
      </c>
      <c r="O767" s="5" t="str">
        <f>INDEX([1]Employee!$C$2:$C$276,MATCH(B767,[1]Employee!$A$2:$A$276,0))</f>
        <v>Sales &amp; Marketing</v>
      </c>
    </row>
    <row r="768" spans="1:15">
      <c r="A768" s="1" t="s">
        <v>1729</v>
      </c>
      <c r="B768" s="1" t="s">
        <v>593</v>
      </c>
      <c r="C768" s="1" t="s">
        <v>1730</v>
      </c>
      <c r="D768" s="2">
        <v>46064</v>
      </c>
      <c r="E768" s="2">
        <v>46068</v>
      </c>
      <c r="F768" s="1" t="s">
        <v>242</v>
      </c>
      <c r="G768" s="1" t="s">
        <v>13</v>
      </c>
      <c r="H768" s="1" t="s">
        <v>470</v>
      </c>
      <c r="I768" s="7">
        <v>55.97</v>
      </c>
      <c r="J768" s="1" t="s">
        <v>38</v>
      </c>
      <c r="K768" s="1"/>
      <c r="L768" s="1" t="s">
        <v>39</v>
      </c>
      <c r="M768" s="1" t="str">
        <f>INDEX(MCC_Lookup!$B$2:$B$12,MATCH(G768,MCC_Lookup!$A$2:$A$12,0))</f>
        <v>Software</v>
      </c>
      <c r="N768" s="1" t="str">
        <f>IF(TRIM(H768)="","BLANK",IF(PROPER(TRIM(H768))=TRIM(M768),"MATCH","MISMATCH"))</f>
        <v>MATCH</v>
      </c>
      <c r="O768" s="5" t="str">
        <f>INDEX([1]Employee!$C$2:$C$276,MATCH(B768,[1]Employee!$A$2:$A$276,0))</f>
        <v>Sales &amp; Marketing</v>
      </c>
    </row>
    <row r="769" spans="1:15">
      <c r="A769" s="1" t="s">
        <v>1731</v>
      </c>
      <c r="B769" s="1" t="s">
        <v>67</v>
      </c>
      <c r="C769" s="1"/>
      <c r="D769" s="2">
        <v>46059</v>
      </c>
      <c r="E769" s="2">
        <v>46068</v>
      </c>
      <c r="F769" s="1" t="s">
        <v>37</v>
      </c>
      <c r="G769" s="1" t="s">
        <v>4</v>
      </c>
      <c r="H769" s="1" t="s">
        <v>5</v>
      </c>
      <c r="I769" s="7">
        <v>229.72</v>
      </c>
      <c r="J769" s="1" t="s">
        <v>38</v>
      </c>
      <c r="K769" s="1"/>
      <c r="L769" s="1" t="s">
        <v>39</v>
      </c>
      <c r="M769" s="1" t="str">
        <f>INDEX(MCC_Lookup!$B$2:$B$12,MATCH(G769,MCC_Lookup!$A$2:$A$12,0))</f>
        <v>Travel</v>
      </c>
      <c r="N769" s="1" t="str">
        <f>IF(TRIM(H769)="","BLANK",IF(PROPER(TRIM(H769))=TRIM(M769),"MATCH","MISMATCH"))</f>
        <v>MATCH</v>
      </c>
      <c r="O769" s="5" t="str">
        <f>INDEX([1]Employee!$C$2:$C$276,MATCH(B769,[1]Employee!$A$2:$A$276,0))</f>
        <v>Sales &amp; Marketing</v>
      </c>
    </row>
    <row r="770" spans="1:15">
      <c r="A770" s="1" t="s">
        <v>1732</v>
      </c>
      <c r="B770" s="1" t="s">
        <v>352</v>
      </c>
      <c r="C770" s="1" t="s">
        <v>1733</v>
      </c>
      <c r="D770" s="2">
        <v>46068</v>
      </c>
      <c r="E770" s="2">
        <v>46068</v>
      </c>
      <c r="F770" s="1" t="s">
        <v>99</v>
      </c>
      <c r="G770" s="1" t="s">
        <v>2</v>
      </c>
      <c r="H770" s="1" t="s">
        <v>3</v>
      </c>
      <c r="I770" s="7">
        <v>130.51</v>
      </c>
      <c r="J770" s="1" t="s">
        <v>38</v>
      </c>
      <c r="K770" s="1"/>
      <c r="L770" s="1" t="s">
        <v>39</v>
      </c>
      <c r="M770" s="1" t="str">
        <f>INDEX(MCC_Lookup!$B$2:$B$12,MATCH(G770,MCC_Lookup!$A$2:$A$12,0))</f>
        <v>Meals</v>
      </c>
      <c r="N770" s="1" t="str">
        <f>IF(TRIM(H770)="","BLANK",IF(PROPER(TRIM(H770))=TRIM(M770),"MATCH","MISMATCH"))</f>
        <v>MATCH</v>
      </c>
      <c r="O770" s="5" t="str">
        <f>INDEX([1]Employee!$C$2:$C$276,MATCH(B770,[1]Employee!$A$2:$A$276,0))</f>
        <v>Sales &amp; Marketing</v>
      </c>
    </row>
    <row r="771" spans="1:15">
      <c r="A771" s="1" t="s">
        <v>1734</v>
      </c>
      <c r="B771" s="1" t="s">
        <v>1147</v>
      </c>
      <c r="C771" s="1" t="s">
        <v>1735</v>
      </c>
      <c r="D771" s="2">
        <v>46066</v>
      </c>
      <c r="E771" s="2">
        <v>46068</v>
      </c>
      <c r="F771" s="1" t="s">
        <v>69</v>
      </c>
      <c r="G771" s="1" t="s">
        <v>8</v>
      </c>
      <c r="H771" s="1" t="s">
        <v>494</v>
      </c>
      <c r="I771" s="7">
        <v>28.19</v>
      </c>
      <c r="J771" s="1" t="s">
        <v>38</v>
      </c>
      <c r="K771" s="1"/>
      <c r="L771" s="1" t="s">
        <v>39</v>
      </c>
      <c r="M771" s="1" t="str">
        <f>INDEX(MCC_Lookup!$B$2:$B$12,MATCH(G771,MCC_Lookup!$A$2:$A$12,0))</f>
        <v>Transportation</v>
      </c>
      <c r="N771" s="1" t="str">
        <f>IF(TRIM(H771)="","BLANK",IF(PROPER(TRIM(H771))=TRIM(M771),"MATCH","MISMATCH"))</f>
        <v>MATCH</v>
      </c>
      <c r="O771" s="5" t="str">
        <f>INDEX([1]Employee!$C$2:$C$276,MATCH(B771,[1]Employee!$A$2:$A$276,0))</f>
        <v>Finance</v>
      </c>
    </row>
    <row r="772" spans="1:15">
      <c r="A772" s="1" t="s">
        <v>1736</v>
      </c>
      <c r="B772" s="1" t="s">
        <v>74</v>
      </c>
      <c r="C772" s="1"/>
      <c r="D772" s="2">
        <v>46058</v>
      </c>
      <c r="E772" s="2">
        <v>46068</v>
      </c>
      <c r="F772" s="1" t="s">
        <v>259</v>
      </c>
      <c r="G772" s="1" t="s">
        <v>20</v>
      </c>
      <c r="H772" s="1" t="s">
        <v>517</v>
      </c>
      <c r="I772" s="7">
        <v>98.45</v>
      </c>
      <c r="J772" s="1" t="s">
        <v>38</v>
      </c>
      <c r="K772" s="1"/>
      <c r="L772" s="1" t="s">
        <v>39</v>
      </c>
      <c r="M772" s="1" t="str">
        <f>INDEX(MCC_Lookup!$B$2:$B$12,MATCH(G772,MCC_Lookup!$A$2:$A$12,0))</f>
        <v>Events</v>
      </c>
      <c r="N772" s="1" t="str">
        <f>IF(TRIM(H772)="","BLANK",IF(PROPER(TRIM(H772))=TRIM(M772),"MATCH","MISMATCH"))</f>
        <v>MATCH</v>
      </c>
      <c r="O772" s="5" t="str">
        <f>INDEX([1]Employee!$C$2:$C$276,MATCH(B772,[1]Employee!$A$2:$A$276,0))</f>
        <v>Underwriting</v>
      </c>
    </row>
    <row r="773" spans="1:15">
      <c r="A773" s="1" t="s">
        <v>1737</v>
      </c>
      <c r="B773" s="1" t="s">
        <v>59</v>
      </c>
      <c r="C773" s="1" t="s">
        <v>1738</v>
      </c>
      <c r="D773" s="2">
        <v>46066</v>
      </c>
      <c r="E773" s="2">
        <v>46068</v>
      </c>
      <c r="F773" s="1" t="s">
        <v>83</v>
      </c>
      <c r="G773" s="1" t="s">
        <v>2</v>
      </c>
      <c r="H773" s="1" t="s">
        <v>3</v>
      </c>
      <c r="I773" s="7">
        <v>10.43</v>
      </c>
      <c r="J773" s="1" t="s">
        <v>38</v>
      </c>
      <c r="K773" s="1"/>
      <c r="L773" s="1" t="s">
        <v>39</v>
      </c>
      <c r="M773" s="1" t="str">
        <f>INDEX(MCC_Lookup!$B$2:$B$12,MATCH(G773,MCC_Lookup!$A$2:$A$12,0))</f>
        <v>Meals</v>
      </c>
      <c r="N773" s="1" t="str">
        <f>IF(TRIM(H773)="","BLANK",IF(PROPER(TRIM(H773))=TRIM(M773),"MATCH","MISMATCH"))</f>
        <v>MATCH</v>
      </c>
      <c r="O773" s="5" t="str">
        <f>INDEX([1]Employee!$C$2:$C$276,MATCH(B773,[1]Employee!$A$2:$A$276,0))</f>
        <v>Sales &amp; Marketing</v>
      </c>
    </row>
    <row r="774" spans="1:15">
      <c r="A774" s="1" t="s">
        <v>1739</v>
      </c>
      <c r="B774" s="1" t="s">
        <v>1740</v>
      </c>
      <c r="C774" s="1" t="s">
        <v>1741</v>
      </c>
      <c r="D774" s="2">
        <v>46061</v>
      </c>
      <c r="E774" s="2">
        <v>46068</v>
      </c>
      <c r="F774" s="1" t="s">
        <v>347</v>
      </c>
      <c r="G774" s="1" t="s">
        <v>8</v>
      </c>
      <c r="H774" s="1" t="s">
        <v>343</v>
      </c>
      <c r="I774" s="7">
        <v>33.86</v>
      </c>
      <c r="J774" s="1" t="s">
        <v>38</v>
      </c>
      <c r="K774" s="1"/>
      <c r="L774" s="1" t="s">
        <v>39</v>
      </c>
      <c r="M774" s="1" t="str">
        <f>INDEX(MCC_Lookup!$B$2:$B$12,MATCH(G774,MCC_Lookup!$A$2:$A$12,0))</f>
        <v>Transportation</v>
      </c>
      <c r="N774" s="1" t="str">
        <f>IF(TRIM(H774)="","BLANK",IF(PROPER(TRIM(H774))=TRIM(M774),"MATCH","MISMATCH"))</f>
        <v>MATCH</v>
      </c>
      <c r="O774" s="5" t="str">
        <f>INDEX([1]Employee!$C$2:$C$276,MATCH(B774,[1]Employee!$A$2:$A$276,0))</f>
        <v>IT &amp; Platform Engineering</v>
      </c>
    </row>
    <row r="775" spans="1:15">
      <c r="A775" s="1" t="s">
        <v>1742</v>
      </c>
      <c r="B775" s="1" t="s">
        <v>656</v>
      </c>
      <c r="C775" s="1"/>
      <c r="D775" s="2">
        <v>46068</v>
      </c>
      <c r="E775" s="2">
        <v>46068</v>
      </c>
      <c r="F775" s="1" t="s">
        <v>242</v>
      </c>
      <c r="G775" s="1" t="s">
        <v>13</v>
      </c>
      <c r="H775" s="1" t="s">
        <v>14</v>
      </c>
      <c r="I775" s="7">
        <v>39</v>
      </c>
      <c r="J775" s="1" t="s">
        <v>38</v>
      </c>
      <c r="K775" s="1"/>
      <c r="L775" s="1" t="s">
        <v>39</v>
      </c>
      <c r="M775" s="1" t="str">
        <f>INDEX(MCC_Lookup!$B$2:$B$12,MATCH(G775,MCC_Lookup!$A$2:$A$12,0))</f>
        <v>Software</v>
      </c>
      <c r="N775" s="1" t="str">
        <f>IF(TRIM(H775)="","BLANK",IF(PROPER(TRIM(H775))=TRIM(M775),"MATCH","MISMATCH"))</f>
        <v>MATCH</v>
      </c>
      <c r="O775" s="5" t="str">
        <f>INDEX([1]Employee!$C$2:$C$276,MATCH(B775,[1]Employee!$A$2:$A$276,0))</f>
        <v>Claims</v>
      </c>
    </row>
    <row r="776" spans="1:15">
      <c r="A776" s="1" t="s">
        <v>1743</v>
      </c>
      <c r="B776" s="1" t="s">
        <v>349</v>
      </c>
      <c r="C776" s="1" t="s">
        <v>1744</v>
      </c>
      <c r="D776" s="2">
        <v>46068</v>
      </c>
      <c r="E776" s="2">
        <v>46068</v>
      </c>
      <c r="F776" s="1" t="s">
        <v>177</v>
      </c>
      <c r="G776" s="1" t="s">
        <v>13</v>
      </c>
      <c r="H776" s="1" t="s">
        <v>14</v>
      </c>
      <c r="I776" s="7">
        <v>19.82</v>
      </c>
      <c r="J776" s="1" t="s">
        <v>38</v>
      </c>
      <c r="K776" s="1"/>
      <c r="L776" s="1" t="s">
        <v>39</v>
      </c>
      <c r="M776" s="1" t="str">
        <f>INDEX(MCC_Lookup!$B$2:$B$12,MATCH(G776,MCC_Lookup!$A$2:$A$12,0))</f>
        <v>Software</v>
      </c>
      <c r="N776" s="1" t="str">
        <f>IF(TRIM(H776)="","BLANK",IF(PROPER(TRIM(H776))=TRIM(M776),"MATCH","MISMATCH"))</f>
        <v>MATCH</v>
      </c>
      <c r="O776" s="5" t="str">
        <f>INDEX([1]Employee!$C$2:$C$276,MATCH(B776,[1]Employee!$A$2:$A$276,0))</f>
        <v>Sales &amp; Marketing</v>
      </c>
    </row>
    <row r="777" spans="1:15">
      <c r="A777" s="1" t="s">
        <v>1745</v>
      </c>
      <c r="B777" s="1" t="s">
        <v>1188</v>
      </c>
      <c r="C777" s="1" t="s">
        <v>1746</v>
      </c>
      <c r="D777" s="2">
        <v>46068</v>
      </c>
      <c r="E777" s="2">
        <v>46068</v>
      </c>
      <c r="F777" s="1" t="s">
        <v>1507</v>
      </c>
      <c r="G777" s="1" t="s">
        <v>10</v>
      </c>
      <c r="H777" s="1" t="s">
        <v>131</v>
      </c>
      <c r="I777" s="7">
        <v>178.52</v>
      </c>
      <c r="J777" s="1" t="s">
        <v>38</v>
      </c>
      <c r="K777" s="1"/>
      <c r="L777" s="1" t="s">
        <v>39</v>
      </c>
      <c r="M777" s="1" t="str">
        <f>INDEX(MCC_Lookup!$B$2:$B$12,MATCH(G777,MCC_Lookup!$A$2:$A$12,0))</f>
        <v>Office Supplies</v>
      </c>
      <c r="N777" s="1" t="str">
        <f>IF(TRIM(H777)="","BLANK",IF(PROPER(TRIM(H777))=TRIM(M777),"MATCH","MISMATCH"))</f>
        <v>MATCH</v>
      </c>
      <c r="O777" s="5" t="str">
        <f>INDEX([1]Employee!$C$2:$C$276,MATCH(B777,[1]Employee!$A$2:$A$276,0))</f>
        <v>Executive &amp; Corporate</v>
      </c>
    </row>
    <row r="778" spans="1:15">
      <c r="A778" s="1" t="s">
        <v>1747</v>
      </c>
      <c r="B778" s="1" t="s">
        <v>512</v>
      </c>
      <c r="C778" s="1" t="s">
        <v>1748</v>
      </c>
      <c r="D778" s="2">
        <v>46060</v>
      </c>
      <c r="E778" s="2">
        <v>46069</v>
      </c>
      <c r="F778" s="1" t="s">
        <v>106</v>
      </c>
      <c r="G778" s="1" t="s">
        <v>13</v>
      </c>
      <c r="H778" s="1" t="s">
        <v>14</v>
      </c>
      <c r="I778" s="7">
        <v>127.53</v>
      </c>
      <c r="J778" s="1" t="s">
        <v>38</v>
      </c>
      <c r="K778" s="1"/>
      <c r="L778" s="1" t="s">
        <v>39</v>
      </c>
      <c r="M778" s="1" t="str">
        <f>INDEX(MCC_Lookup!$B$2:$B$12,MATCH(G778,MCC_Lookup!$A$2:$A$12,0))</f>
        <v>Software</v>
      </c>
      <c r="N778" s="1" t="str">
        <f>IF(TRIM(H778)="","BLANK",IF(PROPER(TRIM(H778))=TRIM(M778),"MATCH","MISMATCH"))</f>
        <v>MATCH</v>
      </c>
      <c r="O778" s="5" t="str">
        <f>INDEX([1]Employee!$C$2:$C$276,MATCH(B778,[1]Employee!$A$2:$A$276,0))</f>
        <v>Sales &amp; Marketing</v>
      </c>
    </row>
    <row r="779" spans="1:15">
      <c r="A779" s="1" t="s">
        <v>1749</v>
      </c>
      <c r="B779" s="1" t="s">
        <v>883</v>
      </c>
      <c r="C779" s="1" t="s">
        <v>1750</v>
      </c>
      <c r="D779" s="2">
        <v>46060</v>
      </c>
      <c r="E779" s="2">
        <v>46069</v>
      </c>
      <c r="F779" s="1" t="s">
        <v>56</v>
      </c>
      <c r="G779" s="1" t="s">
        <v>4</v>
      </c>
      <c r="H779" s="1" t="s">
        <v>5</v>
      </c>
      <c r="I779" s="7">
        <v>220.67</v>
      </c>
      <c r="J779" s="1" t="s">
        <v>38</v>
      </c>
      <c r="K779" s="1"/>
      <c r="L779" s="1" t="s">
        <v>39</v>
      </c>
      <c r="M779" s="1" t="str">
        <f>INDEX(MCC_Lookup!$B$2:$B$12,MATCH(G779,MCC_Lookup!$A$2:$A$12,0))</f>
        <v>Travel</v>
      </c>
      <c r="N779" s="1" t="str">
        <f>IF(TRIM(H779)="","BLANK",IF(PROPER(TRIM(H779))=TRIM(M779),"MATCH","MISMATCH"))</f>
        <v>MATCH</v>
      </c>
      <c r="O779" s="5" t="str">
        <f>INDEX([1]Employee!$C$2:$C$276,MATCH(B779,[1]Employee!$A$2:$A$276,0))</f>
        <v>Actuarial &amp; Risk</v>
      </c>
    </row>
    <row r="780" spans="1:15">
      <c r="A780" s="1" t="s">
        <v>1751</v>
      </c>
      <c r="B780" s="1" t="s">
        <v>499</v>
      </c>
      <c r="C780" s="1"/>
      <c r="D780" s="2">
        <v>46068</v>
      </c>
      <c r="E780" s="2">
        <v>46069</v>
      </c>
      <c r="F780" s="1" t="s">
        <v>124</v>
      </c>
      <c r="G780" s="1" t="s">
        <v>17</v>
      </c>
      <c r="H780" s="1" t="s">
        <v>16</v>
      </c>
      <c r="I780" s="7">
        <v>150.96</v>
      </c>
      <c r="J780" s="1" t="s">
        <v>38</v>
      </c>
      <c r="K780" s="1"/>
      <c r="L780" s="1" t="s">
        <v>39</v>
      </c>
      <c r="M780" s="1" t="str">
        <f>INDEX(MCC_Lookup!$B$2:$B$12,MATCH(G780,MCC_Lookup!$A$2:$A$12,0))</f>
        <v>Entertainment</v>
      </c>
      <c r="N780" s="1" t="str">
        <f>IF(TRIM(H780)="","BLANK",IF(PROPER(TRIM(H780))=TRIM(M780),"MATCH","MISMATCH"))</f>
        <v>MATCH</v>
      </c>
      <c r="O780" s="5" t="str">
        <f>INDEX([1]Employee!$C$2:$C$276,MATCH(B780,[1]Employee!$A$2:$A$276,0))</f>
        <v>Sales &amp; Marketing</v>
      </c>
    </row>
    <row r="781" spans="1:15">
      <c r="A781" s="1" t="s">
        <v>1752</v>
      </c>
      <c r="B781" s="1" t="s">
        <v>1753</v>
      </c>
      <c r="C781" s="1" t="s">
        <v>1754</v>
      </c>
      <c r="D781" s="2">
        <v>46061</v>
      </c>
      <c r="E781" s="2">
        <v>46069</v>
      </c>
      <c r="F781" s="1" t="s">
        <v>52</v>
      </c>
      <c r="G781" s="1" t="s">
        <v>15</v>
      </c>
      <c r="H781" s="1"/>
      <c r="I781" s="7">
        <v>23.94</v>
      </c>
      <c r="J781" s="1" t="s">
        <v>38</v>
      </c>
      <c r="K781" s="1"/>
      <c r="L781" s="1" t="s">
        <v>39</v>
      </c>
      <c r="M781" s="1" t="str">
        <f>INDEX(MCC_Lookup!$B$2:$B$12,MATCH(G781,MCC_Lookup!$A$2:$A$12,0))</f>
        <v>Entertainment</v>
      </c>
      <c r="N781" s="1" t="str">
        <f>IF(TRIM(H781)="","BLANK",IF(PROPER(TRIM(H781))=TRIM(M781),"MATCH","MISMATCH"))</f>
        <v>BLANK</v>
      </c>
      <c r="O781" s="5" t="str">
        <f>INDEX([1]Employee!$C$2:$C$276,MATCH(B781,[1]Employee!$A$2:$A$276,0))</f>
        <v>IT &amp; Platform Engineering</v>
      </c>
    </row>
    <row r="782" spans="1:15">
      <c r="A782" s="1" t="s">
        <v>1755</v>
      </c>
      <c r="B782" s="1" t="s">
        <v>382</v>
      </c>
      <c r="C782" s="1" t="s">
        <v>1756</v>
      </c>
      <c r="D782" s="2">
        <v>46067</v>
      </c>
      <c r="E782" s="2">
        <v>46069</v>
      </c>
      <c r="F782" s="1" t="s">
        <v>109</v>
      </c>
      <c r="G782" s="1" t="s">
        <v>18</v>
      </c>
      <c r="H782" s="1" t="s">
        <v>19</v>
      </c>
      <c r="I782" s="7">
        <v>151.11000000000001</v>
      </c>
      <c r="J782" s="1" t="s">
        <v>38</v>
      </c>
      <c r="K782" s="1"/>
      <c r="L782" s="1" t="s">
        <v>39</v>
      </c>
      <c r="M782" s="1" t="str">
        <f>INDEX(MCC_Lookup!$B$2:$B$12,MATCH(G782,MCC_Lookup!$A$2:$A$12,0))</f>
        <v>Events</v>
      </c>
      <c r="N782" s="1" t="str">
        <f>IF(TRIM(H782)="","BLANK",IF(PROPER(TRIM(H782))=TRIM(M782),"MATCH","MISMATCH"))</f>
        <v>MATCH</v>
      </c>
      <c r="O782" s="5" t="str">
        <f>INDEX([1]Employee!$C$2:$C$276,MATCH(B782,[1]Employee!$A$2:$A$276,0))</f>
        <v>Sales &amp; Marketing</v>
      </c>
    </row>
    <row r="783" spans="1:15">
      <c r="A783" s="1" t="s">
        <v>1757</v>
      </c>
      <c r="B783" s="1" t="s">
        <v>821</v>
      </c>
      <c r="C783" s="1" t="s">
        <v>1758</v>
      </c>
      <c r="D783" s="2">
        <v>46059</v>
      </c>
      <c r="E783" s="2">
        <v>46069</v>
      </c>
      <c r="F783" s="1" t="s">
        <v>79</v>
      </c>
      <c r="G783" s="1" t="s">
        <v>13</v>
      </c>
      <c r="H783" s="1" t="s">
        <v>14</v>
      </c>
      <c r="I783" s="7">
        <v>177.02</v>
      </c>
      <c r="J783" s="1" t="s">
        <v>38</v>
      </c>
      <c r="K783" s="1"/>
      <c r="L783" s="1" t="s">
        <v>39</v>
      </c>
      <c r="M783" s="1" t="str">
        <f>INDEX(MCC_Lookup!$B$2:$B$12,MATCH(G783,MCC_Lookup!$A$2:$A$12,0))</f>
        <v>Software</v>
      </c>
      <c r="N783" s="1" t="str">
        <f>IF(TRIM(H783)="","BLANK",IF(PROPER(TRIM(H783))=TRIM(M783),"MATCH","MISMATCH"))</f>
        <v>MATCH</v>
      </c>
      <c r="O783" s="5" t="str">
        <f>INDEX([1]Employee!$C$2:$C$276,MATCH(B783,[1]Employee!$A$2:$A$276,0))</f>
        <v>Claims</v>
      </c>
    </row>
    <row r="784" spans="1:15">
      <c r="A784" s="1" t="s">
        <v>1759</v>
      </c>
      <c r="B784" s="1" t="s">
        <v>821</v>
      </c>
      <c r="C784" s="1" t="s">
        <v>1760</v>
      </c>
      <c r="D784" s="2">
        <v>46068</v>
      </c>
      <c r="E784" s="2">
        <v>46069</v>
      </c>
      <c r="F784" s="1" t="s">
        <v>37</v>
      </c>
      <c r="G784" s="1" t="s">
        <v>4</v>
      </c>
      <c r="H784" s="1" t="s">
        <v>5</v>
      </c>
      <c r="I784" s="7">
        <v>139.82</v>
      </c>
      <c r="J784" s="1" t="s">
        <v>38</v>
      </c>
      <c r="K784" s="1"/>
      <c r="L784" s="1" t="s">
        <v>39</v>
      </c>
      <c r="M784" s="1" t="str">
        <f>INDEX(MCC_Lookup!$B$2:$B$12,MATCH(G784,MCC_Lookup!$A$2:$A$12,0))</f>
        <v>Travel</v>
      </c>
      <c r="N784" s="1" t="str">
        <f>IF(TRIM(H784)="","BLANK",IF(PROPER(TRIM(H784))=TRIM(M784),"MATCH","MISMATCH"))</f>
        <v>MATCH</v>
      </c>
      <c r="O784" s="5" t="str">
        <f>INDEX([1]Employee!$C$2:$C$276,MATCH(B784,[1]Employee!$A$2:$A$276,0))</f>
        <v>Claims</v>
      </c>
    </row>
    <row r="785" spans="1:15">
      <c r="A785" s="1" t="s">
        <v>1761</v>
      </c>
      <c r="B785" s="1" t="s">
        <v>732</v>
      </c>
      <c r="C785" s="1" t="s">
        <v>1762</v>
      </c>
      <c r="D785" s="2">
        <v>46062</v>
      </c>
      <c r="E785" s="2">
        <v>46069</v>
      </c>
      <c r="F785" s="1" t="s">
        <v>124</v>
      </c>
      <c r="G785" s="1" t="s">
        <v>17</v>
      </c>
      <c r="H785" s="1"/>
      <c r="I785" s="7">
        <v>111.01</v>
      </c>
      <c r="J785" s="1" t="s">
        <v>38</v>
      </c>
      <c r="K785" s="1"/>
      <c r="L785" s="1" t="s">
        <v>48</v>
      </c>
      <c r="M785" s="1" t="str">
        <f>INDEX(MCC_Lookup!$B$2:$B$12,MATCH(G785,MCC_Lookup!$A$2:$A$12,0))</f>
        <v>Entertainment</v>
      </c>
      <c r="N785" s="1" t="str">
        <f>IF(TRIM(H785)="","BLANK",IF(PROPER(TRIM(H785))=TRIM(M785),"MATCH","MISMATCH"))</f>
        <v>BLANK</v>
      </c>
      <c r="O785" s="5" t="str">
        <f>INDEX([1]Employee!$C$2:$C$276,MATCH(B785,[1]Employee!$A$2:$A$276,0))</f>
        <v>Underwriting</v>
      </c>
    </row>
    <row r="786" spans="1:15">
      <c r="A786" s="1" t="s">
        <v>1763</v>
      </c>
      <c r="B786" s="1" t="s">
        <v>706</v>
      </c>
      <c r="C786" s="1" t="s">
        <v>1764</v>
      </c>
      <c r="D786" s="2">
        <v>46069</v>
      </c>
      <c r="E786" s="2">
        <v>46069</v>
      </c>
      <c r="F786" s="1" t="s">
        <v>76</v>
      </c>
      <c r="G786" s="1" t="s">
        <v>13</v>
      </c>
      <c r="H786" s="1" t="s">
        <v>14</v>
      </c>
      <c r="I786" s="7">
        <v>338.6</v>
      </c>
      <c r="J786" s="1" t="s">
        <v>38</v>
      </c>
      <c r="K786" s="1"/>
      <c r="L786" s="1" t="s">
        <v>39</v>
      </c>
      <c r="M786" s="1" t="str">
        <f>INDEX(MCC_Lookup!$B$2:$B$12,MATCH(G786,MCC_Lookup!$A$2:$A$12,0))</f>
        <v>Software</v>
      </c>
      <c r="N786" s="1" t="str">
        <f>IF(TRIM(H786)="","BLANK",IF(PROPER(TRIM(H786))=TRIM(M786),"MATCH","MISMATCH"))</f>
        <v>MATCH</v>
      </c>
      <c r="O786" s="5" t="str">
        <f>INDEX([1]Employee!$C$2:$C$276,MATCH(B786,[1]Employee!$A$2:$A$276,0))</f>
        <v>Underwriting</v>
      </c>
    </row>
    <row r="787" spans="1:15">
      <c r="A787" s="1" t="s">
        <v>1765</v>
      </c>
      <c r="B787" s="1" t="s">
        <v>706</v>
      </c>
      <c r="C787" s="1"/>
      <c r="D787" s="2">
        <v>46064</v>
      </c>
      <c r="E787" s="2">
        <v>46069</v>
      </c>
      <c r="F787" s="1" t="s">
        <v>99</v>
      </c>
      <c r="G787" s="1" t="s">
        <v>2</v>
      </c>
      <c r="H787" s="1" t="s">
        <v>3</v>
      </c>
      <c r="I787" s="7">
        <v>112.26</v>
      </c>
      <c r="J787" s="1" t="s">
        <v>38</v>
      </c>
      <c r="K787" s="1"/>
      <c r="L787" s="1" t="s">
        <v>39</v>
      </c>
      <c r="M787" s="1" t="str">
        <f>INDEX(MCC_Lookup!$B$2:$B$12,MATCH(G787,MCC_Lookup!$A$2:$A$12,0))</f>
        <v>Meals</v>
      </c>
      <c r="N787" s="1" t="str">
        <f>IF(TRIM(H787)="","BLANK",IF(PROPER(TRIM(H787))=TRIM(M787),"MATCH","MISMATCH"))</f>
        <v>MATCH</v>
      </c>
      <c r="O787" s="5" t="str">
        <f>INDEX([1]Employee!$C$2:$C$276,MATCH(B787,[1]Employee!$A$2:$A$276,0))</f>
        <v>Underwriting</v>
      </c>
    </row>
    <row r="788" spans="1:15">
      <c r="A788" s="1" t="s">
        <v>1766</v>
      </c>
      <c r="B788" s="1" t="s">
        <v>250</v>
      </c>
      <c r="C788" s="1" t="s">
        <v>1767</v>
      </c>
      <c r="D788" s="2">
        <v>46062</v>
      </c>
      <c r="E788" s="2">
        <v>46069</v>
      </c>
      <c r="F788" s="1" t="s">
        <v>160</v>
      </c>
      <c r="G788" s="1" t="s">
        <v>6</v>
      </c>
      <c r="H788" s="1" t="s">
        <v>19</v>
      </c>
      <c r="I788" s="7">
        <v>357.46</v>
      </c>
      <c r="J788" s="1" t="s">
        <v>38</v>
      </c>
      <c r="K788" s="1"/>
      <c r="L788" s="1" t="s">
        <v>39</v>
      </c>
      <c r="M788" s="1" t="str">
        <f>INDEX(MCC_Lookup!$B$2:$B$12,MATCH(G788,MCC_Lookup!$A$2:$A$12,0))</f>
        <v>Lodging</v>
      </c>
      <c r="N788" s="1" t="str">
        <f>IF(TRIM(H788)="","BLANK",IF(PROPER(TRIM(H788))=TRIM(M788),"MATCH","MISMATCH"))</f>
        <v>MISMATCH</v>
      </c>
      <c r="O788" s="5" t="str">
        <f>INDEX([1]Employee!$C$2:$C$276,MATCH(B788,[1]Employee!$A$2:$A$276,0))</f>
        <v>Sales &amp; Marketing</v>
      </c>
    </row>
    <row r="789" spans="1:15">
      <c r="A789" s="1" t="s">
        <v>1768</v>
      </c>
      <c r="B789" s="1" t="s">
        <v>1107</v>
      </c>
      <c r="C789" s="1" t="s">
        <v>1769</v>
      </c>
      <c r="D789" s="2">
        <v>46063</v>
      </c>
      <c r="E789" s="2">
        <v>46069</v>
      </c>
      <c r="F789" s="1" t="s">
        <v>56</v>
      </c>
      <c r="G789" s="1" t="s">
        <v>4</v>
      </c>
      <c r="H789" s="1" t="s">
        <v>5</v>
      </c>
      <c r="I789" s="7">
        <v>296.56</v>
      </c>
      <c r="J789" s="1" t="s">
        <v>38</v>
      </c>
      <c r="K789" s="1"/>
      <c r="L789" s="1" t="s">
        <v>39</v>
      </c>
      <c r="M789" s="1" t="str">
        <f>INDEX(MCC_Lookup!$B$2:$B$12,MATCH(G789,MCC_Lookup!$A$2:$A$12,0))</f>
        <v>Travel</v>
      </c>
      <c r="N789" s="1" t="str">
        <f>IF(TRIM(H789)="","BLANK",IF(PROPER(TRIM(H789))=TRIM(M789),"MATCH","MISMATCH"))</f>
        <v>MATCH</v>
      </c>
      <c r="O789" s="5" t="str">
        <f>INDEX([1]Employee!$C$2:$C$276,MATCH(B789,[1]Employee!$A$2:$A$276,0))</f>
        <v>Claims</v>
      </c>
    </row>
    <row r="790" spans="1:15">
      <c r="A790" s="1" t="s">
        <v>1770</v>
      </c>
      <c r="B790" s="1" t="s">
        <v>637</v>
      </c>
      <c r="C790" s="1" t="s">
        <v>1771</v>
      </c>
      <c r="D790" s="2">
        <v>46065</v>
      </c>
      <c r="E790" s="2">
        <v>46069</v>
      </c>
      <c r="F790" s="1" t="s">
        <v>106</v>
      </c>
      <c r="G790" s="1" t="s">
        <v>13</v>
      </c>
      <c r="H790" s="1" t="s">
        <v>419</v>
      </c>
      <c r="I790" s="7">
        <v>56.61</v>
      </c>
      <c r="J790" s="1" t="s">
        <v>38</v>
      </c>
      <c r="K790" s="1"/>
      <c r="L790" s="1" t="s">
        <v>39</v>
      </c>
      <c r="M790" s="1" t="str">
        <f>INDEX(MCC_Lookup!$B$2:$B$12,MATCH(G790,MCC_Lookup!$A$2:$A$12,0))</f>
        <v>Software</v>
      </c>
      <c r="N790" s="1" t="str">
        <f>IF(TRIM(H790)="","BLANK",IF(PROPER(TRIM(H790))=TRIM(M790),"MATCH","MISMATCH"))</f>
        <v>MATCH</v>
      </c>
      <c r="O790" s="5" t="str">
        <f>INDEX([1]Employee!$C$2:$C$276,MATCH(B790,[1]Employee!$A$2:$A$276,0))</f>
        <v>Actuarial &amp; Risk</v>
      </c>
    </row>
    <row r="791" spans="1:15">
      <c r="A791" s="1" t="s">
        <v>1772</v>
      </c>
      <c r="B791" s="1" t="s">
        <v>118</v>
      </c>
      <c r="C791" s="1" t="s">
        <v>1773</v>
      </c>
      <c r="D791" s="2">
        <v>46061</v>
      </c>
      <c r="E791" s="2">
        <v>46069</v>
      </c>
      <c r="F791" s="1" t="s">
        <v>305</v>
      </c>
      <c r="G791" s="1" t="s">
        <v>2</v>
      </c>
      <c r="H791" s="1" t="s">
        <v>3</v>
      </c>
      <c r="I791" s="7">
        <v>9.11</v>
      </c>
      <c r="J791" s="1" t="s">
        <v>38</v>
      </c>
      <c r="K791" s="1"/>
      <c r="L791" s="1" t="s">
        <v>39</v>
      </c>
      <c r="M791" s="1" t="str">
        <f>INDEX(MCC_Lookup!$B$2:$B$12,MATCH(G791,MCC_Lookup!$A$2:$A$12,0))</f>
        <v>Meals</v>
      </c>
      <c r="N791" s="1" t="str">
        <f>IF(TRIM(H791)="","BLANK",IF(PROPER(TRIM(H791))=TRIM(M791),"MATCH","MISMATCH"))</f>
        <v>MATCH</v>
      </c>
      <c r="O791" s="5" t="str">
        <f>INDEX([1]Employee!$C$2:$C$276,MATCH(B791,[1]Employee!$A$2:$A$276,0))</f>
        <v>Underwriting</v>
      </c>
    </row>
    <row r="792" spans="1:15">
      <c r="A792" s="1" t="s">
        <v>1774</v>
      </c>
      <c r="B792" s="1" t="s">
        <v>63</v>
      </c>
      <c r="C792" s="1" t="s">
        <v>1775</v>
      </c>
      <c r="D792" s="2">
        <v>46066</v>
      </c>
      <c r="E792" s="2">
        <v>46069</v>
      </c>
      <c r="F792" s="1" t="s">
        <v>99</v>
      </c>
      <c r="G792" s="1" t="s">
        <v>2</v>
      </c>
      <c r="H792" s="1" t="s">
        <v>3</v>
      </c>
      <c r="I792" s="7">
        <v>115.11</v>
      </c>
      <c r="J792" s="1" t="s">
        <v>38</v>
      </c>
      <c r="K792" s="1"/>
      <c r="L792" s="1" t="s">
        <v>39</v>
      </c>
      <c r="M792" s="1" t="str">
        <f>INDEX(MCC_Lookup!$B$2:$B$12,MATCH(G792,MCC_Lookup!$A$2:$A$12,0))</f>
        <v>Meals</v>
      </c>
      <c r="N792" s="1" t="str">
        <f>IF(TRIM(H792)="","BLANK",IF(PROPER(TRIM(H792))=TRIM(M792),"MATCH","MISMATCH"))</f>
        <v>MATCH</v>
      </c>
      <c r="O792" s="5" t="str">
        <f>INDEX([1]Employee!$C$2:$C$276,MATCH(B792,[1]Employee!$A$2:$A$276,0))</f>
        <v>Sales &amp; Marketing</v>
      </c>
    </row>
    <row r="793" spans="1:15">
      <c r="A793" s="1" t="s">
        <v>1776</v>
      </c>
      <c r="B793" s="1" t="s">
        <v>1061</v>
      </c>
      <c r="C793" s="1" t="s">
        <v>1777</v>
      </c>
      <c r="D793" s="2">
        <v>46065</v>
      </c>
      <c r="E793" s="2">
        <v>46069</v>
      </c>
      <c r="F793" s="1" t="s">
        <v>124</v>
      </c>
      <c r="G793" s="1" t="s">
        <v>17</v>
      </c>
      <c r="H793" s="1"/>
      <c r="I793" s="7">
        <v>167.67</v>
      </c>
      <c r="J793" s="1" t="s">
        <v>38</v>
      </c>
      <c r="K793" s="1"/>
      <c r="L793" s="1" t="s">
        <v>48</v>
      </c>
      <c r="M793" s="1" t="str">
        <f>INDEX(MCC_Lookup!$B$2:$B$12,MATCH(G793,MCC_Lookup!$A$2:$A$12,0))</f>
        <v>Entertainment</v>
      </c>
      <c r="N793" s="1" t="str">
        <f>IF(TRIM(H793)="","BLANK",IF(PROPER(TRIM(H793))=TRIM(M793),"MATCH","MISMATCH"))</f>
        <v>BLANK</v>
      </c>
      <c r="O793" s="5" t="str">
        <f>INDEX([1]Employee!$C$2:$C$276,MATCH(B793,[1]Employee!$A$2:$A$276,0))</f>
        <v>Claims</v>
      </c>
    </row>
    <row r="794" spans="1:15">
      <c r="A794" s="1" t="s">
        <v>1778</v>
      </c>
      <c r="B794" s="1" t="s">
        <v>915</v>
      </c>
      <c r="C794" s="1" t="s">
        <v>1779</v>
      </c>
      <c r="D794" s="2">
        <v>46069</v>
      </c>
      <c r="E794" s="2">
        <v>46069</v>
      </c>
      <c r="F794" s="1" t="s">
        <v>52</v>
      </c>
      <c r="G794" s="1" t="s">
        <v>15</v>
      </c>
      <c r="H794" s="1" t="s">
        <v>16</v>
      </c>
      <c r="I794" s="7">
        <v>53.57</v>
      </c>
      <c r="J794" s="1" t="s">
        <v>38</v>
      </c>
      <c r="K794" s="1"/>
      <c r="L794" s="1" t="s">
        <v>39</v>
      </c>
      <c r="M794" s="1" t="str">
        <f>INDEX(MCC_Lookup!$B$2:$B$12,MATCH(G794,MCC_Lookup!$A$2:$A$12,0))</f>
        <v>Entertainment</v>
      </c>
      <c r="N794" s="1" t="str">
        <f>IF(TRIM(H794)="","BLANK",IF(PROPER(TRIM(H794))=TRIM(M794),"MATCH","MISMATCH"))</f>
        <v>MATCH</v>
      </c>
      <c r="O794" s="5" t="str">
        <f>INDEX([1]Employee!$C$2:$C$276,MATCH(B794,[1]Employee!$A$2:$A$276,0))</f>
        <v>Sales &amp; Marketing</v>
      </c>
    </row>
    <row r="795" spans="1:15">
      <c r="A795" s="1" t="s">
        <v>1780</v>
      </c>
      <c r="B795" s="1" t="s">
        <v>71</v>
      </c>
      <c r="C795" s="1"/>
      <c r="D795" s="2">
        <v>46066</v>
      </c>
      <c r="E795" s="2">
        <v>46069</v>
      </c>
      <c r="F795" s="1" t="s">
        <v>106</v>
      </c>
      <c r="G795" s="1" t="s">
        <v>13</v>
      </c>
      <c r="H795" s="1" t="s">
        <v>14</v>
      </c>
      <c r="I795" s="7">
        <v>75.569999999999993</v>
      </c>
      <c r="J795" s="1" t="s">
        <v>111</v>
      </c>
      <c r="K795" s="1" t="s">
        <v>229</v>
      </c>
      <c r="L795" s="1" t="s">
        <v>39</v>
      </c>
      <c r="M795" s="1" t="str">
        <f>INDEX(MCC_Lookup!$B$2:$B$12,MATCH(G795,MCC_Lookup!$A$2:$A$12,0))</f>
        <v>Software</v>
      </c>
      <c r="N795" s="1" t="str">
        <f>IF(TRIM(H795)="","BLANK",IF(PROPER(TRIM(H795))=TRIM(M795),"MATCH","MISMATCH"))</f>
        <v>MATCH</v>
      </c>
      <c r="O795" s="5" t="str">
        <f>INDEX([1]Employee!$C$2:$C$276,MATCH(B795,[1]Employee!$A$2:$A$276,0))</f>
        <v>Sales &amp; Marketing</v>
      </c>
    </row>
    <row r="796" spans="1:15">
      <c r="A796" s="1" t="s">
        <v>1781</v>
      </c>
      <c r="B796" s="1" t="s">
        <v>387</v>
      </c>
      <c r="C796" s="1" t="s">
        <v>1782</v>
      </c>
      <c r="D796" s="2">
        <v>46059</v>
      </c>
      <c r="E796" s="2">
        <v>46069</v>
      </c>
      <c r="F796" s="1" t="s">
        <v>305</v>
      </c>
      <c r="G796" s="1" t="s">
        <v>2</v>
      </c>
      <c r="H796" s="1" t="s">
        <v>3</v>
      </c>
      <c r="I796" s="7">
        <v>12.43</v>
      </c>
      <c r="J796" s="1" t="s">
        <v>38</v>
      </c>
      <c r="K796" s="1"/>
      <c r="L796" s="1" t="s">
        <v>39</v>
      </c>
      <c r="M796" s="1" t="str">
        <f>INDEX(MCC_Lookup!$B$2:$B$12,MATCH(G796,MCC_Lookup!$A$2:$A$12,0))</f>
        <v>Meals</v>
      </c>
      <c r="N796" s="1" t="str">
        <f>IF(TRIM(H796)="","BLANK",IF(PROPER(TRIM(H796))=TRIM(M796),"MATCH","MISMATCH"))</f>
        <v>MATCH</v>
      </c>
      <c r="O796" s="5" t="str">
        <f>INDEX([1]Employee!$C$2:$C$276,MATCH(B796,[1]Employee!$A$2:$A$276,0))</f>
        <v>IT &amp; Platform Engineering</v>
      </c>
    </row>
    <row r="797" spans="1:15">
      <c r="A797" s="1" t="s">
        <v>1783</v>
      </c>
      <c r="B797" s="1" t="s">
        <v>615</v>
      </c>
      <c r="C797" s="1" t="s">
        <v>1784</v>
      </c>
      <c r="D797" s="2">
        <v>46065</v>
      </c>
      <c r="E797" s="2">
        <v>46069</v>
      </c>
      <c r="F797" s="1" t="s">
        <v>52</v>
      </c>
      <c r="G797" s="1" t="s">
        <v>15</v>
      </c>
      <c r="H797" s="1" t="s">
        <v>16</v>
      </c>
      <c r="I797" s="7">
        <v>45.52</v>
      </c>
      <c r="J797" s="1" t="s">
        <v>38</v>
      </c>
      <c r="K797" s="1"/>
      <c r="L797" s="1" t="s">
        <v>39</v>
      </c>
      <c r="M797" s="1" t="str">
        <f>INDEX(MCC_Lookup!$B$2:$B$12,MATCH(G797,MCC_Lookup!$A$2:$A$12,0))</f>
        <v>Entertainment</v>
      </c>
      <c r="N797" s="1" t="str">
        <f>IF(TRIM(H797)="","BLANK",IF(PROPER(TRIM(H797))=TRIM(M797),"MATCH","MISMATCH"))</f>
        <v>MATCH</v>
      </c>
      <c r="O797" s="5" t="str">
        <f>INDEX([1]Employee!$C$2:$C$276,MATCH(B797,[1]Employee!$A$2:$A$276,0))</f>
        <v>Underwriting</v>
      </c>
    </row>
    <row r="798" spans="1:15">
      <c r="A798" s="1" t="s">
        <v>1785</v>
      </c>
      <c r="B798" s="1" t="s">
        <v>426</v>
      </c>
      <c r="C798" s="1" t="s">
        <v>1786</v>
      </c>
      <c r="D798" s="2">
        <v>46069</v>
      </c>
      <c r="E798" s="2">
        <v>46069</v>
      </c>
      <c r="F798" s="1" t="s">
        <v>37</v>
      </c>
      <c r="G798" s="1" t="s">
        <v>4</v>
      </c>
      <c r="H798" s="1" t="s">
        <v>5</v>
      </c>
      <c r="I798" s="7">
        <v>151.44999999999999</v>
      </c>
      <c r="J798" s="1" t="s">
        <v>38</v>
      </c>
      <c r="K798" s="1"/>
      <c r="L798" s="1" t="s">
        <v>39</v>
      </c>
      <c r="M798" s="1" t="str">
        <f>INDEX(MCC_Lookup!$B$2:$B$12,MATCH(G798,MCC_Lookup!$A$2:$A$12,0))</f>
        <v>Travel</v>
      </c>
      <c r="N798" s="1" t="str">
        <f>IF(TRIM(H798)="","BLANK",IF(PROPER(TRIM(H798))=TRIM(M798),"MATCH","MISMATCH"))</f>
        <v>MATCH</v>
      </c>
      <c r="O798" s="5" t="str">
        <f>INDEX([1]Employee!$C$2:$C$276,MATCH(B798,[1]Employee!$A$2:$A$276,0))</f>
        <v>Sales &amp; Marketing</v>
      </c>
    </row>
    <row r="799" spans="1:15">
      <c r="A799" s="1" t="s">
        <v>1787</v>
      </c>
      <c r="B799" s="1" t="s">
        <v>472</v>
      </c>
      <c r="C799" s="1" t="s">
        <v>1788</v>
      </c>
      <c r="D799" s="2">
        <v>46060</v>
      </c>
      <c r="E799" s="2">
        <v>46069</v>
      </c>
      <c r="F799" s="1" t="s">
        <v>37</v>
      </c>
      <c r="G799" s="1" t="s">
        <v>4</v>
      </c>
      <c r="H799" s="1" t="s">
        <v>5</v>
      </c>
      <c r="I799" s="7">
        <v>362.95</v>
      </c>
      <c r="J799" s="1" t="s">
        <v>38</v>
      </c>
      <c r="K799" s="1"/>
      <c r="L799" s="1" t="s">
        <v>39</v>
      </c>
      <c r="M799" s="1" t="str">
        <f>INDEX(MCC_Lookup!$B$2:$B$12,MATCH(G799,MCC_Lookup!$A$2:$A$12,0))</f>
        <v>Travel</v>
      </c>
      <c r="N799" s="1" t="str">
        <f>IF(TRIM(H799)="","BLANK",IF(PROPER(TRIM(H799))=TRIM(M799),"MATCH","MISMATCH"))</f>
        <v>MATCH</v>
      </c>
      <c r="O799" s="5" t="str">
        <f>INDEX([1]Employee!$C$2:$C$276,MATCH(B799,[1]Employee!$A$2:$A$276,0))</f>
        <v>Sales &amp; Marketing</v>
      </c>
    </row>
    <row r="800" spans="1:15">
      <c r="A800" s="1" t="s">
        <v>1789</v>
      </c>
      <c r="B800" s="1" t="s">
        <v>152</v>
      </c>
      <c r="C800" s="1" t="s">
        <v>1790</v>
      </c>
      <c r="D800" s="2">
        <v>46063</v>
      </c>
      <c r="E800" s="2">
        <v>46070</v>
      </c>
      <c r="F800" s="1" t="s">
        <v>242</v>
      </c>
      <c r="G800" s="1" t="s">
        <v>13</v>
      </c>
      <c r="H800" s="1" t="s">
        <v>419</v>
      </c>
      <c r="I800" s="7">
        <v>15.55</v>
      </c>
      <c r="J800" s="1" t="s">
        <v>38</v>
      </c>
      <c r="K800" s="1"/>
      <c r="L800" s="1" t="s">
        <v>48</v>
      </c>
      <c r="M800" s="1" t="str">
        <f>INDEX(MCC_Lookup!$B$2:$B$12,MATCH(G800,MCC_Lookup!$A$2:$A$12,0))</f>
        <v>Software</v>
      </c>
      <c r="N800" s="1" t="str">
        <f>IF(TRIM(H800)="","BLANK",IF(PROPER(TRIM(H800))=TRIM(M800),"MATCH","MISMATCH"))</f>
        <v>MATCH</v>
      </c>
      <c r="O800" s="5" t="str">
        <f>INDEX([1]Employee!$C$2:$C$276,MATCH(B800,[1]Employee!$A$2:$A$276,0))</f>
        <v>Sales &amp; Marketing</v>
      </c>
    </row>
    <row r="801" spans="1:15">
      <c r="A801" s="1" t="s">
        <v>1791</v>
      </c>
      <c r="B801" s="1" t="s">
        <v>648</v>
      </c>
      <c r="C801" s="1" t="s">
        <v>1792</v>
      </c>
      <c r="D801" s="2">
        <v>46067</v>
      </c>
      <c r="E801" s="2">
        <v>46070</v>
      </c>
      <c r="F801" s="1" t="s">
        <v>1793</v>
      </c>
      <c r="G801" s="1" t="s">
        <v>12</v>
      </c>
      <c r="H801" s="1" t="s">
        <v>11</v>
      </c>
      <c r="I801" s="7">
        <v>146.13</v>
      </c>
      <c r="J801" s="1" t="s">
        <v>38</v>
      </c>
      <c r="K801" s="1"/>
      <c r="L801" s="1" t="s">
        <v>39</v>
      </c>
      <c r="M801" s="1" t="str">
        <f>INDEX(MCC_Lookup!$B$2:$B$12,MATCH(G801,MCC_Lookup!$A$2:$A$12,0))</f>
        <v>Office Supplies</v>
      </c>
      <c r="N801" s="1" t="str">
        <f>IF(TRIM(H801)="","BLANK",IF(PROPER(TRIM(H801))=TRIM(M801),"MATCH","MISMATCH"))</f>
        <v>MATCH</v>
      </c>
      <c r="O801" s="5" t="str">
        <f>INDEX([1]Employee!$C$2:$C$276,MATCH(B801,[1]Employee!$A$2:$A$276,0))</f>
        <v>Sales &amp; Marketing</v>
      </c>
    </row>
    <row r="802" spans="1:15">
      <c r="A802" s="1" t="s">
        <v>1794</v>
      </c>
      <c r="B802" s="1" t="s">
        <v>648</v>
      </c>
      <c r="C802" s="1"/>
      <c r="D802" s="2">
        <v>46063</v>
      </c>
      <c r="E802" s="2">
        <v>46070</v>
      </c>
      <c r="F802" s="1" t="s">
        <v>242</v>
      </c>
      <c r="G802" s="1" t="s">
        <v>13</v>
      </c>
      <c r="H802" s="1"/>
      <c r="I802" s="7">
        <v>44.34</v>
      </c>
      <c r="J802" s="1" t="s">
        <v>38</v>
      </c>
      <c r="K802" s="1"/>
      <c r="L802" s="1" t="s">
        <v>39</v>
      </c>
      <c r="M802" s="1" t="str">
        <f>INDEX(MCC_Lookup!$B$2:$B$12,MATCH(G802,MCC_Lookup!$A$2:$A$12,0))</f>
        <v>Software</v>
      </c>
      <c r="N802" s="1" t="str">
        <f>IF(TRIM(H802)="","BLANK",IF(PROPER(TRIM(H802))=TRIM(M802),"MATCH","MISMATCH"))</f>
        <v>BLANK</v>
      </c>
      <c r="O802" s="5" t="str">
        <f>INDEX([1]Employee!$C$2:$C$276,MATCH(B802,[1]Employee!$A$2:$A$276,0))</f>
        <v>Sales &amp; Marketing</v>
      </c>
    </row>
    <row r="803" spans="1:15">
      <c r="A803" s="1" t="s">
        <v>1795</v>
      </c>
      <c r="B803" s="1" t="s">
        <v>303</v>
      </c>
      <c r="C803" s="1" t="s">
        <v>1796</v>
      </c>
      <c r="D803" s="2">
        <v>46068</v>
      </c>
      <c r="E803" s="2">
        <v>46070</v>
      </c>
      <c r="F803" s="1" t="s">
        <v>120</v>
      </c>
      <c r="G803" s="1" t="s">
        <v>12</v>
      </c>
      <c r="H803" s="1" t="s">
        <v>269</v>
      </c>
      <c r="I803" s="7">
        <v>373.21</v>
      </c>
      <c r="J803" s="1" t="s">
        <v>38</v>
      </c>
      <c r="K803" s="1"/>
      <c r="L803" s="1" t="s">
        <v>39</v>
      </c>
      <c r="M803" s="1" t="str">
        <f>INDEX(MCC_Lookup!$B$2:$B$12,MATCH(G803,MCC_Lookup!$A$2:$A$12,0))</f>
        <v>Office Supplies</v>
      </c>
      <c r="N803" s="1" t="str">
        <f>IF(TRIM(H803)="","BLANK",IF(PROPER(TRIM(H803))=TRIM(M803),"MATCH","MISMATCH"))</f>
        <v>MISMATCH</v>
      </c>
      <c r="O803" s="5" t="str">
        <f>INDEX([1]Employee!$C$2:$C$276,MATCH(B803,[1]Employee!$A$2:$A$276,0))</f>
        <v>Sales &amp; Marketing</v>
      </c>
    </row>
    <row r="804" spans="1:15">
      <c r="A804" s="1" t="s">
        <v>1797</v>
      </c>
      <c r="B804" s="1" t="s">
        <v>303</v>
      </c>
      <c r="C804" s="1" t="s">
        <v>1798</v>
      </c>
      <c r="D804" s="2">
        <v>46065</v>
      </c>
      <c r="E804" s="2">
        <v>46070</v>
      </c>
      <c r="F804" s="1" t="s">
        <v>305</v>
      </c>
      <c r="G804" s="1" t="s">
        <v>2</v>
      </c>
      <c r="H804" s="1" t="s">
        <v>3</v>
      </c>
      <c r="I804" s="7">
        <v>16.309999999999999</v>
      </c>
      <c r="J804" s="1" t="s">
        <v>38</v>
      </c>
      <c r="K804" s="1"/>
      <c r="L804" s="1" t="s">
        <v>39</v>
      </c>
      <c r="M804" s="1" t="str">
        <f>INDEX(MCC_Lookup!$B$2:$B$12,MATCH(G804,MCC_Lookup!$A$2:$A$12,0))</f>
        <v>Meals</v>
      </c>
      <c r="N804" s="1" t="str">
        <f>IF(TRIM(H804)="","BLANK",IF(PROPER(TRIM(H804))=TRIM(M804),"MATCH","MISMATCH"))</f>
        <v>MATCH</v>
      </c>
      <c r="O804" s="5" t="str">
        <f>INDEX([1]Employee!$C$2:$C$276,MATCH(B804,[1]Employee!$A$2:$A$276,0))</f>
        <v>Sales &amp; Marketing</v>
      </c>
    </row>
    <row r="805" spans="1:15">
      <c r="A805" s="1" t="s">
        <v>1799</v>
      </c>
      <c r="B805" s="1" t="s">
        <v>379</v>
      </c>
      <c r="C805" s="1" t="s">
        <v>1800</v>
      </c>
      <c r="D805" s="2">
        <v>46066</v>
      </c>
      <c r="E805" s="2">
        <v>46070</v>
      </c>
      <c r="F805" s="1" t="s">
        <v>65</v>
      </c>
      <c r="G805" s="1" t="s">
        <v>18</v>
      </c>
      <c r="H805" s="1" t="s">
        <v>19</v>
      </c>
      <c r="I805" s="7">
        <v>489.19</v>
      </c>
      <c r="J805" s="1" t="s">
        <v>38</v>
      </c>
      <c r="K805" s="1"/>
      <c r="L805" s="1" t="s">
        <v>39</v>
      </c>
      <c r="M805" s="1" t="str">
        <f>INDEX(MCC_Lookup!$B$2:$B$12,MATCH(G805,MCC_Lookup!$A$2:$A$12,0))</f>
        <v>Events</v>
      </c>
      <c r="N805" s="1" t="str">
        <f>IF(TRIM(H805)="","BLANK",IF(PROPER(TRIM(H805))=TRIM(M805),"MATCH","MISMATCH"))</f>
        <v>MATCH</v>
      </c>
      <c r="O805" s="5" t="str">
        <f>INDEX([1]Employee!$C$2:$C$276,MATCH(B805,[1]Employee!$A$2:$A$276,0))</f>
        <v>Sales &amp; Marketing</v>
      </c>
    </row>
    <row r="806" spans="1:15">
      <c r="A806" s="1" t="s">
        <v>1801</v>
      </c>
      <c r="B806" s="1" t="s">
        <v>300</v>
      </c>
      <c r="C806" s="1" t="s">
        <v>1802</v>
      </c>
      <c r="D806" s="2">
        <v>46063</v>
      </c>
      <c r="E806" s="2">
        <v>46070</v>
      </c>
      <c r="F806" s="1" t="s">
        <v>52</v>
      </c>
      <c r="G806" s="1" t="s">
        <v>15</v>
      </c>
      <c r="H806" s="1" t="s">
        <v>16</v>
      </c>
      <c r="I806" s="7">
        <v>49.53</v>
      </c>
      <c r="J806" s="1" t="s">
        <v>38</v>
      </c>
      <c r="K806" s="1"/>
      <c r="L806" s="1" t="s">
        <v>39</v>
      </c>
      <c r="M806" s="1" t="str">
        <f>INDEX(MCC_Lookup!$B$2:$B$12,MATCH(G806,MCC_Lookup!$A$2:$A$12,0))</f>
        <v>Entertainment</v>
      </c>
      <c r="N806" s="1" t="str">
        <f>IF(TRIM(H806)="","BLANK",IF(PROPER(TRIM(H806))=TRIM(M806),"MATCH","MISMATCH"))</f>
        <v>MATCH</v>
      </c>
      <c r="O806" s="5" t="str">
        <f>INDEX([1]Employee!$C$2:$C$276,MATCH(B806,[1]Employee!$A$2:$A$276,0))</f>
        <v>Sales &amp; Marketing</v>
      </c>
    </row>
    <row r="807" spans="1:15">
      <c r="A807" s="1" t="s">
        <v>1803</v>
      </c>
      <c r="B807" s="1" t="s">
        <v>277</v>
      </c>
      <c r="C807" s="1" t="s">
        <v>1804</v>
      </c>
      <c r="D807" s="2">
        <v>46062</v>
      </c>
      <c r="E807" s="2">
        <v>46070</v>
      </c>
      <c r="F807" s="1" t="s">
        <v>95</v>
      </c>
      <c r="G807" s="1" t="s">
        <v>6</v>
      </c>
      <c r="H807" s="1" t="s">
        <v>7</v>
      </c>
      <c r="I807" s="7">
        <v>155.94</v>
      </c>
      <c r="J807" s="1" t="s">
        <v>38</v>
      </c>
      <c r="K807" s="1"/>
      <c r="L807" s="1" t="s">
        <v>39</v>
      </c>
      <c r="M807" s="1" t="str">
        <f>INDEX(MCC_Lookup!$B$2:$B$12,MATCH(G807,MCC_Lookup!$A$2:$A$12,0))</f>
        <v>Lodging</v>
      </c>
      <c r="N807" s="1" t="str">
        <f>IF(TRIM(H807)="","BLANK",IF(PROPER(TRIM(H807))=TRIM(M807),"MATCH","MISMATCH"))</f>
        <v>MATCH</v>
      </c>
      <c r="O807" s="5" t="str">
        <f>INDEX([1]Employee!$C$2:$C$276,MATCH(B807,[1]Employee!$A$2:$A$276,0))</f>
        <v>Claims</v>
      </c>
    </row>
    <row r="808" spans="1:15">
      <c r="A808" s="1" t="s">
        <v>1805</v>
      </c>
      <c r="B808" s="1" t="s">
        <v>104</v>
      </c>
      <c r="C808" s="1" t="s">
        <v>1806</v>
      </c>
      <c r="D808" s="2">
        <v>46061</v>
      </c>
      <c r="E808" s="2">
        <v>46070</v>
      </c>
      <c r="F808" s="1" t="s">
        <v>79</v>
      </c>
      <c r="G808" s="1" t="s">
        <v>13</v>
      </c>
      <c r="H808" s="1" t="s">
        <v>14</v>
      </c>
      <c r="I808" s="7">
        <v>138.94999999999999</v>
      </c>
      <c r="J808" s="1" t="s">
        <v>38</v>
      </c>
      <c r="K808" s="1"/>
      <c r="L808" s="1" t="s">
        <v>39</v>
      </c>
      <c r="M808" s="1" t="str">
        <f>INDEX(MCC_Lookup!$B$2:$B$12,MATCH(G808,MCC_Lookup!$A$2:$A$12,0))</f>
        <v>Software</v>
      </c>
      <c r="N808" s="1" t="str">
        <f>IF(TRIM(H808)="","BLANK",IF(PROPER(TRIM(H808))=TRIM(M808),"MATCH","MISMATCH"))</f>
        <v>MATCH</v>
      </c>
      <c r="O808" s="5" t="str">
        <f>INDEX([1]Employee!$C$2:$C$276,MATCH(B808,[1]Employee!$A$2:$A$276,0))</f>
        <v>Sales &amp; Marketing</v>
      </c>
    </row>
    <row r="809" spans="1:15">
      <c r="A809" s="1" t="s">
        <v>1807</v>
      </c>
      <c r="B809" s="1" t="s">
        <v>104</v>
      </c>
      <c r="C809" s="1" t="s">
        <v>1808</v>
      </c>
      <c r="D809" s="2">
        <v>46064</v>
      </c>
      <c r="E809" s="2">
        <v>46070</v>
      </c>
      <c r="F809" s="1" t="s">
        <v>92</v>
      </c>
      <c r="G809" s="1" t="s">
        <v>10</v>
      </c>
      <c r="H809" s="1" t="s">
        <v>11</v>
      </c>
      <c r="I809" s="7">
        <v>173.36</v>
      </c>
      <c r="J809" s="1" t="s">
        <v>38</v>
      </c>
      <c r="K809" s="1"/>
      <c r="L809" s="1" t="s">
        <v>39</v>
      </c>
      <c r="M809" s="1" t="str">
        <f>INDEX(MCC_Lookup!$B$2:$B$12,MATCH(G809,MCC_Lookup!$A$2:$A$12,0))</f>
        <v>Office Supplies</v>
      </c>
      <c r="N809" s="1" t="str">
        <f>IF(TRIM(H809)="","BLANK",IF(PROPER(TRIM(H809))=TRIM(M809),"MATCH","MISMATCH"))</f>
        <v>MATCH</v>
      </c>
      <c r="O809" s="5" t="str">
        <f>INDEX([1]Employee!$C$2:$C$276,MATCH(B809,[1]Employee!$A$2:$A$276,0))</f>
        <v>Sales &amp; Marketing</v>
      </c>
    </row>
    <row r="810" spans="1:15">
      <c r="A810" s="1" t="s">
        <v>1809</v>
      </c>
      <c r="B810" s="1" t="s">
        <v>855</v>
      </c>
      <c r="C810" s="1"/>
      <c r="D810" s="2">
        <v>46069</v>
      </c>
      <c r="E810" s="2">
        <v>46070</v>
      </c>
      <c r="F810" s="1" t="s">
        <v>259</v>
      </c>
      <c r="G810" s="1" t="s">
        <v>20</v>
      </c>
      <c r="H810" s="1" t="s">
        <v>19</v>
      </c>
      <c r="I810" s="7">
        <v>511.16</v>
      </c>
      <c r="J810" s="1" t="s">
        <v>38</v>
      </c>
      <c r="K810" s="1"/>
      <c r="L810" s="1" t="s">
        <v>39</v>
      </c>
      <c r="M810" s="1" t="str">
        <f>INDEX(MCC_Lookup!$B$2:$B$12,MATCH(G810,MCC_Lookup!$A$2:$A$12,0))</f>
        <v>Events</v>
      </c>
      <c r="N810" s="1" t="str">
        <f>IF(TRIM(H810)="","BLANK",IF(PROPER(TRIM(H810))=TRIM(M810),"MATCH","MISMATCH"))</f>
        <v>MATCH</v>
      </c>
      <c r="O810" s="5" t="str">
        <f>INDEX([1]Employee!$C$2:$C$276,MATCH(B810,[1]Employee!$A$2:$A$276,0))</f>
        <v>Underwriting</v>
      </c>
    </row>
    <row r="811" spans="1:15">
      <c r="A811" s="1" t="s">
        <v>1810</v>
      </c>
      <c r="B811" s="1" t="s">
        <v>108</v>
      </c>
      <c r="C811" s="1" t="s">
        <v>1811</v>
      </c>
      <c r="D811" s="2">
        <v>46063</v>
      </c>
      <c r="E811" s="2">
        <v>46070</v>
      </c>
      <c r="F811" s="1" t="s">
        <v>242</v>
      </c>
      <c r="G811" s="1" t="s">
        <v>13</v>
      </c>
      <c r="H811" s="1" t="s">
        <v>192</v>
      </c>
      <c r="I811" s="7">
        <v>39.299999999999997</v>
      </c>
      <c r="J811" s="1" t="s">
        <v>38</v>
      </c>
      <c r="K811" s="1"/>
      <c r="L811" s="1" t="s">
        <v>39</v>
      </c>
      <c r="M811" s="1" t="str">
        <f>INDEX(MCC_Lookup!$B$2:$B$12,MATCH(G811,MCC_Lookup!$A$2:$A$12,0))</f>
        <v>Software</v>
      </c>
      <c r="N811" s="1" t="str">
        <f>IF(TRIM(H811)="","BLANK",IF(PROPER(TRIM(H811))=TRIM(M811),"MATCH","MISMATCH"))</f>
        <v>MATCH</v>
      </c>
      <c r="O811" s="5" t="str">
        <f>INDEX([1]Employee!$C$2:$C$276,MATCH(B811,[1]Employee!$A$2:$A$276,0))</f>
        <v>Sales &amp; Marketing</v>
      </c>
    </row>
    <row r="812" spans="1:15">
      <c r="A812" s="1" t="s">
        <v>1812</v>
      </c>
      <c r="B812" s="1" t="s">
        <v>182</v>
      </c>
      <c r="C812" s="1"/>
      <c r="D812" s="2">
        <v>46068</v>
      </c>
      <c r="E812" s="2">
        <v>46070</v>
      </c>
      <c r="F812" s="1" t="s">
        <v>99</v>
      </c>
      <c r="G812" s="1" t="s">
        <v>2</v>
      </c>
      <c r="H812" s="1" t="s">
        <v>3</v>
      </c>
      <c r="I812" s="7">
        <v>53.78</v>
      </c>
      <c r="J812" s="1" t="s">
        <v>38</v>
      </c>
      <c r="K812" s="1"/>
      <c r="L812" s="1" t="s">
        <v>39</v>
      </c>
      <c r="M812" s="1" t="str">
        <f>INDEX(MCC_Lookup!$B$2:$B$12,MATCH(G812,MCC_Lookup!$A$2:$A$12,0))</f>
        <v>Meals</v>
      </c>
      <c r="N812" s="1" t="str">
        <f>IF(TRIM(H812)="","BLANK",IF(PROPER(TRIM(H812))=TRIM(M812),"MATCH","MISMATCH"))</f>
        <v>MATCH</v>
      </c>
      <c r="O812" s="5" t="str">
        <f>INDEX([1]Employee!$C$2:$C$276,MATCH(B812,[1]Employee!$A$2:$A$276,0))</f>
        <v>Sales &amp; Marketing</v>
      </c>
    </row>
    <row r="813" spans="1:15">
      <c r="A813" s="1" t="s">
        <v>1813</v>
      </c>
      <c r="B813" s="1" t="s">
        <v>1814</v>
      </c>
      <c r="C813" s="1" t="s">
        <v>1815</v>
      </c>
      <c r="D813" s="2">
        <v>46065</v>
      </c>
      <c r="E813" s="2">
        <v>46070</v>
      </c>
      <c r="F813" s="1" t="s">
        <v>242</v>
      </c>
      <c r="G813" s="1" t="s">
        <v>13</v>
      </c>
      <c r="H813" s="1" t="s">
        <v>14</v>
      </c>
      <c r="I813" s="7">
        <v>49.74</v>
      </c>
      <c r="J813" s="1" t="s">
        <v>38</v>
      </c>
      <c r="K813" s="1"/>
      <c r="L813" s="1" t="s">
        <v>39</v>
      </c>
      <c r="M813" s="1" t="str">
        <f>INDEX(MCC_Lookup!$B$2:$B$12,MATCH(G813,MCC_Lookup!$A$2:$A$12,0))</f>
        <v>Software</v>
      </c>
      <c r="N813" s="1" t="str">
        <f>IF(TRIM(H813)="","BLANK",IF(PROPER(TRIM(H813))=TRIM(M813),"MATCH","MISMATCH"))</f>
        <v>MATCH</v>
      </c>
      <c r="O813" s="5" t="str">
        <f>INDEX([1]Employee!$C$2:$C$276,MATCH(B813,[1]Employee!$A$2:$A$276,0))</f>
        <v>Underwriting</v>
      </c>
    </row>
    <row r="814" spans="1:15">
      <c r="A814" s="1" t="s">
        <v>1816</v>
      </c>
      <c r="B814" s="1" t="s">
        <v>122</v>
      </c>
      <c r="C814" s="1" t="s">
        <v>1817</v>
      </c>
      <c r="D814" s="2">
        <v>46065</v>
      </c>
      <c r="E814" s="2">
        <v>46070</v>
      </c>
      <c r="F814" s="1" t="s">
        <v>233</v>
      </c>
      <c r="G814" s="1" t="s">
        <v>2</v>
      </c>
      <c r="H814" s="1" t="s">
        <v>138</v>
      </c>
      <c r="I814" s="7">
        <v>10.56</v>
      </c>
      <c r="J814" s="1" t="s">
        <v>38</v>
      </c>
      <c r="K814" s="1"/>
      <c r="L814" s="1" t="s">
        <v>39</v>
      </c>
      <c r="M814" s="1" t="str">
        <f>INDEX(MCC_Lookup!$B$2:$B$12,MATCH(G814,MCC_Lookup!$A$2:$A$12,0))</f>
        <v>Meals</v>
      </c>
      <c r="N814" s="1" t="str">
        <f>IF(TRIM(H814)="","BLANK",IF(PROPER(TRIM(H814))=TRIM(M814),"MATCH","MISMATCH"))</f>
        <v>MATCH</v>
      </c>
      <c r="O814" s="5" t="str">
        <f>INDEX([1]Employee!$C$2:$C$276,MATCH(B814,[1]Employee!$A$2:$A$276,0))</f>
        <v>Sales &amp; Marketing</v>
      </c>
    </row>
    <row r="815" spans="1:15">
      <c r="A815" s="1" t="s">
        <v>1818</v>
      </c>
      <c r="B815" s="1" t="s">
        <v>1632</v>
      </c>
      <c r="C815" s="1" t="s">
        <v>1819</v>
      </c>
      <c r="D815" s="2">
        <v>46061</v>
      </c>
      <c r="E815" s="2">
        <v>46070</v>
      </c>
      <c r="F815" s="1" t="s">
        <v>69</v>
      </c>
      <c r="G815" s="1" t="s">
        <v>8</v>
      </c>
      <c r="H815" s="1" t="s">
        <v>9</v>
      </c>
      <c r="I815" s="7">
        <v>32.6</v>
      </c>
      <c r="J815" s="1" t="s">
        <v>38</v>
      </c>
      <c r="K815" s="1"/>
      <c r="L815" s="1" t="s">
        <v>39</v>
      </c>
      <c r="M815" s="1" t="str">
        <f>INDEX(MCC_Lookup!$B$2:$B$12,MATCH(G815,MCC_Lookup!$A$2:$A$12,0))</f>
        <v>Transportation</v>
      </c>
      <c r="N815" s="1" t="str">
        <f>IF(TRIM(H815)="","BLANK",IF(PROPER(TRIM(H815))=TRIM(M815),"MATCH","MISMATCH"))</f>
        <v>MATCH</v>
      </c>
      <c r="O815" s="5" t="str">
        <f>INDEX([1]Employee!$C$2:$C$276,MATCH(B815,[1]Employee!$A$2:$A$276,0))</f>
        <v>HR &amp; Events</v>
      </c>
    </row>
    <row r="816" spans="1:15">
      <c r="A816" s="1" t="s">
        <v>1820</v>
      </c>
      <c r="B816" s="1" t="s">
        <v>1821</v>
      </c>
      <c r="C816" s="1" t="s">
        <v>1822</v>
      </c>
      <c r="D816" s="2">
        <v>46060</v>
      </c>
      <c r="E816" s="2">
        <v>46070</v>
      </c>
      <c r="F816" s="1" t="s">
        <v>106</v>
      </c>
      <c r="G816" s="1" t="s">
        <v>13</v>
      </c>
      <c r="H816" s="1" t="s">
        <v>14</v>
      </c>
      <c r="I816" s="7">
        <v>74.34</v>
      </c>
      <c r="J816" s="1" t="s">
        <v>38</v>
      </c>
      <c r="K816" s="1"/>
      <c r="L816" s="1" t="s">
        <v>39</v>
      </c>
      <c r="M816" s="1" t="str">
        <f>INDEX(MCC_Lookup!$B$2:$B$12,MATCH(G816,MCC_Lookup!$A$2:$A$12,0))</f>
        <v>Software</v>
      </c>
      <c r="N816" s="1" t="str">
        <f>IF(TRIM(H816)="","BLANK",IF(PROPER(TRIM(H816))=TRIM(M816),"MATCH","MISMATCH"))</f>
        <v>MATCH</v>
      </c>
      <c r="O816" s="5" t="str">
        <f>INDEX([1]Employee!$C$2:$C$276,MATCH(B816,[1]Employee!$A$2:$A$276,0))</f>
        <v>Finance</v>
      </c>
    </row>
    <row r="817" spans="1:15">
      <c r="A817" s="1" t="s">
        <v>1823</v>
      </c>
      <c r="B817" s="1" t="s">
        <v>1824</v>
      </c>
      <c r="C817" s="1" t="s">
        <v>1825</v>
      </c>
      <c r="D817" s="2">
        <v>46068</v>
      </c>
      <c r="E817" s="2">
        <v>46070</v>
      </c>
      <c r="F817" s="1" t="s">
        <v>65</v>
      </c>
      <c r="G817" s="1" t="s">
        <v>18</v>
      </c>
      <c r="H817" s="1"/>
      <c r="I817" s="7">
        <v>380.71</v>
      </c>
      <c r="J817" s="1" t="s">
        <v>38</v>
      </c>
      <c r="K817" s="1"/>
      <c r="L817" s="1" t="s">
        <v>39</v>
      </c>
      <c r="M817" s="1" t="str">
        <f>INDEX(MCC_Lookup!$B$2:$B$12,MATCH(G817,MCC_Lookup!$A$2:$A$12,0))</f>
        <v>Events</v>
      </c>
      <c r="N817" s="1" t="str">
        <f>IF(TRIM(H817)="","BLANK",IF(PROPER(TRIM(H817))=TRIM(M817),"MATCH","MISMATCH"))</f>
        <v>BLANK</v>
      </c>
      <c r="O817" s="5" t="str">
        <f>INDEX([1]Employee!$C$2:$C$276,MATCH(B817,[1]Employee!$A$2:$A$276,0))</f>
        <v>Claims</v>
      </c>
    </row>
    <row r="818" spans="1:15">
      <c r="A818" s="1" t="s">
        <v>1826</v>
      </c>
      <c r="B818" s="1" t="s">
        <v>595</v>
      </c>
      <c r="C818" s="1" t="s">
        <v>1827</v>
      </c>
      <c r="D818" s="2">
        <v>46069</v>
      </c>
      <c r="E818" s="2">
        <v>46070</v>
      </c>
      <c r="F818" s="1" t="s">
        <v>347</v>
      </c>
      <c r="G818" s="1" t="s">
        <v>8</v>
      </c>
      <c r="H818" s="1" t="s">
        <v>9</v>
      </c>
      <c r="I818" s="7">
        <v>13.8</v>
      </c>
      <c r="J818" s="1" t="s">
        <v>38</v>
      </c>
      <c r="K818" s="1"/>
      <c r="L818" s="1" t="s">
        <v>39</v>
      </c>
      <c r="M818" s="1" t="str">
        <f>INDEX(MCC_Lookup!$B$2:$B$12,MATCH(G818,MCC_Lookup!$A$2:$A$12,0))</f>
        <v>Transportation</v>
      </c>
      <c r="N818" s="1" t="str">
        <f>IF(TRIM(H818)="","BLANK",IF(PROPER(TRIM(H818))=TRIM(M818),"MATCH","MISMATCH"))</f>
        <v>MATCH</v>
      </c>
      <c r="O818" s="5" t="str">
        <f>INDEX([1]Employee!$C$2:$C$276,MATCH(B818,[1]Employee!$A$2:$A$276,0))</f>
        <v>Executive &amp; Corporate</v>
      </c>
    </row>
    <row r="819" spans="1:15">
      <c r="A819" s="1" t="s">
        <v>1828</v>
      </c>
      <c r="B819" s="1" t="s">
        <v>74</v>
      </c>
      <c r="C819" s="1"/>
      <c r="D819" s="2">
        <v>46065</v>
      </c>
      <c r="E819" s="2">
        <v>46070</v>
      </c>
      <c r="F819" s="1" t="s">
        <v>99</v>
      </c>
      <c r="G819" s="1" t="s">
        <v>2</v>
      </c>
      <c r="H819" s="1" t="s">
        <v>3</v>
      </c>
      <c r="I819" s="7">
        <v>124.9</v>
      </c>
      <c r="J819" s="1" t="s">
        <v>38</v>
      </c>
      <c r="K819" s="1"/>
      <c r="L819" s="1" t="s">
        <v>39</v>
      </c>
      <c r="M819" s="1" t="str">
        <f>INDEX(MCC_Lookup!$B$2:$B$12,MATCH(G819,MCC_Lookup!$A$2:$A$12,0))</f>
        <v>Meals</v>
      </c>
      <c r="N819" s="1" t="str">
        <f>IF(TRIM(H819)="","BLANK",IF(PROPER(TRIM(H819))=TRIM(M819),"MATCH","MISMATCH"))</f>
        <v>MATCH</v>
      </c>
      <c r="O819" s="5" t="str">
        <f>INDEX([1]Employee!$C$2:$C$276,MATCH(B819,[1]Employee!$A$2:$A$276,0))</f>
        <v>Underwriting</v>
      </c>
    </row>
    <row r="820" spans="1:15">
      <c r="A820" s="1" t="s">
        <v>1829</v>
      </c>
      <c r="B820" s="1" t="s">
        <v>836</v>
      </c>
      <c r="C820" s="1" t="s">
        <v>1830</v>
      </c>
      <c r="D820" s="2">
        <v>46069</v>
      </c>
      <c r="E820" s="2">
        <v>46070</v>
      </c>
      <c r="F820" s="1" t="s">
        <v>259</v>
      </c>
      <c r="G820" s="1" t="s">
        <v>20</v>
      </c>
      <c r="H820" s="1" t="s">
        <v>332</v>
      </c>
      <c r="I820" s="7">
        <v>510.8</v>
      </c>
      <c r="J820" s="1" t="s">
        <v>38</v>
      </c>
      <c r="K820" s="1"/>
      <c r="L820" s="1" t="s">
        <v>39</v>
      </c>
      <c r="M820" s="1" t="str">
        <f>INDEX(MCC_Lookup!$B$2:$B$12,MATCH(G820,MCC_Lookup!$A$2:$A$12,0))</f>
        <v>Events</v>
      </c>
      <c r="N820" s="1" t="str">
        <f>IF(TRIM(H820)="","BLANK",IF(PROPER(TRIM(H820))=TRIM(M820),"MATCH","MISMATCH"))</f>
        <v>MATCH</v>
      </c>
      <c r="O820" s="5" t="str">
        <f>INDEX([1]Employee!$C$2:$C$276,MATCH(B820,[1]Employee!$A$2:$A$276,0))</f>
        <v>Sales &amp; Marketing</v>
      </c>
    </row>
    <row r="821" spans="1:15">
      <c r="A821" s="1" t="s">
        <v>1831</v>
      </c>
      <c r="B821" s="1" t="s">
        <v>499</v>
      </c>
      <c r="C821" s="1" t="s">
        <v>1832</v>
      </c>
      <c r="D821" s="2">
        <v>46061</v>
      </c>
      <c r="E821" s="2">
        <v>46070</v>
      </c>
      <c r="F821" s="1" t="s">
        <v>37</v>
      </c>
      <c r="G821" s="1" t="s">
        <v>4</v>
      </c>
      <c r="H821" s="1" t="s">
        <v>5</v>
      </c>
      <c r="I821" s="7">
        <v>399.51</v>
      </c>
      <c r="J821" s="1" t="s">
        <v>38</v>
      </c>
      <c r="K821" s="1"/>
      <c r="L821" s="1" t="s">
        <v>39</v>
      </c>
      <c r="M821" s="1" t="str">
        <f>INDEX(MCC_Lookup!$B$2:$B$12,MATCH(G821,MCC_Lookup!$A$2:$A$12,0))</f>
        <v>Travel</v>
      </c>
      <c r="N821" s="1" t="str">
        <f>IF(TRIM(H821)="","BLANK",IF(PROPER(TRIM(H821))=TRIM(M821),"MATCH","MISMATCH"))</f>
        <v>MATCH</v>
      </c>
      <c r="O821" s="5" t="str">
        <f>INDEX([1]Employee!$C$2:$C$276,MATCH(B821,[1]Employee!$A$2:$A$276,0))</f>
        <v>Sales &amp; Marketing</v>
      </c>
    </row>
    <row r="822" spans="1:15">
      <c r="A822" s="1" t="s">
        <v>1833</v>
      </c>
      <c r="B822" s="1" t="s">
        <v>890</v>
      </c>
      <c r="C822" s="1" t="s">
        <v>1834</v>
      </c>
      <c r="D822" s="2">
        <v>46068</v>
      </c>
      <c r="E822" s="2">
        <v>46070</v>
      </c>
      <c r="F822" s="1" t="s">
        <v>83</v>
      </c>
      <c r="G822" s="1" t="s">
        <v>2</v>
      </c>
      <c r="H822" s="1" t="s">
        <v>3</v>
      </c>
      <c r="I822" s="7">
        <v>18.5</v>
      </c>
      <c r="J822" s="1" t="s">
        <v>38</v>
      </c>
      <c r="K822" s="1"/>
      <c r="L822" s="1" t="s">
        <v>39</v>
      </c>
      <c r="M822" s="1" t="str">
        <f>INDEX(MCC_Lookup!$B$2:$B$12,MATCH(G822,MCC_Lookup!$A$2:$A$12,0))</f>
        <v>Meals</v>
      </c>
      <c r="N822" s="1" t="str">
        <f>IF(TRIM(H822)="","BLANK",IF(PROPER(TRIM(H822))=TRIM(M822),"MATCH","MISMATCH"))</f>
        <v>MATCH</v>
      </c>
      <c r="O822" s="5" t="str">
        <f>INDEX([1]Employee!$C$2:$C$276,MATCH(B822,[1]Employee!$A$2:$A$276,0))</f>
        <v>Sales &amp; Marketing</v>
      </c>
    </row>
    <row r="823" spans="1:15">
      <c r="A823" s="1" t="s">
        <v>1835</v>
      </c>
      <c r="B823" s="1" t="s">
        <v>469</v>
      </c>
      <c r="C823" s="1"/>
      <c r="D823" s="2">
        <v>46065</v>
      </c>
      <c r="E823" s="2">
        <v>46070</v>
      </c>
      <c r="F823" s="1" t="s">
        <v>99</v>
      </c>
      <c r="G823" s="1" t="s">
        <v>2</v>
      </c>
      <c r="H823" s="1" t="s">
        <v>3</v>
      </c>
      <c r="I823" s="7">
        <v>79.59</v>
      </c>
      <c r="J823" s="1" t="s">
        <v>111</v>
      </c>
      <c r="K823" s="1" t="s">
        <v>127</v>
      </c>
      <c r="L823" s="1" t="s">
        <v>39</v>
      </c>
      <c r="M823" s="1" t="str">
        <f>INDEX(MCC_Lookup!$B$2:$B$12,MATCH(G823,MCC_Lookup!$A$2:$A$12,0))</f>
        <v>Meals</v>
      </c>
      <c r="N823" s="1" t="str">
        <f>IF(TRIM(H823)="","BLANK",IF(PROPER(TRIM(H823))=TRIM(M823),"MATCH","MISMATCH"))</f>
        <v>MATCH</v>
      </c>
      <c r="O823" s="5" t="str">
        <f>INDEX([1]Employee!$C$2:$C$276,MATCH(B823,[1]Employee!$A$2:$A$276,0))</f>
        <v>Sales &amp; Marketing</v>
      </c>
    </row>
    <row r="824" spans="1:15">
      <c r="A824" s="1" t="s">
        <v>1836</v>
      </c>
      <c r="B824" s="1" t="s">
        <v>179</v>
      </c>
      <c r="C824" s="1" t="s">
        <v>1837</v>
      </c>
      <c r="D824" s="2">
        <v>46063</v>
      </c>
      <c r="E824" s="2">
        <v>46070</v>
      </c>
      <c r="F824" s="1" t="s">
        <v>177</v>
      </c>
      <c r="G824" s="1" t="s">
        <v>13</v>
      </c>
      <c r="H824" s="1" t="s">
        <v>1838</v>
      </c>
      <c r="I824" s="7">
        <v>65.12</v>
      </c>
      <c r="J824" s="1" t="s">
        <v>38</v>
      </c>
      <c r="K824" s="1"/>
      <c r="L824" s="1" t="s">
        <v>39</v>
      </c>
      <c r="M824" s="1" t="str">
        <f>INDEX(MCC_Lookup!$B$2:$B$12,MATCH(G824,MCC_Lookup!$A$2:$A$12,0))</f>
        <v>Software</v>
      </c>
      <c r="N824" s="1" t="str">
        <f>IF(TRIM(H824)="","BLANK",IF(PROPER(TRIM(H824))=TRIM(M824),"MATCH","MISMATCH"))</f>
        <v>MATCH</v>
      </c>
      <c r="O824" s="5" t="str">
        <f>INDEX([1]Employee!$C$2:$C$276,MATCH(B824,[1]Employee!$A$2:$A$276,0))</f>
        <v>Claims</v>
      </c>
    </row>
    <row r="825" spans="1:15">
      <c r="A825" s="1" t="s">
        <v>1839</v>
      </c>
      <c r="B825" s="1" t="s">
        <v>244</v>
      </c>
      <c r="C825" s="1" t="s">
        <v>1840</v>
      </c>
      <c r="D825" s="2">
        <v>46069</v>
      </c>
      <c r="E825" s="2">
        <v>46070</v>
      </c>
      <c r="F825" s="1" t="s">
        <v>76</v>
      </c>
      <c r="G825" s="1" t="s">
        <v>13</v>
      </c>
      <c r="H825" s="1" t="s">
        <v>14</v>
      </c>
      <c r="I825" s="7">
        <v>405.73</v>
      </c>
      <c r="J825" s="1" t="s">
        <v>38</v>
      </c>
      <c r="K825" s="1"/>
      <c r="L825" s="1" t="s">
        <v>48</v>
      </c>
      <c r="M825" s="1" t="str">
        <f>INDEX(MCC_Lookup!$B$2:$B$12,MATCH(G825,MCC_Lookup!$A$2:$A$12,0))</f>
        <v>Software</v>
      </c>
      <c r="N825" s="1" t="str">
        <f>IF(TRIM(H825)="","BLANK",IF(PROPER(TRIM(H825))=TRIM(M825),"MATCH","MISMATCH"))</f>
        <v>MATCH</v>
      </c>
      <c r="O825" s="5" t="str">
        <f>INDEX([1]Employee!$C$2:$C$276,MATCH(B825,[1]Employee!$A$2:$A$276,0))</f>
        <v>Sales &amp; Marketing</v>
      </c>
    </row>
    <row r="826" spans="1:15">
      <c r="A826" s="1" t="s">
        <v>1841</v>
      </c>
      <c r="B826" s="1" t="s">
        <v>244</v>
      </c>
      <c r="C826" s="1" t="s">
        <v>1842</v>
      </c>
      <c r="D826" s="2">
        <v>46070</v>
      </c>
      <c r="E826" s="2">
        <v>46070</v>
      </c>
      <c r="F826" s="1" t="s">
        <v>242</v>
      </c>
      <c r="G826" s="1" t="s">
        <v>13</v>
      </c>
      <c r="H826" s="1"/>
      <c r="I826" s="7">
        <v>18.440000000000001</v>
      </c>
      <c r="J826" s="1" t="s">
        <v>38</v>
      </c>
      <c r="K826" s="1"/>
      <c r="L826" s="1" t="s">
        <v>39</v>
      </c>
      <c r="M826" s="1" t="str">
        <f>INDEX(MCC_Lookup!$B$2:$B$12,MATCH(G826,MCC_Lookup!$A$2:$A$12,0))</f>
        <v>Software</v>
      </c>
      <c r="N826" s="1" t="str">
        <f>IF(TRIM(H826)="","BLANK",IF(PROPER(TRIM(H826))=TRIM(M826),"MATCH","MISMATCH"))</f>
        <v>BLANK</v>
      </c>
      <c r="O826" s="5" t="str">
        <f>INDEX([1]Employee!$C$2:$C$276,MATCH(B826,[1]Employee!$A$2:$A$276,0))</f>
        <v>Sales &amp; Marketing</v>
      </c>
    </row>
    <row r="827" spans="1:15">
      <c r="A827" s="1" t="s">
        <v>1843</v>
      </c>
      <c r="B827" s="1" t="s">
        <v>1504</v>
      </c>
      <c r="C827" s="1" t="s">
        <v>1844</v>
      </c>
      <c r="D827" s="2">
        <v>46070</v>
      </c>
      <c r="E827" s="2">
        <v>46070</v>
      </c>
      <c r="F827" s="1" t="s">
        <v>69</v>
      </c>
      <c r="G827" s="1" t="s">
        <v>8</v>
      </c>
      <c r="H827" s="1" t="s">
        <v>9</v>
      </c>
      <c r="I827" s="7">
        <v>32.950000000000003</v>
      </c>
      <c r="J827" s="1" t="s">
        <v>38</v>
      </c>
      <c r="K827" s="1"/>
      <c r="L827" s="1" t="s">
        <v>39</v>
      </c>
      <c r="M827" s="1" t="str">
        <f>INDEX(MCC_Lookup!$B$2:$B$12,MATCH(G827,MCC_Lookup!$A$2:$A$12,0))</f>
        <v>Transportation</v>
      </c>
      <c r="N827" s="1" t="str">
        <f>IF(TRIM(H827)="","BLANK",IF(PROPER(TRIM(H827))=TRIM(M827),"MATCH","MISMATCH"))</f>
        <v>MATCH</v>
      </c>
      <c r="O827" s="5" t="str">
        <f>INDEX([1]Employee!$C$2:$C$276,MATCH(B827,[1]Employee!$A$2:$A$276,0))</f>
        <v>Sales &amp; Marketing</v>
      </c>
    </row>
    <row r="828" spans="1:15">
      <c r="A828" s="1" t="s">
        <v>1845</v>
      </c>
      <c r="B828" s="1" t="s">
        <v>1642</v>
      </c>
      <c r="C828" s="1" t="s">
        <v>1846</v>
      </c>
      <c r="D828" s="2">
        <v>46060</v>
      </c>
      <c r="E828" s="2">
        <v>46070</v>
      </c>
      <c r="F828" s="1" t="s">
        <v>106</v>
      </c>
      <c r="G828" s="1" t="s">
        <v>13</v>
      </c>
      <c r="H828" s="1"/>
      <c r="I828" s="7">
        <v>180.69</v>
      </c>
      <c r="J828" s="1" t="s">
        <v>38</v>
      </c>
      <c r="K828" s="1"/>
      <c r="L828" s="1" t="s">
        <v>39</v>
      </c>
      <c r="M828" s="1" t="str">
        <f>INDEX(MCC_Lookup!$B$2:$B$12,MATCH(G828,MCC_Lookup!$A$2:$A$12,0))</f>
        <v>Software</v>
      </c>
      <c r="N828" s="1" t="str">
        <f>IF(TRIM(H828)="","BLANK",IF(PROPER(TRIM(H828))=TRIM(M828),"MATCH","MISMATCH"))</f>
        <v>BLANK</v>
      </c>
      <c r="O828" s="5" t="str">
        <f>INDEX([1]Employee!$C$2:$C$276,MATCH(B828,[1]Employee!$A$2:$A$276,0))</f>
        <v>Underwriting</v>
      </c>
    </row>
    <row r="829" spans="1:15">
      <c r="A829" s="1" t="s">
        <v>1847</v>
      </c>
      <c r="B829" s="1" t="s">
        <v>394</v>
      </c>
      <c r="C829" s="1" t="s">
        <v>1848</v>
      </c>
      <c r="D829" s="2">
        <v>46065</v>
      </c>
      <c r="E829" s="2">
        <v>46071</v>
      </c>
      <c r="F829" s="1" t="s">
        <v>823</v>
      </c>
      <c r="G829" s="1" t="s">
        <v>4</v>
      </c>
      <c r="H829" s="1" t="s">
        <v>5</v>
      </c>
      <c r="I829" s="7">
        <v>310.63</v>
      </c>
      <c r="J829" s="1" t="s">
        <v>38</v>
      </c>
      <c r="K829" s="1"/>
      <c r="L829" s="1" t="s">
        <v>39</v>
      </c>
      <c r="M829" s="1" t="str">
        <f>INDEX(MCC_Lookup!$B$2:$B$12,MATCH(G829,MCC_Lookup!$A$2:$A$12,0))</f>
        <v>Travel</v>
      </c>
      <c r="N829" s="1" t="str">
        <f>IF(TRIM(H829)="","BLANK",IF(PROPER(TRIM(H829))=TRIM(M829),"MATCH","MISMATCH"))</f>
        <v>MATCH</v>
      </c>
      <c r="O829" s="5" t="str">
        <f>INDEX([1]Employee!$C$2:$C$276,MATCH(B829,[1]Employee!$A$2:$A$276,0))</f>
        <v>IT &amp; Platform Engineering</v>
      </c>
    </row>
    <row r="830" spans="1:15">
      <c r="A830" s="1" t="s">
        <v>1849</v>
      </c>
      <c r="B830" s="1" t="s">
        <v>196</v>
      </c>
      <c r="C830" s="1" t="s">
        <v>1850</v>
      </c>
      <c r="D830" s="2">
        <v>46061</v>
      </c>
      <c r="E830" s="2">
        <v>46071</v>
      </c>
      <c r="F830" s="1" t="s">
        <v>120</v>
      </c>
      <c r="G830" s="1" t="s">
        <v>12</v>
      </c>
      <c r="H830" s="1" t="s">
        <v>11</v>
      </c>
      <c r="I830" s="7">
        <v>466.46</v>
      </c>
      <c r="J830" s="1" t="s">
        <v>38</v>
      </c>
      <c r="K830" s="1"/>
      <c r="L830" s="1" t="s">
        <v>39</v>
      </c>
      <c r="M830" s="1" t="str">
        <f>INDEX(MCC_Lookup!$B$2:$B$12,MATCH(G830,MCC_Lookup!$A$2:$A$12,0))</f>
        <v>Office Supplies</v>
      </c>
      <c r="N830" s="1" t="str">
        <f>IF(TRIM(H830)="","BLANK",IF(PROPER(TRIM(H830))=TRIM(M830),"MATCH","MISMATCH"))</f>
        <v>MATCH</v>
      </c>
      <c r="O830" s="5" t="str">
        <f>INDEX([1]Employee!$C$2:$C$276,MATCH(B830,[1]Employee!$A$2:$A$276,0))</f>
        <v>Sales &amp; Marketing</v>
      </c>
    </row>
    <row r="831" spans="1:15">
      <c r="A831" s="1" t="s">
        <v>1851</v>
      </c>
      <c r="B831" s="1" t="s">
        <v>81</v>
      </c>
      <c r="C831" s="1" t="s">
        <v>1852</v>
      </c>
      <c r="D831" s="2">
        <v>46061</v>
      </c>
      <c r="E831" s="2">
        <v>46071</v>
      </c>
      <c r="F831" s="1" t="s">
        <v>37</v>
      </c>
      <c r="G831" s="1" t="s">
        <v>4</v>
      </c>
      <c r="H831" s="1" t="s">
        <v>714</v>
      </c>
      <c r="I831" s="7">
        <v>428.18</v>
      </c>
      <c r="J831" s="1" t="s">
        <v>38</v>
      </c>
      <c r="K831" s="1"/>
      <c r="L831" s="1" t="s">
        <v>39</v>
      </c>
      <c r="M831" s="1" t="str">
        <f>INDEX(MCC_Lookup!$B$2:$B$12,MATCH(G831,MCC_Lookup!$A$2:$A$12,0))</f>
        <v>Travel</v>
      </c>
      <c r="N831" s="1" t="str">
        <f>IF(TRIM(H831)="","BLANK",IF(PROPER(TRIM(H831))=TRIM(M831),"MATCH","MISMATCH"))</f>
        <v>MATCH</v>
      </c>
      <c r="O831" s="5" t="str">
        <f>INDEX([1]Employee!$C$2:$C$276,MATCH(B831,[1]Employee!$A$2:$A$276,0))</f>
        <v>Sales &amp; Marketing</v>
      </c>
    </row>
    <row r="832" spans="1:15">
      <c r="A832" s="1" t="s">
        <v>1853</v>
      </c>
      <c r="B832" s="1" t="s">
        <v>210</v>
      </c>
      <c r="C832" s="1" t="s">
        <v>1854</v>
      </c>
      <c r="D832" s="2">
        <v>46068</v>
      </c>
      <c r="E832" s="2">
        <v>46071</v>
      </c>
      <c r="F832" s="1" t="s">
        <v>120</v>
      </c>
      <c r="G832" s="1" t="s">
        <v>12</v>
      </c>
      <c r="H832" s="1"/>
      <c r="I832" s="7">
        <v>412.19</v>
      </c>
      <c r="J832" s="1" t="s">
        <v>38</v>
      </c>
      <c r="K832" s="1"/>
      <c r="L832" s="1" t="s">
        <v>39</v>
      </c>
      <c r="M832" s="1" t="str">
        <f>INDEX(MCC_Lookup!$B$2:$B$12,MATCH(G832,MCC_Lookup!$A$2:$A$12,0))</f>
        <v>Office Supplies</v>
      </c>
      <c r="N832" s="1" t="str">
        <f>IF(TRIM(H832)="","BLANK",IF(PROPER(TRIM(H832))=TRIM(M832),"MATCH","MISMATCH"))</f>
        <v>BLANK</v>
      </c>
      <c r="O832" s="5" t="str">
        <f>INDEX([1]Employee!$C$2:$C$276,MATCH(B832,[1]Employee!$A$2:$A$276,0))</f>
        <v>Sales &amp; Marketing</v>
      </c>
    </row>
    <row r="833" spans="1:15">
      <c r="A833" s="1" t="s">
        <v>1855</v>
      </c>
      <c r="B833" s="1" t="s">
        <v>382</v>
      </c>
      <c r="C833" s="1" t="s">
        <v>1856</v>
      </c>
      <c r="D833" s="2">
        <v>46068</v>
      </c>
      <c r="E833" s="2">
        <v>46071</v>
      </c>
      <c r="F833" s="1" t="s">
        <v>47</v>
      </c>
      <c r="G833" s="1" t="s">
        <v>6</v>
      </c>
      <c r="H833" s="1" t="s">
        <v>228</v>
      </c>
      <c r="I833" s="7">
        <v>148.63999999999999</v>
      </c>
      <c r="J833" s="1" t="s">
        <v>38</v>
      </c>
      <c r="K833" s="1"/>
      <c r="L833" s="1" t="s">
        <v>39</v>
      </c>
      <c r="M833" s="1" t="str">
        <f>INDEX(MCC_Lookup!$B$2:$B$12,MATCH(G833,MCC_Lookup!$A$2:$A$12,0))</f>
        <v>Lodging</v>
      </c>
      <c r="N833" s="1" t="str">
        <f>IF(TRIM(H833)="","BLANK",IF(PROPER(TRIM(H833))=TRIM(M833),"MATCH","MISMATCH"))</f>
        <v>MATCH</v>
      </c>
      <c r="O833" s="5" t="str">
        <f>INDEX([1]Employee!$C$2:$C$276,MATCH(B833,[1]Employee!$A$2:$A$276,0))</f>
        <v>Sales &amp; Marketing</v>
      </c>
    </row>
    <row r="834" spans="1:15">
      <c r="A834" s="1" t="s">
        <v>1857</v>
      </c>
      <c r="B834" s="1" t="s">
        <v>199</v>
      </c>
      <c r="C834" s="1" t="s">
        <v>1858</v>
      </c>
      <c r="D834" s="2">
        <v>46070</v>
      </c>
      <c r="E834" s="2">
        <v>46071</v>
      </c>
      <c r="F834" s="1" t="s">
        <v>72</v>
      </c>
      <c r="G834" s="1" t="s">
        <v>8</v>
      </c>
      <c r="H834" s="1" t="s">
        <v>9</v>
      </c>
      <c r="I834" s="7">
        <v>12.98</v>
      </c>
      <c r="J834" s="1" t="s">
        <v>38</v>
      </c>
      <c r="K834" s="1"/>
      <c r="L834" s="1" t="s">
        <v>48</v>
      </c>
      <c r="M834" s="1" t="str">
        <f>INDEX(MCC_Lookup!$B$2:$B$12,MATCH(G834,MCC_Lookup!$A$2:$A$12,0))</f>
        <v>Transportation</v>
      </c>
      <c r="N834" s="1" t="str">
        <f>IF(TRIM(H834)="","BLANK",IF(PROPER(TRIM(H834))=TRIM(M834),"MATCH","MISMATCH"))</f>
        <v>MATCH</v>
      </c>
      <c r="O834" s="5" t="str">
        <f>INDEX([1]Employee!$C$2:$C$276,MATCH(B834,[1]Employee!$A$2:$A$276,0))</f>
        <v>Sales &amp; Marketing</v>
      </c>
    </row>
    <row r="835" spans="1:15">
      <c r="A835" s="1" t="s">
        <v>1859</v>
      </c>
      <c r="B835" s="1" t="s">
        <v>1279</v>
      </c>
      <c r="C835" s="1" t="s">
        <v>1860</v>
      </c>
      <c r="D835" s="2">
        <v>46068</v>
      </c>
      <c r="E835" s="2">
        <v>46071</v>
      </c>
      <c r="F835" s="1" t="s">
        <v>92</v>
      </c>
      <c r="G835" s="1" t="s">
        <v>10</v>
      </c>
      <c r="H835" s="1" t="s">
        <v>11</v>
      </c>
      <c r="I835" s="7">
        <v>42.61</v>
      </c>
      <c r="J835" s="1" t="s">
        <v>38</v>
      </c>
      <c r="K835" s="1"/>
      <c r="L835" s="1" t="s">
        <v>39</v>
      </c>
      <c r="M835" s="1" t="str">
        <f>INDEX(MCC_Lookup!$B$2:$B$12,MATCH(G835,MCC_Lookup!$A$2:$A$12,0))</f>
        <v>Office Supplies</v>
      </c>
      <c r="N835" s="1" t="str">
        <f>IF(TRIM(H835)="","BLANK",IF(PROPER(TRIM(H835))=TRIM(M835),"MATCH","MISMATCH"))</f>
        <v>MATCH</v>
      </c>
      <c r="O835" s="5" t="str">
        <f>INDEX([1]Employee!$C$2:$C$276,MATCH(B835,[1]Employee!$A$2:$A$276,0))</f>
        <v>IT &amp; Platform Engineering</v>
      </c>
    </row>
    <row r="836" spans="1:15">
      <c r="A836" s="1" t="s">
        <v>1861</v>
      </c>
      <c r="B836" s="1" t="s">
        <v>171</v>
      </c>
      <c r="C836" s="1" t="s">
        <v>1862</v>
      </c>
      <c r="D836" s="2">
        <v>46063</v>
      </c>
      <c r="E836" s="2">
        <v>46071</v>
      </c>
      <c r="F836" s="1" t="s">
        <v>61</v>
      </c>
      <c r="G836" s="1" t="s">
        <v>13</v>
      </c>
      <c r="H836" s="1" t="s">
        <v>14</v>
      </c>
      <c r="I836" s="7">
        <v>65.319999999999993</v>
      </c>
      <c r="J836" s="1" t="s">
        <v>38</v>
      </c>
      <c r="K836" s="1"/>
      <c r="L836" s="1" t="s">
        <v>39</v>
      </c>
      <c r="M836" s="1" t="str">
        <f>INDEX(MCC_Lookup!$B$2:$B$12,MATCH(G836,MCC_Lookup!$A$2:$A$12,0))</f>
        <v>Software</v>
      </c>
      <c r="N836" s="1" t="str">
        <f>IF(TRIM(H836)="","BLANK",IF(PROPER(TRIM(H836))=TRIM(M836),"MATCH","MISMATCH"))</f>
        <v>MATCH</v>
      </c>
      <c r="O836" s="5" t="str">
        <f>INDEX([1]Employee!$C$2:$C$276,MATCH(B836,[1]Employee!$A$2:$A$276,0))</f>
        <v>Claims</v>
      </c>
    </row>
    <row r="837" spans="1:15">
      <c r="A837" s="1" t="s">
        <v>1863</v>
      </c>
      <c r="B837" s="1" t="s">
        <v>1064</v>
      </c>
      <c r="C837" s="1" t="s">
        <v>1864</v>
      </c>
      <c r="D837" s="2">
        <v>46068</v>
      </c>
      <c r="E837" s="2">
        <v>46071</v>
      </c>
      <c r="F837" s="1" t="s">
        <v>305</v>
      </c>
      <c r="G837" s="1" t="s">
        <v>2</v>
      </c>
      <c r="H837" s="1" t="s">
        <v>3</v>
      </c>
      <c r="I837" s="7">
        <v>7.36</v>
      </c>
      <c r="J837" s="1" t="s">
        <v>38</v>
      </c>
      <c r="K837" s="1"/>
      <c r="L837" s="1" t="s">
        <v>39</v>
      </c>
      <c r="M837" s="1" t="str">
        <f>INDEX(MCC_Lookup!$B$2:$B$12,MATCH(G837,MCC_Lookup!$A$2:$A$12,0))</f>
        <v>Meals</v>
      </c>
      <c r="N837" s="1" t="str">
        <f>IF(TRIM(H837)="","BLANK",IF(PROPER(TRIM(H837))=TRIM(M837),"MATCH","MISMATCH"))</f>
        <v>MATCH</v>
      </c>
      <c r="O837" s="5" t="str">
        <f>INDEX([1]Employee!$C$2:$C$276,MATCH(B837,[1]Employee!$A$2:$A$276,0))</f>
        <v>Actuarial &amp; Risk</v>
      </c>
    </row>
    <row r="838" spans="1:15">
      <c r="A838" s="1" t="s">
        <v>1865</v>
      </c>
      <c r="B838" s="1" t="s">
        <v>41</v>
      </c>
      <c r="C838" s="1" t="s">
        <v>1866</v>
      </c>
      <c r="D838" s="2">
        <v>46068</v>
      </c>
      <c r="E838" s="2">
        <v>46071</v>
      </c>
      <c r="F838" s="1" t="s">
        <v>47</v>
      </c>
      <c r="G838" s="1" t="s">
        <v>6</v>
      </c>
      <c r="H838" s="1" t="s">
        <v>3</v>
      </c>
      <c r="I838" s="7">
        <v>170.53</v>
      </c>
      <c r="J838" s="1" t="s">
        <v>38</v>
      </c>
      <c r="K838" s="1"/>
      <c r="L838" s="1" t="s">
        <v>39</v>
      </c>
      <c r="M838" s="1" t="str">
        <f>INDEX(MCC_Lookup!$B$2:$B$12,MATCH(G838,MCC_Lookup!$A$2:$A$12,0))</f>
        <v>Lodging</v>
      </c>
      <c r="N838" s="1" t="str">
        <f>IF(TRIM(H838)="","BLANK",IF(PROPER(TRIM(H838))=TRIM(M838),"MATCH","MISMATCH"))</f>
        <v>MISMATCH</v>
      </c>
      <c r="O838" s="5" t="str">
        <f>INDEX([1]Employee!$C$2:$C$276,MATCH(B838,[1]Employee!$A$2:$A$276,0))</f>
        <v>Sales &amp; Marketing</v>
      </c>
    </row>
    <row r="839" spans="1:15">
      <c r="A839" s="1" t="s">
        <v>1867</v>
      </c>
      <c r="B839" s="1" t="s">
        <v>499</v>
      </c>
      <c r="C839" s="1" t="s">
        <v>1868</v>
      </c>
      <c r="D839" s="2">
        <v>46070</v>
      </c>
      <c r="E839" s="2">
        <v>46071</v>
      </c>
      <c r="F839" s="1" t="s">
        <v>52</v>
      </c>
      <c r="G839" s="1" t="s">
        <v>15</v>
      </c>
      <c r="H839" s="1" t="s">
        <v>16</v>
      </c>
      <c r="I839" s="7">
        <v>51.27</v>
      </c>
      <c r="J839" s="1" t="s">
        <v>38</v>
      </c>
      <c r="K839" s="1"/>
      <c r="L839" s="1" t="s">
        <v>48</v>
      </c>
      <c r="M839" s="1" t="str">
        <f>INDEX(MCC_Lookup!$B$2:$B$12,MATCH(G839,MCC_Lookup!$A$2:$A$12,0))</f>
        <v>Entertainment</v>
      </c>
      <c r="N839" s="1" t="str">
        <f>IF(TRIM(H839)="","BLANK",IF(PROPER(TRIM(H839))=TRIM(M839),"MATCH","MISMATCH"))</f>
        <v>MATCH</v>
      </c>
      <c r="O839" s="5" t="str">
        <f>INDEX([1]Employee!$C$2:$C$276,MATCH(B839,[1]Employee!$A$2:$A$276,0))</f>
        <v>Sales &amp; Marketing</v>
      </c>
    </row>
    <row r="840" spans="1:15">
      <c r="A840" s="1" t="s">
        <v>1869</v>
      </c>
      <c r="B840" s="1" t="s">
        <v>175</v>
      </c>
      <c r="C840" s="1" t="s">
        <v>1870</v>
      </c>
      <c r="D840" s="2">
        <v>46066</v>
      </c>
      <c r="E840" s="2">
        <v>46071</v>
      </c>
      <c r="F840" s="1" t="s">
        <v>106</v>
      </c>
      <c r="G840" s="1" t="s">
        <v>13</v>
      </c>
      <c r="H840" s="1" t="s">
        <v>14</v>
      </c>
      <c r="I840" s="7">
        <v>201.54</v>
      </c>
      <c r="J840" s="1" t="s">
        <v>38</v>
      </c>
      <c r="K840" s="1"/>
      <c r="L840" s="1" t="s">
        <v>48</v>
      </c>
      <c r="M840" s="1" t="str">
        <f>INDEX(MCC_Lookup!$B$2:$B$12,MATCH(G840,MCC_Lookup!$A$2:$A$12,0))</f>
        <v>Software</v>
      </c>
      <c r="N840" s="1" t="str">
        <f>IF(TRIM(H840)="","BLANK",IF(PROPER(TRIM(H840))=TRIM(M840),"MATCH","MISMATCH"))</f>
        <v>MATCH</v>
      </c>
      <c r="O840" s="5" t="str">
        <f>INDEX([1]Employee!$C$2:$C$276,MATCH(B840,[1]Employee!$A$2:$A$276,0))</f>
        <v>Claims</v>
      </c>
    </row>
    <row r="841" spans="1:15">
      <c r="A841" s="1" t="s">
        <v>1871</v>
      </c>
      <c r="B841" s="1" t="s">
        <v>732</v>
      </c>
      <c r="C841" s="1" t="s">
        <v>1872</v>
      </c>
      <c r="D841" s="2">
        <v>46063</v>
      </c>
      <c r="E841" s="2">
        <v>46071</v>
      </c>
      <c r="F841" s="1" t="s">
        <v>1873</v>
      </c>
      <c r="G841" s="1" t="s">
        <v>4</v>
      </c>
      <c r="H841" s="1" t="s">
        <v>714</v>
      </c>
      <c r="I841" s="7">
        <v>586.07000000000005</v>
      </c>
      <c r="J841" s="1" t="s">
        <v>38</v>
      </c>
      <c r="K841" s="1"/>
      <c r="L841" s="1" t="s">
        <v>39</v>
      </c>
      <c r="M841" s="1" t="str">
        <f>INDEX(MCC_Lookup!$B$2:$B$12,MATCH(G841,MCC_Lookup!$A$2:$A$12,0))</f>
        <v>Travel</v>
      </c>
      <c r="N841" s="1" t="str">
        <f>IF(TRIM(H841)="","BLANK",IF(PROPER(TRIM(H841))=TRIM(M841),"MATCH","MISMATCH"))</f>
        <v>MATCH</v>
      </c>
      <c r="O841" s="5" t="str">
        <f>INDEX([1]Employee!$C$2:$C$276,MATCH(B841,[1]Employee!$A$2:$A$276,0))</f>
        <v>Underwriting</v>
      </c>
    </row>
    <row r="842" spans="1:15">
      <c r="A842" s="1" t="s">
        <v>1874</v>
      </c>
      <c r="B842" s="1" t="s">
        <v>469</v>
      </c>
      <c r="C842" s="1"/>
      <c r="D842" s="2">
        <v>46064</v>
      </c>
      <c r="E842" s="2">
        <v>46071</v>
      </c>
      <c r="F842" s="1" t="s">
        <v>65</v>
      </c>
      <c r="G842" s="1" t="s">
        <v>18</v>
      </c>
      <c r="H842" s="1" t="s">
        <v>19</v>
      </c>
      <c r="I842" s="7">
        <v>431.97</v>
      </c>
      <c r="J842" s="1" t="s">
        <v>111</v>
      </c>
      <c r="K842" s="1" t="s">
        <v>127</v>
      </c>
      <c r="L842" s="1" t="s">
        <v>39</v>
      </c>
      <c r="M842" s="1" t="str">
        <f>INDEX(MCC_Lookup!$B$2:$B$12,MATCH(G842,MCC_Lookup!$A$2:$A$12,0))</f>
        <v>Events</v>
      </c>
      <c r="N842" s="1" t="str">
        <f>IF(TRIM(H842)="","BLANK",IF(PROPER(TRIM(H842))=TRIM(M842),"MATCH","MISMATCH"))</f>
        <v>MATCH</v>
      </c>
      <c r="O842" s="5" t="str">
        <f>INDEX([1]Employee!$C$2:$C$276,MATCH(B842,[1]Employee!$A$2:$A$276,0))</f>
        <v>Sales &amp; Marketing</v>
      </c>
    </row>
    <row r="843" spans="1:15">
      <c r="A843" s="1" t="s">
        <v>1875</v>
      </c>
      <c r="B843" s="1" t="s">
        <v>1876</v>
      </c>
      <c r="C843" s="1" t="s">
        <v>1877</v>
      </c>
      <c r="D843" s="2">
        <v>46069</v>
      </c>
      <c r="E843" s="2">
        <v>46071</v>
      </c>
      <c r="F843" s="1" t="s">
        <v>76</v>
      </c>
      <c r="G843" s="1" t="s">
        <v>13</v>
      </c>
      <c r="H843" s="1" t="s">
        <v>14</v>
      </c>
      <c r="I843" s="7">
        <v>170.7</v>
      </c>
      <c r="J843" s="1" t="s">
        <v>38</v>
      </c>
      <c r="K843" s="1"/>
      <c r="L843" s="1" t="s">
        <v>39</v>
      </c>
      <c r="M843" s="1" t="str">
        <f>INDEX(MCC_Lookup!$B$2:$B$12,MATCH(G843,MCC_Lookup!$A$2:$A$12,0))</f>
        <v>Software</v>
      </c>
      <c r="N843" s="1" t="str">
        <f>IF(TRIM(H843)="","BLANK",IF(PROPER(TRIM(H843))=TRIM(M843),"MATCH","MISMATCH"))</f>
        <v>MATCH</v>
      </c>
      <c r="O843" s="5" t="str">
        <f>INDEX([1]Employee!$C$2:$C$276,MATCH(B843,[1]Employee!$A$2:$A$276,0))</f>
        <v>IT &amp; Platform Engineering</v>
      </c>
    </row>
    <row r="844" spans="1:15">
      <c r="A844" s="1" t="s">
        <v>1878</v>
      </c>
      <c r="B844" s="1" t="s">
        <v>756</v>
      </c>
      <c r="C844" s="1" t="s">
        <v>1879</v>
      </c>
      <c r="D844" s="2">
        <v>46066</v>
      </c>
      <c r="E844" s="2">
        <v>46071</v>
      </c>
      <c r="F844" s="1" t="s">
        <v>65</v>
      </c>
      <c r="G844" s="1" t="s">
        <v>18</v>
      </c>
      <c r="H844" s="1" t="s">
        <v>3</v>
      </c>
      <c r="I844" s="7">
        <v>308.16000000000003</v>
      </c>
      <c r="J844" s="1" t="s">
        <v>38</v>
      </c>
      <c r="K844" s="1"/>
      <c r="L844" s="1" t="s">
        <v>39</v>
      </c>
      <c r="M844" s="1" t="str">
        <f>INDEX(MCC_Lookup!$B$2:$B$12,MATCH(G844,MCC_Lookup!$A$2:$A$12,0))</f>
        <v>Events</v>
      </c>
      <c r="N844" s="1" t="str">
        <f>IF(TRIM(H844)="","BLANK",IF(PROPER(TRIM(H844))=TRIM(M844),"MATCH","MISMATCH"))</f>
        <v>MISMATCH</v>
      </c>
      <c r="O844" s="5" t="str">
        <f>INDEX([1]Employee!$C$2:$C$276,MATCH(B844,[1]Employee!$A$2:$A$276,0))</f>
        <v>Claims</v>
      </c>
    </row>
    <row r="845" spans="1:15">
      <c r="A845" s="1" t="s">
        <v>1880</v>
      </c>
      <c r="B845" s="1" t="s">
        <v>890</v>
      </c>
      <c r="C845" s="1"/>
      <c r="D845" s="2">
        <v>46069</v>
      </c>
      <c r="E845" s="2">
        <v>46071</v>
      </c>
      <c r="F845" s="1" t="s">
        <v>43</v>
      </c>
      <c r="G845" s="1" t="s">
        <v>2</v>
      </c>
      <c r="H845" s="1" t="s">
        <v>16</v>
      </c>
      <c r="I845" s="7">
        <v>13.29</v>
      </c>
      <c r="J845" s="1" t="s">
        <v>38</v>
      </c>
      <c r="K845" s="1"/>
      <c r="L845" s="1" t="s">
        <v>39</v>
      </c>
      <c r="M845" s="1" t="str">
        <f>INDEX(MCC_Lookup!$B$2:$B$12,MATCH(G845,MCC_Lookup!$A$2:$A$12,0))</f>
        <v>Meals</v>
      </c>
      <c r="N845" s="1" t="str">
        <f>IF(TRIM(H845)="","BLANK",IF(PROPER(TRIM(H845))=TRIM(M845),"MATCH","MISMATCH"))</f>
        <v>MISMATCH</v>
      </c>
      <c r="O845" s="5" t="str">
        <f>INDEX([1]Employee!$C$2:$C$276,MATCH(B845,[1]Employee!$A$2:$A$276,0))</f>
        <v>Sales &amp; Marketing</v>
      </c>
    </row>
    <row r="846" spans="1:15">
      <c r="A846" s="1" t="s">
        <v>1881</v>
      </c>
      <c r="B846" s="1" t="s">
        <v>651</v>
      </c>
      <c r="C846" s="1" t="s">
        <v>1882</v>
      </c>
      <c r="D846" s="2">
        <v>46069</v>
      </c>
      <c r="E846" s="2">
        <v>46071</v>
      </c>
      <c r="F846" s="1" t="s">
        <v>173</v>
      </c>
      <c r="G846" s="1" t="s">
        <v>2</v>
      </c>
      <c r="H846" s="1" t="s">
        <v>3</v>
      </c>
      <c r="I846" s="7">
        <v>84.29</v>
      </c>
      <c r="J846" s="1" t="s">
        <v>38</v>
      </c>
      <c r="K846" s="1"/>
      <c r="L846" s="1" t="s">
        <v>48</v>
      </c>
      <c r="M846" s="1" t="str">
        <f>INDEX(MCC_Lookup!$B$2:$B$12,MATCH(G846,MCC_Lookup!$A$2:$A$12,0))</f>
        <v>Meals</v>
      </c>
      <c r="N846" s="1" t="str">
        <f>IF(TRIM(H846)="","BLANK",IF(PROPER(TRIM(H846))=TRIM(M846),"MATCH","MISMATCH"))</f>
        <v>MATCH</v>
      </c>
      <c r="O846" s="5" t="str">
        <f>INDEX([1]Employee!$C$2:$C$276,MATCH(B846,[1]Employee!$A$2:$A$276,0))</f>
        <v>IT &amp; Platform Engineering</v>
      </c>
    </row>
    <row r="847" spans="1:15">
      <c r="A847" s="1" t="s">
        <v>1883</v>
      </c>
      <c r="B847" s="1" t="s">
        <v>772</v>
      </c>
      <c r="C847" s="1" t="s">
        <v>1884</v>
      </c>
      <c r="D847" s="2">
        <v>46065</v>
      </c>
      <c r="E847" s="2">
        <v>46071</v>
      </c>
      <c r="F847" s="1" t="s">
        <v>242</v>
      </c>
      <c r="G847" s="1" t="s">
        <v>13</v>
      </c>
      <c r="H847" s="1" t="s">
        <v>14</v>
      </c>
      <c r="I847" s="7">
        <v>24.64</v>
      </c>
      <c r="J847" s="1" t="s">
        <v>38</v>
      </c>
      <c r="K847" s="1"/>
      <c r="L847" s="1" t="s">
        <v>39</v>
      </c>
      <c r="M847" s="1" t="str">
        <f>INDEX(MCC_Lookup!$B$2:$B$12,MATCH(G847,MCC_Lookup!$A$2:$A$12,0))</f>
        <v>Software</v>
      </c>
      <c r="N847" s="1" t="str">
        <f>IF(TRIM(H847)="","BLANK",IF(PROPER(TRIM(H847))=TRIM(M847),"MATCH","MISMATCH"))</f>
        <v>MATCH</v>
      </c>
      <c r="O847" s="5" t="str">
        <f>INDEX([1]Employee!$C$2:$C$276,MATCH(B847,[1]Employee!$A$2:$A$276,0))</f>
        <v>Underwriting</v>
      </c>
    </row>
    <row r="848" spans="1:15">
      <c r="A848" s="1" t="s">
        <v>1885</v>
      </c>
      <c r="B848" s="1" t="s">
        <v>1886</v>
      </c>
      <c r="C848" s="1" t="s">
        <v>1887</v>
      </c>
      <c r="D848" s="2">
        <v>46062</v>
      </c>
      <c r="E848" s="2">
        <v>46072</v>
      </c>
      <c r="F848" s="1" t="s">
        <v>52</v>
      </c>
      <c r="G848" s="1" t="s">
        <v>15</v>
      </c>
      <c r="H848" s="1" t="s">
        <v>16</v>
      </c>
      <c r="I848" s="7">
        <v>28.91</v>
      </c>
      <c r="J848" s="1" t="s">
        <v>38</v>
      </c>
      <c r="K848" s="1"/>
      <c r="L848" s="1" t="s">
        <v>48</v>
      </c>
      <c r="M848" s="1" t="str">
        <f>INDEX(MCC_Lookup!$B$2:$B$12,MATCH(G848,MCC_Lookup!$A$2:$A$12,0))</f>
        <v>Entertainment</v>
      </c>
      <c r="N848" s="1" t="str">
        <f>IF(TRIM(H848)="","BLANK",IF(PROPER(TRIM(H848))=TRIM(M848),"MATCH","MISMATCH"))</f>
        <v>MATCH</v>
      </c>
      <c r="O848" s="5" t="str">
        <f>INDEX([1]Employee!$C$2:$C$276,MATCH(B848,[1]Employee!$A$2:$A$276,0))</f>
        <v>Actuarial &amp; Risk</v>
      </c>
    </row>
    <row r="849" spans="1:15">
      <c r="A849" s="1" t="s">
        <v>1888</v>
      </c>
      <c r="B849" s="1" t="s">
        <v>190</v>
      </c>
      <c r="C849" s="1" t="s">
        <v>1889</v>
      </c>
      <c r="D849" s="2">
        <v>46069</v>
      </c>
      <c r="E849" s="2">
        <v>46072</v>
      </c>
      <c r="F849" s="1" t="s">
        <v>177</v>
      </c>
      <c r="G849" s="1" t="s">
        <v>13</v>
      </c>
      <c r="H849" s="1" t="s">
        <v>14</v>
      </c>
      <c r="I849" s="7">
        <v>40.78</v>
      </c>
      <c r="J849" s="1" t="s">
        <v>38</v>
      </c>
      <c r="K849" s="1"/>
      <c r="L849" s="1" t="s">
        <v>39</v>
      </c>
      <c r="M849" s="1" t="str">
        <f>INDEX(MCC_Lookup!$B$2:$B$12,MATCH(G849,MCC_Lookup!$A$2:$A$12,0))</f>
        <v>Software</v>
      </c>
      <c r="N849" s="1" t="str">
        <f>IF(TRIM(H849)="","BLANK",IF(PROPER(TRIM(H849))=TRIM(M849),"MATCH","MISMATCH"))</f>
        <v>MATCH</v>
      </c>
      <c r="O849" s="5" t="str">
        <f>INDEX([1]Employee!$C$2:$C$276,MATCH(B849,[1]Employee!$A$2:$A$276,0))</f>
        <v>Sales &amp; Marketing</v>
      </c>
    </row>
    <row r="850" spans="1:15">
      <c r="A850" s="1" t="s">
        <v>1890</v>
      </c>
      <c r="B850" s="1" t="s">
        <v>190</v>
      </c>
      <c r="C850" s="1" t="s">
        <v>1891</v>
      </c>
      <c r="D850" s="2">
        <v>46064</v>
      </c>
      <c r="E850" s="2">
        <v>46072</v>
      </c>
      <c r="F850" s="1" t="s">
        <v>160</v>
      </c>
      <c r="G850" s="1" t="s">
        <v>6</v>
      </c>
      <c r="H850" s="1" t="s">
        <v>9</v>
      </c>
      <c r="I850" s="7">
        <v>471.22</v>
      </c>
      <c r="J850" s="1" t="s">
        <v>38</v>
      </c>
      <c r="K850" s="1"/>
      <c r="L850" s="1" t="s">
        <v>39</v>
      </c>
      <c r="M850" s="1" t="str">
        <f>INDEX(MCC_Lookup!$B$2:$B$12,MATCH(G850,MCC_Lookup!$A$2:$A$12,0))</f>
        <v>Lodging</v>
      </c>
      <c r="N850" s="1" t="str">
        <f>IF(TRIM(H850)="","BLANK",IF(PROPER(TRIM(H850))=TRIM(M850),"MATCH","MISMATCH"))</f>
        <v>MISMATCH</v>
      </c>
      <c r="O850" s="5" t="str">
        <f>INDEX([1]Employee!$C$2:$C$276,MATCH(B850,[1]Employee!$A$2:$A$276,0))</f>
        <v>Sales &amp; Marketing</v>
      </c>
    </row>
    <row r="851" spans="1:15">
      <c r="A851" s="1" t="s">
        <v>1892</v>
      </c>
      <c r="B851" s="1" t="s">
        <v>738</v>
      </c>
      <c r="C851" s="1" t="s">
        <v>1893</v>
      </c>
      <c r="D851" s="2">
        <v>46072</v>
      </c>
      <c r="E851" s="2">
        <v>46072</v>
      </c>
      <c r="F851" s="1" t="s">
        <v>106</v>
      </c>
      <c r="G851" s="1" t="s">
        <v>13</v>
      </c>
      <c r="H851" s="1" t="s">
        <v>14</v>
      </c>
      <c r="I851" s="7">
        <v>208.32</v>
      </c>
      <c r="J851" s="1" t="s">
        <v>38</v>
      </c>
      <c r="K851" s="1"/>
      <c r="L851" s="1" t="s">
        <v>48</v>
      </c>
      <c r="M851" s="1" t="str">
        <f>INDEX(MCC_Lookup!$B$2:$B$12,MATCH(G851,MCC_Lookup!$A$2:$A$12,0))</f>
        <v>Software</v>
      </c>
      <c r="N851" s="1" t="str">
        <f>IF(TRIM(H851)="","BLANK",IF(PROPER(TRIM(H851))=TRIM(M851),"MATCH","MISMATCH"))</f>
        <v>MATCH</v>
      </c>
      <c r="O851" s="5" t="str">
        <f>INDEX([1]Employee!$C$2:$C$276,MATCH(B851,[1]Employee!$A$2:$A$276,0))</f>
        <v>Sales &amp; Marketing</v>
      </c>
    </row>
    <row r="852" spans="1:15">
      <c r="A852" s="1" t="s">
        <v>1894</v>
      </c>
      <c r="B852" s="1" t="s">
        <v>709</v>
      </c>
      <c r="C852" s="1" t="s">
        <v>1895</v>
      </c>
      <c r="D852" s="2">
        <v>46066</v>
      </c>
      <c r="E852" s="2">
        <v>46072</v>
      </c>
      <c r="F852" s="1" t="s">
        <v>173</v>
      </c>
      <c r="G852" s="1" t="s">
        <v>2</v>
      </c>
      <c r="H852" s="1" t="s">
        <v>3</v>
      </c>
      <c r="I852" s="7">
        <v>60.8</v>
      </c>
      <c r="J852" s="1" t="s">
        <v>38</v>
      </c>
      <c r="K852" s="1"/>
      <c r="L852" s="1" t="s">
        <v>39</v>
      </c>
      <c r="M852" s="1" t="str">
        <f>INDEX(MCC_Lookup!$B$2:$B$12,MATCH(G852,MCC_Lookup!$A$2:$A$12,0))</f>
        <v>Meals</v>
      </c>
      <c r="N852" s="1" t="str">
        <f>IF(TRIM(H852)="","BLANK",IF(PROPER(TRIM(H852))=TRIM(M852),"MATCH","MISMATCH"))</f>
        <v>MATCH</v>
      </c>
      <c r="O852" s="5" t="str">
        <f>INDEX([1]Employee!$C$2:$C$276,MATCH(B852,[1]Employee!$A$2:$A$276,0))</f>
        <v>Underwriting</v>
      </c>
    </row>
    <row r="853" spans="1:15">
      <c r="A853" s="1" t="s">
        <v>1896</v>
      </c>
      <c r="B853" s="1" t="s">
        <v>59</v>
      </c>
      <c r="C853" s="1" t="s">
        <v>1897</v>
      </c>
      <c r="D853" s="2">
        <v>46064</v>
      </c>
      <c r="E853" s="2">
        <v>46072</v>
      </c>
      <c r="F853" s="1" t="s">
        <v>160</v>
      </c>
      <c r="G853" s="1" t="s">
        <v>6</v>
      </c>
      <c r="H853" s="1" t="s">
        <v>7</v>
      </c>
      <c r="I853" s="7">
        <v>297.45999999999998</v>
      </c>
      <c r="J853" s="1" t="s">
        <v>38</v>
      </c>
      <c r="K853" s="1"/>
      <c r="L853" s="1" t="s">
        <v>39</v>
      </c>
      <c r="M853" s="1" t="str">
        <f>INDEX(MCC_Lookup!$B$2:$B$12,MATCH(G853,MCC_Lookup!$A$2:$A$12,0))</f>
        <v>Lodging</v>
      </c>
      <c r="N853" s="1" t="str">
        <f>IF(TRIM(H853)="","BLANK",IF(PROPER(TRIM(H853))=TRIM(M853),"MATCH","MISMATCH"))</f>
        <v>MATCH</v>
      </c>
      <c r="O853" s="5" t="str">
        <f>INDEX([1]Employee!$C$2:$C$276,MATCH(B853,[1]Employee!$A$2:$A$276,0))</f>
        <v>Sales &amp; Marketing</v>
      </c>
    </row>
    <row r="854" spans="1:15">
      <c r="A854" s="1" t="s">
        <v>1898</v>
      </c>
      <c r="B854" s="1" t="s">
        <v>915</v>
      </c>
      <c r="C854" s="1"/>
      <c r="D854" s="2">
        <v>46065</v>
      </c>
      <c r="E854" s="2">
        <v>46072</v>
      </c>
      <c r="F854" s="1" t="s">
        <v>95</v>
      </c>
      <c r="G854" s="1" t="s">
        <v>6</v>
      </c>
      <c r="H854" s="1" t="s">
        <v>7</v>
      </c>
      <c r="I854" s="7">
        <v>289.11</v>
      </c>
      <c r="J854" s="1" t="s">
        <v>111</v>
      </c>
      <c r="K854" s="1" t="s">
        <v>161</v>
      </c>
      <c r="L854" s="1" t="s">
        <v>39</v>
      </c>
      <c r="M854" s="1" t="str">
        <f>INDEX(MCC_Lookup!$B$2:$B$12,MATCH(G854,MCC_Lookup!$A$2:$A$12,0))</f>
        <v>Lodging</v>
      </c>
      <c r="N854" s="1" t="str">
        <f>IF(TRIM(H854)="","BLANK",IF(PROPER(TRIM(H854))=TRIM(M854),"MATCH","MISMATCH"))</f>
        <v>MATCH</v>
      </c>
      <c r="O854" s="5" t="str">
        <f>INDEX([1]Employee!$C$2:$C$276,MATCH(B854,[1]Employee!$A$2:$A$276,0))</f>
        <v>Sales &amp; Marketing</v>
      </c>
    </row>
    <row r="855" spans="1:15">
      <c r="A855" s="1" t="s">
        <v>1899</v>
      </c>
      <c r="B855" s="1" t="s">
        <v>352</v>
      </c>
      <c r="C855" s="1" t="s">
        <v>1900</v>
      </c>
      <c r="D855" s="2">
        <v>46070</v>
      </c>
      <c r="E855" s="2">
        <v>46072</v>
      </c>
      <c r="F855" s="1" t="s">
        <v>201</v>
      </c>
      <c r="G855" s="1" t="s">
        <v>4</v>
      </c>
      <c r="H855" s="1" t="s">
        <v>5</v>
      </c>
      <c r="I855" s="7">
        <v>293.85000000000002</v>
      </c>
      <c r="J855" s="1" t="s">
        <v>38</v>
      </c>
      <c r="K855" s="1"/>
      <c r="L855" s="1" t="s">
        <v>39</v>
      </c>
      <c r="M855" s="1" t="str">
        <f>INDEX(MCC_Lookup!$B$2:$B$12,MATCH(G855,MCC_Lookup!$A$2:$A$12,0))</f>
        <v>Travel</v>
      </c>
      <c r="N855" s="1" t="str">
        <f>IF(TRIM(H855)="","BLANK",IF(PROPER(TRIM(H855))=TRIM(M855),"MATCH","MISMATCH"))</f>
        <v>MATCH</v>
      </c>
      <c r="O855" s="5" t="str">
        <f>INDEX([1]Employee!$C$2:$C$276,MATCH(B855,[1]Employee!$A$2:$A$276,0))</f>
        <v>Sales &amp; Marketing</v>
      </c>
    </row>
    <row r="856" spans="1:15">
      <c r="A856" s="1" t="s">
        <v>1901</v>
      </c>
      <c r="B856" s="1" t="s">
        <v>373</v>
      </c>
      <c r="C856" s="1" t="s">
        <v>1902</v>
      </c>
      <c r="D856" s="2">
        <v>46063</v>
      </c>
      <c r="E856" s="2">
        <v>46072</v>
      </c>
      <c r="F856" s="1" t="s">
        <v>347</v>
      </c>
      <c r="G856" s="1" t="s">
        <v>8</v>
      </c>
      <c r="H856" s="1" t="s">
        <v>9</v>
      </c>
      <c r="I856" s="7">
        <v>52.41</v>
      </c>
      <c r="J856" s="1" t="s">
        <v>38</v>
      </c>
      <c r="K856" s="1"/>
      <c r="L856" s="1" t="s">
        <v>39</v>
      </c>
      <c r="M856" s="1" t="str">
        <f>INDEX(MCC_Lookup!$B$2:$B$12,MATCH(G856,MCC_Lookup!$A$2:$A$12,0))</f>
        <v>Transportation</v>
      </c>
      <c r="N856" s="1" t="str">
        <f>IF(TRIM(H856)="","BLANK",IF(PROPER(TRIM(H856))=TRIM(M856),"MATCH","MISMATCH"))</f>
        <v>MATCH</v>
      </c>
      <c r="O856" s="5" t="str">
        <f>INDEX([1]Employee!$C$2:$C$276,MATCH(B856,[1]Employee!$A$2:$A$276,0))</f>
        <v>Sales &amp; Marketing</v>
      </c>
    </row>
    <row r="857" spans="1:15">
      <c r="A857" s="1" t="s">
        <v>1903</v>
      </c>
      <c r="B857" s="1" t="s">
        <v>571</v>
      </c>
      <c r="C857" s="1"/>
      <c r="D857" s="2">
        <v>46066</v>
      </c>
      <c r="E857" s="2">
        <v>46072</v>
      </c>
      <c r="F857" s="1" t="s">
        <v>160</v>
      </c>
      <c r="G857" s="1" t="s">
        <v>6</v>
      </c>
      <c r="H857" s="1" t="s">
        <v>228</v>
      </c>
      <c r="I857" s="7">
        <v>250.41</v>
      </c>
      <c r="J857" s="1" t="s">
        <v>38</v>
      </c>
      <c r="K857" s="1"/>
      <c r="L857" s="1" t="s">
        <v>39</v>
      </c>
      <c r="M857" s="1" t="str">
        <f>INDEX(MCC_Lookup!$B$2:$B$12,MATCH(G857,MCC_Lookup!$A$2:$A$12,0))</f>
        <v>Lodging</v>
      </c>
      <c r="N857" s="1" t="str">
        <f>IF(TRIM(H857)="","BLANK",IF(PROPER(TRIM(H857))=TRIM(M857),"MATCH","MISMATCH"))</f>
        <v>MATCH</v>
      </c>
      <c r="O857" s="5" t="str">
        <f>INDEX([1]Employee!$C$2:$C$276,MATCH(B857,[1]Employee!$A$2:$A$276,0))</f>
        <v>Finance</v>
      </c>
    </row>
    <row r="858" spans="1:15">
      <c r="A858" s="1" t="s">
        <v>1904</v>
      </c>
      <c r="B858" s="1" t="s">
        <v>490</v>
      </c>
      <c r="C858" s="1" t="s">
        <v>1905</v>
      </c>
      <c r="D858" s="2">
        <v>46064</v>
      </c>
      <c r="E858" s="2">
        <v>46072</v>
      </c>
      <c r="F858" s="1" t="s">
        <v>120</v>
      </c>
      <c r="G858" s="1" t="s">
        <v>12</v>
      </c>
      <c r="H858" s="1" t="s">
        <v>11</v>
      </c>
      <c r="I858" s="7">
        <v>19.27</v>
      </c>
      <c r="J858" s="1" t="s">
        <v>38</v>
      </c>
      <c r="K858" s="1"/>
      <c r="L858" s="1" t="s">
        <v>39</v>
      </c>
      <c r="M858" s="1" t="str">
        <f>INDEX(MCC_Lookup!$B$2:$B$12,MATCH(G858,MCC_Lookup!$A$2:$A$12,0))</f>
        <v>Office Supplies</v>
      </c>
      <c r="N858" s="1" t="str">
        <f>IF(TRIM(H858)="","BLANK",IF(PROPER(TRIM(H858))=TRIM(M858),"MATCH","MISMATCH"))</f>
        <v>MATCH</v>
      </c>
      <c r="O858" s="5" t="str">
        <f>INDEX([1]Employee!$C$2:$C$276,MATCH(B858,[1]Employee!$A$2:$A$276,0))</f>
        <v>Actuarial &amp; Risk</v>
      </c>
    </row>
    <row r="859" spans="1:15">
      <c r="A859" s="1" t="s">
        <v>1906</v>
      </c>
      <c r="B859" s="1" t="s">
        <v>379</v>
      </c>
      <c r="C859" s="1" t="s">
        <v>1907</v>
      </c>
      <c r="D859" s="2">
        <v>46066</v>
      </c>
      <c r="E859" s="2">
        <v>46072</v>
      </c>
      <c r="F859" s="1" t="s">
        <v>52</v>
      </c>
      <c r="G859" s="1" t="s">
        <v>15</v>
      </c>
      <c r="H859" s="1" t="s">
        <v>16</v>
      </c>
      <c r="I859" s="7">
        <v>55.98</v>
      </c>
      <c r="J859" s="1" t="s">
        <v>38</v>
      </c>
      <c r="K859" s="1"/>
      <c r="L859" s="1" t="s">
        <v>39</v>
      </c>
      <c r="M859" s="1" t="str">
        <f>INDEX(MCC_Lookup!$B$2:$B$12,MATCH(G859,MCC_Lookup!$A$2:$A$12,0))</f>
        <v>Entertainment</v>
      </c>
      <c r="N859" s="1" t="str">
        <f>IF(TRIM(H859)="","BLANK",IF(PROPER(TRIM(H859))=TRIM(M859),"MATCH","MISMATCH"))</f>
        <v>MATCH</v>
      </c>
      <c r="O859" s="5" t="str">
        <f>INDEX([1]Employee!$C$2:$C$276,MATCH(B859,[1]Employee!$A$2:$A$276,0))</f>
        <v>Sales &amp; Marketing</v>
      </c>
    </row>
    <row r="860" spans="1:15">
      <c r="A860" s="1" t="s">
        <v>1908</v>
      </c>
      <c r="B860" s="1" t="s">
        <v>603</v>
      </c>
      <c r="C860" s="1" t="s">
        <v>1909</v>
      </c>
      <c r="D860" s="2">
        <v>46063</v>
      </c>
      <c r="E860" s="2">
        <v>46072</v>
      </c>
      <c r="F860" s="1" t="s">
        <v>305</v>
      </c>
      <c r="G860" s="1" t="s">
        <v>2</v>
      </c>
      <c r="H860" s="1" t="s">
        <v>3</v>
      </c>
      <c r="I860" s="7">
        <v>11.98</v>
      </c>
      <c r="J860" s="1" t="s">
        <v>38</v>
      </c>
      <c r="K860" s="1"/>
      <c r="L860" s="1" t="s">
        <v>39</v>
      </c>
      <c r="M860" s="1" t="str">
        <f>INDEX(MCC_Lookup!$B$2:$B$12,MATCH(G860,MCC_Lookup!$A$2:$A$12,0))</f>
        <v>Meals</v>
      </c>
      <c r="N860" s="1" t="str">
        <f>IF(TRIM(H860)="","BLANK",IF(PROPER(TRIM(H860))=TRIM(M860),"MATCH","MISMATCH"))</f>
        <v>MATCH</v>
      </c>
      <c r="O860" s="5" t="str">
        <f>INDEX([1]Employee!$C$2:$C$276,MATCH(B860,[1]Employee!$A$2:$A$276,0))</f>
        <v>Underwriting</v>
      </c>
    </row>
    <row r="861" spans="1:15">
      <c r="A861" s="1" t="s">
        <v>1910</v>
      </c>
      <c r="B861" s="1" t="s">
        <v>41</v>
      </c>
      <c r="C861" s="1" t="s">
        <v>1911</v>
      </c>
      <c r="D861" s="2">
        <v>46067</v>
      </c>
      <c r="E861" s="2">
        <v>46072</v>
      </c>
      <c r="F861" s="1" t="s">
        <v>259</v>
      </c>
      <c r="G861" s="1" t="s">
        <v>20</v>
      </c>
      <c r="H861" s="1" t="s">
        <v>19</v>
      </c>
      <c r="I861" s="7">
        <v>630.98</v>
      </c>
      <c r="J861" s="1" t="s">
        <v>38</v>
      </c>
      <c r="K861" s="1"/>
      <c r="L861" s="1" t="s">
        <v>48</v>
      </c>
      <c r="M861" s="1" t="str">
        <f>INDEX(MCC_Lookup!$B$2:$B$12,MATCH(G861,MCC_Lookup!$A$2:$A$12,0))</f>
        <v>Events</v>
      </c>
      <c r="N861" s="1" t="str">
        <f>IF(TRIM(H861)="","BLANK",IF(PROPER(TRIM(H861))=TRIM(M861),"MATCH","MISMATCH"))</f>
        <v>MATCH</v>
      </c>
      <c r="O861" s="5" t="str">
        <f>INDEX([1]Employee!$C$2:$C$276,MATCH(B861,[1]Employee!$A$2:$A$276,0))</f>
        <v>Sales &amp; Marketing</v>
      </c>
    </row>
    <row r="862" spans="1:15">
      <c r="A862" s="1" t="s">
        <v>1912</v>
      </c>
      <c r="B862" s="1" t="s">
        <v>947</v>
      </c>
      <c r="C862" s="1" t="s">
        <v>1913</v>
      </c>
      <c r="D862" s="2">
        <v>46063</v>
      </c>
      <c r="E862" s="2">
        <v>46072</v>
      </c>
      <c r="F862" s="1" t="s">
        <v>173</v>
      </c>
      <c r="G862" s="1" t="s">
        <v>2</v>
      </c>
      <c r="H862" s="1"/>
      <c r="I862" s="7">
        <v>67.83</v>
      </c>
      <c r="J862" s="1" t="s">
        <v>38</v>
      </c>
      <c r="K862" s="1"/>
      <c r="L862" s="1" t="s">
        <v>39</v>
      </c>
      <c r="M862" s="1" t="str">
        <f>INDEX(MCC_Lookup!$B$2:$B$12,MATCH(G862,MCC_Lookup!$A$2:$A$12,0))</f>
        <v>Meals</v>
      </c>
      <c r="N862" s="1" t="str">
        <f>IF(TRIM(H862)="","BLANK",IF(PROPER(TRIM(H862))=TRIM(M862),"MATCH","MISMATCH"))</f>
        <v>BLANK</v>
      </c>
      <c r="O862" s="5" t="str">
        <f>INDEX([1]Employee!$C$2:$C$276,MATCH(B862,[1]Employee!$A$2:$A$276,0))</f>
        <v>Sales &amp; Marketing</v>
      </c>
    </row>
    <row r="863" spans="1:15">
      <c r="A863" s="1" t="s">
        <v>1914</v>
      </c>
      <c r="B863" s="1" t="s">
        <v>469</v>
      </c>
      <c r="C863" s="1"/>
      <c r="D863" s="2">
        <v>46068</v>
      </c>
      <c r="E863" s="2">
        <v>46072</v>
      </c>
      <c r="F863" s="1" t="s">
        <v>69</v>
      </c>
      <c r="G863" s="1" t="s">
        <v>8</v>
      </c>
      <c r="H863" s="1"/>
      <c r="I863" s="7">
        <v>52.09</v>
      </c>
      <c r="J863" s="1" t="s">
        <v>111</v>
      </c>
      <c r="K863" s="1" t="s">
        <v>127</v>
      </c>
      <c r="L863" s="1" t="s">
        <v>39</v>
      </c>
      <c r="M863" s="1" t="str">
        <f>INDEX(MCC_Lookup!$B$2:$B$12,MATCH(G863,MCC_Lookup!$A$2:$A$12,0))</f>
        <v>Transportation</v>
      </c>
      <c r="N863" s="1" t="str">
        <f>IF(TRIM(H863)="","BLANK",IF(PROPER(TRIM(H863))=TRIM(M863),"MATCH","MISMATCH"))</f>
        <v>BLANK</v>
      </c>
      <c r="O863" s="5" t="str">
        <f>INDEX([1]Employee!$C$2:$C$276,MATCH(B863,[1]Employee!$A$2:$A$276,0))</f>
        <v>Sales &amp; Marketing</v>
      </c>
    </row>
    <row r="864" spans="1:15">
      <c r="A864" s="1" t="s">
        <v>1915</v>
      </c>
      <c r="B864" s="1" t="s">
        <v>615</v>
      </c>
      <c r="C864" s="1" t="s">
        <v>1916</v>
      </c>
      <c r="D864" s="2">
        <v>46068</v>
      </c>
      <c r="E864" s="2">
        <v>46073</v>
      </c>
      <c r="F864" s="1" t="s">
        <v>173</v>
      </c>
      <c r="G864" s="1" t="s">
        <v>2</v>
      </c>
      <c r="H864" s="1" t="s">
        <v>3</v>
      </c>
      <c r="I864" s="7">
        <v>84.73</v>
      </c>
      <c r="J864" s="1" t="s">
        <v>38</v>
      </c>
      <c r="K864" s="1"/>
      <c r="L864" s="1" t="s">
        <v>39</v>
      </c>
      <c r="M864" s="1" t="str">
        <f>INDEX(MCC_Lookup!$B$2:$B$12,MATCH(G864,MCC_Lookup!$A$2:$A$12,0))</f>
        <v>Meals</v>
      </c>
      <c r="N864" s="1" t="str">
        <f>IF(TRIM(H864)="","BLANK",IF(PROPER(TRIM(H864))=TRIM(M864),"MATCH","MISMATCH"))</f>
        <v>MATCH</v>
      </c>
      <c r="O864" s="5" t="str">
        <f>INDEX([1]Employee!$C$2:$C$276,MATCH(B864,[1]Employee!$A$2:$A$276,0))</f>
        <v>Underwriting</v>
      </c>
    </row>
    <row r="865" spans="1:15">
      <c r="A865" s="1" t="s">
        <v>1917</v>
      </c>
      <c r="B865" s="1" t="s">
        <v>182</v>
      </c>
      <c r="C865" s="1" t="s">
        <v>1918</v>
      </c>
      <c r="D865" s="2">
        <v>46066</v>
      </c>
      <c r="E865" s="2">
        <v>46073</v>
      </c>
      <c r="F865" s="1" t="s">
        <v>92</v>
      </c>
      <c r="G865" s="1" t="s">
        <v>10</v>
      </c>
      <c r="H865" s="1" t="s">
        <v>11</v>
      </c>
      <c r="I865" s="7">
        <v>176.65</v>
      </c>
      <c r="J865" s="1" t="s">
        <v>38</v>
      </c>
      <c r="K865" s="1"/>
      <c r="L865" s="1" t="s">
        <v>39</v>
      </c>
      <c r="M865" s="1" t="str">
        <f>INDEX(MCC_Lookup!$B$2:$B$12,MATCH(G865,MCC_Lookup!$A$2:$A$12,0))</f>
        <v>Office Supplies</v>
      </c>
      <c r="N865" s="1" t="str">
        <f>IF(TRIM(H865)="","BLANK",IF(PROPER(TRIM(H865))=TRIM(M865),"MATCH","MISMATCH"))</f>
        <v>MATCH</v>
      </c>
      <c r="O865" s="5" t="str">
        <f>INDEX([1]Employee!$C$2:$C$276,MATCH(B865,[1]Employee!$A$2:$A$276,0))</f>
        <v>Sales &amp; Marketing</v>
      </c>
    </row>
    <row r="866" spans="1:15">
      <c r="A866" s="1" t="s">
        <v>1919</v>
      </c>
      <c r="B866" s="1" t="s">
        <v>761</v>
      </c>
      <c r="C866" s="1" t="s">
        <v>1920</v>
      </c>
      <c r="D866" s="2">
        <v>46064</v>
      </c>
      <c r="E866" s="2">
        <v>46073</v>
      </c>
      <c r="F866" s="1" t="s">
        <v>201</v>
      </c>
      <c r="G866" s="1" t="s">
        <v>4</v>
      </c>
      <c r="H866" s="1" t="s">
        <v>5</v>
      </c>
      <c r="I866" s="7">
        <v>398.77</v>
      </c>
      <c r="J866" s="1" t="s">
        <v>38</v>
      </c>
      <c r="K866" s="1"/>
      <c r="L866" s="1" t="s">
        <v>39</v>
      </c>
      <c r="M866" s="1" t="str">
        <f>INDEX(MCC_Lookup!$B$2:$B$12,MATCH(G866,MCC_Lookup!$A$2:$A$12,0))</f>
        <v>Travel</v>
      </c>
      <c r="N866" s="1" t="str">
        <f>IF(TRIM(H866)="","BLANK",IF(PROPER(TRIM(H866))=TRIM(M866),"MATCH","MISMATCH"))</f>
        <v>MATCH</v>
      </c>
      <c r="O866" s="5" t="str">
        <f>INDEX([1]Employee!$C$2:$C$276,MATCH(B866,[1]Employee!$A$2:$A$276,0))</f>
        <v>Finance</v>
      </c>
    </row>
    <row r="867" spans="1:15">
      <c r="A867" s="1" t="s">
        <v>1921</v>
      </c>
      <c r="B867" s="1" t="s">
        <v>407</v>
      </c>
      <c r="C867" s="1" t="s">
        <v>1922</v>
      </c>
      <c r="D867" s="2">
        <v>46065</v>
      </c>
      <c r="E867" s="2">
        <v>46073</v>
      </c>
      <c r="F867" s="1" t="s">
        <v>1362</v>
      </c>
      <c r="G867" s="1" t="s">
        <v>6</v>
      </c>
      <c r="H867" s="1" t="s">
        <v>7</v>
      </c>
      <c r="I867" s="7">
        <v>220.64</v>
      </c>
      <c r="J867" s="1" t="s">
        <v>38</v>
      </c>
      <c r="K867" s="1"/>
      <c r="L867" s="1" t="s">
        <v>39</v>
      </c>
      <c r="M867" s="1" t="str">
        <f>INDEX(MCC_Lookup!$B$2:$B$12,MATCH(G867,MCC_Lookup!$A$2:$A$12,0))</f>
        <v>Lodging</v>
      </c>
      <c r="N867" s="1" t="str">
        <f>IF(TRIM(H867)="","BLANK",IF(PROPER(TRIM(H867))=TRIM(M867),"MATCH","MISMATCH"))</f>
        <v>MATCH</v>
      </c>
      <c r="O867" s="5" t="str">
        <f>INDEX([1]Employee!$C$2:$C$276,MATCH(B867,[1]Employee!$A$2:$A$276,0))</f>
        <v>Executive &amp; Corporate</v>
      </c>
    </row>
    <row r="868" spans="1:15">
      <c r="A868" s="1" t="s">
        <v>1923</v>
      </c>
      <c r="B868" s="1" t="s">
        <v>216</v>
      </c>
      <c r="C868" s="1" t="s">
        <v>1924</v>
      </c>
      <c r="D868" s="2">
        <v>46073</v>
      </c>
      <c r="E868" s="2">
        <v>46073</v>
      </c>
      <c r="F868" s="1" t="s">
        <v>242</v>
      </c>
      <c r="G868" s="1" t="s">
        <v>13</v>
      </c>
      <c r="H868" s="1"/>
      <c r="I868" s="7">
        <v>58.85</v>
      </c>
      <c r="J868" s="1" t="s">
        <v>38</v>
      </c>
      <c r="K868" s="1"/>
      <c r="L868" s="1" t="s">
        <v>39</v>
      </c>
      <c r="M868" s="1" t="str">
        <f>INDEX(MCC_Lookup!$B$2:$B$12,MATCH(G868,MCC_Lookup!$A$2:$A$12,0))</f>
        <v>Software</v>
      </c>
      <c r="N868" s="1" t="str">
        <f>IF(TRIM(H868)="","BLANK",IF(PROPER(TRIM(H868))=TRIM(M868),"MATCH","MISMATCH"))</f>
        <v>BLANK</v>
      </c>
      <c r="O868" s="5" t="str">
        <f>INDEX([1]Employee!$C$2:$C$276,MATCH(B868,[1]Employee!$A$2:$A$276,0))</f>
        <v>Sales &amp; Marketing</v>
      </c>
    </row>
    <row r="869" spans="1:15">
      <c r="A869" s="1" t="s">
        <v>1925</v>
      </c>
      <c r="B869" s="1" t="s">
        <v>292</v>
      </c>
      <c r="C869" s="1" t="s">
        <v>1926</v>
      </c>
      <c r="D869" s="2">
        <v>46070</v>
      </c>
      <c r="E869" s="2">
        <v>46073</v>
      </c>
      <c r="F869" s="1" t="s">
        <v>43</v>
      </c>
      <c r="G869" s="1" t="s">
        <v>2</v>
      </c>
      <c r="H869" s="1" t="s">
        <v>154</v>
      </c>
      <c r="I869" s="7">
        <v>20.07</v>
      </c>
      <c r="J869" s="1" t="s">
        <v>38</v>
      </c>
      <c r="K869" s="1"/>
      <c r="L869" s="1" t="s">
        <v>39</v>
      </c>
      <c r="M869" s="1" t="str">
        <f>INDEX(MCC_Lookup!$B$2:$B$12,MATCH(G869,MCC_Lookup!$A$2:$A$12,0))</f>
        <v>Meals</v>
      </c>
      <c r="N869" s="1" t="str">
        <f>IF(TRIM(H869)="","BLANK",IF(PROPER(TRIM(H869))=TRIM(M869),"MATCH","MISMATCH"))</f>
        <v>MATCH</v>
      </c>
      <c r="O869" s="5" t="str">
        <f>INDEX([1]Employee!$C$2:$C$276,MATCH(B869,[1]Employee!$A$2:$A$276,0))</f>
        <v>Sales &amp; Marketing</v>
      </c>
    </row>
    <row r="870" spans="1:15">
      <c r="A870" s="1" t="s">
        <v>1927</v>
      </c>
      <c r="B870" s="1" t="s">
        <v>81</v>
      </c>
      <c r="C870" s="1" t="s">
        <v>1928</v>
      </c>
      <c r="D870" s="2">
        <v>46065</v>
      </c>
      <c r="E870" s="2">
        <v>46073</v>
      </c>
      <c r="F870" s="1" t="s">
        <v>259</v>
      </c>
      <c r="G870" s="1" t="s">
        <v>20</v>
      </c>
      <c r="H870" s="1" t="s">
        <v>19</v>
      </c>
      <c r="I870" s="7">
        <v>81.290000000000006</v>
      </c>
      <c r="J870" s="1" t="s">
        <v>38</v>
      </c>
      <c r="K870" s="1"/>
      <c r="L870" s="1" t="s">
        <v>39</v>
      </c>
      <c r="M870" s="1" t="str">
        <f>INDEX(MCC_Lookup!$B$2:$B$12,MATCH(G870,MCC_Lookup!$A$2:$A$12,0))</f>
        <v>Events</v>
      </c>
      <c r="N870" s="1" t="str">
        <f>IF(TRIM(H870)="","BLANK",IF(PROPER(TRIM(H870))=TRIM(M870),"MATCH","MISMATCH"))</f>
        <v>MATCH</v>
      </c>
      <c r="O870" s="5" t="str">
        <f>INDEX([1]Employee!$C$2:$C$276,MATCH(B870,[1]Employee!$A$2:$A$276,0))</f>
        <v>Sales &amp; Marketing</v>
      </c>
    </row>
    <row r="871" spans="1:15">
      <c r="A871" s="1" t="s">
        <v>1929</v>
      </c>
      <c r="B871" s="1" t="s">
        <v>512</v>
      </c>
      <c r="C871" s="1" t="s">
        <v>1930</v>
      </c>
      <c r="D871" s="2">
        <v>46072</v>
      </c>
      <c r="E871" s="2">
        <v>46073</v>
      </c>
      <c r="F871" s="1" t="s">
        <v>83</v>
      </c>
      <c r="G871" s="1" t="s">
        <v>2</v>
      </c>
      <c r="H871" s="1" t="s">
        <v>3</v>
      </c>
      <c r="I871" s="7">
        <v>18.010000000000002</v>
      </c>
      <c r="J871" s="1" t="s">
        <v>38</v>
      </c>
      <c r="K871" s="1"/>
      <c r="L871" s="1" t="s">
        <v>39</v>
      </c>
      <c r="M871" s="1" t="str">
        <f>INDEX(MCC_Lookup!$B$2:$B$12,MATCH(G871,MCC_Lookup!$A$2:$A$12,0))</f>
        <v>Meals</v>
      </c>
      <c r="N871" s="1" t="str">
        <f>IF(TRIM(H871)="","BLANK",IF(PROPER(TRIM(H871))=TRIM(M871),"MATCH","MISMATCH"))</f>
        <v>MATCH</v>
      </c>
      <c r="O871" s="5" t="str">
        <f>INDEX([1]Employee!$C$2:$C$276,MATCH(B871,[1]Employee!$A$2:$A$276,0))</f>
        <v>Sales &amp; Marketing</v>
      </c>
    </row>
    <row r="872" spans="1:15">
      <c r="A872" s="1" t="s">
        <v>1931</v>
      </c>
      <c r="B872" s="1" t="s">
        <v>738</v>
      </c>
      <c r="C872" s="1" t="s">
        <v>1932</v>
      </c>
      <c r="D872" s="2">
        <v>46070</v>
      </c>
      <c r="E872" s="2">
        <v>46073</v>
      </c>
      <c r="F872" s="1" t="s">
        <v>72</v>
      </c>
      <c r="G872" s="1" t="s">
        <v>8</v>
      </c>
      <c r="H872" s="1" t="s">
        <v>9</v>
      </c>
      <c r="I872" s="7">
        <v>27.53</v>
      </c>
      <c r="J872" s="1" t="s">
        <v>38</v>
      </c>
      <c r="K872" s="1"/>
      <c r="L872" s="1" t="s">
        <v>39</v>
      </c>
      <c r="M872" s="1" t="str">
        <f>INDEX(MCC_Lookup!$B$2:$B$12,MATCH(G872,MCC_Lookup!$A$2:$A$12,0))</f>
        <v>Transportation</v>
      </c>
      <c r="N872" s="1" t="str">
        <f>IF(TRIM(H872)="","BLANK",IF(PROPER(TRIM(H872))=TRIM(M872),"MATCH","MISMATCH"))</f>
        <v>MATCH</v>
      </c>
      <c r="O872" s="5" t="str">
        <f>INDEX([1]Employee!$C$2:$C$276,MATCH(B872,[1]Employee!$A$2:$A$276,0))</f>
        <v>Sales &amp; Marketing</v>
      </c>
    </row>
    <row r="873" spans="1:15">
      <c r="A873" s="1" t="s">
        <v>1933</v>
      </c>
      <c r="B873" s="1" t="s">
        <v>661</v>
      </c>
      <c r="C873" s="1"/>
      <c r="D873" s="2">
        <v>46070</v>
      </c>
      <c r="E873" s="2">
        <v>46073</v>
      </c>
      <c r="F873" s="1" t="s">
        <v>83</v>
      </c>
      <c r="G873" s="1" t="s">
        <v>2</v>
      </c>
      <c r="H873" s="1" t="s">
        <v>3</v>
      </c>
      <c r="I873" s="7">
        <v>17.77</v>
      </c>
      <c r="J873" s="1" t="s">
        <v>38</v>
      </c>
      <c r="K873" s="1"/>
      <c r="L873" s="1" t="s">
        <v>48</v>
      </c>
      <c r="M873" s="1" t="str">
        <f>INDEX(MCC_Lookup!$B$2:$B$12,MATCH(G873,MCC_Lookup!$A$2:$A$12,0))</f>
        <v>Meals</v>
      </c>
      <c r="N873" s="1" t="str">
        <f>IF(TRIM(H873)="","BLANK",IF(PROPER(TRIM(H873))=TRIM(M873),"MATCH","MISMATCH"))</f>
        <v>MATCH</v>
      </c>
      <c r="O873" s="5" t="str">
        <f>INDEX([1]Employee!$C$2:$C$276,MATCH(B873,[1]Employee!$A$2:$A$276,0))</f>
        <v>Sales &amp; Marketing</v>
      </c>
    </row>
    <row r="874" spans="1:15">
      <c r="A874" s="1" t="s">
        <v>1934</v>
      </c>
      <c r="B874" s="1" t="s">
        <v>1113</v>
      </c>
      <c r="C874" s="1" t="s">
        <v>1935</v>
      </c>
      <c r="D874" s="2">
        <v>46066</v>
      </c>
      <c r="E874" s="2">
        <v>46073</v>
      </c>
      <c r="F874" s="1" t="s">
        <v>109</v>
      </c>
      <c r="G874" s="1" t="s">
        <v>18</v>
      </c>
      <c r="H874" s="1" t="s">
        <v>19</v>
      </c>
      <c r="I874" s="7">
        <v>38.729999999999997</v>
      </c>
      <c r="J874" s="1" t="s">
        <v>38</v>
      </c>
      <c r="K874" s="1"/>
      <c r="L874" s="1" t="s">
        <v>39</v>
      </c>
      <c r="M874" s="1" t="str">
        <f>INDEX(MCC_Lookup!$B$2:$B$12,MATCH(G874,MCC_Lookup!$A$2:$A$12,0))</f>
        <v>Events</v>
      </c>
      <c r="N874" s="1" t="str">
        <f>IF(TRIM(H874)="","BLANK",IF(PROPER(TRIM(H874))=TRIM(M874),"MATCH","MISMATCH"))</f>
        <v>MATCH</v>
      </c>
      <c r="O874" s="5" t="str">
        <f>INDEX([1]Employee!$C$2:$C$276,MATCH(B874,[1]Employee!$A$2:$A$276,0))</f>
        <v>Actuarial &amp; Risk</v>
      </c>
    </row>
    <row r="875" spans="1:15">
      <c r="A875" s="1" t="s">
        <v>1936</v>
      </c>
      <c r="B875" s="1" t="s">
        <v>280</v>
      </c>
      <c r="C875" s="1" t="s">
        <v>1937</v>
      </c>
      <c r="D875" s="2">
        <v>46067</v>
      </c>
      <c r="E875" s="2">
        <v>46073</v>
      </c>
      <c r="F875" s="1" t="s">
        <v>56</v>
      </c>
      <c r="G875" s="1" t="s">
        <v>4</v>
      </c>
      <c r="H875" s="1" t="s">
        <v>5</v>
      </c>
      <c r="I875" s="7">
        <v>475.58</v>
      </c>
      <c r="J875" s="1" t="s">
        <v>38</v>
      </c>
      <c r="K875" s="1"/>
      <c r="L875" s="1" t="s">
        <v>39</v>
      </c>
      <c r="M875" s="1" t="str">
        <f>INDEX(MCC_Lookup!$B$2:$B$12,MATCH(G875,MCC_Lookup!$A$2:$A$12,0))</f>
        <v>Travel</v>
      </c>
      <c r="N875" s="1" t="str">
        <f>IF(TRIM(H875)="","BLANK",IF(PROPER(TRIM(H875))=TRIM(M875),"MATCH","MISMATCH"))</f>
        <v>MATCH</v>
      </c>
      <c r="O875" s="5" t="str">
        <f>INDEX([1]Employee!$C$2:$C$276,MATCH(B875,[1]Employee!$A$2:$A$276,0))</f>
        <v>Claims</v>
      </c>
    </row>
    <row r="876" spans="1:15">
      <c r="A876" s="1" t="s">
        <v>1938</v>
      </c>
      <c r="B876" s="1" t="s">
        <v>231</v>
      </c>
      <c r="C876" s="1" t="s">
        <v>1939</v>
      </c>
      <c r="D876" s="2">
        <v>46068</v>
      </c>
      <c r="E876" s="2">
        <v>46073</v>
      </c>
      <c r="F876" s="1" t="s">
        <v>65</v>
      </c>
      <c r="G876" s="1" t="s">
        <v>18</v>
      </c>
      <c r="H876" s="1" t="s">
        <v>19</v>
      </c>
      <c r="I876" s="7">
        <v>402.67</v>
      </c>
      <c r="J876" s="1" t="s">
        <v>38</v>
      </c>
      <c r="K876" s="1"/>
      <c r="L876" s="1" t="s">
        <v>48</v>
      </c>
      <c r="M876" s="1" t="str">
        <f>INDEX(MCC_Lookup!$B$2:$B$12,MATCH(G876,MCC_Lookup!$A$2:$A$12,0))</f>
        <v>Events</v>
      </c>
      <c r="N876" s="1" t="str">
        <f>IF(TRIM(H876)="","BLANK",IF(PROPER(TRIM(H876))=TRIM(M876),"MATCH","MISMATCH"))</f>
        <v>MATCH</v>
      </c>
      <c r="O876" s="5" t="str">
        <f>INDEX([1]Employee!$C$2:$C$276,MATCH(B876,[1]Employee!$A$2:$A$276,0))</f>
        <v>Finance</v>
      </c>
    </row>
    <row r="877" spans="1:15">
      <c r="A877" s="1" t="s">
        <v>1940</v>
      </c>
      <c r="B877" s="1" t="s">
        <v>888</v>
      </c>
      <c r="C877" s="1" t="s">
        <v>1941</v>
      </c>
      <c r="D877" s="2">
        <v>46067</v>
      </c>
      <c r="E877" s="2">
        <v>46073</v>
      </c>
      <c r="F877" s="1" t="s">
        <v>99</v>
      </c>
      <c r="G877" s="1" t="s">
        <v>2</v>
      </c>
      <c r="H877" s="1" t="s">
        <v>3</v>
      </c>
      <c r="I877" s="7">
        <v>71.5</v>
      </c>
      <c r="J877" s="1" t="s">
        <v>38</v>
      </c>
      <c r="K877" s="1"/>
      <c r="L877" s="1" t="s">
        <v>39</v>
      </c>
      <c r="M877" s="1" t="str">
        <f>INDEX(MCC_Lookup!$B$2:$B$12,MATCH(G877,MCC_Lookup!$A$2:$A$12,0))</f>
        <v>Meals</v>
      </c>
      <c r="N877" s="1" t="str">
        <f>IF(TRIM(H877)="","BLANK",IF(PROPER(TRIM(H877))=TRIM(M877),"MATCH","MISMATCH"))</f>
        <v>MATCH</v>
      </c>
      <c r="O877" s="5" t="str">
        <f>INDEX([1]Employee!$C$2:$C$276,MATCH(B877,[1]Employee!$A$2:$A$276,0))</f>
        <v>Claims</v>
      </c>
    </row>
    <row r="878" spans="1:15">
      <c r="A878" s="1" t="s">
        <v>1942</v>
      </c>
      <c r="B878" s="1" t="s">
        <v>1110</v>
      </c>
      <c r="C878" s="1" t="s">
        <v>1943</v>
      </c>
      <c r="D878" s="2">
        <v>46065</v>
      </c>
      <c r="E878" s="2">
        <v>46073</v>
      </c>
      <c r="F878" s="1" t="s">
        <v>92</v>
      </c>
      <c r="G878" s="1" t="s">
        <v>10</v>
      </c>
      <c r="H878" s="1" t="s">
        <v>11</v>
      </c>
      <c r="I878" s="7">
        <v>137.86000000000001</v>
      </c>
      <c r="J878" s="1" t="s">
        <v>38</v>
      </c>
      <c r="K878" s="1"/>
      <c r="L878" s="1" t="s">
        <v>48</v>
      </c>
      <c r="M878" s="1" t="str">
        <f>INDEX(MCC_Lookup!$B$2:$B$12,MATCH(G878,MCC_Lookup!$A$2:$A$12,0))</f>
        <v>Office Supplies</v>
      </c>
      <c r="N878" s="1" t="str">
        <f>IF(TRIM(H878)="","BLANK",IF(PROPER(TRIM(H878))=TRIM(M878),"MATCH","MISMATCH"))</f>
        <v>MATCH</v>
      </c>
      <c r="O878" s="5" t="str">
        <f>INDEX([1]Employee!$C$2:$C$276,MATCH(B878,[1]Employee!$A$2:$A$276,0))</f>
        <v>Executive &amp; Corporate</v>
      </c>
    </row>
    <row r="879" spans="1:15">
      <c r="A879" s="1" t="s">
        <v>1944</v>
      </c>
      <c r="B879" s="1" t="s">
        <v>531</v>
      </c>
      <c r="C879" s="1" t="s">
        <v>1945</v>
      </c>
      <c r="D879" s="2">
        <v>46072</v>
      </c>
      <c r="E879" s="2">
        <v>46073</v>
      </c>
      <c r="F879" s="1" t="s">
        <v>124</v>
      </c>
      <c r="G879" s="1" t="s">
        <v>17</v>
      </c>
      <c r="H879" s="1" t="s">
        <v>16</v>
      </c>
      <c r="I879" s="7">
        <v>105.65</v>
      </c>
      <c r="J879" s="1" t="s">
        <v>38</v>
      </c>
      <c r="K879" s="1"/>
      <c r="L879" s="1" t="s">
        <v>39</v>
      </c>
      <c r="M879" s="1" t="str">
        <f>INDEX(MCC_Lookup!$B$2:$B$12,MATCH(G879,MCC_Lookup!$A$2:$A$12,0))</f>
        <v>Entertainment</v>
      </c>
      <c r="N879" s="1" t="str">
        <f>IF(TRIM(H879)="","BLANK",IF(PROPER(TRIM(H879))=TRIM(M879),"MATCH","MISMATCH"))</f>
        <v>MATCH</v>
      </c>
      <c r="O879" s="5" t="str">
        <f>INDEX([1]Employee!$C$2:$C$276,MATCH(B879,[1]Employee!$A$2:$A$276,0))</f>
        <v>Sales &amp; Marketing</v>
      </c>
    </row>
    <row r="880" spans="1:15">
      <c r="A880" s="1" t="s">
        <v>1946</v>
      </c>
      <c r="B880" s="1" t="s">
        <v>1814</v>
      </c>
      <c r="C880" s="1" t="s">
        <v>1947</v>
      </c>
      <c r="D880" s="2">
        <v>46064</v>
      </c>
      <c r="E880" s="2">
        <v>46073</v>
      </c>
      <c r="F880" s="1" t="s">
        <v>69</v>
      </c>
      <c r="G880" s="1" t="s">
        <v>8</v>
      </c>
      <c r="H880" s="1" t="s">
        <v>9</v>
      </c>
      <c r="I880" s="7">
        <v>41.48</v>
      </c>
      <c r="J880" s="1" t="s">
        <v>38</v>
      </c>
      <c r="K880" s="1"/>
      <c r="L880" s="1" t="s">
        <v>39</v>
      </c>
      <c r="M880" s="1" t="str">
        <f>INDEX(MCC_Lookup!$B$2:$B$12,MATCH(G880,MCC_Lookup!$A$2:$A$12,0))</f>
        <v>Transportation</v>
      </c>
      <c r="N880" s="1" t="str">
        <f>IF(TRIM(H880)="","BLANK",IF(PROPER(TRIM(H880))=TRIM(M880),"MATCH","MISMATCH"))</f>
        <v>MATCH</v>
      </c>
      <c r="O880" s="5" t="str">
        <f>INDEX([1]Employee!$C$2:$C$276,MATCH(B880,[1]Employee!$A$2:$A$276,0))</f>
        <v>Underwriting</v>
      </c>
    </row>
    <row r="881" spans="1:15">
      <c r="A881" s="1" t="s">
        <v>1948</v>
      </c>
      <c r="B881" s="1" t="s">
        <v>855</v>
      </c>
      <c r="C881" s="1"/>
      <c r="D881" s="2">
        <v>46071</v>
      </c>
      <c r="E881" s="2">
        <v>46073</v>
      </c>
      <c r="F881" s="1" t="s">
        <v>347</v>
      </c>
      <c r="G881" s="1" t="s">
        <v>8</v>
      </c>
      <c r="H881" s="1" t="s">
        <v>435</v>
      </c>
      <c r="I881" s="7">
        <v>53.76</v>
      </c>
      <c r="J881" s="1" t="s">
        <v>111</v>
      </c>
      <c r="K881" s="1" t="s">
        <v>161</v>
      </c>
      <c r="L881" s="1" t="s">
        <v>39</v>
      </c>
      <c r="M881" s="1" t="str">
        <f>INDEX(MCC_Lookup!$B$2:$B$12,MATCH(G881,MCC_Lookup!$A$2:$A$12,0))</f>
        <v>Transportation</v>
      </c>
      <c r="N881" s="1" t="str">
        <f>IF(TRIM(H881)="","BLANK",IF(PROPER(TRIM(H881))=TRIM(M881),"MATCH","MISMATCH"))</f>
        <v>MATCH</v>
      </c>
      <c r="O881" s="5" t="str">
        <f>INDEX([1]Employee!$C$2:$C$276,MATCH(B881,[1]Employee!$A$2:$A$276,0))</f>
        <v>Underwriting</v>
      </c>
    </row>
    <row r="882" spans="1:15">
      <c r="A882" s="1" t="s">
        <v>1949</v>
      </c>
      <c r="B882" s="1" t="s">
        <v>832</v>
      </c>
      <c r="C882" s="1" t="s">
        <v>1950</v>
      </c>
      <c r="D882" s="2">
        <v>46065</v>
      </c>
      <c r="E882" s="2">
        <v>46073</v>
      </c>
      <c r="F882" s="1" t="s">
        <v>72</v>
      </c>
      <c r="G882" s="1" t="s">
        <v>8</v>
      </c>
      <c r="H882" s="1" t="s">
        <v>9</v>
      </c>
      <c r="I882" s="7">
        <v>53.24</v>
      </c>
      <c r="J882" s="1" t="s">
        <v>38</v>
      </c>
      <c r="K882" s="1"/>
      <c r="L882" s="1" t="s">
        <v>39</v>
      </c>
      <c r="M882" s="1" t="str">
        <f>INDEX(MCC_Lookup!$B$2:$B$12,MATCH(G882,MCC_Lookup!$A$2:$A$12,0))</f>
        <v>Transportation</v>
      </c>
      <c r="N882" s="1" t="str">
        <f>IF(TRIM(H882)="","BLANK",IF(PROPER(TRIM(H882))=TRIM(M882),"MATCH","MISMATCH"))</f>
        <v>MATCH</v>
      </c>
      <c r="O882" s="5" t="str">
        <f>INDEX([1]Employee!$C$2:$C$276,MATCH(B882,[1]Employee!$A$2:$A$276,0))</f>
        <v>Sales &amp; Marketing</v>
      </c>
    </row>
    <row r="883" spans="1:15">
      <c r="A883" s="1" t="s">
        <v>1951</v>
      </c>
      <c r="B883" s="1" t="s">
        <v>67</v>
      </c>
      <c r="C883" s="1" t="s">
        <v>1952</v>
      </c>
      <c r="D883" s="2">
        <v>46065</v>
      </c>
      <c r="E883" s="2">
        <v>46073</v>
      </c>
      <c r="F883" s="1" t="s">
        <v>1953</v>
      </c>
      <c r="G883" s="1" t="s">
        <v>8</v>
      </c>
      <c r="H883" s="1" t="s">
        <v>9</v>
      </c>
      <c r="I883" s="7">
        <v>30.72</v>
      </c>
      <c r="J883" s="1" t="s">
        <v>38</v>
      </c>
      <c r="K883" s="1"/>
      <c r="L883" s="1" t="s">
        <v>39</v>
      </c>
      <c r="M883" s="1" t="str">
        <f>INDEX(MCC_Lookup!$B$2:$B$12,MATCH(G883,MCC_Lookup!$A$2:$A$12,0))</f>
        <v>Transportation</v>
      </c>
      <c r="N883" s="1" t="str">
        <f>IF(TRIM(H883)="","BLANK",IF(PROPER(TRIM(H883))=TRIM(M883),"MATCH","MISMATCH"))</f>
        <v>MATCH</v>
      </c>
      <c r="O883" s="5" t="str">
        <f>INDEX([1]Employee!$C$2:$C$276,MATCH(B883,[1]Employee!$A$2:$A$276,0))</f>
        <v>Sales &amp; Marketing</v>
      </c>
    </row>
    <row r="884" spans="1:15">
      <c r="A884" s="1" t="s">
        <v>1954</v>
      </c>
      <c r="B884" s="1" t="s">
        <v>196</v>
      </c>
      <c r="C884" s="1"/>
      <c r="D884" s="2">
        <v>46069</v>
      </c>
      <c r="E884" s="2">
        <v>46073</v>
      </c>
      <c r="F884" s="1" t="s">
        <v>72</v>
      </c>
      <c r="G884" s="1" t="s">
        <v>8</v>
      </c>
      <c r="H884" s="1"/>
      <c r="I884" s="7">
        <v>46.32</v>
      </c>
      <c r="J884" s="1" t="s">
        <v>111</v>
      </c>
      <c r="K884" s="1" t="s">
        <v>229</v>
      </c>
      <c r="L884" s="1" t="s">
        <v>39</v>
      </c>
      <c r="M884" s="1" t="str">
        <f>INDEX(MCC_Lookup!$B$2:$B$12,MATCH(G884,MCC_Lookup!$A$2:$A$12,0))</f>
        <v>Transportation</v>
      </c>
      <c r="N884" s="1" t="str">
        <f>IF(TRIM(H884)="","BLANK",IF(PROPER(TRIM(H884))=TRIM(M884),"MATCH","MISMATCH"))</f>
        <v>BLANK</v>
      </c>
      <c r="O884" s="5" t="str">
        <f>INDEX([1]Employee!$C$2:$C$276,MATCH(B884,[1]Employee!$A$2:$A$276,0))</f>
        <v>Sales &amp; Marketing</v>
      </c>
    </row>
    <row r="885" spans="1:15">
      <c r="A885" s="1" t="s">
        <v>1955</v>
      </c>
      <c r="B885" s="1" t="s">
        <v>303</v>
      </c>
      <c r="C885" s="1" t="s">
        <v>1956</v>
      </c>
      <c r="D885" s="2">
        <v>46068</v>
      </c>
      <c r="E885" s="2">
        <v>46073</v>
      </c>
      <c r="F885" s="1" t="s">
        <v>259</v>
      </c>
      <c r="G885" s="1" t="s">
        <v>20</v>
      </c>
      <c r="H885" s="1" t="s">
        <v>19</v>
      </c>
      <c r="I885" s="7">
        <v>403.07</v>
      </c>
      <c r="J885" s="1" t="s">
        <v>38</v>
      </c>
      <c r="K885" s="1"/>
      <c r="L885" s="1" t="s">
        <v>48</v>
      </c>
      <c r="M885" s="1" t="str">
        <f>INDEX(MCC_Lookup!$B$2:$B$12,MATCH(G885,MCC_Lookup!$A$2:$A$12,0))</f>
        <v>Events</v>
      </c>
      <c r="N885" s="1" t="str">
        <f>IF(TRIM(H885)="","BLANK",IF(PROPER(TRIM(H885))=TRIM(M885),"MATCH","MISMATCH"))</f>
        <v>MATCH</v>
      </c>
      <c r="O885" s="5" t="str">
        <f>INDEX([1]Employee!$C$2:$C$276,MATCH(B885,[1]Employee!$A$2:$A$276,0))</f>
        <v>Sales &amp; Marketing</v>
      </c>
    </row>
    <row r="886" spans="1:15">
      <c r="A886" s="1" t="s">
        <v>1957</v>
      </c>
      <c r="B886" s="1" t="s">
        <v>71</v>
      </c>
      <c r="C886" s="1" t="s">
        <v>1958</v>
      </c>
      <c r="D886" s="2">
        <v>46066</v>
      </c>
      <c r="E886" s="2">
        <v>46073</v>
      </c>
      <c r="F886" s="1" t="s">
        <v>79</v>
      </c>
      <c r="G886" s="1" t="s">
        <v>13</v>
      </c>
      <c r="H886" s="1" t="s">
        <v>14</v>
      </c>
      <c r="I886" s="7">
        <v>129.72999999999999</v>
      </c>
      <c r="J886" s="1" t="s">
        <v>38</v>
      </c>
      <c r="K886" s="1"/>
      <c r="L886" s="1" t="s">
        <v>39</v>
      </c>
      <c r="M886" s="1" t="str">
        <f>INDEX(MCC_Lookup!$B$2:$B$12,MATCH(G886,MCC_Lookup!$A$2:$A$12,0))</f>
        <v>Software</v>
      </c>
      <c r="N886" s="1" t="str">
        <f>IF(TRIM(H886)="","BLANK",IF(PROPER(TRIM(H886))=TRIM(M886),"MATCH","MISMATCH"))</f>
        <v>MATCH</v>
      </c>
      <c r="O886" s="5" t="str">
        <f>INDEX([1]Employee!$C$2:$C$276,MATCH(B886,[1]Employee!$A$2:$A$276,0))</f>
        <v>Sales &amp; Marketing</v>
      </c>
    </row>
    <row r="887" spans="1:15">
      <c r="A887" s="1" t="s">
        <v>1959</v>
      </c>
      <c r="B887" s="1" t="s">
        <v>571</v>
      </c>
      <c r="C887" s="1"/>
      <c r="D887" s="2">
        <v>46070</v>
      </c>
      <c r="E887" s="2">
        <v>46073</v>
      </c>
      <c r="F887" s="1" t="s">
        <v>106</v>
      </c>
      <c r="G887" s="1" t="s">
        <v>13</v>
      </c>
      <c r="H887" s="1" t="s">
        <v>14</v>
      </c>
      <c r="I887" s="7">
        <v>219.45</v>
      </c>
      <c r="J887" s="1" t="s">
        <v>111</v>
      </c>
      <c r="K887" s="1" t="s">
        <v>112</v>
      </c>
      <c r="L887" s="1" t="s">
        <v>48</v>
      </c>
      <c r="M887" s="1" t="str">
        <f>INDEX(MCC_Lookup!$B$2:$B$12,MATCH(G887,MCC_Lookup!$A$2:$A$12,0))</f>
        <v>Software</v>
      </c>
      <c r="N887" s="1" t="str">
        <f>IF(TRIM(H887)="","BLANK",IF(PROPER(TRIM(H887))=TRIM(M887),"MATCH","MISMATCH"))</f>
        <v>MATCH</v>
      </c>
      <c r="O887" s="5" t="str">
        <f>INDEX([1]Employee!$C$2:$C$276,MATCH(B887,[1]Employee!$A$2:$A$276,0))</f>
        <v>Finance</v>
      </c>
    </row>
    <row r="888" spans="1:15">
      <c r="A888" s="1" t="s">
        <v>1960</v>
      </c>
      <c r="B888" s="1" t="s">
        <v>550</v>
      </c>
      <c r="C888" s="1" t="s">
        <v>1961</v>
      </c>
      <c r="D888" s="2">
        <v>46063</v>
      </c>
      <c r="E888" s="2">
        <v>46073</v>
      </c>
      <c r="F888" s="1" t="s">
        <v>61</v>
      </c>
      <c r="G888" s="1" t="s">
        <v>13</v>
      </c>
      <c r="H888" s="1" t="s">
        <v>14</v>
      </c>
      <c r="I888" s="7">
        <v>36.42</v>
      </c>
      <c r="J888" s="1" t="s">
        <v>38</v>
      </c>
      <c r="K888" s="1"/>
      <c r="L888" s="1" t="s">
        <v>48</v>
      </c>
      <c r="M888" s="1" t="str">
        <f>INDEX(MCC_Lookup!$B$2:$B$12,MATCH(G888,MCC_Lookup!$A$2:$A$12,0))</f>
        <v>Software</v>
      </c>
      <c r="N888" s="1" t="str">
        <f>IF(TRIM(H888)="","BLANK",IF(PROPER(TRIM(H888))=TRIM(M888),"MATCH","MISMATCH"))</f>
        <v>MATCH</v>
      </c>
      <c r="O888" s="5" t="str">
        <f>INDEX([1]Employee!$C$2:$C$276,MATCH(B888,[1]Employee!$A$2:$A$276,0))</f>
        <v>Sales &amp; Marketing</v>
      </c>
    </row>
    <row r="889" spans="1:15">
      <c r="A889" s="1" t="s">
        <v>1962</v>
      </c>
      <c r="B889" s="1" t="s">
        <v>550</v>
      </c>
      <c r="C889" s="1" t="s">
        <v>1963</v>
      </c>
      <c r="D889" s="2">
        <v>46073</v>
      </c>
      <c r="E889" s="2">
        <v>46073</v>
      </c>
      <c r="F889" s="1" t="s">
        <v>52</v>
      </c>
      <c r="G889" s="1" t="s">
        <v>15</v>
      </c>
      <c r="H889" s="1" t="s">
        <v>16</v>
      </c>
      <c r="I889" s="7">
        <v>56.48</v>
      </c>
      <c r="J889" s="1" t="s">
        <v>38</v>
      </c>
      <c r="K889" s="1"/>
      <c r="L889" s="1" t="s">
        <v>39</v>
      </c>
      <c r="M889" s="1" t="str">
        <f>INDEX(MCC_Lookup!$B$2:$B$12,MATCH(G889,MCC_Lookup!$A$2:$A$12,0))</f>
        <v>Entertainment</v>
      </c>
      <c r="N889" s="1" t="str">
        <f>IF(TRIM(H889)="","BLANK",IF(PROPER(TRIM(H889))=TRIM(M889),"MATCH","MISMATCH"))</f>
        <v>MATCH</v>
      </c>
      <c r="O889" s="5" t="str">
        <f>INDEX([1]Employee!$C$2:$C$276,MATCH(B889,[1]Employee!$A$2:$A$276,0))</f>
        <v>Sales &amp; Marketing</v>
      </c>
    </row>
    <row r="890" spans="1:15">
      <c r="A890" s="1" t="s">
        <v>1964</v>
      </c>
      <c r="B890" s="1" t="s">
        <v>550</v>
      </c>
      <c r="C890" s="1" t="s">
        <v>1965</v>
      </c>
      <c r="D890" s="2">
        <v>46070</v>
      </c>
      <c r="E890" s="2">
        <v>46073</v>
      </c>
      <c r="F890" s="1" t="s">
        <v>177</v>
      </c>
      <c r="G890" s="1" t="s">
        <v>13</v>
      </c>
      <c r="H890" s="1" t="s">
        <v>14</v>
      </c>
      <c r="I890" s="7">
        <v>20.55</v>
      </c>
      <c r="J890" s="1" t="s">
        <v>38</v>
      </c>
      <c r="K890" s="1"/>
      <c r="L890" s="1" t="s">
        <v>39</v>
      </c>
      <c r="M890" s="1" t="str">
        <f>INDEX(MCC_Lookup!$B$2:$B$12,MATCH(G890,MCC_Lookup!$A$2:$A$12,0))</f>
        <v>Software</v>
      </c>
      <c r="N890" s="1" t="str">
        <f>IF(TRIM(H890)="","BLANK",IF(PROPER(TRIM(H890))=TRIM(M890),"MATCH","MISMATCH"))</f>
        <v>MATCH</v>
      </c>
      <c r="O890" s="5" t="str">
        <f>INDEX([1]Employee!$C$2:$C$276,MATCH(B890,[1]Employee!$A$2:$A$276,0))</f>
        <v>Sales &amp; Marketing</v>
      </c>
    </row>
    <row r="891" spans="1:15">
      <c r="A891" s="1" t="s">
        <v>1966</v>
      </c>
      <c r="B891" s="1" t="s">
        <v>550</v>
      </c>
      <c r="C891" s="1" t="s">
        <v>1967</v>
      </c>
      <c r="D891" s="2">
        <v>46067</v>
      </c>
      <c r="E891" s="2">
        <v>46074</v>
      </c>
      <c r="F891" s="1" t="s">
        <v>177</v>
      </c>
      <c r="G891" s="1" t="s">
        <v>13</v>
      </c>
      <c r="H891" s="1" t="s">
        <v>14</v>
      </c>
      <c r="I891" s="7">
        <v>56.96</v>
      </c>
      <c r="J891" s="1" t="s">
        <v>38</v>
      </c>
      <c r="K891" s="1"/>
      <c r="L891" s="1" t="s">
        <v>39</v>
      </c>
      <c r="M891" s="1" t="str">
        <f>INDEX(MCC_Lookup!$B$2:$B$12,MATCH(G891,MCC_Lookup!$A$2:$A$12,0))</f>
        <v>Software</v>
      </c>
      <c r="N891" s="1" t="str">
        <f>IF(TRIM(H891)="","BLANK",IF(PROPER(TRIM(H891))=TRIM(M891),"MATCH","MISMATCH"))</f>
        <v>MATCH</v>
      </c>
      <c r="O891" s="5" t="str">
        <f>INDEX([1]Employee!$C$2:$C$276,MATCH(B891,[1]Employee!$A$2:$A$276,0))</f>
        <v>Sales &amp; Marketing</v>
      </c>
    </row>
    <row r="892" spans="1:15">
      <c r="A892" s="1" t="s">
        <v>1968</v>
      </c>
      <c r="B892" s="1" t="s">
        <v>631</v>
      </c>
      <c r="C892" s="1"/>
      <c r="D892" s="2">
        <v>46069</v>
      </c>
      <c r="E892" s="2">
        <v>46074</v>
      </c>
      <c r="F892" s="1" t="s">
        <v>305</v>
      </c>
      <c r="G892" s="1" t="s">
        <v>2</v>
      </c>
      <c r="H892" s="1" t="s">
        <v>3</v>
      </c>
      <c r="I892" s="7">
        <v>7.61</v>
      </c>
      <c r="J892" s="1" t="s">
        <v>38</v>
      </c>
      <c r="K892" s="1"/>
      <c r="L892" s="1" t="s">
        <v>39</v>
      </c>
      <c r="M892" s="1" t="str">
        <f>INDEX(MCC_Lookup!$B$2:$B$12,MATCH(G892,MCC_Lookup!$A$2:$A$12,0))</f>
        <v>Meals</v>
      </c>
      <c r="N892" s="1" t="str">
        <f>IF(TRIM(H892)="","BLANK",IF(PROPER(TRIM(H892))=TRIM(M892),"MATCH","MISMATCH"))</f>
        <v>MATCH</v>
      </c>
      <c r="O892" s="5" t="str">
        <f>INDEX([1]Employee!$C$2:$C$276,MATCH(B892,[1]Employee!$A$2:$A$276,0))</f>
        <v>Claims</v>
      </c>
    </row>
    <row r="893" spans="1:15">
      <c r="A893" s="1" t="s">
        <v>1969</v>
      </c>
      <c r="B893" s="1" t="s">
        <v>317</v>
      </c>
      <c r="C893" s="1" t="s">
        <v>1970</v>
      </c>
      <c r="D893" s="2">
        <v>46067</v>
      </c>
      <c r="E893" s="2">
        <v>46074</v>
      </c>
      <c r="F893" s="1" t="s">
        <v>177</v>
      </c>
      <c r="G893" s="1" t="s">
        <v>13</v>
      </c>
      <c r="H893" s="1" t="s">
        <v>14</v>
      </c>
      <c r="I893" s="7">
        <v>44.12</v>
      </c>
      <c r="J893" s="1" t="s">
        <v>38</v>
      </c>
      <c r="K893" s="1"/>
      <c r="L893" s="1" t="s">
        <v>39</v>
      </c>
      <c r="M893" s="1" t="str">
        <f>INDEX(MCC_Lookup!$B$2:$B$12,MATCH(G893,MCC_Lookup!$A$2:$A$12,0))</f>
        <v>Software</v>
      </c>
      <c r="N893" s="1" t="str">
        <f>IF(TRIM(H893)="","BLANK",IF(PROPER(TRIM(H893))=TRIM(M893),"MATCH","MISMATCH"))</f>
        <v>MATCH</v>
      </c>
      <c r="O893" s="5" t="str">
        <f>INDEX([1]Employee!$C$2:$C$276,MATCH(B893,[1]Employee!$A$2:$A$276,0))</f>
        <v>Sales &amp; Marketing</v>
      </c>
    </row>
    <row r="894" spans="1:15">
      <c r="A894" s="1" t="s">
        <v>1971</v>
      </c>
      <c r="B894" s="1" t="s">
        <v>90</v>
      </c>
      <c r="C894" s="1" t="s">
        <v>1972</v>
      </c>
      <c r="D894" s="2">
        <v>46067</v>
      </c>
      <c r="E894" s="2">
        <v>46074</v>
      </c>
      <c r="F894" s="1" t="s">
        <v>72</v>
      </c>
      <c r="G894" s="1" t="s">
        <v>8</v>
      </c>
      <c r="H894" s="1" t="s">
        <v>9</v>
      </c>
      <c r="I894" s="7">
        <v>14.45</v>
      </c>
      <c r="J894" s="1" t="s">
        <v>38</v>
      </c>
      <c r="K894" s="1"/>
      <c r="L894" s="1" t="s">
        <v>39</v>
      </c>
      <c r="M894" s="1" t="str">
        <f>INDEX(MCC_Lookup!$B$2:$B$12,MATCH(G894,MCC_Lookup!$A$2:$A$12,0))</f>
        <v>Transportation</v>
      </c>
      <c r="N894" s="1" t="str">
        <f>IF(TRIM(H894)="","BLANK",IF(PROPER(TRIM(H894))=TRIM(M894),"MATCH","MISMATCH"))</f>
        <v>MATCH</v>
      </c>
      <c r="O894" s="5" t="str">
        <f>INDEX([1]Employee!$C$2:$C$276,MATCH(B894,[1]Employee!$A$2:$A$276,0))</f>
        <v>Sales &amp; Marketing</v>
      </c>
    </row>
    <row r="895" spans="1:15">
      <c r="A895" s="1" t="s">
        <v>1973</v>
      </c>
      <c r="B895" s="1" t="s">
        <v>54</v>
      </c>
      <c r="C895" s="1" t="s">
        <v>1974</v>
      </c>
      <c r="D895" s="2">
        <v>46066</v>
      </c>
      <c r="E895" s="2">
        <v>46074</v>
      </c>
      <c r="F895" s="1" t="s">
        <v>56</v>
      </c>
      <c r="G895" s="1" t="s">
        <v>4</v>
      </c>
      <c r="H895" s="1" t="s">
        <v>5</v>
      </c>
      <c r="I895" s="7">
        <v>392.09</v>
      </c>
      <c r="J895" s="1" t="s">
        <v>38</v>
      </c>
      <c r="K895" s="1"/>
      <c r="L895" s="1" t="s">
        <v>39</v>
      </c>
      <c r="M895" s="1" t="str">
        <f>INDEX(MCC_Lookup!$B$2:$B$12,MATCH(G895,MCC_Lookup!$A$2:$A$12,0))</f>
        <v>Travel</v>
      </c>
      <c r="N895" s="1" t="str">
        <f>IF(TRIM(H895)="","BLANK",IF(PROPER(TRIM(H895))=TRIM(M895),"MATCH","MISMATCH"))</f>
        <v>MATCH</v>
      </c>
      <c r="O895" s="5" t="str">
        <f>INDEX([1]Employee!$C$2:$C$276,MATCH(B895,[1]Employee!$A$2:$A$276,0))</f>
        <v>Sales &amp; Marketing</v>
      </c>
    </row>
    <row r="896" spans="1:15">
      <c r="A896" s="1" t="s">
        <v>1975</v>
      </c>
      <c r="B896" s="1" t="s">
        <v>328</v>
      </c>
      <c r="C896" s="1" t="s">
        <v>1976</v>
      </c>
      <c r="D896" s="2">
        <v>46073</v>
      </c>
      <c r="E896" s="2">
        <v>46074</v>
      </c>
      <c r="F896" s="1" t="s">
        <v>305</v>
      </c>
      <c r="G896" s="1" t="s">
        <v>2</v>
      </c>
      <c r="H896" s="1" t="s">
        <v>3</v>
      </c>
      <c r="I896" s="7">
        <v>10.32</v>
      </c>
      <c r="J896" s="1" t="s">
        <v>38</v>
      </c>
      <c r="K896" s="1"/>
      <c r="L896" s="1" t="s">
        <v>39</v>
      </c>
      <c r="M896" s="1" t="str">
        <f>INDEX(MCC_Lookup!$B$2:$B$12,MATCH(G896,MCC_Lookup!$A$2:$A$12,0))</f>
        <v>Meals</v>
      </c>
      <c r="N896" s="1" t="str">
        <f>IF(TRIM(H896)="","BLANK",IF(PROPER(TRIM(H896))=TRIM(M896),"MATCH","MISMATCH"))</f>
        <v>MATCH</v>
      </c>
      <c r="O896" s="5" t="str">
        <f>INDEX([1]Employee!$C$2:$C$276,MATCH(B896,[1]Employee!$A$2:$A$276,0))</f>
        <v>Underwriting</v>
      </c>
    </row>
    <row r="897" spans="1:15">
      <c r="A897" s="1" t="s">
        <v>1977</v>
      </c>
      <c r="B897" s="1" t="s">
        <v>512</v>
      </c>
      <c r="C897" s="1" t="s">
        <v>1978</v>
      </c>
      <c r="D897" s="2">
        <v>46066</v>
      </c>
      <c r="E897" s="2">
        <v>46074</v>
      </c>
      <c r="F897" s="1" t="s">
        <v>173</v>
      </c>
      <c r="G897" s="1" t="s">
        <v>2</v>
      </c>
      <c r="H897" s="1" t="s">
        <v>3</v>
      </c>
      <c r="I897" s="7">
        <v>58.22</v>
      </c>
      <c r="J897" s="1" t="s">
        <v>38</v>
      </c>
      <c r="K897" s="1"/>
      <c r="L897" s="1" t="s">
        <v>39</v>
      </c>
      <c r="M897" s="1" t="str">
        <f>INDEX(MCC_Lookup!$B$2:$B$12,MATCH(G897,MCC_Lookup!$A$2:$A$12,0))</f>
        <v>Meals</v>
      </c>
      <c r="N897" s="1" t="str">
        <f>IF(TRIM(H897)="","BLANK",IF(PROPER(TRIM(H897))=TRIM(M897),"MATCH","MISMATCH"))</f>
        <v>MATCH</v>
      </c>
      <c r="O897" s="5" t="str">
        <f>INDEX([1]Employee!$C$2:$C$276,MATCH(B897,[1]Employee!$A$2:$A$276,0))</f>
        <v>Sales &amp; Marketing</v>
      </c>
    </row>
    <row r="898" spans="1:15">
      <c r="A898" s="1" t="s">
        <v>1979</v>
      </c>
      <c r="B898" s="1" t="s">
        <v>1150</v>
      </c>
      <c r="C898" s="1" t="s">
        <v>1980</v>
      </c>
      <c r="D898" s="2">
        <v>46067</v>
      </c>
      <c r="E898" s="2">
        <v>46074</v>
      </c>
      <c r="F898" s="1" t="s">
        <v>109</v>
      </c>
      <c r="G898" s="1" t="s">
        <v>18</v>
      </c>
      <c r="H898" s="1" t="s">
        <v>19</v>
      </c>
      <c r="I898" s="7">
        <v>104.05</v>
      </c>
      <c r="J898" s="1" t="s">
        <v>38</v>
      </c>
      <c r="K898" s="1"/>
      <c r="L898" s="1" t="s">
        <v>39</v>
      </c>
      <c r="M898" s="1" t="str">
        <f>INDEX(MCC_Lookup!$B$2:$B$12,MATCH(G898,MCC_Lookup!$A$2:$A$12,0))</f>
        <v>Events</v>
      </c>
      <c r="N898" s="1" t="str">
        <f>IF(TRIM(H898)="","BLANK",IF(PROPER(TRIM(H898))=TRIM(M898),"MATCH","MISMATCH"))</f>
        <v>MATCH</v>
      </c>
      <c r="O898" s="5" t="str">
        <f>INDEX([1]Employee!$C$2:$C$276,MATCH(B898,[1]Employee!$A$2:$A$276,0))</f>
        <v>Finance</v>
      </c>
    </row>
    <row r="899" spans="1:15">
      <c r="A899" s="1" t="s">
        <v>1981</v>
      </c>
      <c r="B899" s="1" t="s">
        <v>648</v>
      </c>
      <c r="C899" s="1" t="s">
        <v>1982</v>
      </c>
      <c r="D899" s="2">
        <v>46069</v>
      </c>
      <c r="E899" s="2">
        <v>46074</v>
      </c>
      <c r="F899" s="1" t="s">
        <v>65</v>
      </c>
      <c r="G899" s="1" t="s">
        <v>18</v>
      </c>
      <c r="H899" s="1" t="s">
        <v>19</v>
      </c>
      <c r="I899" s="7">
        <v>519.41</v>
      </c>
      <c r="J899" s="1" t="s">
        <v>38</v>
      </c>
      <c r="K899" s="1"/>
      <c r="L899" s="1" t="s">
        <v>39</v>
      </c>
      <c r="M899" s="1" t="str">
        <f>INDEX(MCC_Lookup!$B$2:$B$12,MATCH(G899,MCC_Lookup!$A$2:$A$12,0))</f>
        <v>Events</v>
      </c>
      <c r="N899" s="1" t="str">
        <f>IF(TRIM(H899)="","BLANK",IF(PROPER(TRIM(H899))=TRIM(M899),"MATCH","MISMATCH"))</f>
        <v>MATCH</v>
      </c>
      <c r="O899" s="5" t="str">
        <f>INDEX([1]Employee!$C$2:$C$276,MATCH(B899,[1]Employee!$A$2:$A$276,0))</f>
        <v>Sales &amp; Marketing</v>
      </c>
    </row>
    <row r="900" spans="1:15">
      <c r="A900" s="1" t="s">
        <v>1983</v>
      </c>
      <c r="B900" s="1" t="s">
        <v>651</v>
      </c>
      <c r="C900" s="1" t="s">
        <v>1984</v>
      </c>
      <c r="D900" s="2">
        <v>46072</v>
      </c>
      <c r="E900" s="2">
        <v>46074</v>
      </c>
      <c r="F900" s="1" t="s">
        <v>65</v>
      </c>
      <c r="G900" s="1" t="s">
        <v>18</v>
      </c>
      <c r="H900" s="1" t="s">
        <v>19</v>
      </c>
      <c r="I900" s="7">
        <v>286.83999999999997</v>
      </c>
      <c r="J900" s="1" t="s">
        <v>38</v>
      </c>
      <c r="K900" s="1"/>
      <c r="L900" s="1" t="s">
        <v>39</v>
      </c>
      <c r="M900" s="1" t="str">
        <f>INDEX(MCC_Lookup!$B$2:$B$12,MATCH(G900,MCC_Lookup!$A$2:$A$12,0))</f>
        <v>Events</v>
      </c>
      <c r="N900" s="1" t="str">
        <f>IF(TRIM(H900)="","BLANK",IF(PROPER(TRIM(H900))=TRIM(M900),"MATCH","MISMATCH"))</f>
        <v>MATCH</v>
      </c>
      <c r="O900" s="5" t="str">
        <f>INDEX([1]Employee!$C$2:$C$276,MATCH(B900,[1]Employee!$A$2:$A$276,0))</f>
        <v>IT &amp; Platform Engineering</v>
      </c>
    </row>
    <row r="901" spans="1:15">
      <c r="A901" s="1" t="s">
        <v>1985</v>
      </c>
      <c r="B901" s="1" t="s">
        <v>969</v>
      </c>
      <c r="C901" s="1" t="s">
        <v>1986</v>
      </c>
      <c r="D901" s="2">
        <v>46064</v>
      </c>
      <c r="E901" s="2">
        <v>46074</v>
      </c>
      <c r="F901" s="1" t="s">
        <v>1068</v>
      </c>
      <c r="G901" s="1" t="s">
        <v>20</v>
      </c>
      <c r="H901" s="1" t="s">
        <v>19</v>
      </c>
      <c r="I901" s="7">
        <v>497.32</v>
      </c>
      <c r="J901" s="1" t="s">
        <v>38</v>
      </c>
      <c r="K901" s="1"/>
      <c r="L901" s="1" t="s">
        <v>39</v>
      </c>
      <c r="M901" s="1" t="str">
        <f>INDEX(MCC_Lookup!$B$2:$B$12,MATCH(G901,MCC_Lookup!$A$2:$A$12,0))</f>
        <v>Events</v>
      </c>
      <c r="N901" s="1" t="str">
        <f>IF(TRIM(H901)="","BLANK",IF(PROPER(TRIM(H901))=TRIM(M901),"MATCH","MISMATCH"))</f>
        <v>MATCH</v>
      </c>
      <c r="O901" s="5" t="str">
        <f>INDEX([1]Employee!$C$2:$C$276,MATCH(B901,[1]Employee!$A$2:$A$276,0))</f>
        <v>HR &amp; Events</v>
      </c>
    </row>
    <row r="902" spans="1:15">
      <c r="A902" s="1" t="s">
        <v>1987</v>
      </c>
      <c r="B902" s="1" t="s">
        <v>59</v>
      </c>
      <c r="C902" s="1"/>
      <c r="D902" s="2">
        <v>46065</v>
      </c>
      <c r="E902" s="2">
        <v>46074</v>
      </c>
      <c r="F902" s="1" t="s">
        <v>120</v>
      </c>
      <c r="G902" s="1" t="s">
        <v>12</v>
      </c>
      <c r="H902" s="1" t="s">
        <v>11</v>
      </c>
      <c r="I902" s="7">
        <v>229.84</v>
      </c>
      <c r="J902" s="1" t="s">
        <v>38</v>
      </c>
      <c r="K902" s="1"/>
      <c r="L902" s="1" t="s">
        <v>39</v>
      </c>
      <c r="M902" s="1" t="str">
        <f>INDEX(MCC_Lookup!$B$2:$B$12,MATCH(G902,MCC_Lookup!$A$2:$A$12,0))</f>
        <v>Office Supplies</v>
      </c>
      <c r="N902" s="1" t="str">
        <f>IF(TRIM(H902)="","BLANK",IF(PROPER(TRIM(H902))=TRIM(M902),"MATCH","MISMATCH"))</f>
        <v>MATCH</v>
      </c>
      <c r="O902" s="5" t="str">
        <f>INDEX([1]Employee!$C$2:$C$276,MATCH(B902,[1]Employee!$A$2:$A$276,0))</f>
        <v>Sales &amp; Marketing</v>
      </c>
    </row>
    <row r="903" spans="1:15">
      <c r="A903" s="1" t="s">
        <v>1988</v>
      </c>
      <c r="B903" s="1" t="s">
        <v>67</v>
      </c>
      <c r="C903" s="1"/>
      <c r="D903" s="2">
        <v>46068</v>
      </c>
      <c r="E903" s="2">
        <v>46074</v>
      </c>
      <c r="F903" s="1" t="s">
        <v>201</v>
      </c>
      <c r="G903" s="1" t="s">
        <v>4</v>
      </c>
      <c r="H903" s="1" t="s">
        <v>5</v>
      </c>
      <c r="I903" s="7">
        <v>562.79999999999995</v>
      </c>
      <c r="J903" s="1" t="s">
        <v>111</v>
      </c>
      <c r="K903" s="1" t="s">
        <v>112</v>
      </c>
      <c r="L903" s="1" t="s">
        <v>48</v>
      </c>
      <c r="M903" s="1" t="str">
        <f>INDEX(MCC_Lookup!$B$2:$B$12,MATCH(G903,MCC_Lookup!$A$2:$A$12,0))</f>
        <v>Travel</v>
      </c>
      <c r="N903" s="1" t="str">
        <f>IF(TRIM(H903)="","BLANK",IF(PROPER(TRIM(H903))=TRIM(M903),"MATCH","MISMATCH"))</f>
        <v>MATCH</v>
      </c>
      <c r="O903" s="5" t="str">
        <f>INDEX([1]Employee!$C$2:$C$276,MATCH(B903,[1]Employee!$A$2:$A$276,0))</f>
        <v>Sales &amp; Marketing</v>
      </c>
    </row>
    <row r="904" spans="1:15">
      <c r="A904" s="1" t="s">
        <v>1989</v>
      </c>
      <c r="B904" s="1" t="s">
        <v>67</v>
      </c>
      <c r="C904" s="1"/>
      <c r="D904" s="2">
        <v>46071</v>
      </c>
      <c r="E904" s="2">
        <v>46074</v>
      </c>
      <c r="F904" s="1" t="s">
        <v>305</v>
      </c>
      <c r="G904" s="1" t="s">
        <v>2</v>
      </c>
      <c r="H904" s="1" t="s">
        <v>3</v>
      </c>
      <c r="I904" s="7">
        <v>14.06</v>
      </c>
      <c r="J904" s="1" t="s">
        <v>111</v>
      </c>
      <c r="K904" s="1" t="s">
        <v>112</v>
      </c>
      <c r="L904" s="1" t="s">
        <v>39</v>
      </c>
      <c r="M904" s="1" t="str">
        <f>INDEX(MCC_Lookup!$B$2:$B$12,MATCH(G904,MCC_Lookup!$A$2:$A$12,0))</f>
        <v>Meals</v>
      </c>
      <c r="N904" s="1" t="str">
        <f>IF(TRIM(H904)="","BLANK",IF(PROPER(TRIM(H904))=TRIM(M904),"MATCH","MISMATCH"))</f>
        <v>MATCH</v>
      </c>
      <c r="O904" s="5" t="str">
        <f>INDEX([1]Employee!$C$2:$C$276,MATCH(B904,[1]Employee!$A$2:$A$276,0))</f>
        <v>Sales &amp; Marketing</v>
      </c>
    </row>
    <row r="905" spans="1:15">
      <c r="A905" s="1" t="s">
        <v>1990</v>
      </c>
      <c r="B905" s="1" t="s">
        <v>187</v>
      </c>
      <c r="C905" s="1" t="s">
        <v>1991</v>
      </c>
      <c r="D905" s="2">
        <v>46065</v>
      </c>
      <c r="E905" s="2">
        <v>46074</v>
      </c>
      <c r="F905" s="1" t="s">
        <v>116</v>
      </c>
      <c r="G905" s="1" t="s">
        <v>2</v>
      </c>
      <c r="H905" s="1" t="s">
        <v>3</v>
      </c>
      <c r="I905" s="7">
        <v>20.13</v>
      </c>
      <c r="J905" s="1" t="s">
        <v>38</v>
      </c>
      <c r="K905" s="1"/>
      <c r="L905" s="1" t="s">
        <v>39</v>
      </c>
      <c r="M905" s="1" t="str">
        <f>INDEX(MCC_Lookup!$B$2:$B$12,MATCH(G905,MCC_Lookup!$A$2:$A$12,0))</f>
        <v>Meals</v>
      </c>
      <c r="N905" s="1" t="str">
        <f>IF(TRIM(H905)="","BLANK",IF(PROPER(TRIM(H905))=TRIM(M905),"MATCH","MISMATCH"))</f>
        <v>MATCH</v>
      </c>
      <c r="O905" s="5" t="str">
        <f>INDEX([1]Employee!$C$2:$C$276,MATCH(B905,[1]Employee!$A$2:$A$276,0))</f>
        <v>HR &amp; Events</v>
      </c>
    </row>
    <row r="906" spans="1:15">
      <c r="A906" s="1" t="s">
        <v>1992</v>
      </c>
      <c r="B906" s="1" t="s">
        <v>114</v>
      </c>
      <c r="C906" s="1" t="s">
        <v>1993</v>
      </c>
      <c r="D906" s="2">
        <v>46065</v>
      </c>
      <c r="E906" s="2">
        <v>46074</v>
      </c>
      <c r="F906" s="1" t="s">
        <v>43</v>
      </c>
      <c r="G906" s="1" t="s">
        <v>2</v>
      </c>
      <c r="H906" s="1" t="s">
        <v>3</v>
      </c>
      <c r="I906" s="7">
        <v>15.92</v>
      </c>
      <c r="J906" s="1" t="s">
        <v>38</v>
      </c>
      <c r="K906" s="1"/>
      <c r="L906" s="1" t="s">
        <v>39</v>
      </c>
      <c r="M906" s="1" t="str">
        <f>INDEX(MCC_Lookup!$B$2:$B$12,MATCH(G906,MCC_Lookup!$A$2:$A$12,0))</f>
        <v>Meals</v>
      </c>
      <c r="N906" s="1" t="str">
        <f>IF(TRIM(H906)="","BLANK",IF(PROPER(TRIM(H906))=TRIM(M906),"MATCH","MISMATCH"))</f>
        <v>MATCH</v>
      </c>
      <c r="O906" s="5" t="str">
        <f>INDEX([1]Employee!$C$2:$C$276,MATCH(B906,[1]Employee!$A$2:$A$276,0))</f>
        <v>Underwriting</v>
      </c>
    </row>
    <row r="907" spans="1:15">
      <c r="A907" s="1" t="s">
        <v>1994</v>
      </c>
      <c r="B907" s="1" t="s">
        <v>564</v>
      </c>
      <c r="C907" s="1" t="s">
        <v>1995</v>
      </c>
      <c r="D907" s="2">
        <v>46065</v>
      </c>
      <c r="E907" s="2">
        <v>46074</v>
      </c>
      <c r="F907" s="1" t="s">
        <v>124</v>
      </c>
      <c r="G907" s="1" t="s">
        <v>17</v>
      </c>
      <c r="H907" s="1" t="s">
        <v>16</v>
      </c>
      <c r="I907" s="7">
        <v>185.1</v>
      </c>
      <c r="J907" s="1" t="s">
        <v>38</v>
      </c>
      <c r="K907" s="1"/>
      <c r="L907" s="1" t="s">
        <v>39</v>
      </c>
      <c r="M907" s="1" t="str">
        <f>INDEX(MCC_Lookup!$B$2:$B$12,MATCH(G907,MCC_Lookup!$A$2:$A$12,0))</f>
        <v>Entertainment</v>
      </c>
      <c r="N907" s="1" t="str">
        <f>IF(TRIM(H907)="","BLANK",IF(PROPER(TRIM(H907))=TRIM(M907),"MATCH","MISMATCH"))</f>
        <v>MATCH</v>
      </c>
      <c r="O907" s="5" t="str">
        <f>INDEX([1]Employee!$C$2:$C$276,MATCH(B907,[1]Employee!$A$2:$A$276,0))</f>
        <v>Sales &amp; Marketing</v>
      </c>
    </row>
    <row r="908" spans="1:15">
      <c r="A908" s="1" t="s">
        <v>1996</v>
      </c>
      <c r="B908" s="1" t="s">
        <v>50</v>
      </c>
      <c r="C908" s="1" t="s">
        <v>1997</v>
      </c>
      <c r="D908" s="2">
        <v>46067</v>
      </c>
      <c r="E908" s="2">
        <v>46074</v>
      </c>
      <c r="F908" s="1" t="s">
        <v>305</v>
      </c>
      <c r="G908" s="1" t="s">
        <v>2</v>
      </c>
      <c r="H908" s="1" t="s">
        <v>138</v>
      </c>
      <c r="I908" s="7">
        <v>10.57</v>
      </c>
      <c r="J908" s="1" t="s">
        <v>38</v>
      </c>
      <c r="K908" s="1"/>
      <c r="L908" s="1" t="s">
        <v>39</v>
      </c>
      <c r="M908" s="1" t="str">
        <f>INDEX(MCC_Lookup!$B$2:$B$12,MATCH(G908,MCC_Lookup!$A$2:$A$12,0))</f>
        <v>Meals</v>
      </c>
      <c r="N908" s="1" t="str">
        <f>IF(TRIM(H908)="","BLANK",IF(PROPER(TRIM(H908))=TRIM(M908),"MATCH","MISMATCH"))</f>
        <v>MATCH</v>
      </c>
      <c r="O908" s="5" t="str">
        <f>INDEX([1]Employee!$C$2:$C$276,MATCH(B908,[1]Employee!$A$2:$A$276,0))</f>
        <v>Sales &amp; Marketing</v>
      </c>
    </row>
    <row r="909" spans="1:15">
      <c r="A909" s="1" t="s">
        <v>1998</v>
      </c>
      <c r="B909" s="1" t="s">
        <v>610</v>
      </c>
      <c r="C909" s="1" t="s">
        <v>1999</v>
      </c>
      <c r="D909" s="2">
        <v>46072</v>
      </c>
      <c r="E909" s="2">
        <v>46075</v>
      </c>
      <c r="F909" s="1" t="s">
        <v>61</v>
      </c>
      <c r="G909" s="1" t="s">
        <v>13</v>
      </c>
      <c r="H909" s="1" t="s">
        <v>14</v>
      </c>
      <c r="I909" s="7">
        <v>39.81</v>
      </c>
      <c r="J909" s="1" t="s">
        <v>38</v>
      </c>
      <c r="K909" s="1"/>
      <c r="L909" s="1" t="s">
        <v>39</v>
      </c>
      <c r="M909" s="1" t="str">
        <f>INDEX(MCC_Lookup!$B$2:$B$12,MATCH(G909,MCC_Lookup!$A$2:$A$12,0))</f>
        <v>Software</v>
      </c>
      <c r="N909" s="1" t="str">
        <f>IF(TRIM(H909)="","BLANK",IF(PROPER(TRIM(H909))=TRIM(M909),"MATCH","MISMATCH"))</f>
        <v>MATCH</v>
      </c>
      <c r="O909" s="5" t="str">
        <f>INDEX([1]Employee!$C$2:$C$276,MATCH(B909,[1]Employee!$A$2:$A$276,0))</f>
        <v>Actuarial &amp; Risk</v>
      </c>
    </row>
    <row r="910" spans="1:15">
      <c r="A910" s="1" t="s">
        <v>2000</v>
      </c>
      <c r="B910" s="1" t="s">
        <v>1208</v>
      </c>
      <c r="C910" s="1" t="s">
        <v>2001</v>
      </c>
      <c r="D910" s="2">
        <v>46070</v>
      </c>
      <c r="E910" s="2">
        <v>46075</v>
      </c>
      <c r="F910" s="1" t="s">
        <v>242</v>
      </c>
      <c r="G910" s="1" t="s">
        <v>13</v>
      </c>
      <c r="H910" s="1" t="s">
        <v>14</v>
      </c>
      <c r="I910" s="7">
        <v>58.73</v>
      </c>
      <c r="J910" s="1" t="s">
        <v>38</v>
      </c>
      <c r="K910" s="1"/>
      <c r="L910" s="1" t="s">
        <v>39</v>
      </c>
      <c r="M910" s="1" t="str">
        <f>INDEX(MCC_Lookup!$B$2:$B$12,MATCH(G910,MCC_Lookup!$A$2:$A$12,0))</f>
        <v>Software</v>
      </c>
      <c r="N910" s="1" t="str">
        <f>IF(TRIM(H910)="","BLANK",IF(PROPER(TRIM(H910))=TRIM(M910),"MATCH","MISMATCH"))</f>
        <v>MATCH</v>
      </c>
      <c r="O910" s="5" t="str">
        <f>INDEX([1]Employee!$C$2:$C$276,MATCH(B910,[1]Employee!$A$2:$A$276,0))</f>
        <v>HR &amp; Events</v>
      </c>
    </row>
    <row r="911" spans="1:15">
      <c r="A911" s="1" t="s">
        <v>2002</v>
      </c>
      <c r="B911" s="1" t="s">
        <v>67</v>
      </c>
      <c r="C911" s="1" t="s">
        <v>2003</v>
      </c>
      <c r="D911" s="2">
        <v>46069</v>
      </c>
      <c r="E911" s="2">
        <v>46075</v>
      </c>
      <c r="F911" s="1" t="s">
        <v>173</v>
      </c>
      <c r="G911" s="1" t="s">
        <v>2</v>
      </c>
      <c r="H911" s="1" t="s">
        <v>3</v>
      </c>
      <c r="I911" s="7">
        <v>40.18</v>
      </c>
      <c r="J911" s="1" t="s">
        <v>38</v>
      </c>
      <c r="K911" s="1"/>
      <c r="L911" s="1" t="s">
        <v>39</v>
      </c>
      <c r="M911" s="1" t="str">
        <f>INDEX(MCC_Lookup!$B$2:$B$12,MATCH(G911,MCC_Lookup!$A$2:$A$12,0))</f>
        <v>Meals</v>
      </c>
      <c r="N911" s="1" t="str">
        <f>IF(TRIM(H911)="","BLANK",IF(PROPER(TRIM(H911))=TRIM(M911),"MATCH","MISMATCH"))</f>
        <v>MATCH</v>
      </c>
      <c r="O911" s="5" t="str">
        <f>INDEX([1]Employee!$C$2:$C$276,MATCH(B911,[1]Employee!$A$2:$A$276,0))</f>
        <v>Sales &amp; Marketing</v>
      </c>
    </row>
    <row r="912" spans="1:15">
      <c r="A912" s="1" t="s">
        <v>2004</v>
      </c>
      <c r="B912" s="1" t="s">
        <v>1504</v>
      </c>
      <c r="C912" s="1" t="s">
        <v>2005</v>
      </c>
      <c r="D912" s="2">
        <v>46072</v>
      </c>
      <c r="E912" s="2">
        <v>46075</v>
      </c>
      <c r="F912" s="1" t="s">
        <v>47</v>
      </c>
      <c r="G912" s="1" t="s">
        <v>6</v>
      </c>
      <c r="H912" s="1" t="s">
        <v>726</v>
      </c>
      <c r="I912" s="7">
        <v>152.38</v>
      </c>
      <c r="J912" s="1" t="s">
        <v>38</v>
      </c>
      <c r="K912" s="1"/>
      <c r="L912" s="1" t="s">
        <v>48</v>
      </c>
      <c r="M912" s="1" t="str">
        <f>INDEX(MCC_Lookup!$B$2:$B$12,MATCH(G912,MCC_Lookup!$A$2:$A$12,0))</f>
        <v>Lodging</v>
      </c>
      <c r="N912" s="1" t="str">
        <f>IF(TRIM(H912)="","BLANK",IF(PROPER(TRIM(H912))=TRIM(M912),"MATCH","MISMATCH"))</f>
        <v>MATCH</v>
      </c>
      <c r="O912" s="5" t="str">
        <f>INDEX([1]Employee!$C$2:$C$276,MATCH(B912,[1]Employee!$A$2:$A$276,0))</f>
        <v>Sales &amp; Marketing</v>
      </c>
    </row>
    <row r="913" spans="1:15">
      <c r="A913" s="1" t="s">
        <v>2006</v>
      </c>
      <c r="B913" s="1" t="s">
        <v>261</v>
      </c>
      <c r="C913" s="1" t="s">
        <v>2007</v>
      </c>
      <c r="D913" s="2">
        <v>46075</v>
      </c>
      <c r="E913" s="2">
        <v>46075</v>
      </c>
      <c r="F913" s="1" t="s">
        <v>116</v>
      </c>
      <c r="G913" s="1" t="s">
        <v>2</v>
      </c>
      <c r="H913" s="1"/>
      <c r="I913" s="7">
        <v>16.16</v>
      </c>
      <c r="J913" s="1" t="s">
        <v>38</v>
      </c>
      <c r="K913" s="1"/>
      <c r="L913" s="1" t="s">
        <v>39</v>
      </c>
      <c r="M913" s="1" t="str">
        <f>INDEX(MCC_Lookup!$B$2:$B$12,MATCH(G913,MCC_Lookup!$A$2:$A$12,0))</f>
        <v>Meals</v>
      </c>
      <c r="N913" s="1" t="str">
        <f>IF(TRIM(H913)="","BLANK",IF(PROPER(TRIM(H913))=TRIM(M913),"MATCH","MISMATCH"))</f>
        <v>BLANK</v>
      </c>
      <c r="O913" s="5" t="str">
        <f>INDEX([1]Employee!$C$2:$C$276,MATCH(B913,[1]Employee!$A$2:$A$276,0))</f>
        <v>Sales &amp; Marketing</v>
      </c>
    </row>
    <row r="914" spans="1:15">
      <c r="A914" s="1" t="s">
        <v>2008</v>
      </c>
      <c r="B914" s="1" t="s">
        <v>2009</v>
      </c>
      <c r="C914" s="1"/>
      <c r="D914" s="2">
        <v>46072</v>
      </c>
      <c r="E914" s="2">
        <v>46075</v>
      </c>
      <c r="F914" s="1" t="s">
        <v>259</v>
      </c>
      <c r="G914" s="1" t="s">
        <v>20</v>
      </c>
      <c r="H914" s="1" t="s">
        <v>19</v>
      </c>
      <c r="I914" s="7">
        <v>135.32</v>
      </c>
      <c r="J914" s="1" t="s">
        <v>38</v>
      </c>
      <c r="K914" s="1"/>
      <c r="L914" s="1" t="s">
        <v>39</v>
      </c>
      <c r="M914" s="1" t="str">
        <f>INDEX(MCC_Lookup!$B$2:$B$12,MATCH(G914,MCC_Lookup!$A$2:$A$12,0))</f>
        <v>Events</v>
      </c>
      <c r="N914" s="1" t="str">
        <f>IF(TRIM(H914)="","BLANK",IF(PROPER(TRIM(H914))=TRIM(M914),"MATCH","MISMATCH"))</f>
        <v>MATCH</v>
      </c>
      <c r="O914" s="5" t="str">
        <f>INDEX([1]Employee!$C$2:$C$276,MATCH(B914,[1]Employee!$A$2:$A$276,0))</f>
        <v>Finance</v>
      </c>
    </row>
    <row r="915" spans="1:15">
      <c r="A915" s="1" t="s">
        <v>2010</v>
      </c>
      <c r="B915" s="1" t="s">
        <v>756</v>
      </c>
      <c r="C915" s="1"/>
      <c r="D915" s="2">
        <v>46073</v>
      </c>
      <c r="E915" s="2">
        <v>46075</v>
      </c>
      <c r="F915" s="1" t="s">
        <v>65</v>
      </c>
      <c r="G915" s="1" t="s">
        <v>18</v>
      </c>
      <c r="H915" s="1" t="s">
        <v>19</v>
      </c>
      <c r="I915" s="7">
        <v>218.76</v>
      </c>
      <c r="J915" s="1" t="s">
        <v>38</v>
      </c>
      <c r="K915" s="1"/>
      <c r="L915" s="1" t="s">
        <v>39</v>
      </c>
      <c r="M915" s="1" t="str">
        <f>INDEX(MCC_Lookup!$B$2:$B$12,MATCH(G915,MCC_Lookup!$A$2:$A$12,0))</f>
        <v>Events</v>
      </c>
      <c r="N915" s="1" t="str">
        <f>IF(TRIM(H915)="","BLANK",IF(PROPER(TRIM(H915))=TRIM(M915),"MATCH","MISMATCH"))</f>
        <v>MATCH</v>
      </c>
      <c r="O915" s="5" t="str">
        <f>INDEX([1]Employee!$C$2:$C$276,MATCH(B915,[1]Employee!$A$2:$A$276,0))</f>
        <v>Claims</v>
      </c>
    </row>
    <row r="916" spans="1:15">
      <c r="A916" s="1" t="s">
        <v>2011</v>
      </c>
      <c r="B916" s="1" t="s">
        <v>207</v>
      </c>
      <c r="C916" s="1" t="s">
        <v>2012</v>
      </c>
      <c r="D916" s="2">
        <v>46068</v>
      </c>
      <c r="E916" s="2">
        <v>46075</v>
      </c>
      <c r="F916" s="1" t="s">
        <v>242</v>
      </c>
      <c r="G916" s="1" t="s">
        <v>13</v>
      </c>
      <c r="H916" s="1" t="s">
        <v>14</v>
      </c>
      <c r="I916" s="7">
        <v>52.5</v>
      </c>
      <c r="J916" s="1" t="s">
        <v>38</v>
      </c>
      <c r="K916" s="1"/>
      <c r="L916" s="1" t="s">
        <v>39</v>
      </c>
      <c r="M916" s="1" t="str">
        <f>INDEX(MCC_Lookup!$B$2:$B$12,MATCH(G916,MCC_Lookup!$A$2:$A$12,0))</f>
        <v>Software</v>
      </c>
      <c r="N916" s="1" t="str">
        <f>IF(TRIM(H916)="","BLANK",IF(PROPER(TRIM(H916))=TRIM(M916),"MATCH","MISMATCH"))</f>
        <v>MATCH</v>
      </c>
      <c r="O916" s="5" t="str">
        <f>INDEX([1]Employee!$C$2:$C$276,MATCH(B916,[1]Employee!$A$2:$A$276,0))</f>
        <v>Claims</v>
      </c>
    </row>
    <row r="917" spans="1:15">
      <c r="A917" s="1" t="s">
        <v>2013</v>
      </c>
      <c r="B917" s="1" t="s">
        <v>196</v>
      </c>
      <c r="C917" s="1" t="s">
        <v>2014</v>
      </c>
      <c r="D917" s="2">
        <v>46072</v>
      </c>
      <c r="E917" s="2">
        <v>46075</v>
      </c>
      <c r="F917" s="1" t="s">
        <v>65</v>
      </c>
      <c r="G917" s="1" t="s">
        <v>18</v>
      </c>
      <c r="H917" s="1" t="s">
        <v>19</v>
      </c>
      <c r="I917" s="7">
        <v>101.02</v>
      </c>
      <c r="J917" s="1" t="s">
        <v>38</v>
      </c>
      <c r="K917" s="1"/>
      <c r="L917" s="1" t="s">
        <v>39</v>
      </c>
      <c r="M917" s="1" t="str">
        <f>INDEX(MCC_Lookup!$B$2:$B$12,MATCH(G917,MCC_Lookup!$A$2:$A$12,0))</f>
        <v>Events</v>
      </c>
      <c r="N917" s="1" t="str">
        <f>IF(TRIM(H917)="","BLANK",IF(PROPER(TRIM(H917))=TRIM(M917),"MATCH","MISMATCH"))</f>
        <v>MATCH</v>
      </c>
      <c r="O917" s="5" t="str">
        <f>INDEX([1]Employee!$C$2:$C$276,MATCH(B917,[1]Employee!$A$2:$A$276,0))</f>
        <v>Sales &amp; Marketing</v>
      </c>
    </row>
    <row r="918" spans="1:15">
      <c r="A918" s="1" t="s">
        <v>2015</v>
      </c>
      <c r="B918" s="1" t="s">
        <v>136</v>
      </c>
      <c r="C918" s="1" t="s">
        <v>2016</v>
      </c>
      <c r="D918" s="2">
        <v>46065</v>
      </c>
      <c r="E918" s="2">
        <v>46075</v>
      </c>
      <c r="F918" s="1" t="s">
        <v>72</v>
      </c>
      <c r="G918" s="1" t="s">
        <v>8</v>
      </c>
      <c r="H918" s="1" t="s">
        <v>9</v>
      </c>
      <c r="I918" s="7">
        <v>52.48</v>
      </c>
      <c r="J918" s="1" t="s">
        <v>38</v>
      </c>
      <c r="K918" s="1"/>
      <c r="L918" s="1" t="s">
        <v>39</v>
      </c>
      <c r="M918" s="1" t="str">
        <f>INDEX(MCC_Lookup!$B$2:$B$12,MATCH(G918,MCC_Lookup!$A$2:$A$12,0))</f>
        <v>Transportation</v>
      </c>
      <c r="N918" s="1" t="str">
        <f>IF(TRIM(H918)="","BLANK",IF(PROPER(TRIM(H918))=TRIM(M918),"MATCH","MISMATCH"))</f>
        <v>MATCH</v>
      </c>
      <c r="O918" s="5" t="str">
        <f>INDEX([1]Employee!$C$2:$C$276,MATCH(B918,[1]Employee!$A$2:$A$276,0))</f>
        <v>Sales &amp; Marketing</v>
      </c>
    </row>
    <row r="919" spans="1:15">
      <c r="A919" s="1" t="s">
        <v>2017</v>
      </c>
      <c r="B919" s="1" t="s">
        <v>303</v>
      </c>
      <c r="C919" s="1"/>
      <c r="D919" s="2">
        <v>46072</v>
      </c>
      <c r="E919" s="2">
        <v>46075</v>
      </c>
      <c r="F919" s="1" t="s">
        <v>160</v>
      </c>
      <c r="G919" s="1" t="s">
        <v>6</v>
      </c>
      <c r="H919" s="1" t="s">
        <v>7</v>
      </c>
      <c r="I919" s="7">
        <v>273.41000000000003</v>
      </c>
      <c r="J919" s="1" t="s">
        <v>111</v>
      </c>
      <c r="K919" s="1" t="s">
        <v>112</v>
      </c>
      <c r="L919" s="1" t="s">
        <v>39</v>
      </c>
      <c r="M919" s="1" t="str">
        <f>INDEX(MCC_Lookup!$B$2:$B$12,MATCH(G919,MCC_Lookup!$A$2:$A$12,0))</f>
        <v>Lodging</v>
      </c>
      <c r="N919" s="1" t="str">
        <f>IF(TRIM(H919)="","BLANK",IF(PROPER(TRIM(H919))=TRIM(M919),"MATCH","MISMATCH"))</f>
        <v>MATCH</v>
      </c>
      <c r="O919" s="5" t="str">
        <f>INDEX([1]Employee!$C$2:$C$276,MATCH(B919,[1]Employee!$A$2:$A$276,0))</f>
        <v>Sales &amp; Marketing</v>
      </c>
    </row>
    <row r="920" spans="1:15">
      <c r="A920" s="1" t="s">
        <v>2018</v>
      </c>
      <c r="B920" s="1" t="s">
        <v>1753</v>
      </c>
      <c r="C920" s="1" t="s">
        <v>2019</v>
      </c>
      <c r="D920" s="2">
        <v>46074</v>
      </c>
      <c r="E920" s="2">
        <v>46075</v>
      </c>
      <c r="F920" s="1" t="s">
        <v>76</v>
      </c>
      <c r="G920" s="1" t="s">
        <v>13</v>
      </c>
      <c r="H920" s="1" t="s">
        <v>419</v>
      </c>
      <c r="I920" s="7">
        <v>228.39</v>
      </c>
      <c r="J920" s="1" t="s">
        <v>38</v>
      </c>
      <c r="K920" s="1"/>
      <c r="L920" s="1" t="s">
        <v>39</v>
      </c>
      <c r="M920" s="1" t="str">
        <f>INDEX(MCC_Lookup!$B$2:$B$12,MATCH(G920,MCC_Lookup!$A$2:$A$12,0))</f>
        <v>Software</v>
      </c>
      <c r="N920" s="1" t="str">
        <f>IF(TRIM(H920)="","BLANK",IF(PROPER(TRIM(H920))=TRIM(M920),"MATCH","MISMATCH"))</f>
        <v>MATCH</v>
      </c>
      <c r="O920" s="5" t="str">
        <f>INDEX([1]Employee!$C$2:$C$276,MATCH(B920,[1]Employee!$A$2:$A$276,0))</f>
        <v>IT &amp; Platform Engineering</v>
      </c>
    </row>
    <row r="921" spans="1:15">
      <c r="A921" s="1" t="s">
        <v>2020</v>
      </c>
      <c r="B921" s="1" t="s">
        <v>908</v>
      </c>
      <c r="C921" s="1" t="s">
        <v>2021</v>
      </c>
      <c r="D921" s="2">
        <v>46066</v>
      </c>
      <c r="E921" s="2">
        <v>46075</v>
      </c>
      <c r="F921" s="1" t="s">
        <v>106</v>
      </c>
      <c r="G921" s="1" t="s">
        <v>13</v>
      </c>
      <c r="H921" s="1" t="s">
        <v>14</v>
      </c>
      <c r="I921" s="7">
        <v>225.91</v>
      </c>
      <c r="J921" s="1" t="s">
        <v>38</v>
      </c>
      <c r="K921" s="1"/>
      <c r="L921" s="1" t="s">
        <v>39</v>
      </c>
      <c r="M921" s="1" t="str">
        <f>INDEX(MCC_Lookup!$B$2:$B$12,MATCH(G921,MCC_Lookup!$A$2:$A$12,0))</f>
        <v>Software</v>
      </c>
      <c r="N921" s="1" t="str">
        <f>IF(TRIM(H921)="","BLANK",IF(PROPER(TRIM(H921))=TRIM(M921),"MATCH","MISMATCH"))</f>
        <v>MATCH</v>
      </c>
      <c r="O921" s="5" t="str">
        <f>INDEX([1]Employee!$C$2:$C$276,MATCH(B921,[1]Employee!$A$2:$A$276,0))</f>
        <v>Claims</v>
      </c>
    </row>
    <row r="922" spans="1:15">
      <c r="A922" s="1" t="s">
        <v>2022</v>
      </c>
      <c r="B922" s="1" t="s">
        <v>71</v>
      </c>
      <c r="C922" s="1" t="s">
        <v>2023</v>
      </c>
      <c r="D922" s="2">
        <v>46069</v>
      </c>
      <c r="E922" s="2">
        <v>46075</v>
      </c>
      <c r="F922" s="1" t="s">
        <v>65</v>
      </c>
      <c r="G922" s="1" t="s">
        <v>18</v>
      </c>
      <c r="H922" s="1" t="s">
        <v>19</v>
      </c>
      <c r="I922" s="7">
        <v>164.69</v>
      </c>
      <c r="J922" s="1" t="s">
        <v>38</v>
      </c>
      <c r="K922" s="1"/>
      <c r="L922" s="1" t="s">
        <v>48</v>
      </c>
      <c r="M922" s="1" t="str">
        <f>INDEX(MCC_Lookup!$B$2:$B$12,MATCH(G922,MCC_Lookup!$A$2:$A$12,0))</f>
        <v>Events</v>
      </c>
      <c r="N922" s="1" t="str">
        <f>IF(TRIM(H922)="","BLANK",IF(PROPER(TRIM(H922))=TRIM(M922),"MATCH","MISMATCH"))</f>
        <v>MATCH</v>
      </c>
      <c r="O922" s="5" t="str">
        <f>INDEX([1]Employee!$C$2:$C$276,MATCH(B922,[1]Employee!$A$2:$A$276,0))</f>
        <v>Sales &amp; Marketing</v>
      </c>
    </row>
    <row r="923" spans="1:15">
      <c r="A923" s="1" t="s">
        <v>2024</v>
      </c>
      <c r="B923" s="1" t="s">
        <v>475</v>
      </c>
      <c r="C923" s="1" t="s">
        <v>2025</v>
      </c>
      <c r="D923" s="2">
        <v>46068</v>
      </c>
      <c r="E923" s="2">
        <v>46075</v>
      </c>
      <c r="F923" s="1" t="s">
        <v>43</v>
      </c>
      <c r="G923" s="1" t="s">
        <v>2</v>
      </c>
      <c r="H923" s="1" t="s">
        <v>3</v>
      </c>
      <c r="I923" s="7">
        <v>11.58</v>
      </c>
      <c r="J923" s="1" t="s">
        <v>38</v>
      </c>
      <c r="K923" s="1"/>
      <c r="L923" s="1" t="s">
        <v>39</v>
      </c>
      <c r="M923" s="1" t="str">
        <f>INDEX(MCC_Lookup!$B$2:$B$12,MATCH(G923,MCC_Lookup!$A$2:$A$12,0))</f>
        <v>Meals</v>
      </c>
      <c r="N923" s="1" t="str">
        <f>IF(TRIM(H923)="","BLANK",IF(PROPER(TRIM(H923))=TRIM(M923),"MATCH","MISMATCH"))</f>
        <v>MATCH</v>
      </c>
      <c r="O923" s="5" t="str">
        <f>INDEX([1]Employee!$C$2:$C$276,MATCH(B923,[1]Employee!$A$2:$A$276,0))</f>
        <v>Sales &amp; Marketing</v>
      </c>
    </row>
    <row r="924" spans="1:15">
      <c r="A924" s="1" t="s">
        <v>2026</v>
      </c>
      <c r="B924" s="1" t="s">
        <v>2027</v>
      </c>
      <c r="C924" s="1" t="s">
        <v>2028</v>
      </c>
      <c r="D924" s="2">
        <v>46069</v>
      </c>
      <c r="E924" s="2">
        <v>46075</v>
      </c>
      <c r="F924" s="1" t="s">
        <v>37</v>
      </c>
      <c r="G924" s="1" t="s">
        <v>4</v>
      </c>
      <c r="H924" s="1" t="s">
        <v>5</v>
      </c>
      <c r="I924" s="7">
        <v>387.35</v>
      </c>
      <c r="J924" s="1" t="s">
        <v>38</v>
      </c>
      <c r="K924" s="1"/>
      <c r="L924" s="1" t="s">
        <v>39</v>
      </c>
      <c r="M924" s="1" t="str">
        <f>INDEX(MCC_Lookup!$B$2:$B$12,MATCH(G924,MCC_Lookup!$A$2:$A$12,0))</f>
        <v>Travel</v>
      </c>
      <c r="N924" s="1" t="str">
        <f>IF(TRIM(H924)="","BLANK",IF(PROPER(TRIM(H924))=TRIM(M924),"MATCH","MISMATCH"))</f>
        <v>MATCH</v>
      </c>
      <c r="O924" s="5" t="str">
        <f>INDEX([1]Employee!$C$2:$C$276,MATCH(B924,[1]Employee!$A$2:$A$276,0))</f>
        <v>Customer Support</v>
      </c>
    </row>
    <row r="925" spans="1:15">
      <c r="A925" s="1" t="s">
        <v>2029</v>
      </c>
      <c r="B925" s="1" t="s">
        <v>240</v>
      </c>
      <c r="C925" s="1"/>
      <c r="D925" s="2">
        <v>46067</v>
      </c>
      <c r="E925" s="2">
        <v>46075</v>
      </c>
      <c r="F925" s="1" t="s">
        <v>106</v>
      </c>
      <c r="G925" s="1" t="s">
        <v>13</v>
      </c>
      <c r="H925" s="1" t="s">
        <v>14</v>
      </c>
      <c r="I925" s="7">
        <v>79.260000000000005</v>
      </c>
      <c r="J925" s="1" t="s">
        <v>111</v>
      </c>
      <c r="K925" s="1" t="s">
        <v>161</v>
      </c>
      <c r="L925" s="1" t="s">
        <v>39</v>
      </c>
      <c r="M925" s="1" t="str">
        <f>INDEX(MCC_Lookup!$B$2:$B$12,MATCH(G925,MCC_Lookup!$A$2:$A$12,0))</f>
        <v>Software</v>
      </c>
      <c r="N925" s="1" t="str">
        <f>IF(TRIM(H925)="","BLANK",IF(PROPER(TRIM(H925))=TRIM(M925),"MATCH","MISMATCH"))</f>
        <v>MATCH</v>
      </c>
      <c r="O925" s="5" t="str">
        <f>INDEX([1]Employee!$C$2:$C$276,MATCH(B925,[1]Employee!$A$2:$A$276,0))</f>
        <v>Claims</v>
      </c>
    </row>
    <row r="926" spans="1:15">
      <c r="A926" s="1" t="s">
        <v>2030</v>
      </c>
      <c r="B926" s="1" t="s">
        <v>550</v>
      </c>
      <c r="C926" s="1" t="s">
        <v>2031</v>
      </c>
      <c r="D926" s="2">
        <v>46066</v>
      </c>
      <c r="E926" s="2">
        <v>46075</v>
      </c>
      <c r="F926" s="1" t="s">
        <v>177</v>
      </c>
      <c r="G926" s="1" t="s">
        <v>13</v>
      </c>
      <c r="H926" s="1" t="s">
        <v>14</v>
      </c>
      <c r="I926" s="7">
        <v>14.69</v>
      </c>
      <c r="J926" s="1" t="s">
        <v>38</v>
      </c>
      <c r="K926" s="1"/>
      <c r="L926" s="1" t="s">
        <v>39</v>
      </c>
      <c r="M926" s="1" t="str">
        <f>INDEX(MCC_Lookup!$B$2:$B$12,MATCH(G926,MCC_Lookup!$A$2:$A$12,0))</f>
        <v>Software</v>
      </c>
      <c r="N926" s="1" t="str">
        <f>IF(TRIM(H926)="","BLANK",IF(PROPER(TRIM(H926))=TRIM(M926),"MATCH","MISMATCH"))</f>
        <v>MATCH</v>
      </c>
      <c r="O926" s="5" t="str">
        <f>INDEX([1]Employee!$C$2:$C$276,MATCH(B926,[1]Employee!$A$2:$A$276,0))</f>
        <v>Sales &amp; Marketing</v>
      </c>
    </row>
    <row r="927" spans="1:15">
      <c r="A927" s="1" t="s">
        <v>2032</v>
      </c>
      <c r="B927" s="1" t="s">
        <v>821</v>
      </c>
      <c r="C927" s="1" t="s">
        <v>2033</v>
      </c>
      <c r="D927" s="2">
        <v>46074</v>
      </c>
      <c r="E927" s="2">
        <v>46075</v>
      </c>
      <c r="F927" s="1" t="s">
        <v>52</v>
      </c>
      <c r="G927" s="1" t="s">
        <v>15</v>
      </c>
      <c r="H927" s="1" t="s">
        <v>16</v>
      </c>
      <c r="I927" s="7">
        <v>52.73</v>
      </c>
      <c r="J927" s="1" t="s">
        <v>38</v>
      </c>
      <c r="K927" s="1"/>
      <c r="L927" s="1" t="s">
        <v>39</v>
      </c>
      <c r="M927" s="1" t="str">
        <f>INDEX(MCC_Lookup!$B$2:$B$12,MATCH(G927,MCC_Lookup!$A$2:$A$12,0))</f>
        <v>Entertainment</v>
      </c>
      <c r="N927" s="1" t="str">
        <f>IF(TRIM(H927)="","BLANK",IF(PROPER(TRIM(H927))=TRIM(M927),"MATCH","MISMATCH"))</f>
        <v>MATCH</v>
      </c>
      <c r="O927" s="5" t="str">
        <f>INDEX([1]Employee!$C$2:$C$276,MATCH(B927,[1]Employee!$A$2:$A$276,0))</f>
        <v>Claims</v>
      </c>
    </row>
    <row r="928" spans="1:15">
      <c r="A928" s="1" t="s">
        <v>2034</v>
      </c>
      <c r="B928" s="1" t="s">
        <v>397</v>
      </c>
      <c r="C928" s="1" t="s">
        <v>2035</v>
      </c>
      <c r="D928" s="2">
        <v>46072</v>
      </c>
      <c r="E928" s="2">
        <v>46075</v>
      </c>
      <c r="F928" s="1" t="s">
        <v>95</v>
      </c>
      <c r="G928" s="1" t="s">
        <v>6</v>
      </c>
      <c r="H928" s="1" t="s">
        <v>7</v>
      </c>
      <c r="I928" s="7">
        <v>315.01</v>
      </c>
      <c r="J928" s="1" t="s">
        <v>38</v>
      </c>
      <c r="K928" s="1"/>
      <c r="L928" s="1" t="s">
        <v>39</v>
      </c>
      <c r="M928" s="1" t="str">
        <f>INDEX(MCC_Lookup!$B$2:$B$12,MATCH(G928,MCC_Lookup!$A$2:$A$12,0))</f>
        <v>Lodging</v>
      </c>
      <c r="N928" s="1" t="str">
        <f>IF(TRIM(H928)="","BLANK",IF(PROPER(TRIM(H928))=TRIM(M928),"MATCH","MISMATCH"))</f>
        <v>MATCH</v>
      </c>
      <c r="O928" s="5" t="str">
        <f>INDEX([1]Employee!$C$2:$C$276,MATCH(B928,[1]Employee!$A$2:$A$276,0))</f>
        <v>Finance</v>
      </c>
    </row>
    <row r="929" spans="1:15">
      <c r="A929" s="1" t="s">
        <v>2036</v>
      </c>
      <c r="B929" s="1" t="s">
        <v>2037</v>
      </c>
      <c r="C929" s="1" t="s">
        <v>2038</v>
      </c>
      <c r="D929" s="2">
        <v>46069</v>
      </c>
      <c r="E929" s="2">
        <v>46075</v>
      </c>
      <c r="F929" s="1" t="s">
        <v>92</v>
      </c>
      <c r="G929" s="1" t="s">
        <v>10</v>
      </c>
      <c r="H929" s="1" t="s">
        <v>11</v>
      </c>
      <c r="I929" s="7">
        <v>34.53</v>
      </c>
      <c r="J929" s="1" t="s">
        <v>38</v>
      </c>
      <c r="K929" s="1"/>
      <c r="L929" s="1" t="s">
        <v>39</v>
      </c>
      <c r="M929" s="1" t="str">
        <f>INDEX(MCC_Lookup!$B$2:$B$12,MATCH(G929,MCC_Lookup!$A$2:$A$12,0))</f>
        <v>Office Supplies</v>
      </c>
      <c r="N929" s="1" t="str">
        <f>IF(TRIM(H929)="","BLANK",IF(PROPER(TRIM(H929))=TRIM(M929),"MATCH","MISMATCH"))</f>
        <v>MATCH</v>
      </c>
      <c r="O929" s="5" t="str">
        <f>INDEX([1]Employee!$C$2:$C$276,MATCH(B929,[1]Employee!$A$2:$A$276,0))</f>
        <v>Customer Support</v>
      </c>
    </row>
    <row r="930" spans="1:15">
      <c r="A930" s="1" t="s">
        <v>2039</v>
      </c>
      <c r="B930" s="1" t="s">
        <v>469</v>
      </c>
      <c r="C930" s="1"/>
      <c r="D930" s="2">
        <v>46073</v>
      </c>
      <c r="E930" s="2">
        <v>46075</v>
      </c>
      <c r="F930" s="1" t="s">
        <v>76</v>
      </c>
      <c r="G930" s="1" t="s">
        <v>13</v>
      </c>
      <c r="H930" s="1" t="s">
        <v>14</v>
      </c>
      <c r="I930" s="7">
        <v>283.35000000000002</v>
      </c>
      <c r="J930" s="1" t="s">
        <v>111</v>
      </c>
      <c r="K930" s="1" t="s">
        <v>127</v>
      </c>
      <c r="L930" s="1" t="s">
        <v>39</v>
      </c>
      <c r="M930" s="1" t="str">
        <f>INDEX(MCC_Lookup!$B$2:$B$12,MATCH(G930,MCC_Lookup!$A$2:$A$12,0))</f>
        <v>Software</v>
      </c>
      <c r="N930" s="1" t="str">
        <f>IF(TRIM(H930)="","BLANK",IF(PROPER(TRIM(H930))=TRIM(M930),"MATCH","MISMATCH"))</f>
        <v>MATCH</v>
      </c>
      <c r="O930" s="5" t="str">
        <f>INDEX([1]Employee!$C$2:$C$276,MATCH(B930,[1]Employee!$A$2:$A$276,0))</f>
        <v>Sales &amp; Marketing</v>
      </c>
    </row>
    <row r="931" spans="1:15">
      <c r="A931" s="1" t="s">
        <v>2040</v>
      </c>
      <c r="B931" s="1" t="s">
        <v>469</v>
      </c>
      <c r="C931" s="1"/>
      <c r="D931" s="2">
        <v>46074</v>
      </c>
      <c r="E931" s="2">
        <v>46075</v>
      </c>
      <c r="F931" s="1" t="s">
        <v>37</v>
      </c>
      <c r="G931" s="1" t="s">
        <v>4</v>
      </c>
      <c r="H931" s="1" t="s">
        <v>5</v>
      </c>
      <c r="I931" s="7">
        <v>462.92</v>
      </c>
      <c r="J931" s="1" t="s">
        <v>111</v>
      </c>
      <c r="K931" s="1" t="s">
        <v>127</v>
      </c>
      <c r="L931" s="1" t="s">
        <v>48</v>
      </c>
      <c r="M931" s="1" t="str">
        <f>INDEX(MCC_Lookup!$B$2:$B$12,MATCH(G931,MCC_Lookup!$A$2:$A$12,0))</f>
        <v>Travel</v>
      </c>
      <c r="N931" s="1" t="str">
        <f>IF(TRIM(H931)="","BLANK",IF(PROPER(TRIM(H931))=TRIM(M931),"MATCH","MISMATCH"))</f>
        <v>MATCH</v>
      </c>
      <c r="O931" s="5" t="str">
        <f>INDEX([1]Employee!$C$2:$C$276,MATCH(B931,[1]Employee!$A$2:$A$276,0))</f>
        <v>Sales &amp; Marketing</v>
      </c>
    </row>
    <row r="932" spans="1:15">
      <c r="A932" s="1" t="s">
        <v>2041</v>
      </c>
      <c r="B932" s="1" t="s">
        <v>90</v>
      </c>
      <c r="C932" s="1" t="s">
        <v>2042</v>
      </c>
      <c r="D932" s="2">
        <v>46071</v>
      </c>
      <c r="E932" s="2">
        <v>46075</v>
      </c>
      <c r="F932" s="1" t="s">
        <v>52</v>
      </c>
      <c r="G932" s="1" t="s">
        <v>15</v>
      </c>
      <c r="H932" s="1" t="s">
        <v>16</v>
      </c>
      <c r="I932" s="7">
        <v>45.63</v>
      </c>
      <c r="J932" s="1" t="s">
        <v>38</v>
      </c>
      <c r="K932" s="1"/>
      <c r="L932" s="1" t="s">
        <v>48</v>
      </c>
      <c r="M932" s="1" t="str">
        <f>INDEX(MCC_Lookup!$B$2:$B$12,MATCH(G932,MCC_Lookup!$A$2:$A$12,0))</f>
        <v>Entertainment</v>
      </c>
      <c r="N932" s="1" t="str">
        <f>IF(TRIM(H932)="","BLANK",IF(PROPER(TRIM(H932))=TRIM(M932),"MATCH","MISMATCH"))</f>
        <v>MATCH</v>
      </c>
      <c r="O932" s="5" t="str">
        <f>INDEX([1]Employee!$C$2:$C$276,MATCH(B932,[1]Employee!$A$2:$A$276,0))</f>
        <v>Sales &amp; Marketing</v>
      </c>
    </row>
    <row r="933" spans="1:15">
      <c r="A933" s="1" t="s">
        <v>2043</v>
      </c>
      <c r="B933" s="1" t="s">
        <v>280</v>
      </c>
      <c r="C933" s="1" t="s">
        <v>2044</v>
      </c>
      <c r="D933" s="2">
        <v>46066</v>
      </c>
      <c r="E933" s="2">
        <v>46075</v>
      </c>
      <c r="F933" s="1" t="s">
        <v>99</v>
      </c>
      <c r="G933" s="1" t="s">
        <v>2</v>
      </c>
      <c r="H933" s="1" t="s">
        <v>3</v>
      </c>
      <c r="I933" s="7">
        <v>125.99</v>
      </c>
      <c r="J933" s="1" t="s">
        <v>38</v>
      </c>
      <c r="K933" s="1"/>
      <c r="L933" s="1" t="s">
        <v>39</v>
      </c>
      <c r="M933" s="1" t="str">
        <f>INDEX(MCC_Lookup!$B$2:$B$12,MATCH(G933,MCC_Lookup!$A$2:$A$12,0))</f>
        <v>Meals</v>
      </c>
      <c r="N933" s="1" t="str">
        <f>IF(TRIM(H933)="","BLANK",IF(PROPER(TRIM(H933))=TRIM(M933),"MATCH","MISMATCH"))</f>
        <v>MATCH</v>
      </c>
      <c r="O933" s="5" t="str">
        <f>INDEX([1]Employee!$C$2:$C$276,MATCH(B933,[1]Employee!$A$2:$A$276,0))</f>
        <v>Claims</v>
      </c>
    </row>
    <row r="934" spans="1:15">
      <c r="A934" s="1" t="s">
        <v>2045</v>
      </c>
      <c r="B934" s="1" t="s">
        <v>2046</v>
      </c>
      <c r="C934" s="1" t="s">
        <v>2047</v>
      </c>
      <c r="D934" s="2">
        <v>46075</v>
      </c>
      <c r="E934" s="2">
        <v>46075</v>
      </c>
      <c r="F934" s="1" t="s">
        <v>65</v>
      </c>
      <c r="G934" s="1" t="s">
        <v>18</v>
      </c>
      <c r="H934" s="1" t="s">
        <v>19</v>
      </c>
      <c r="I934" s="7">
        <v>260.31</v>
      </c>
      <c r="J934" s="1" t="s">
        <v>38</v>
      </c>
      <c r="K934" s="1"/>
      <c r="L934" s="1" t="s">
        <v>39</v>
      </c>
      <c r="M934" s="1" t="str">
        <f>INDEX(MCC_Lookup!$B$2:$B$12,MATCH(G934,MCC_Lookup!$A$2:$A$12,0))</f>
        <v>Events</v>
      </c>
      <c r="N934" s="1" t="str">
        <f>IF(TRIM(H934)="","BLANK",IF(PROPER(TRIM(H934))=TRIM(M934),"MATCH","MISMATCH"))</f>
        <v>MATCH</v>
      </c>
      <c r="O934" s="5" t="str">
        <f>INDEX([1]Employee!$C$2:$C$276,MATCH(B934,[1]Employee!$A$2:$A$276,0))</f>
        <v>Claims</v>
      </c>
    </row>
    <row r="935" spans="1:15">
      <c r="A935" s="1" t="s">
        <v>2048</v>
      </c>
      <c r="B935" s="1" t="s">
        <v>349</v>
      </c>
      <c r="C935" s="1"/>
      <c r="D935" s="2">
        <v>46072</v>
      </c>
      <c r="E935" s="2">
        <v>46075</v>
      </c>
      <c r="F935" s="1" t="s">
        <v>92</v>
      </c>
      <c r="G935" s="1" t="s">
        <v>10</v>
      </c>
      <c r="H935" s="1" t="s">
        <v>11</v>
      </c>
      <c r="I935" s="7">
        <v>51.17</v>
      </c>
      <c r="J935" s="1" t="s">
        <v>38</v>
      </c>
      <c r="K935" s="1"/>
      <c r="L935" s="1" t="s">
        <v>39</v>
      </c>
      <c r="M935" s="1" t="str">
        <f>INDEX(MCC_Lookup!$B$2:$B$12,MATCH(G935,MCC_Lookup!$A$2:$A$12,0))</f>
        <v>Office Supplies</v>
      </c>
      <c r="N935" s="1" t="str">
        <f>IF(TRIM(H935)="","BLANK",IF(PROPER(TRIM(H935))=TRIM(M935),"MATCH","MISMATCH"))</f>
        <v>MATCH</v>
      </c>
      <c r="O935" s="5" t="str">
        <f>INDEX([1]Employee!$C$2:$C$276,MATCH(B935,[1]Employee!$A$2:$A$276,0))</f>
        <v>Sales &amp; Marketing</v>
      </c>
    </row>
    <row r="936" spans="1:15">
      <c r="A936" s="1" t="s">
        <v>2049</v>
      </c>
      <c r="B936" s="1" t="s">
        <v>547</v>
      </c>
      <c r="C936" s="1" t="s">
        <v>2050</v>
      </c>
      <c r="D936" s="2">
        <v>46071</v>
      </c>
      <c r="E936" s="2">
        <v>46075</v>
      </c>
      <c r="F936" s="1" t="s">
        <v>83</v>
      </c>
      <c r="G936" s="1" t="s">
        <v>2</v>
      </c>
      <c r="H936" s="1" t="s">
        <v>269</v>
      </c>
      <c r="I936" s="7">
        <v>17.52</v>
      </c>
      <c r="J936" s="1" t="s">
        <v>38</v>
      </c>
      <c r="K936" s="1"/>
      <c r="L936" s="1" t="s">
        <v>39</v>
      </c>
      <c r="M936" s="1" t="str">
        <f>INDEX(MCC_Lookup!$B$2:$B$12,MATCH(G936,MCC_Lookup!$A$2:$A$12,0))</f>
        <v>Meals</v>
      </c>
      <c r="N936" s="1" t="str">
        <f>IF(TRIM(H936)="","BLANK",IF(PROPER(TRIM(H936))=TRIM(M936),"MATCH","MISMATCH"))</f>
        <v>MISMATCH</v>
      </c>
      <c r="O936" s="5" t="str">
        <f>INDEX([1]Employee!$C$2:$C$276,MATCH(B936,[1]Employee!$A$2:$A$276,0))</f>
        <v>Sales &amp; Marketing</v>
      </c>
    </row>
    <row r="937" spans="1:15">
      <c r="A937" s="1" t="s">
        <v>2051</v>
      </c>
      <c r="B937" s="1" t="s">
        <v>1821</v>
      </c>
      <c r="C937" s="1" t="s">
        <v>2052</v>
      </c>
      <c r="D937" s="2">
        <v>46070</v>
      </c>
      <c r="E937" s="2">
        <v>46076</v>
      </c>
      <c r="F937" s="1" t="s">
        <v>109</v>
      </c>
      <c r="G937" s="1" t="s">
        <v>18</v>
      </c>
      <c r="H937" s="1" t="s">
        <v>11</v>
      </c>
      <c r="I937" s="7">
        <v>166.72</v>
      </c>
      <c r="J937" s="1" t="s">
        <v>38</v>
      </c>
      <c r="K937" s="1"/>
      <c r="L937" s="1" t="s">
        <v>39</v>
      </c>
      <c r="M937" s="1" t="str">
        <f>INDEX(MCC_Lookup!$B$2:$B$12,MATCH(G937,MCC_Lookup!$A$2:$A$12,0))</f>
        <v>Events</v>
      </c>
      <c r="N937" s="1" t="str">
        <f>IF(TRIM(H937)="","BLANK",IF(PROPER(TRIM(H937))=TRIM(M937),"MATCH","MISMATCH"))</f>
        <v>MISMATCH</v>
      </c>
      <c r="O937" s="5" t="str">
        <f>INDEX([1]Employee!$C$2:$C$276,MATCH(B937,[1]Employee!$A$2:$A$276,0))</f>
        <v>Finance</v>
      </c>
    </row>
    <row r="938" spans="1:15">
      <c r="A938" s="1" t="s">
        <v>2053</v>
      </c>
      <c r="B938" s="1" t="s">
        <v>810</v>
      </c>
      <c r="C938" s="1" t="s">
        <v>2054</v>
      </c>
      <c r="D938" s="2">
        <v>46068</v>
      </c>
      <c r="E938" s="2">
        <v>46076</v>
      </c>
      <c r="F938" s="1" t="s">
        <v>573</v>
      </c>
      <c r="G938" s="1" t="s">
        <v>18</v>
      </c>
      <c r="H938" s="1" t="s">
        <v>19</v>
      </c>
      <c r="I938" s="7">
        <v>166.19</v>
      </c>
      <c r="J938" s="1" t="s">
        <v>38</v>
      </c>
      <c r="K938" s="1"/>
      <c r="L938" s="1" t="s">
        <v>39</v>
      </c>
      <c r="M938" s="1" t="str">
        <f>INDEX(MCC_Lookup!$B$2:$B$12,MATCH(G938,MCC_Lookup!$A$2:$A$12,0))</f>
        <v>Events</v>
      </c>
      <c r="N938" s="1" t="str">
        <f>IF(TRIM(H938)="","BLANK",IF(PROPER(TRIM(H938))=TRIM(M938),"MATCH","MISMATCH"))</f>
        <v>MATCH</v>
      </c>
      <c r="O938" s="5" t="str">
        <f>INDEX([1]Employee!$C$2:$C$276,MATCH(B938,[1]Employee!$A$2:$A$276,0))</f>
        <v>Sales &amp; Marketing</v>
      </c>
    </row>
    <row r="939" spans="1:15">
      <c r="A939" s="1" t="s">
        <v>2055</v>
      </c>
      <c r="B939" s="1" t="s">
        <v>595</v>
      </c>
      <c r="C939" s="1" t="s">
        <v>2056</v>
      </c>
      <c r="D939" s="2">
        <v>46076</v>
      </c>
      <c r="E939" s="2">
        <v>46076</v>
      </c>
      <c r="F939" s="1" t="s">
        <v>69</v>
      </c>
      <c r="G939" s="1" t="s">
        <v>8</v>
      </c>
      <c r="H939" s="1" t="s">
        <v>9</v>
      </c>
      <c r="I939" s="7">
        <v>34.49</v>
      </c>
      <c r="J939" s="1" t="s">
        <v>38</v>
      </c>
      <c r="K939" s="1"/>
      <c r="L939" s="1" t="s">
        <v>39</v>
      </c>
      <c r="M939" s="1" t="str">
        <f>INDEX(MCC_Lookup!$B$2:$B$12,MATCH(G939,MCC_Lookup!$A$2:$A$12,0))</f>
        <v>Transportation</v>
      </c>
      <c r="N939" s="1" t="str">
        <f>IF(TRIM(H939)="","BLANK",IF(PROPER(TRIM(H939))=TRIM(M939),"MATCH","MISMATCH"))</f>
        <v>MATCH</v>
      </c>
      <c r="O939" s="5" t="str">
        <f>INDEX([1]Employee!$C$2:$C$276,MATCH(B939,[1]Employee!$A$2:$A$276,0))</f>
        <v>Executive &amp; Corporate</v>
      </c>
    </row>
    <row r="940" spans="1:15">
      <c r="A940" s="1" t="s">
        <v>2057</v>
      </c>
      <c r="B940" s="1" t="s">
        <v>868</v>
      </c>
      <c r="C940" s="1" t="s">
        <v>2058</v>
      </c>
      <c r="D940" s="2">
        <v>46071</v>
      </c>
      <c r="E940" s="2">
        <v>46076</v>
      </c>
      <c r="F940" s="1" t="s">
        <v>2059</v>
      </c>
      <c r="G940" s="1" t="s">
        <v>13</v>
      </c>
      <c r="H940" s="1" t="s">
        <v>14</v>
      </c>
      <c r="I940" s="7">
        <v>184.98</v>
      </c>
      <c r="J940" s="1" t="s">
        <v>38</v>
      </c>
      <c r="K940" s="1"/>
      <c r="L940" s="1" t="s">
        <v>39</v>
      </c>
      <c r="M940" s="1" t="str">
        <f>INDEX(MCC_Lookup!$B$2:$B$12,MATCH(G940,MCC_Lookup!$A$2:$A$12,0))</f>
        <v>Software</v>
      </c>
      <c r="N940" s="1" t="str">
        <f>IF(TRIM(H940)="","BLANK",IF(PROPER(TRIM(H940))=TRIM(M940),"MATCH","MISMATCH"))</f>
        <v>MATCH</v>
      </c>
      <c r="O940" s="5" t="str">
        <f>INDEX([1]Employee!$C$2:$C$276,MATCH(B940,[1]Employee!$A$2:$A$276,0))</f>
        <v>Sales &amp; Marketing</v>
      </c>
    </row>
    <row r="941" spans="1:15">
      <c r="A941" s="1" t="s">
        <v>2060</v>
      </c>
      <c r="B941" s="1" t="s">
        <v>643</v>
      </c>
      <c r="C941" s="1" t="s">
        <v>2061</v>
      </c>
      <c r="D941" s="2">
        <v>46068</v>
      </c>
      <c r="E941" s="2">
        <v>46076</v>
      </c>
      <c r="F941" s="1" t="s">
        <v>52</v>
      </c>
      <c r="G941" s="1" t="s">
        <v>15</v>
      </c>
      <c r="H941" s="1" t="s">
        <v>16</v>
      </c>
      <c r="I941" s="7">
        <v>33.979999999999997</v>
      </c>
      <c r="J941" s="1" t="s">
        <v>38</v>
      </c>
      <c r="K941" s="1"/>
      <c r="L941" s="1" t="s">
        <v>39</v>
      </c>
      <c r="M941" s="1" t="str">
        <f>INDEX(MCC_Lookup!$B$2:$B$12,MATCH(G941,MCC_Lookup!$A$2:$A$12,0))</f>
        <v>Entertainment</v>
      </c>
      <c r="N941" s="1" t="str">
        <f>IF(TRIM(H941)="","BLANK",IF(PROPER(TRIM(H941))=TRIM(M941),"MATCH","MISMATCH"))</f>
        <v>MATCH</v>
      </c>
      <c r="O941" s="5" t="str">
        <f>INDEX([1]Employee!$C$2:$C$276,MATCH(B941,[1]Employee!$A$2:$A$276,0))</f>
        <v>Sales &amp; Marketing</v>
      </c>
    </row>
    <row r="942" spans="1:15">
      <c r="A942" s="1" t="s">
        <v>2062</v>
      </c>
      <c r="B942" s="1" t="s">
        <v>506</v>
      </c>
      <c r="C942" s="1" t="s">
        <v>2063</v>
      </c>
      <c r="D942" s="2">
        <v>46069</v>
      </c>
      <c r="E942" s="2">
        <v>46076</v>
      </c>
      <c r="F942" s="1" t="s">
        <v>347</v>
      </c>
      <c r="G942" s="1" t="s">
        <v>8</v>
      </c>
      <c r="H942" s="1" t="s">
        <v>9</v>
      </c>
      <c r="I942" s="7">
        <v>58.29</v>
      </c>
      <c r="J942" s="1" t="s">
        <v>38</v>
      </c>
      <c r="K942" s="1"/>
      <c r="L942" s="1" t="s">
        <v>39</v>
      </c>
      <c r="M942" s="1" t="str">
        <f>INDEX(MCC_Lookup!$B$2:$B$12,MATCH(G942,MCC_Lookup!$A$2:$A$12,0))</f>
        <v>Transportation</v>
      </c>
      <c r="N942" s="1" t="str">
        <f>IF(TRIM(H942)="","BLANK",IF(PROPER(TRIM(H942))=TRIM(M942),"MATCH","MISMATCH"))</f>
        <v>MATCH</v>
      </c>
      <c r="O942" s="5" t="str">
        <f>INDEX([1]Employee!$C$2:$C$276,MATCH(B942,[1]Employee!$A$2:$A$276,0))</f>
        <v>Executive &amp; Corporate</v>
      </c>
    </row>
    <row r="943" spans="1:15">
      <c r="A943" s="1" t="s">
        <v>2064</v>
      </c>
      <c r="B943" s="1" t="s">
        <v>679</v>
      </c>
      <c r="C943" s="1"/>
      <c r="D943" s="2">
        <v>46072</v>
      </c>
      <c r="E943" s="2">
        <v>46076</v>
      </c>
      <c r="F943" s="1" t="s">
        <v>72</v>
      </c>
      <c r="G943" s="1" t="s">
        <v>8</v>
      </c>
      <c r="H943" s="1" t="s">
        <v>9</v>
      </c>
      <c r="I943" s="7">
        <v>17.27</v>
      </c>
      <c r="J943" s="1" t="s">
        <v>111</v>
      </c>
      <c r="K943" s="1" t="s">
        <v>127</v>
      </c>
      <c r="L943" s="1" t="s">
        <v>39</v>
      </c>
      <c r="M943" s="1" t="str">
        <f>INDEX(MCC_Lookup!$B$2:$B$12,MATCH(G943,MCC_Lookup!$A$2:$A$12,0))</f>
        <v>Transportation</v>
      </c>
      <c r="N943" s="1" t="str">
        <f>IF(TRIM(H943)="","BLANK",IF(PROPER(TRIM(H943))=TRIM(M943),"MATCH","MISMATCH"))</f>
        <v>MATCH</v>
      </c>
      <c r="O943" s="5" t="str">
        <f>INDEX([1]Employee!$C$2:$C$276,MATCH(B943,[1]Employee!$A$2:$A$276,0))</f>
        <v>Sales &amp; Marketing</v>
      </c>
    </row>
    <row r="944" spans="1:15">
      <c r="A944" s="1" t="s">
        <v>2065</v>
      </c>
      <c r="B944" s="1" t="s">
        <v>512</v>
      </c>
      <c r="C944" s="1" t="s">
        <v>2066</v>
      </c>
      <c r="D944" s="2">
        <v>46071</v>
      </c>
      <c r="E944" s="2">
        <v>46077</v>
      </c>
      <c r="F944" s="1" t="s">
        <v>347</v>
      </c>
      <c r="G944" s="1" t="s">
        <v>8</v>
      </c>
      <c r="H944" s="1" t="s">
        <v>9</v>
      </c>
      <c r="I944" s="7">
        <v>45.18</v>
      </c>
      <c r="J944" s="1" t="s">
        <v>38</v>
      </c>
      <c r="K944" s="1"/>
      <c r="L944" s="1" t="s">
        <v>39</v>
      </c>
      <c r="M944" s="1" t="str">
        <f>INDEX(MCC_Lookup!$B$2:$B$12,MATCH(G944,MCC_Lookup!$A$2:$A$12,0))</f>
        <v>Transportation</v>
      </c>
      <c r="N944" s="1" t="str">
        <f>IF(TRIM(H944)="","BLANK",IF(PROPER(TRIM(H944))=TRIM(M944),"MATCH","MISMATCH"))</f>
        <v>MATCH</v>
      </c>
      <c r="O944" s="5" t="str">
        <f>INDEX([1]Employee!$C$2:$C$276,MATCH(B944,[1]Employee!$A$2:$A$276,0))</f>
        <v>Sales &amp; Marketing</v>
      </c>
    </row>
    <row r="945" spans="1:15">
      <c r="A945" s="1" t="s">
        <v>2067</v>
      </c>
      <c r="B945" s="1" t="s">
        <v>379</v>
      </c>
      <c r="C945" s="1" t="s">
        <v>2068</v>
      </c>
      <c r="D945" s="2">
        <v>46068</v>
      </c>
      <c r="E945" s="2">
        <v>46077</v>
      </c>
      <c r="F945" s="1" t="s">
        <v>120</v>
      </c>
      <c r="G945" s="1" t="s">
        <v>12</v>
      </c>
      <c r="H945" s="1"/>
      <c r="I945" s="7">
        <v>138.5</v>
      </c>
      <c r="J945" s="1" t="s">
        <v>38</v>
      </c>
      <c r="K945" s="1"/>
      <c r="L945" s="1" t="s">
        <v>39</v>
      </c>
      <c r="M945" s="1" t="str">
        <f>INDEX(MCC_Lookup!$B$2:$B$12,MATCH(G945,MCC_Lookup!$A$2:$A$12,0))</f>
        <v>Office Supplies</v>
      </c>
      <c r="N945" s="1" t="str">
        <f>IF(TRIM(H945)="","BLANK",IF(PROPER(TRIM(H945))=TRIM(M945),"MATCH","MISMATCH"))</f>
        <v>BLANK</v>
      </c>
      <c r="O945" s="5" t="str">
        <f>INDEX([1]Employee!$C$2:$C$276,MATCH(B945,[1]Employee!$A$2:$A$276,0))</f>
        <v>Sales &amp; Marketing</v>
      </c>
    </row>
    <row r="946" spans="1:15">
      <c r="A946" s="1" t="s">
        <v>2069</v>
      </c>
      <c r="B946" s="1" t="s">
        <v>585</v>
      </c>
      <c r="C946" s="1" t="s">
        <v>2070</v>
      </c>
      <c r="D946" s="2">
        <v>46071</v>
      </c>
      <c r="E946" s="2">
        <v>46077</v>
      </c>
      <c r="F946" s="1" t="s">
        <v>43</v>
      </c>
      <c r="G946" s="1" t="s">
        <v>2</v>
      </c>
      <c r="H946" s="1" t="s">
        <v>3</v>
      </c>
      <c r="I946" s="7">
        <v>19.48</v>
      </c>
      <c r="J946" s="1" t="s">
        <v>38</v>
      </c>
      <c r="K946" s="1"/>
      <c r="L946" s="1" t="s">
        <v>39</v>
      </c>
      <c r="M946" s="1" t="str">
        <f>INDEX(MCC_Lookup!$B$2:$B$12,MATCH(G946,MCC_Lookup!$A$2:$A$12,0))</f>
        <v>Meals</v>
      </c>
      <c r="N946" s="1" t="str">
        <f>IF(TRIM(H946)="","BLANK",IF(PROPER(TRIM(H946))=TRIM(M946),"MATCH","MISMATCH"))</f>
        <v>MATCH</v>
      </c>
      <c r="O946" s="5" t="str">
        <f>INDEX([1]Employee!$C$2:$C$276,MATCH(B946,[1]Employee!$A$2:$A$276,0))</f>
        <v>Customer Support</v>
      </c>
    </row>
    <row r="947" spans="1:15">
      <c r="A947" s="1" t="s">
        <v>2071</v>
      </c>
      <c r="B947" s="1" t="s">
        <v>133</v>
      </c>
      <c r="C947" s="1" t="s">
        <v>2072</v>
      </c>
      <c r="D947" s="2">
        <v>46075</v>
      </c>
      <c r="E947" s="2">
        <v>46077</v>
      </c>
      <c r="F947" s="1" t="s">
        <v>242</v>
      </c>
      <c r="G947" s="1" t="s">
        <v>13</v>
      </c>
      <c r="H947" s="1"/>
      <c r="I947" s="7">
        <v>58.26</v>
      </c>
      <c r="J947" s="1" t="s">
        <v>38</v>
      </c>
      <c r="K947" s="1"/>
      <c r="L947" s="1" t="s">
        <v>39</v>
      </c>
      <c r="M947" s="1" t="str">
        <f>INDEX(MCC_Lookup!$B$2:$B$12,MATCH(G947,MCC_Lookup!$A$2:$A$12,0))</f>
        <v>Software</v>
      </c>
      <c r="N947" s="1" t="str">
        <f>IF(TRIM(H947)="","BLANK",IF(PROPER(TRIM(H947))=TRIM(M947),"MATCH","MISMATCH"))</f>
        <v>BLANK</v>
      </c>
      <c r="O947" s="5" t="str">
        <f>INDEX([1]Employee!$C$2:$C$276,MATCH(B947,[1]Employee!$A$2:$A$276,0))</f>
        <v>Finance</v>
      </c>
    </row>
    <row r="948" spans="1:15">
      <c r="A948" s="1" t="s">
        <v>2073</v>
      </c>
      <c r="B948" s="1" t="s">
        <v>247</v>
      </c>
      <c r="C948" s="1" t="s">
        <v>2074</v>
      </c>
      <c r="D948" s="2">
        <v>46073</v>
      </c>
      <c r="E948" s="2">
        <v>46077</v>
      </c>
      <c r="F948" s="1" t="s">
        <v>99</v>
      </c>
      <c r="G948" s="1" t="s">
        <v>2</v>
      </c>
      <c r="H948" s="1" t="s">
        <v>3</v>
      </c>
      <c r="I948" s="7">
        <v>91.52</v>
      </c>
      <c r="J948" s="1" t="s">
        <v>38</v>
      </c>
      <c r="K948" s="1"/>
      <c r="L948" s="1" t="s">
        <v>39</v>
      </c>
      <c r="M948" s="1" t="str">
        <f>INDEX(MCC_Lookup!$B$2:$B$12,MATCH(G948,MCC_Lookup!$A$2:$A$12,0))</f>
        <v>Meals</v>
      </c>
      <c r="N948" s="1" t="str">
        <f>IF(TRIM(H948)="","BLANK",IF(PROPER(TRIM(H948))=TRIM(M948),"MATCH","MISMATCH"))</f>
        <v>MATCH</v>
      </c>
      <c r="O948" s="5" t="str">
        <f>INDEX([1]Employee!$C$2:$C$276,MATCH(B948,[1]Employee!$A$2:$A$276,0))</f>
        <v>HR &amp; Events</v>
      </c>
    </row>
    <row r="949" spans="1:15">
      <c r="A949" s="1" t="s">
        <v>2075</v>
      </c>
      <c r="B949" s="1" t="s">
        <v>216</v>
      </c>
      <c r="C949" s="1" t="s">
        <v>2076</v>
      </c>
      <c r="D949" s="2">
        <v>46077</v>
      </c>
      <c r="E949" s="2">
        <v>46077</v>
      </c>
      <c r="F949" s="1" t="s">
        <v>116</v>
      </c>
      <c r="G949" s="1" t="s">
        <v>2</v>
      </c>
      <c r="H949" s="1" t="s">
        <v>3</v>
      </c>
      <c r="I949" s="7">
        <v>17.850000000000001</v>
      </c>
      <c r="J949" s="1" t="s">
        <v>38</v>
      </c>
      <c r="K949" s="1"/>
      <c r="L949" s="1" t="s">
        <v>39</v>
      </c>
      <c r="M949" s="1" t="str">
        <f>INDEX(MCC_Lookup!$B$2:$B$12,MATCH(G949,MCC_Lookup!$A$2:$A$12,0))</f>
        <v>Meals</v>
      </c>
      <c r="N949" s="1" t="str">
        <f>IF(TRIM(H949)="","BLANK",IF(PROPER(TRIM(H949))=TRIM(M949),"MATCH","MISMATCH"))</f>
        <v>MATCH</v>
      </c>
      <c r="O949" s="5" t="str">
        <f>INDEX([1]Employee!$C$2:$C$276,MATCH(B949,[1]Employee!$A$2:$A$276,0))</f>
        <v>Sales &amp; Marketing</v>
      </c>
    </row>
    <row r="950" spans="1:15">
      <c r="A950" s="1" t="s">
        <v>2077</v>
      </c>
      <c r="B950" s="1" t="s">
        <v>687</v>
      </c>
      <c r="C950" s="1" t="s">
        <v>2078</v>
      </c>
      <c r="D950" s="2">
        <v>46067</v>
      </c>
      <c r="E950" s="2">
        <v>46077</v>
      </c>
      <c r="F950" s="1" t="s">
        <v>76</v>
      </c>
      <c r="G950" s="1" t="s">
        <v>13</v>
      </c>
      <c r="H950" s="1" t="s">
        <v>14</v>
      </c>
      <c r="I950" s="7">
        <v>548.52</v>
      </c>
      <c r="J950" s="1" t="s">
        <v>38</v>
      </c>
      <c r="K950" s="1"/>
      <c r="L950" s="1" t="s">
        <v>39</v>
      </c>
      <c r="M950" s="1" t="str">
        <f>INDEX(MCC_Lookup!$B$2:$B$12,MATCH(G950,MCC_Lookup!$A$2:$A$12,0))</f>
        <v>Software</v>
      </c>
      <c r="N950" s="1" t="str">
        <f>IF(TRIM(H950)="","BLANK",IF(PROPER(TRIM(H950))=TRIM(M950),"MATCH","MISMATCH"))</f>
        <v>MATCH</v>
      </c>
      <c r="O950" s="5" t="str">
        <f>INDEX([1]Employee!$C$2:$C$276,MATCH(B950,[1]Employee!$A$2:$A$276,0))</f>
        <v>Executive &amp; Corporate</v>
      </c>
    </row>
    <row r="951" spans="1:15">
      <c r="A951" s="1" t="s">
        <v>2079</v>
      </c>
      <c r="B951" s="1" t="s">
        <v>772</v>
      </c>
      <c r="C951" s="1" t="s">
        <v>2080</v>
      </c>
      <c r="D951" s="2">
        <v>46070</v>
      </c>
      <c r="E951" s="2">
        <v>46077</v>
      </c>
      <c r="F951" s="1" t="s">
        <v>43</v>
      </c>
      <c r="G951" s="1" t="s">
        <v>2</v>
      </c>
      <c r="H951" s="1" t="s">
        <v>154</v>
      </c>
      <c r="I951" s="7">
        <v>11.54</v>
      </c>
      <c r="J951" s="1" t="s">
        <v>38</v>
      </c>
      <c r="K951" s="1"/>
      <c r="L951" s="1" t="s">
        <v>48</v>
      </c>
      <c r="M951" s="1" t="str">
        <f>INDEX(MCC_Lookup!$B$2:$B$12,MATCH(G951,MCC_Lookup!$A$2:$A$12,0))</f>
        <v>Meals</v>
      </c>
      <c r="N951" s="1" t="str">
        <f>IF(TRIM(H951)="","BLANK",IF(PROPER(TRIM(H951))=TRIM(M951),"MATCH","MISMATCH"))</f>
        <v>MATCH</v>
      </c>
      <c r="O951" s="5" t="str">
        <f>INDEX([1]Employee!$C$2:$C$276,MATCH(B951,[1]Employee!$A$2:$A$276,0))</f>
        <v>Underwriting</v>
      </c>
    </row>
    <row r="952" spans="1:15">
      <c r="A952" s="1" t="s">
        <v>2081</v>
      </c>
      <c r="B952" s="1" t="s">
        <v>888</v>
      </c>
      <c r="C952" s="1" t="s">
        <v>2082</v>
      </c>
      <c r="D952" s="2">
        <v>46074</v>
      </c>
      <c r="E952" s="2">
        <v>46077</v>
      </c>
      <c r="F952" s="1" t="s">
        <v>116</v>
      </c>
      <c r="G952" s="1" t="s">
        <v>2</v>
      </c>
      <c r="H952" s="1" t="s">
        <v>3</v>
      </c>
      <c r="I952" s="7">
        <v>19.98</v>
      </c>
      <c r="J952" s="1" t="s">
        <v>38</v>
      </c>
      <c r="K952" s="1"/>
      <c r="L952" s="1" t="s">
        <v>39</v>
      </c>
      <c r="M952" s="1" t="str">
        <f>INDEX(MCC_Lookup!$B$2:$B$12,MATCH(G952,MCC_Lookup!$A$2:$A$12,0))</f>
        <v>Meals</v>
      </c>
      <c r="N952" s="1" t="str">
        <f>IF(TRIM(H952)="","BLANK",IF(PROPER(TRIM(H952))=TRIM(M952),"MATCH","MISMATCH"))</f>
        <v>MATCH</v>
      </c>
      <c r="O952" s="5" t="str">
        <f>INDEX([1]Employee!$C$2:$C$276,MATCH(B952,[1]Employee!$A$2:$A$276,0))</f>
        <v>Claims</v>
      </c>
    </row>
    <row r="953" spans="1:15">
      <c r="A953" s="1" t="s">
        <v>2083</v>
      </c>
      <c r="B953" s="1" t="s">
        <v>1753</v>
      </c>
      <c r="C953" s="1" t="s">
        <v>2084</v>
      </c>
      <c r="D953" s="2">
        <v>46071</v>
      </c>
      <c r="E953" s="2">
        <v>46077</v>
      </c>
      <c r="F953" s="1" t="s">
        <v>305</v>
      </c>
      <c r="G953" s="1" t="s">
        <v>2</v>
      </c>
      <c r="H953" s="1" t="s">
        <v>3</v>
      </c>
      <c r="I953" s="7">
        <v>5.98</v>
      </c>
      <c r="J953" s="1" t="s">
        <v>38</v>
      </c>
      <c r="K953" s="1"/>
      <c r="L953" s="1" t="s">
        <v>39</v>
      </c>
      <c r="M953" s="1" t="str">
        <f>INDEX(MCC_Lookup!$B$2:$B$12,MATCH(G953,MCC_Lookup!$A$2:$A$12,0))</f>
        <v>Meals</v>
      </c>
      <c r="N953" s="1" t="str">
        <f>IF(TRIM(H953)="","BLANK",IF(PROPER(TRIM(H953))=TRIM(M953),"MATCH","MISMATCH"))</f>
        <v>MATCH</v>
      </c>
      <c r="O953" s="5" t="str">
        <f>INDEX([1]Employee!$C$2:$C$276,MATCH(B953,[1]Employee!$A$2:$A$276,0))</f>
        <v>IT &amp; Platform Engineering</v>
      </c>
    </row>
    <row r="954" spans="1:15">
      <c r="A954" s="1" t="s">
        <v>2085</v>
      </c>
      <c r="B954" s="1" t="s">
        <v>292</v>
      </c>
      <c r="C954" s="1"/>
      <c r="D954" s="2">
        <v>46072</v>
      </c>
      <c r="E954" s="2">
        <v>46077</v>
      </c>
      <c r="F954" s="1" t="s">
        <v>61</v>
      </c>
      <c r="G954" s="1" t="s">
        <v>13</v>
      </c>
      <c r="H954" s="1" t="s">
        <v>14</v>
      </c>
      <c r="I954" s="7">
        <v>36.99</v>
      </c>
      <c r="J954" s="1" t="s">
        <v>38</v>
      </c>
      <c r="K954" s="1"/>
      <c r="L954" s="1" t="s">
        <v>39</v>
      </c>
      <c r="M954" s="1" t="str">
        <f>INDEX(MCC_Lookup!$B$2:$B$12,MATCH(G954,MCC_Lookup!$A$2:$A$12,0))</f>
        <v>Software</v>
      </c>
      <c r="N954" s="1" t="str">
        <f>IF(TRIM(H954)="","BLANK",IF(PROPER(TRIM(H954))=TRIM(M954),"MATCH","MISMATCH"))</f>
        <v>MATCH</v>
      </c>
      <c r="O954" s="5" t="str">
        <f>INDEX([1]Employee!$C$2:$C$276,MATCH(B954,[1]Employee!$A$2:$A$276,0))</f>
        <v>Sales &amp; Marketing</v>
      </c>
    </row>
    <row r="955" spans="1:15">
      <c r="A955" s="1" t="s">
        <v>2086</v>
      </c>
      <c r="B955" s="1" t="s">
        <v>1427</v>
      </c>
      <c r="C955" s="1"/>
      <c r="D955" s="2">
        <v>46068</v>
      </c>
      <c r="E955" s="2">
        <v>46077</v>
      </c>
      <c r="F955" s="1" t="s">
        <v>69</v>
      </c>
      <c r="G955" s="1" t="s">
        <v>8</v>
      </c>
      <c r="H955" s="1" t="s">
        <v>9</v>
      </c>
      <c r="I955" s="7">
        <v>34.89</v>
      </c>
      <c r="J955" s="1" t="s">
        <v>38</v>
      </c>
      <c r="K955" s="1"/>
      <c r="L955" s="1" t="s">
        <v>39</v>
      </c>
      <c r="M955" s="1" t="str">
        <f>INDEX(MCC_Lookup!$B$2:$B$12,MATCH(G955,MCC_Lookup!$A$2:$A$12,0))</f>
        <v>Transportation</v>
      </c>
      <c r="N955" s="1" t="str">
        <f>IF(TRIM(H955)="","BLANK",IF(PROPER(TRIM(H955))=TRIM(M955),"MATCH","MISMATCH"))</f>
        <v>MATCH</v>
      </c>
      <c r="O955" s="5" t="str">
        <f>INDEX([1]Employee!$C$2:$C$276,MATCH(B955,[1]Employee!$A$2:$A$276,0))</f>
        <v>Finance</v>
      </c>
    </row>
    <row r="956" spans="1:15">
      <c r="A956" s="1" t="s">
        <v>2087</v>
      </c>
      <c r="B956" s="1" t="s">
        <v>761</v>
      </c>
      <c r="C956" s="1" t="s">
        <v>2088</v>
      </c>
      <c r="D956" s="2">
        <v>46068</v>
      </c>
      <c r="E956" s="2">
        <v>46077</v>
      </c>
      <c r="F956" s="1" t="s">
        <v>173</v>
      </c>
      <c r="G956" s="1" t="s">
        <v>2</v>
      </c>
      <c r="H956" s="1" t="s">
        <v>7</v>
      </c>
      <c r="I956" s="7">
        <v>33.590000000000003</v>
      </c>
      <c r="J956" s="1" t="s">
        <v>38</v>
      </c>
      <c r="K956" s="1"/>
      <c r="L956" s="1" t="s">
        <v>39</v>
      </c>
      <c r="M956" s="1" t="str">
        <f>INDEX(MCC_Lookup!$B$2:$B$12,MATCH(G956,MCC_Lookup!$A$2:$A$12,0))</f>
        <v>Meals</v>
      </c>
      <c r="N956" s="1" t="str">
        <f>IF(TRIM(H956)="","BLANK",IF(PROPER(TRIM(H956))=TRIM(M956),"MATCH","MISMATCH"))</f>
        <v>MISMATCH</v>
      </c>
      <c r="O956" s="5" t="str">
        <f>INDEX([1]Employee!$C$2:$C$276,MATCH(B956,[1]Employee!$A$2:$A$276,0))</f>
        <v>Finance</v>
      </c>
    </row>
    <row r="957" spans="1:15">
      <c r="A957" s="1" t="s">
        <v>2089</v>
      </c>
      <c r="B957" s="1" t="s">
        <v>2090</v>
      </c>
      <c r="C957" s="1" t="s">
        <v>2091</v>
      </c>
      <c r="D957" s="2">
        <v>46068</v>
      </c>
      <c r="E957" s="2">
        <v>46077</v>
      </c>
      <c r="F957" s="1" t="s">
        <v>99</v>
      </c>
      <c r="G957" s="1" t="s">
        <v>2</v>
      </c>
      <c r="H957" s="1" t="s">
        <v>3</v>
      </c>
      <c r="I957" s="7">
        <v>110.17</v>
      </c>
      <c r="J957" s="1" t="s">
        <v>38</v>
      </c>
      <c r="K957" s="1"/>
      <c r="L957" s="1" t="s">
        <v>39</v>
      </c>
      <c r="M957" s="1" t="str">
        <f>INDEX(MCC_Lookup!$B$2:$B$12,MATCH(G957,MCC_Lookup!$A$2:$A$12,0))</f>
        <v>Meals</v>
      </c>
      <c r="N957" s="1" t="str">
        <f>IF(TRIM(H957)="","BLANK",IF(PROPER(TRIM(H957))=TRIM(M957),"MATCH","MISMATCH"))</f>
        <v>MATCH</v>
      </c>
      <c r="O957" s="5" t="str">
        <f>INDEX([1]Employee!$C$2:$C$276,MATCH(B957,[1]Employee!$A$2:$A$276,0))</f>
        <v>Underwriting</v>
      </c>
    </row>
    <row r="958" spans="1:15">
      <c r="A958" s="1" t="s">
        <v>2092</v>
      </c>
      <c r="B958" s="1" t="s">
        <v>661</v>
      </c>
      <c r="C958" s="1" t="s">
        <v>2093</v>
      </c>
      <c r="D958" s="2">
        <v>46075</v>
      </c>
      <c r="E958" s="2">
        <v>46077</v>
      </c>
      <c r="F958" s="1" t="s">
        <v>83</v>
      </c>
      <c r="G958" s="1" t="s">
        <v>2</v>
      </c>
      <c r="H958" s="1" t="s">
        <v>3</v>
      </c>
      <c r="I958" s="7">
        <v>28.86</v>
      </c>
      <c r="J958" s="1" t="s">
        <v>38</v>
      </c>
      <c r="K958" s="1"/>
      <c r="L958" s="1" t="s">
        <v>39</v>
      </c>
      <c r="M958" s="1" t="str">
        <f>INDEX(MCC_Lookup!$B$2:$B$12,MATCH(G958,MCC_Lookup!$A$2:$A$12,0))</f>
        <v>Meals</v>
      </c>
      <c r="N958" s="1" t="str">
        <f>IF(TRIM(H958)="","BLANK",IF(PROPER(TRIM(H958))=TRIM(M958),"MATCH","MISMATCH"))</f>
        <v>MATCH</v>
      </c>
      <c r="O958" s="5" t="str">
        <f>INDEX([1]Employee!$C$2:$C$276,MATCH(B958,[1]Employee!$A$2:$A$276,0))</f>
        <v>Sales &amp; Marketing</v>
      </c>
    </row>
    <row r="959" spans="1:15">
      <c r="A959" s="1" t="s">
        <v>2094</v>
      </c>
      <c r="B959" s="1" t="s">
        <v>1122</v>
      </c>
      <c r="C959" s="1" t="s">
        <v>2095</v>
      </c>
      <c r="D959" s="2">
        <v>46074</v>
      </c>
      <c r="E959" s="2">
        <v>46077</v>
      </c>
      <c r="F959" s="1" t="s">
        <v>259</v>
      </c>
      <c r="G959" s="1" t="s">
        <v>20</v>
      </c>
      <c r="H959" s="1" t="s">
        <v>19</v>
      </c>
      <c r="I959" s="7">
        <v>296.62</v>
      </c>
      <c r="J959" s="1" t="s">
        <v>38</v>
      </c>
      <c r="K959" s="1"/>
      <c r="L959" s="1" t="s">
        <v>39</v>
      </c>
      <c r="M959" s="1" t="str">
        <f>INDEX(MCC_Lookup!$B$2:$B$12,MATCH(G959,MCC_Lookup!$A$2:$A$12,0))</f>
        <v>Events</v>
      </c>
      <c r="N959" s="1" t="str">
        <f>IF(TRIM(H959)="","BLANK",IF(PROPER(TRIM(H959))=TRIM(M959),"MATCH","MISMATCH"))</f>
        <v>MATCH</v>
      </c>
      <c r="O959" s="5" t="str">
        <f>INDEX([1]Employee!$C$2:$C$276,MATCH(B959,[1]Employee!$A$2:$A$276,0))</f>
        <v>Customer Support</v>
      </c>
    </row>
    <row r="960" spans="1:15">
      <c r="A960" s="1" t="s">
        <v>2096</v>
      </c>
      <c r="B960" s="1" t="s">
        <v>364</v>
      </c>
      <c r="C960" s="1" t="s">
        <v>2097</v>
      </c>
      <c r="D960" s="2">
        <v>46075</v>
      </c>
      <c r="E960" s="2">
        <v>46077</v>
      </c>
      <c r="F960" s="1" t="s">
        <v>173</v>
      </c>
      <c r="G960" s="1" t="s">
        <v>2</v>
      </c>
      <c r="H960" s="1" t="s">
        <v>3</v>
      </c>
      <c r="I960" s="7">
        <v>27.57</v>
      </c>
      <c r="J960" s="1" t="s">
        <v>38</v>
      </c>
      <c r="K960" s="1"/>
      <c r="L960" s="1" t="s">
        <v>39</v>
      </c>
      <c r="M960" s="1" t="str">
        <f>INDEX(MCC_Lookup!$B$2:$B$12,MATCH(G960,MCC_Lookup!$A$2:$A$12,0))</f>
        <v>Meals</v>
      </c>
      <c r="N960" s="1" t="str">
        <f>IF(TRIM(H960)="","BLANK",IF(PROPER(TRIM(H960))=TRIM(M960),"MATCH","MISMATCH"))</f>
        <v>MATCH</v>
      </c>
      <c r="O960" s="5" t="str">
        <f>INDEX([1]Employee!$C$2:$C$276,MATCH(B960,[1]Employee!$A$2:$A$276,0))</f>
        <v>Sales &amp; Marketing</v>
      </c>
    </row>
    <row r="961" spans="1:15">
      <c r="A961" s="1" t="s">
        <v>2098</v>
      </c>
      <c r="B961" s="1" t="s">
        <v>1279</v>
      </c>
      <c r="C961" s="1" t="s">
        <v>2099</v>
      </c>
      <c r="D961" s="2">
        <v>46072</v>
      </c>
      <c r="E961" s="2">
        <v>46078</v>
      </c>
      <c r="F961" s="1" t="s">
        <v>92</v>
      </c>
      <c r="G961" s="1" t="s">
        <v>10</v>
      </c>
      <c r="H961" s="1" t="s">
        <v>3</v>
      </c>
      <c r="I961" s="7">
        <v>76.25</v>
      </c>
      <c r="J961" s="1" t="s">
        <v>38</v>
      </c>
      <c r="K961" s="1"/>
      <c r="L961" s="1" t="s">
        <v>39</v>
      </c>
      <c r="M961" s="1" t="str">
        <f>INDEX(MCC_Lookup!$B$2:$B$12,MATCH(G961,MCC_Lookup!$A$2:$A$12,0))</f>
        <v>Office Supplies</v>
      </c>
      <c r="N961" s="1" t="str">
        <f>IF(TRIM(H961)="","BLANK",IF(PROPER(TRIM(H961))=TRIM(M961),"MATCH","MISMATCH"))</f>
        <v>MISMATCH</v>
      </c>
      <c r="O961" s="5" t="str">
        <f>INDEX([1]Employee!$C$2:$C$276,MATCH(B961,[1]Employee!$A$2:$A$276,0))</f>
        <v>IT &amp; Platform Engineering</v>
      </c>
    </row>
    <row r="962" spans="1:15">
      <c r="A962" s="1" t="s">
        <v>2100</v>
      </c>
      <c r="B962" s="1" t="s">
        <v>846</v>
      </c>
      <c r="C962" s="1" t="s">
        <v>2101</v>
      </c>
      <c r="D962" s="2">
        <v>46070</v>
      </c>
      <c r="E962" s="2">
        <v>46078</v>
      </c>
      <c r="F962" s="1" t="s">
        <v>242</v>
      </c>
      <c r="G962" s="1" t="s">
        <v>13</v>
      </c>
      <c r="H962" s="1" t="s">
        <v>14</v>
      </c>
      <c r="I962" s="7">
        <v>21.6</v>
      </c>
      <c r="J962" s="1" t="s">
        <v>38</v>
      </c>
      <c r="K962" s="1"/>
      <c r="L962" s="1" t="s">
        <v>39</v>
      </c>
      <c r="M962" s="1" t="str">
        <f>INDEX(MCC_Lookup!$B$2:$B$12,MATCH(G962,MCC_Lookup!$A$2:$A$12,0))</f>
        <v>Software</v>
      </c>
      <c r="N962" s="1" t="str">
        <f>IF(TRIM(H962)="","BLANK",IF(PROPER(TRIM(H962))=TRIM(M962),"MATCH","MISMATCH"))</f>
        <v>MATCH</v>
      </c>
      <c r="O962" s="5" t="str">
        <f>INDEX([1]Employee!$C$2:$C$276,MATCH(B962,[1]Employee!$A$2:$A$276,0))</f>
        <v>Sales &amp; Marketing</v>
      </c>
    </row>
    <row r="963" spans="1:15">
      <c r="A963" s="1" t="s">
        <v>2102</v>
      </c>
      <c r="B963" s="1" t="s">
        <v>656</v>
      </c>
      <c r="C963" s="1" t="s">
        <v>2103</v>
      </c>
      <c r="D963" s="2">
        <v>46070</v>
      </c>
      <c r="E963" s="2">
        <v>46078</v>
      </c>
      <c r="F963" s="1" t="s">
        <v>124</v>
      </c>
      <c r="G963" s="1" t="s">
        <v>17</v>
      </c>
      <c r="H963" s="1" t="s">
        <v>16</v>
      </c>
      <c r="I963" s="7">
        <v>147.15</v>
      </c>
      <c r="J963" s="1" t="s">
        <v>38</v>
      </c>
      <c r="K963" s="1"/>
      <c r="L963" s="1" t="s">
        <v>39</v>
      </c>
      <c r="M963" s="1" t="str">
        <f>INDEX(MCC_Lookup!$B$2:$B$12,MATCH(G963,MCC_Lookup!$A$2:$A$12,0))</f>
        <v>Entertainment</v>
      </c>
      <c r="N963" s="1" t="str">
        <f>IF(TRIM(H963)="","BLANK",IF(PROPER(TRIM(H963))=TRIM(M963),"MATCH","MISMATCH"))</f>
        <v>MATCH</v>
      </c>
      <c r="O963" s="5" t="str">
        <f>INDEX([1]Employee!$C$2:$C$276,MATCH(B963,[1]Employee!$A$2:$A$276,0))</f>
        <v>Claims</v>
      </c>
    </row>
    <row r="964" spans="1:15">
      <c r="A964" s="1" t="s">
        <v>2104</v>
      </c>
      <c r="B964" s="1" t="s">
        <v>2105</v>
      </c>
      <c r="C964" s="1" t="s">
        <v>2106</v>
      </c>
      <c r="D964" s="2">
        <v>46076</v>
      </c>
      <c r="E964" s="2">
        <v>46078</v>
      </c>
      <c r="F964" s="1" t="s">
        <v>106</v>
      </c>
      <c r="G964" s="1" t="s">
        <v>13</v>
      </c>
      <c r="H964" s="1" t="s">
        <v>14</v>
      </c>
      <c r="I964" s="7">
        <v>132.68</v>
      </c>
      <c r="J964" s="1" t="s">
        <v>38</v>
      </c>
      <c r="K964" s="1"/>
      <c r="L964" s="1" t="s">
        <v>39</v>
      </c>
      <c r="M964" s="1" t="str">
        <f>INDEX(MCC_Lookup!$B$2:$B$12,MATCH(G964,MCC_Lookup!$A$2:$A$12,0))</f>
        <v>Software</v>
      </c>
      <c r="N964" s="1" t="str">
        <f>IF(TRIM(H964)="","BLANK",IF(PROPER(TRIM(H964))=TRIM(M964),"MATCH","MISMATCH"))</f>
        <v>MATCH</v>
      </c>
      <c r="O964" s="5" t="str">
        <f>INDEX([1]Employee!$C$2:$C$276,MATCH(B964,[1]Employee!$A$2:$A$276,0))</f>
        <v>Actuarial &amp; Risk</v>
      </c>
    </row>
    <row r="965" spans="1:15">
      <c r="A965" s="1" t="s">
        <v>2107</v>
      </c>
      <c r="B965" s="1" t="s">
        <v>41</v>
      </c>
      <c r="C965" s="1" t="s">
        <v>2108</v>
      </c>
      <c r="D965" s="2">
        <v>46072</v>
      </c>
      <c r="E965" s="2">
        <v>46078</v>
      </c>
      <c r="F965" s="1" t="s">
        <v>52</v>
      </c>
      <c r="G965" s="1" t="s">
        <v>15</v>
      </c>
      <c r="H965" s="1" t="s">
        <v>16</v>
      </c>
      <c r="I965" s="7">
        <v>40.33</v>
      </c>
      <c r="J965" s="1" t="s">
        <v>38</v>
      </c>
      <c r="K965" s="1"/>
      <c r="L965" s="1" t="s">
        <v>39</v>
      </c>
      <c r="M965" s="1" t="str">
        <f>INDEX(MCC_Lookup!$B$2:$B$12,MATCH(G965,MCC_Lookup!$A$2:$A$12,0))</f>
        <v>Entertainment</v>
      </c>
      <c r="N965" s="1" t="str">
        <f>IF(TRIM(H965)="","BLANK",IF(PROPER(TRIM(H965))=TRIM(M965),"MATCH","MISMATCH"))</f>
        <v>MATCH</v>
      </c>
      <c r="O965" s="5" t="str">
        <f>INDEX([1]Employee!$C$2:$C$276,MATCH(B965,[1]Employee!$A$2:$A$276,0))</f>
        <v>Sales &amp; Marketing</v>
      </c>
    </row>
    <row r="966" spans="1:15">
      <c r="A966" s="1" t="s">
        <v>2109</v>
      </c>
      <c r="B966" s="1" t="s">
        <v>136</v>
      </c>
      <c r="C966" s="1" t="s">
        <v>2110</v>
      </c>
      <c r="D966" s="2">
        <v>46073</v>
      </c>
      <c r="E966" s="2">
        <v>46078</v>
      </c>
      <c r="F966" s="1" t="s">
        <v>56</v>
      </c>
      <c r="G966" s="1" t="s">
        <v>4</v>
      </c>
      <c r="H966" s="1" t="s">
        <v>19</v>
      </c>
      <c r="I966" s="7">
        <v>596.48</v>
      </c>
      <c r="J966" s="1" t="s">
        <v>38</v>
      </c>
      <c r="K966" s="1"/>
      <c r="L966" s="1" t="s">
        <v>39</v>
      </c>
      <c r="M966" s="1" t="str">
        <f>INDEX(MCC_Lookup!$B$2:$B$12,MATCH(G966,MCC_Lookup!$A$2:$A$12,0))</f>
        <v>Travel</v>
      </c>
      <c r="N966" s="1" t="str">
        <f>IF(TRIM(H966)="","BLANK",IF(PROPER(TRIM(H966))=TRIM(M966),"MATCH","MISMATCH"))</f>
        <v>MISMATCH</v>
      </c>
      <c r="O966" s="5" t="str">
        <f>INDEX([1]Employee!$C$2:$C$276,MATCH(B966,[1]Employee!$A$2:$A$276,0))</f>
        <v>Sales &amp; Marketing</v>
      </c>
    </row>
    <row r="967" spans="1:15">
      <c r="A967" s="1" t="s">
        <v>2111</v>
      </c>
      <c r="B967" s="1" t="s">
        <v>595</v>
      </c>
      <c r="C967" s="1"/>
      <c r="D967" s="2">
        <v>46075</v>
      </c>
      <c r="E967" s="2">
        <v>46078</v>
      </c>
      <c r="F967" s="1" t="s">
        <v>109</v>
      </c>
      <c r="G967" s="1" t="s">
        <v>18</v>
      </c>
      <c r="H967" s="1" t="s">
        <v>19</v>
      </c>
      <c r="I967" s="7">
        <v>217.74</v>
      </c>
      <c r="J967" s="1" t="s">
        <v>111</v>
      </c>
      <c r="K967" s="1" t="s">
        <v>229</v>
      </c>
      <c r="L967" s="1" t="s">
        <v>39</v>
      </c>
      <c r="M967" s="1" t="str">
        <f>INDEX(MCC_Lookup!$B$2:$B$12,MATCH(G967,MCC_Lookup!$A$2:$A$12,0))</f>
        <v>Events</v>
      </c>
      <c r="N967" s="1" t="str">
        <f>IF(TRIM(H967)="","BLANK",IF(PROPER(TRIM(H967))=TRIM(M967),"MATCH","MISMATCH"))</f>
        <v>MATCH</v>
      </c>
      <c r="O967" s="5" t="str">
        <f>INDEX([1]Employee!$C$2:$C$276,MATCH(B967,[1]Employee!$A$2:$A$276,0))</f>
        <v>Executive &amp; Corporate</v>
      </c>
    </row>
    <row r="968" spans="1:15">
      <c r="A968" s="1" t="s">
        <v>2112</v>
      </c>
      <c r="B968" s="1" t="s">
        <v>59</v>
      </c>
      <c r="C968" s="1"/>
      <c r="D968" s="2">
        <v>46078</v>
      </c>
      <c r="E968" s="2">
        <v>46078</v>
      </c>
      <c r="F968" s="1" t="s">
        <v>173</v>
      </c>
      <c r="G968" s="1" t="s">
        <v>2</v>
      </c>
      <c r="H968" s="1" t="s">
        <v>3</v>
      </c>
      <c r="I968" s="7">
        <v>57.31</v>
      </c>
      <c r="J968" s="1" t="s">
        <v>111</v>
      </c>
      <c r="K968" s="1" t="s">
        <v>112</v>
      </c>
      <c r="L968" s="1" t="s">
        <v>39</v>
      </c>
      <c r="M968" s="1" t="str">
        <f>INDEX(MCC_Lookup!$B$2:$B$12,MATCH(G968,MCC_Lookup!$A$2:$A$12,0))</f>
        <v>Meals</v>
      </c>
      <c r="N968" s="1" t="str">
        <f>IF(TRIM(H968)="","BLANK",IF(PROPER(TRIM(H968))=TRIM(M968),"MATCH","MISMATCH"))</f>
        <v>MATCH</v>
      </c>
      <c r="O968" s="5" t="str">
        <f>INDEX([1]Employee!$C$2:$C$276,MATCH(B968,[1]Employee!$A$2:$A$276,0))</f>
        <v>Sales &amp; Marketing</v>
      </c>
    </row>
    <row r="969" spans="1:15">
      <c r="A969" s="1" t="s">
        <v>2113</v>
      </c>
      <c r="B969" s="1" t="s">
        <v>108</v>
      </c>
      <c r="C969" s="1"/>
      <c r="D969" s="2">
        <v>46077</v>
      </c>
      <c r="E969" s="2">
        <v>46078</v>
      </c>
      <c r="F969" s="1" t="s">
        <v>177</v>
      </c>
      <c r="G969" s="1" t="s">
        <v>13</v>
      </c>
      <c r="H969" s="1" t="s">
        <v>269</v>
      </c>
      <c r="I969" s="7">
        <v>69.69</v>
      </c>
      <c r="J969" s="1" t="s">
        <v>111</v>
      </c>
      <c r="K969" s="1" t="s">
        <v>112</v>
      </c>
      <c r="L969" s="1" t="s">
        <v>39</v>
      </c>
      <c r="M969" s="1" t="str">
        <f>INDEX(MCC_Lookup!$B$2:$B$12,MATCH(G969,MCC_Lookup!$A$2:$A$12,0))</f>
        <v>Software</v>
      </c>
      <c r="N969" s="1" t="str">
        <f>IF(TRIM(H969)="","BLANK",IF(PROPER(TRIM(H969))=TRIM(M969),"MATCH","MISMATCH"))</f>
        <v>MISMATCH</v>
      </c>
      <c r="O969" s="5" t="str">
        <f>INDEX([1]Employee!$C$2:$C$276,MATCH(B969,[1]Employee!$A$2:$A$276,0))</f>
        <v>Sales &amp; Marketing</v>
      </c>
    </row>
    <row r="970" spans="1:15">
      <c r="A970" s="1" t="s">
        <v>2114</v>
      </c>
      <c r="B970" s="1" t="s">
        <v>1110</v>
      </c>
      <c r="C970" s="1"/>
      <c r="D970" s="2">
        <v>46076</v>
      </c>
      <c r="E970" s="2">
        <v>46078</v>
      </c>
      <c r="F970" s="1" t="s">
        <v>52</v>
      </c>
      <c r="G970" s="1" t="s">
        <v>15</v>
      </c>
      <c r="H970" s="1" t="s">
        <v>690</v>
      </c>
      <c r="I970" s="7">
        <v>37.950000000000003</v>
      </c>
      <c r="J970" s="1" t="s">
        <v>38</v>
      </c>
      <c r="K970" s="1"/>
      <c r="L970" s="1" t="s">
        <v>39</v>
      </c>
      <c r="M970" s="1" t="str">
        <f>INDEX(MCC_Lookup!$B$2:$B$12,MATCH(G970,MCC_Lookup!$A$2:$A$12,0))</f>
        <v>Entertainment</v>
      </c>
      <c r="N970" s="1" t="str">
        <f>IF(TRIM(H970)="","BLANK",IF(PROPER(TRIM(H970))=TRIM(M970),"MATCH","MISMATCH"))</f>
        <v>MATCH</v>
      </c>
      <c r="O970" s="5" t="str">
        <f>INDEX([1]Employee!$C$2:$C$276,MATCH(B970,[1]Employee!$A$2:$A$276,0))</f>
        <v>Executive &amp; Corporate</v>
      </c>
    </row>
    <row r="971" spans="1:15">
      <c r="A971" s="1" t="s">
        <v>2115</v>
      </c>
      <c r="B971" s="1" t="s">
        <v>1064</v>
      </c>
      <c r="C971" s="1" t="s">
        <v>2116</v>
      </c>
      <c r="D971" s="2">
        <v>46069</v>
      </c>
      <c r="E971" s="2">
        <v>46078</v>
      </c>
      <c r="F971" s="1" t="s">
        <v>37</v>
      </c>
      <c r="G971" s="1" t="s">
        <v>4</v>
      </c>
      <c r="H971" s="1" t="s">
        <v>5</v>
      </c>
      <c r="I971" s="7">
        <v>301.17</v>
      </c>
      <c r="J971" s="1" t="s">
        <v>38</v>
      </c>
      <c r="K971" s="1"/>
      <c r="L971" s="1" t="s">
        <v>39</v>
      </c>
      <c r="M971" s="1" t="str">
        <f>INDEX(MCC_Lookup!$B$2:$B$12,MATCH(G971,MCC_Lookup!$A$2:$A$12,0))</f>
        <v>Travel</v>
      </c>
      <c r="N971" s="1" t="str">
        <f>IF(TRIM(H971)="","BLANK",IF(PROPER(TRIM(H971))=TRIM(M971),"MATCH","MISMATCH"))</f>
        <v>MATCH</v>
      </c>
      <c r="O971" s="5" t="str">
        <f>INDEX([1]Employee!$C$2:$C$276,MATCH(B971,[1]Employee!$A$2:$A$276,0))</f>
        <v>Actuarial &amp; Risk</v>
      </c>
    </row>
    <row r="972" spans="1:15">
      <c r="A972" s="1" t="s">
        <v>2117</v>
      </c>
      <c r="B972" s="1" t="s">
        <v>179</v>
      </c>
      <c r="C972" s="1" t="s">
        <v>2118</v>
      </c>
      <c r="D972" s="2">
        <v>46072</v>
      </c>
      <c r="E972" s="2">
        <v>46078</v>
      </c>
      <c r="F972" s="1" t="s">
        <v>160</v>
      </c>
      <c r="G972" s="1" t="s">
        <v>6</v>
      </c>
      <c r="H972" s="1" t="s">
        <v>726</v>
      </c>
      <c r="I972" s="7">
        <v>235.48</v>
      </c>
      <c r="J972" s="1" t="s">
        <v>38</v>
      </c>
      <c r="K972" s="1"/>
      <c r="L972" s="1" t="s">
        <v>39</v>
      </c>
      <c r="M972" s="1" t="str">
        <f>INDEX(MCC_Lookup!$B$2:$B$12,MATCH(G972,MCC_Lookup!$A$2:$A$12,0))</f>
        <v>Lodging</v>
      </c>
      <c r="N972" s="1" t="str">
        <f>IF(TRIM(H972)="","BLANK",IF(PROPER(TRIM(H972))=TRIM(M972),"MATCH","MISMATCH"))</f>
        <v>MATCH</v>
      </c>
      <c r="O972" s="5" t="str">
        <f>INDEX([1]Employee!$C$2:$C$276,MATCH(B972,[1]Employee!$A$2:$A$276,0))</f>
        <v>Claims</v>
      </c>
    </row>
    <row r="973" spans="1:15">
      <c r="A973" s="1" t="s">
        <v>2119</v>
      </c>
      <c r="B973" s="1" t="s">
        <v>1632</v>
      </c>
      <c r="C973" s="1" t="s">
        <v>2120</v>
      </c>
      <c r="D973" s="2">
        <v>46077</v>
      </c>
      <c r="E973" s="2">
        <v>46078</v>
      </c>
      <c r="F973" s="1" t="s">
        <v>76</v>
      </c>
      <c r="G973" s="1" t="s">
        <v>13</v>
      </c>
      <c r="H973" s="1" t="s">
        <v>14</v>
      </c>
      <c r="I973" s="7">
        <v>341.25</v>
      </c>
      <c r="J973" s="1" t="s">
        <v>38</v>
      </c>
      <c r="K973" s="1"/>
      <c r="L973" s="1" t="s">
        <v>39</v>
      </c>
      <c r="M973" s="1" t="str">
        <f>INDEX(MCC_Lookup!$B$2:$B$12,MATCH(G973,MCC_Lookup!$A$2:$A$12,0))</f>
        <v>Software</v>
      </c>
      <c r="N973" s="1" t="str">
        <f>IF(TRIM(H973)="","BLANK",IF(PROPER(TRIM(H973))=TRIM(M973),"MATCH","MISMATCH"))</f>
        <v>MATCH</v>
      </c>
      <c r="O973" s="5" t="str">
        <f>INDEX([1]Employee!$C$2:$C$276,MATCH(B973,[1]Employee!$A$2:$A$276,0))</f>
        <v>HR &amp; Events</v>
      </c>
    </row>
    <row r="974" spans="1:15">
      <c r="A974" s="1" t="s">
        <v>2121</v>
      </c>
      <c r="B974" s="1" t="s">
        <v>196</v>
      </c>
      <c r="C974" s="1" t="s">
        <v>2122</v>
      </c>
      <c r="D974" s="2">
        <v>46068</v>
      </c>
      <c r="E974" s="2">
        <v>46078</v>
      </c>
      <c r="F974" s="1" t="s">
        <v>173</v>
      </c>
      <c r="G974" s="1" t="s">
        <v>2</v>
      </c>
      <c r="H974" s="1" t="s">
        <v>16</v>
      </c>
      <c r="I974" s="7">
        <v>65.489999999999995</v>
      </c>
      <c r="J974" s="1" t="s">
        <v>38</v>
      </c>
      <c r="K974" s="1"/>
      <c r="L974" s="1" t="s">
        <v>39</v>
      </c>
      <c r="M974" s="1" t="str">
        <f>INDEX(MCC_Lookup!$B$2:$B$12,MATCH(G974,MCC_Lookup!$A$2:$A$12,0))</f>
        <v>Meals</v>
      </c>
      <c r="N974" s="1" t="str">
        <f>IF(TRIM(H974)="","BLANK",IF(PROPER(TRIM(H974))=TRIM(M974),"MATCH","MISMATCH"))</f>
        <v>MISMATCH</v>
      </c>
      <c r="O974" s="5" t="str">
        <f>INDEX([1]Employee!$C$2:$C$276,MATCH(B974,[1]Employee!$A$2:$A$276,0))</f>
        <v>Sales &amp; Marketing</v>
      </c>
    </row>
    <row r="975" spans="1:15">
      <c r="A975" s="1" t="s">
        <v>2123</v>
      </c>
      <c r="B975" s="1" t="s">
        <v>1061</v>
      </c>
      <c r="C975" s="1"/>
      <c r="D975" s="2">
        <v>46078</v>
      </c>
      <c r="E975" s="2">
        <v>46078</v>
      </c>
      <c r="F975" s="1" t="s">
        <v>76</v>
      </c>
      <c r="G975" s="1" t="s">
        <v>13</v>
      </c>
      <c r="H975" s="1" t="s">
        <v>19</v>
      </c>
      <c r="I975" s="7">
        <v>589.95000000000005</v>
      </c>
      <c r="J975" s="1" t="s">
        <v>38</v>
      </c>
      <c r="K975" s="1"/>
      <c r="L975" s="1" t="s">
        <v>39</v>
      </c>
      <c r="M975" s="1" t="str">
        <f>INDEX(MCC_Lookup!$B$2:$B$12,MATCH(G975,MCC_Lookup!$A$2:$A$12,0))</f>
        <v>Software</v>
      </c>
      <c r="N975" s="1" t="str">
        <f>IF(TRIM(H975)="","BLANK",IF(PROPER(TRIM(H975))=TRIM(M975),"MATCH","MISMATCH"))</f>
        <v>MISMATCH</v>
      </c>
      <c r="O975" s="5" t="str">
        <f>INDEX([1]Employee!$C$2:$C$276,MATCH(B975,[1]Employee!$A$2:$A$276,0))</f>
        <v>Claims</v>
      </c>
    </row>
    <row r="976" spans="1:15">
      <c r="A976" s="1" t="s">
        <v>2124</v>
      </c>
      <c r="B976" s="1" t="s">
        <v>499</v>
      </c>
      <c r="C976" s="1" t="s">
        <v>2125</v>
      </c>
      <c r="D976" s="2">
        <v>46078</v>
      </c>
      <c r="E976" s="2">
        <v>46079</v>
      </c>
      <c r="F976" s="1" t="s">
        <v>61</v>
      </c>
      <c r="G976" s="1" t="s">
        <v>13</v>
      </c>
      <c r="H976" s="1" t="s">
        <v>14</v>
      </c>
      <c r="I976" s="7">
        <v>48.7</v>
      </c>
      <c r="J976" s="1" t="s">
        <v>38</v>
      </c>
      <c r="K976" s="1"/>
      <c r="L976" s="1" t="s">
        <v>39</v>
      </c>
      <c r="M976" s="1" t="str">
        <f>INDEX(MCC_Lookup!$B$2:$B$12,MATCH(G976,MCC_Lookup!$A$2:$A$12,0))</f>
        <v>Software</v>
      </c>
      <c r="N976" s="1" t="str">
        <f>IF(TRIM(H976)="","BLANK",IF(PROPER(TRIM(H976))=TRIM(M976),"MATCH","MISMATCH"))</f>
        <v>MATCH</v>
      </c>
      <c r="O976" s="5" t="str">
        <f>INDEX([1]Employee!$C$2:$C$276,MATCH(B976,[1]Employee!$A$2:$A$276,0))</f>
        <v>Sales &amp; Marketing</v>
      </c>
    </row>
    <row r="977" spans="1:15">
      <c r="A977" s="1" t="s">
        <v>2126</v>
      </c>
      <c r="B977" s="1" t="s">
        <v>108</v>
      </c>
      <c r="C977" s="1" t="s">
        <v>2127</v>
      </c>
      <c r="D977" s="2">
        <v>46076</v>
      </c>
      <c r="E977" s="2">
        <v>46079</v>
      </c>
      <c r="F977" s="1" t="s">
        <v>83</v>
      </c>
      <c r="G977" s="1" t="s">
        <v>2</v>
      </c>
      <c r="H977" s="1" t="s">
        <v>269</v>
      </c>
      <c r="I977" s="7">
        <v>17.940000000000001</v>
      </c>
      <c r="J977" s="1" t="s">
        <v>38</v>
      </c>
      <c r="K977" s="1"/>
      <c r="L977" s="1" t="s">
        <v>39</v>
      </c>
      <c r="M977" s="1" t="str">
        <f>INDEX(MCC_Lookup!$B$2:$B$12,MATCH(G977,MCC_Lookup!$A$2:$A$12,0))</f>
        <v>Meals</v>
      </c>
      <c r="N977" s="1" t="str">
        <f>IF(TRIM(H977)="","BLANK",IF(PROPER(TRIM(H977))=TRIM(M977),"MATCH","MISMATCH"))</f>
        <v>MISMATCH</v>
      </c>
      <c r="O977" s="5" t="str">
        <f>INDEX([1]Employee!$C$2:$C$276,MATCH(B977,[1]Employee!$A$2:$A$276,0))</f>
        <v>Sales &amp; Marketing</v>
      </c>
    </row>
    <row r="978" spans="1:15">
      <c r="A978" s="1" t="s">
        <v>2128</v>
      </c>
      <c r="B978" s="1" t="s">
        <v>382</v>
      </c>
      <c r="C978" s="1"/>
      <c r="D978" s="2">
        <v>46069</v>
      </c>
      <c r="E978" s="2">
        <v>46079</v>
      </c>
      <c r="F978" s="1" t="s">
        <v>106</v>
      </c>
      <c r="G978" s="1" t="s">
        <v>13</v>
      </c>
      <c r="H978" s="1" t="s">
        <v>14</v>
      </c>
      <c r="I978" s="7">
        <v>168.6</v>
      </c>
      <c r="J978" s="1" t="s">
        <v>38</v>
      </c>
      <c r="K978" s="1"/>
      <c r="L978" s="1" t="s">
        <v>39</v>
      </c>
      <c r="M978" s="1" t="str">
        <f>INDEX(MCC_Lookup!$B$2:$B$12,MATCH(G978,MCC_Lookup!$A$2:$A$12,0))</f>
        <v>Software</v>
      </c>
      <c r="N978" s="1" t="str">
        <f>IF(TRIM(H978)="","BLANK",IF(PROPER(TRIM(H978))=TRIM(M978),"MATCH","MISMATCH"))</f>
        <v>MATCH</v>
      </c>
      <c r="O978" s="5" t="str">
        <f>INDEX([1]Employee!$C$2:$C$276,MATCH(B978,[1]Employee!$A$2:$A$276,0))</f>
        <v>Sales &amp; Marketing</v>
      </c>
    </row>
    <row r="979" spans="1:15">
      <c r="A979" s="1" t="s">
        <v>2129</v>
      </c>
      <c r="B979" s="1" t="s">
        <v>264</v>
      </c>
      <c r="C979" s="1" t="s">
        <v>2130</v>
      </c>
      <c r="D979" s="2">
        <v>46075</v>
      </c>
      <c r="E979" s="2">
        <v>46079</v>
      </c>
      <c r="F979" s="1" t="s">
        <v>173</v>
      </c>
      <c r="G979" s="1" t="s">
        <v>2</v>
      </c>
      <c r="H979" s="1" t="s">
        <v>3</v>
      </c>
      <c r="I979" s="7">
        <v>47.31</v>
      </c>
      <c r="J979" s="1" t="s">
        <v>38</v>
      </c>
      <c r="K979" s="1"/>
      <c r="L979" s="1" t="s">
        <v>39</v>
      </c>
      <c r="M979" s="1" t="str">
        <f>INDEX(MCC_Lookup!$B$2:$B$12,MATCH(G979,MCC_Lookup!$A$2:$A$12,0))</f>
        <v>Meals</v>
      </c>
      <c r="N979" s="1" t="str">
        <f>IF(TRIM(H979)="","BLANK",IF(PROPER(TRIM(H979))=TRIM(M979),"MATCH","MISMATCH"))</f>
        <v>MATCH</v>
      </c>
      <c r="O979" s="5" t="str">
        <f>INDEX([1]Employee!$C$2:$C$276,MATCH(B979,[1]Employee!$A$2:$A$276,0))</f>
        <v>Finance</v>
      </c>
    </row>
    <row r="980" spans="1:15">
      <c r="A980" s="1" t="s">
        <v>2131</v>
      </c>
      <c r="B980" s="1" t="s">
        <v>947</v>
      </c>
      <c r="C980" s="1" t="s">
        <v>2132</v>
      </c>
      <c r="D980" s="2">
        <v>46072</v>
      </c>
      <c r="E980" s="2">
        <v>46079</v>
      </c>
      <c r="F980" s="1" t="s">
        <v>43</v>
      </c>
      <c r="G980" s="1" t="s">
        <v>2</v>
      </c>
      <c r="H980" s="1" t="s">
        <v>3</v>
      </c>
      <c r="I980" s="7">
        <v>6.83</v>
      </c>
      <c r="J980" s="1" t="s">
        <v>38</v>
      </c>
      <c r="K980" s="1"/>
      <c r="L980" s="1" t="s">
        <v>39</v>
      </c>
      <c r="M980" s="1" t="str">
        <f>INDEX(MCC_Lookup!$B$2:$B$12,MATCH(G980,MCC_Lookup!$A$2:$A$12,0))</f>
        <v>Meals</v>
      </c>
      <c r="N980" s="1" t="str">
        <f>IF(TRIM(H980)="","BLANK",IF(PROPER(TRIM(H980))=TRIM(M980),"MATCH","MISMATCH"))</f>
        <v>MATCH</v>
      </c>
      <c r="O980" s="5" t="str">
        <f>INDEX([1]Employee!$C$2:$C$276,MATCH(B980,[1]Employee!$A$2:$A$276,0))</f>
        <v>Sales &amp; Marketing</v>
      </c>
    </row>
    <row r="981" spans="1:15">
      <c r="A981" s="1" t="s">
        <v>2133</v>
      </c>
      <c r="B981" s="1" t="s">
        <v>1110</v>
      </c>
      <c r="C981" s="1" t="s">
        <v>2134</v>
      </c>
      <c r="D981" s="2">
        <v>46075</v>
      </c>
      <c r="E981" s="2">
        <v>46079</v>
      </c>
      <c r="F981" s="1" t="s">
        <v>65</v>
      </c>
      <c r="G981" s="1" t="s">
        <v>18</v>
      </c>
      <c r="H981" s="1" t="s">
        <v>19</v>
      </c>
      <c r="I981" s="7">
        <v>179.11</v>
      </c>
      <c r="J981" s="1" t="s">
        <v>38</v>
      </c>
      <c r="K981" s="1"/>
      <c r="L981" s="1" t="s">
        <v>39</v>
      </c>
      <c r="M981" s="1" t="str">
        <f>INDEX(MCC_Lookup!$B$2:$B$12,MATCH(G981,MCC_Lookup!$A$2:$A$12,0))</f>
        <v>Events</v>
      </c>
      <c r="N981" s="1" t="str">
        <f>IF(TRIM(H981)="","BLANK",IF(PROPER(TRIM(H981))=TRIM(M981),"MATCH","MISMATCH"))</f>
        <v>MATCH</v>
      </c>
      <c r="O981" s="5" t="str">
        <f>INDEX([1]Employee!$C$2:$C$276,MATCH(B981,[1]Employee!$A$2:$A$276,0))</f>
        <v>Executive &amp; Corporate</v>
      </c>
    </row>
    <row r="982" spans="1:15">
      <c r="A982" s="1" t="s">
        <v>2135</v>
      </c>
      <c r="B982" s="1" t="s">
        <v>1252</v>
      </c>
      <c r="C982" s="1" t="s">
        <v>2136</v>
      </c>
      <c r="D982" s="2">
        <v>46070</v>
      </c>
      <c r="E982" s="2">
        <v>46079</v>
      </c>
      <c r="F982" s="1" t="s">
        <v>120</v>
      </c>
      <c r="G982" s="1" t="s">
        <v>12</v>
      </c>
      <c r="H982" s="1" t="s">
        <v>295</v>
      </c>
      <c r="I982" s="7">
        <v>432.29</v>
      </c>
      <c r="J982" s="1" t="s">
        <v>38</v>
      </c>
      <c r="K982" s="1"/>
      <c r="L982" s="1" t="s">
        <v>39</v>
      </c>
      <c r="M982" s="1" t="str">
        <f>INDEX(MCC_Lookup!$B$2:$B$12,MATCH(G982,MCC_Lookup!$A$2:$A$12,0))</f>
        <v>Office Supplies</v>
      </c>
      <c r="N982" s="1" t="str">
        <f>IF(TRIM(H982)="","BLANK",IF(PROPER(TRIM(H982))=TRIM(M982),"MATCH","MISMATCH"))</f>
        <v>MATCH</v>
      </c>
      <c r="O982" s="5" t="str">
        <f>INDEX([1]Employee!$C$2:$C$276,MATCH(B982,[1]Employee!$A$2:$A$276,0))</f>
        <v>Underwriting</v>
      </c>
    </row>
    <row r="983" spans="1:15">
      <c r="A983" s="1" t="s">
        <v>2137</v>
      </c>
      <c r="B983" s="1" t="s">
        <v>35</v>
      </c>
      <c r="C983" s="1" t="s">
        <v>2138</v>
      </c>
      <c r="D983" s="2">
        <v>46072</v>
      </c>
      <c r="E983" s="2">
        <v>46079</v>
      </c>
      <c r="F983" s="1" t="s">
        <v>61</v>
      </c>
      <c r="G983" s="1" t="s">
        <v>13</v>
      </c>
      <c r="H983" s="1" t="s">
        <v>14</v>
      </c>
      <c r="I983" s="7">
        <v>58.4</v>
      </c>
      <c r="J983" s="1" t="s">
        <v>38</v>
      </c>
      <c r="K983" s="1"/>
      <c r="L983" s="1" t="s">
        <v>39</v>
      </c>
      <c r="M983" s="1" t="str">
        <f>INDEX(MCC_Lookup!$B$2:$B$12,MATCH(G983,MCC_Lookup!$A$2:$A$12,0))</f>
        <v>Software</v>
      </c>
      <c r="N983" s="1" t="str">
        <f>IF(TRIM(H983)="","BLANK",IF(PROPER(TRIM(H983))=TRIM(M983),"MATCH","MISMATCH"))</f>
        <v>MATCH</v>
      </c>
      <c r="O983" s="5" t="str">
        <f>INDEX([1]Employee!$C$2:$C$276,MATCH(B983,[1]Employee!$A$2:$A$276,0))</f>
        <v>Sales &amp; Marketing</v>
      </c>
    </row>
    <row r="984" spans="1:15">
      <c r="A984" s="1" t="s">
        <v>2139</v>
      </c>
      <c r="B984" s="1" t="s">
        <v>35</v>
      </c>
      <c r="C984" s="1" t="s">
        <v>2140</v>
      </c>
      <c r="D984" s="2">
        <v>46071</v>
      </c>
      <c r="E984" s="2">
        <v>46079</v>
      </c>
      <c r="F984" s="1" t="s">
        <v>347</v>
      </c>
      <c r="G984" s="1" t="s">
        <v>8</v>
      </c>
      <c r="H984" s="1" t="s">
        <v>19</v>
      </c>
      <c r="I984" s="7">
        <v>55.95</v>
      </c>
      <c r="J984" s="1" t="s">
        <v>38</v>
      </c>
      <c r="K984" s="1"/>
      <c r="L984" s="1" t="s">
        <v>48</v>
      </c>
      <c r="M984" s="1" t="str">
        <f>INDEX(MCC_Lookup!$B$2:$B$12,MATCH(G984,MCC_Lookup!$A$2:$A$12,0))</f>
        <v>Transportation</v>
      </c>
      <c r="N984" s="1" t="str">
        <f>IF(TRIM(H984)="","BLANK",IF(PROPER(TRIM(H984))=TRIM(M984),"MATCH","MISMATCH"))</f>
        <v>MISMATCH</v>
      </c>
      <c r="O984" s="5" t="str">
        <f>INDEX([1]Employee!$C$2:$C$276,MATCH(B984,[1]Employee!$A$2:$A$276,0))</f>
        <v>Sales &amp; Marketing</v>
      </c>
    </row>
    <row r="985" spans="1:15">
      <c r="A985" s="1" t="s">
        <v>2141</v>
      </c>
      <c r="B985" s="1" t="s">
        <v>673</v>
      </c>
      <c r="C985" s="1" t="s">
        <v>2142</v>
      </c>
      <c r="D985" s="2">
        <v>46075</v>
      </c>
      <c r="E985" s="2">
        <v>46079</v>
      </c>
      <c r="F985" s="1" t="s">
        <v>99</v>
      </c>
      <c r="G985" s="1" t="s">
        <v>2</v>
      </c>
      <c r="H985" s="1" t="s">
        <v>138</v>
      </c>
      <c r="I985" s="7">
        <v>34.69</v>
      </c>
      <c r="J985" s="1" t="s">
        <v>38</v>
      </c>
      <c r="K985" s="1"/>
      <c r="L985" s="1" t="s">
        <v>39</v>
      </c>
      <c r="M985" s="1" t="str">
        <f>INDEX(MCC_Lookup!$B$2:$B$12,MATCH(G985,MCC_Lookup!$A$2:$A$12,0))</f>
        <v>Meals</v>
      </c>
      <c r="N985" s="1" t="str">
        <f>IF(TRIM(H985)="","BLANK",IF(PROPER(TRIM(H985))=TRIM(M985),"MATCH","MISMATCH"))</f>
        <v>MATCH</v>
      </c>
      <c r="O985" s="5" t="str">
        <f>INDEX([1]Employee!$C$2:$C$276,MATCH(B985,[1]Employee!$A$2:$A$276,0))</f>
        <v>HR &amp; Events</v>
      </c>
    </row>
    <row r="986" spans="1:15">
      <c r="A986" s="1" t="s">
        <v>2143</v>
      </c>
      <c r="B986" s="1" t="s">
        <v>888</v>
      </c>
      <c r="C986" s="1" t="s">
        <v>2144</v>
      </c>
      <c r="D986" s="2">
        <v>46075</v>
      </c>
      <c r="E986" s="2">
        <v>46079</v>
      </c>
      <c r="F986" s="1" t="s">
        <v>173</v>
      </c>
      <c r="G986" s="1" t="s">
        <v>2</v>
      </c>
      <c r="H986" s="1" t="s">
        <v>3</v>
      </c>
      <c r="I986" s="7">
        <v>51.52</v>
      </c>
      <c r="J986" s="1" t="s">
        <v>38</v>
      </c>
      <c r="K986" s="1"/>
      <c r="L986" s="1" t="s">
        <v>39</v>
      </c>
      <c r="M986" s="1" t="str">
        <f>INDEX(MCC_Lookup!$B$2:$B$12,MATCH(G986,MCC_Lookup!$A$2:$A$12,0))</f>
        <v>Meals</v>
      </c>
      <c r="N986" s="1" t="str">
        <f>IF(TRIM(H986)="","BLANK",IF(PROPER(TRIM(H986))=TRIM(M986),"MATCH","MISMATCH"))</f>
        <v>MATCH</v>
      </c>
      <c r="O986" s="5" t="str">
        <f>INDEX([1]Employee!$C$2:$C$276,MATCH(B986,[1]Employee!$A$2:$A$276,0))</f>
        <v>Claims</v>
      </c>
    </row>
    <row r="987" spans="1:15">
      <c r="A987" s="1" t="s">
        <v>2145</v>
      </c>
      <c r="B987" s="1" t="s">
        <v>1650</v>
      </c>
      <c r="C987" s="1" t="s">
        <v>2146</v>
      </c>
      <c r="D987" s="2">
        <v>46078</v>
      </c>
      <c r="E987" s="2">
        <v>46079</v>
      </c>
      <c r="F987" s="1" t="s">
        <v>124</v>
      </c>
      <c r="G987" s="1" t="s">
        <v>17</v>
      </c>
      <c r="H987" s="1" t="s">
        <v>16</v>
      </c>
      <c r="I987" s="7">
        <v>205.28</v>
      </c>
      <c r="J987" s="1" t="s">
        <v>38</v>
      </c>
      <c r="K987" s="1"/>
      <c r="L987" s="1" t="s">
        <v>39</v>
      </c>
      <c r="M987" s="1" t="str">
        <f>INDEX(MCC_Lookup!$B$2:$B$12,MATCH(G987,MCC_Lookup!$A$2:$A$12,0))</f>
        <v>Entertainment</v>
      </c>
      <c r="N987" s="1" t="str">
        <f>IF(TRIM(H987)="","BLANK",IF(PROPER(TRIM(H987))=TRIM(M987),"MATCH","MISMATCH"))</f>
        <v>MATCH</v>
      </c>
      <c r="O987" s="5" t="str">
        <f>INDEX([1]Employee!$C$2:$C$276,MATCH(B987,[1]Employee!$A$2:$A$276,0))</f>
        <v>HR &amp; Events</v>
      </c>
    </row>
    <row r="988" spans="1:15">
      <c r="A988" s="1" t="s">
        <v>2147</v>
      </c>
      <c r="B988" s="1" t="s">
        <v>190</v>
      </c>
      <c r="C988" s="1" t="s">
        <v>2148</v>
      </c>
      <c r="D988" s="2">
        <v>46069</v>
      </c>
      <c r="E988" s="2">
        <v>46079</v>
      </c>
      <c r="F988" s="1" t="s">
        <v>109</v>
      </c>
      <c r="G988" s="1" t="s">
        <v>18</v>
      </c>
      <c r="H988" s="1" t="s">
        <v>19</v>
      </c>
      <c r="I988" s="7">
        <v>121.16</v>
      </c>
      <c r="J988" s="1" t="s">
        <v>38</v>
      </c>
      <c r="K988" s="1"/>
      <c r="L988" s="1" t="s">
        <v>39</v>
      </c>
      <c r="M988" s="1" t="str">
        <f>INDEX(MCC_Lookup!$B$2:$B$12,MATCH(G988,MCC_Lookup!$A$2:$A$12,0))</f>
        <v>Events</v>
      </c>
      <c r="N988" s="1" t="str">
        <f>IF(TRIM(H988)="","BLANK",IF(PROPER(TRIM(H988))=TRIM(M988),"MATCH","MISMATCH"))</f>
        <v>MATCH</v>
      </c>
      <c r="O988" s="5" t="str">
        <f>INDEX([1]Employee!$C$2:$C$276,MATCH(B988,[1]Employee!$A$2:$A$276,0))</f>
        <v>Sales &amp; Marketing</v>
      </c>
    </row>
    <row r="989" spans="1:15">
      <c r="A989" s="1" t="s">
        <v>2149</v>
      </c>
      <c r="B989" s="1" t="s">
        <v>1740</v>
      </c>
      <c r="C989" s="1"/>
      <c r="D989" s="2">
        <v>46076</v>
      </c>
      <c r="E989" s="2">
        <v>46079</v>
      </c>
      <c r="F989" s="1" t="s">
        <v>116</v>
      </c>
      <c r="G989" s="1" t="s">
        <v>2</v>
      </c>
      <c r="H989" s="1" t="s">
        <v>3</v>
      </c>
      <c r="I989" s="7">
        <v>14.46</v>
      </c>
      <c r="J989" s="1" t="s">
        <v>38</v>
      </c>
      <c r="K989" s="1"/>
      <c r="L989" s="1" t="s">
        <v>39</v>
      </c>
      <c r="M989" s="1" t="str">
        <f>INDEX(MCC_Lookup!$B$2:$B$12,MATCH(G989,MCC_Lookup!$A$2:$A$12,0))</f>
        <v>Meals</v>
      </c>
      <c r="N989" s="1" t="str">
        <f>IF(TRIM(H989)="","BLANK",IF(PROPER(TRIM(H989))=TRIM(M989),"MATCH","MISMATCH"))</f>
        <v>MATCH</v>
      </c>
      <c r="O989" s="5" t="str">
        <f>INDEX([1]Employee!$C$2:$C$276,MATCH(B989,[1]Employee!$A$2:$A$276,0))</f>
        <v>IT &amp; Platform Engineering</v>
      </c>
    </row>
    <row r="990" spans="1:15">
      <c r="A990" s="1" t="s">
        <v>2150</v>
      </c>
      <c r="B990" s="1" t="s">
        <v>643</v>
      </c>
      <c r="C990" s="1" t="s">
        <v>2151</v>
      </c>
      <c r="D990" s="2">
        <v>46073</v>
      </c>
      <c r="E990" s="2">
        <v>46079</v>
      </c>
      <c r="F990" s="1" t="s">
        <v>347</v>
      </c>
      <c r="G990" s="1" t="s">
        <v>8</v>
      </c>
      <c r="H990" s="1" t="s">
        <v>9</v>
      </c>
      <c r="I990" s="7">
        <v>31.7</v>
      </c>
      <c r="J990" s="1" t="s">
        <v>38</v>
      </c>
      <c r="K990" s="1"/>
      <c r="L990" s="1" t="s">
        <v>39</v>
      </c>
      <c r="M990" s="1" t="str">
        <f>INDEX(MCC_Lookup!$B$2:$B$12,MATCH(G990,MCC_Lookup!$A$2:$A$12,0))</f>
        <v>Transportation</v>
      </c>
      <c r="N990" s="1" t="str">
        <f>IF(TRIM(H990)="","BLANK",IF(PROPER(TRIM(H990))=TRIM(M990),"MATCH","MISMATCH"))</f>
        <v>MATCH</v>
      </c>
      <c r="O990" s="5" t="str">
        <f>INDEX([1]Employee!$C$2:$C$276,MATCH(B990,[1]Employee!$A$2:$A$276,0))</f>
        <v>Sales &amp; Marketing</v>
      </c>
    </row>
    <row r="991" spans="1:15">
      <c r="A991" s="1" t="s">
        <v>2152</v>
      </c>
      <c r="B991" s="1" t="s">
        <v>136</v>
      </c>
      <c r="C991" s="1" t="s">
        <v>2153</v>
      </c>
      <c r="D991" s="2">
        <v>46072</v>
      </c>
      <c r="E991" s="2">
        <v>46079</v>
      </c>
      <c r="F991" s="1" t="s">
        <v>76</v>
      </c>
      <c r="G991" s="1" t="s">
        <v>13</v>
      </c>
      <c r="H991" s="1" t="s">
        <v>192</v>
      </c>
      <c r="I991" s="7">
        <v>187.52</v>
      </c>
      <c r="J991" s="1" t="s">
        <v>38</v>
      </c>
      <c r="K991" s="1"/>
      <c r="L991" s="1" t="s">
        <v>39</v>
      </c>
      <c r="M991" s="1" t="str">
        <f>INDEX(MCC_Lookup!$B$2:$B$12,MATCH(G991,MCC_Lookup!$A$2:$A$12,0))</f>
        <v>Software</v>
      </c>
      <c r="N991" s="1" t="str">
        <f>IF(TRIM(H991)="","BLANK",IF(PROPER(TRIM(H991))=TRIM(M991),"MATCH","MISMATCH"))</f>
        <v>MATCH</v>
      </c>
      <c r="O991" s="5" t="str">
        <f>INDEX([1]Employee!$C$2:$C$276,MATCH(B991,[1]Employee!$A$2:$A$276,0))</f>
        <v>Sales &amp; Marketing</v>
      </c>
    </row>
    <row r="992" spans="1:15">
      <c r="A992" s="1" t="s">
        <v>2154</v>
      </c>
      <c r="B992" s="1" t="s">
        <v>603</v>
      </c>
      <c r="C992" s="1" t="s">
        <v>2155</v>
      </c>
      <c r="D992" s="2">
        <v>46072</v>
      </c>
      <c r="E992" s="2">
        <v>46079</v>
      </c>
      <c r="F992" s="1" t="s">
        <v>76</v>
      </c>
      <c r="G992" s="1" t="s">
        <v>13</v>
      </c>
      <c r="H992" s="1" t="s">
        <v>14</v>
      </c>
      <c r="I992" s="7">
        <v>449.51</v>
      </c>
      <c r="J992" s="1" t="s">
        <v>38</v>
      </c>
      <c r="K992" s="1"/>
      <c r="L992" s="1" t="s">
        <v>39</v>
      </c>
      <c r="M992" s="1" t="str">
        <f>INDEX(MCC_Lookup!$B$2:$B$12,MATCH(G992,MCC_Lookup!$A$2:$A$12,0))</f>
        <v>Software</v>
      </c>
      <c r="N992" s="1" t="str">
        <f>IF(TRIM(H992)="","BLANK",IF(PROPER(TRIM(H992))=TRIM(M992),"MATCH","MISMATCH"))</f>
        <v>MATCH</v>
      </c>
      <c r="O992" s="5" t="str">
        <f>INDEX([1]Employee!$C$2:$C$276,MATCH(B992,[1]Employee!$A$2:$A$276,0))</f>
        <v>Underwriting</v>
      </c>
    </row>
    <row r="993" spans="1:15">
      <c r="A993" s="1" t="s">
        <v>2156</v>
      </c>
      <c r="B993" s="1" t="s">
        <v>531</v>
      </c>
      <c r="C993" s="1" t="s">
        <v>2157</v>
      </c>
      <c r="D993" s="2">
        <v>46076</v>
      </c>
      <c r="E993" s="2">
        <v>46079</v>
      </c>
      <c r="F993" s="1" t="s">
        <v>242</v>
      </c>
      <c r="G993" s="1" t="s">
        <v>13</v>
      </c>
      <c r="H993" s="1" t="s">
        <v>14</v>
      </c>
      <c r="I993" s="7">
        <v>50.65</v>
      </c>
      <c r="J993" s="1" t="s">
        <v>38</v>
      </c>
      <c r="K993" s="1"/>
      <c r="L993" s="1" t="s">
        <v>39</v>
      </c>
      <c r="M993" s="1" t="str">
        <f>INDEX(MCC_Lookup!$B$2:$B$12,MATCH(G993,MCC_Lookup!$A$2:$A$12,0))</f>
        <v>Software</v>
      </c>
      <c r="N993" s="1" t="str">
        <f>IF(TRIM(H993)="","BLANK",IF(PROPER(TRIM(H993))=TRIM(M993),"MATCH","MISMATCH"))</f>
        <v>MATCH</v>
      </c>
      <c r="O993" s="5" t="str">
        <f>INDEX([1]Employee!$C$2:$C$276,MATCH(B993,[1]Employee!$A$2:$A$276,0))</f>
        <v>Sales &amp; Marketing</v>
      </c>
    </row>
    <row r="994" spans="1:15">
      <c r="A994" s="1" t="s">
        <v>2158</v>
      </c>
      <c r="B994" s="1" t="s">
        <v>277</v>
      </c>
      <c r="C994" s="1" t="s">
        <v>2159</v>
      </c>
      <c r="D994" s="2">
        <v>46069</v>
      </c>
      <c r="E994" s="2">
        <v>46079</v>
      </c>
      <c r="F994" s="1" t="s">
        <v>347</v>
      </c>
      <c r="G994" s="1" t="s">
        <v>8</v>
      </c>
      <c r="H994" s="1" t="s">
        <v>9</v>
      </c>
      <c r="I994" s="7">
        <v>55.21</v>
      </c>
      <c r="J994" s="1" t="s">
        <v>38</v>
      </c>
      <c r="K994" s="1"/>
      <c r="L994" s="1" t="s">
        <v>39</v>
      </c>
      <c r="M994" s="1" t="str">
        <f>INDEX(MCC_Lookup!$B$2:$B$12,MATCH(G994,MCC_Lookup!$A$2:$A$12,0))</f>
        <v>Transportation</v>
      </c>
      <c r="N994" s="1" t="str">
        <f>IF(TRIM(H994)="","BLANK",IF(PROPER(TRIM(H994))=TRIM(M994),"MATCH","MISMATCH"))</f>
        <v>MATCH</v>
      </c>
      <c r="O994" s="5" t="str">
        <f>INDEX([1]Employee!$C$2:$C$276,MATCH(B994,[1]Employee!$A$2:$A$276,0))</f>
        <v>Claims</v>
      </c>
    </row>
    <row r="995" spans="1:15">
      <c r="A995" s="1" t="s">
        <v>2160</v>
      </c>
      <c r="B995" s="1" t="s">
        <v>1119</v>
      </c>
      <c r="C995" s="1" t="s">
        <v>2161</v>
      </c>
      <c r="D995" s="2">
        <v>46072</v>
      </c>
      <c r="E995" s="2">
        <v>46079</v>
      </c>
      <c r="F995" s="1" t="s">
        <v>173</v>
      </c>
      <c r="G995" s="1" t="s">
        <v>2</v>
      </c>
      <c r="H995" s="1" t="s">
        <v>3</v>
      </c>
      <c r="I995" s="7">
        <v>37.78</v>
      </c>
      <c r="J995" s="1" t="s">
        <v>38</v>
      </c>
      <c r="K995" s="1"/>
      <c r="L995" s="1" t="s">
        <v>39</v>
      </c>
      <c r="M995" s="1" t="str">
        <f>INDEX(MCC_Lookup!$B$2:$B$12,MATCH(G995,MCC_Lookup!$A$2:$A$12,0))</f>
        <v>Meals</v>
      </c>
      <c r="N995" s="1" t="str">
        <f>IF(TRIM(H995)="","BLANK",IF(PROPER(TRIM(H995))=TRIM(M995),"MATCH","MISMATCH"))</f>
        <v>MATCH</v>
      </c>
      <c r="O995" s="5" t="str">
        <f>INDEX([1]Employee!$C$2:$C$276,MATCH(B995,[1]Employee!$A$2:$A$276,0))</f>
        <v>Customer Support</v>
      </c>
    </row>
    <row r="996" spans="1:15">
      <c r="A996" s="1" t="s">
        <v>2162</v>
      </c>
      <c r="B996" s="1" t="s">
        <v>41</v>
      </c>
      <c r="C996" s="1" t="s">
        <v>2163</v>
      </c>
      <c r="D996" s="2">
        <v>46069</v>
      </c>
      <c r="E996" s="2">
        <v>46079</v>
      </c>
      <c r="F996" s="1" t="s">
        <v>173</v>
      </c>
      <c r="G996" s="1" t="s">
        <v>2</v>
      </c>
      <c r="H996" s="1" t="s">
        <v>3</v>
      </c>
      <c r="I996" s="7">
        <v>74.56</v>
      </c>
      <c r="J996" s="1" t="s">
        <v>38</v>
      </c>
      <c r="K996" s="1"/>
      <c r="L996" s="1" t="s">
        <v>39</v>
      </c>
      <c r="M996" s="1" t="str">
        <f>INDEX(MCC_Lookup!$B$2:$B$12,MATCH(G996,MCC_Lookup!$A$2:$A$12,0))</f>
        <v>Meals</v>
      </c>
      <c r="N996" s="1" t="str">
        <f>IF(TRIM(H996)="","BLANK",IF(PROPER(TRIM(H996))=TRIM(M996),"MATCH","MISMATCH"))</f>
        <v>MATCH</v>
      </c>
      <c r="O996" s="5" t="str">
        <f>INDEX([1]Employee!$C$2:$C$276,MATCH(B996,[1]Employee!$A$2:$A$276,0))</f>
        <v>Sales &amp; Marketing</v>
      </c>
    </row>
    <row r="997" spans="1:15">
      <c r="A997" s="1" t="s">
        <v>2164</v>
      </c>
      <c r="B997" s="1" t="s">
        <v>149</v>
      </c>
      <c r="C997" s="1"/>
      <c r="D997" s="2">
        <v>46070</v>
      </c>
      <c r="E997" s="2">
        <v>46079</v>
      </c>
      <c r="F997" s="1" t="s">
        <v>120</v>
      </c>
      <c r="G997" s="1" t="s">
        <v>12</v>
      </c>
      <c r="H997" s="1"/>
      <c r="I997" s="7">
        <v>10.210000000000001</v>
      </c>
      <c r="J997" s="1" t="s">
        <v>38</v>
      </c>
      <c r="K997" s="1"/>
      <c r="L997" s="1" t="s">
        <v>39</v>
      </c>
      <c r="M997" s="1" t="str">
        <f>INDEX(MCC_Lookup!$B$2:$B$12,MATCH(G997,MCC_Lookup!$A$2:$A$12,0))</f>
        <v>Office Supplies</v>
      </c>
      <c r="N997" s="1" t="str">
        <f>IF(TRIM(H997)="","BLANK",IF(PROPER(TRIM(H997))=TRIM(M997),"MATCH","MISMATCH"))</f>
        <v>BLANK</v>
      </c>
      <c r="O997" s="5" t="str">
        <f>INDEX([1]Employee!$C$2:$C$276,MATCH(B997,[1]Employee!$A$2:$A$276,0))</f>
        <v>Sales &amp; Marketing</v>
      </c>
    </row>
    <row r="998" spans="1:15">
      <c r="A998" s="1" t="s">
        <v>2165</v>
      </c>
      <c r="B998" s="1" t="s">
        <v>575</v>
      </c>
      <c r="C998" s="1" t="s">
        <v>2166</v>
      </c>
      <c r="D998" s="2">
        <v>46075</v>
      </c>
      <c r="E998" s="2">
        <v>46079</v>
      </c>
      <c r="F998" s="1" t="s">
        <v>72</v>
      </c>
      <c r="G998" s="1" t="s">
        <v>8</v>
      </c>
      <c r="H998" s="1" t="s">
        <v>9</v>
      </c>
      <c r="I998" s="7">
        <v>15.61</v>
      </c>
      <c r="J998" s="1" t="s">
        <v>38</v>
      </c>
      <c r="K998" s="1"/>
      <c r="L998" s="1" t="s">
        <v>39</v>
      </c>
      <c r="M998" s="1" t="str">
        <f>INDEX(MCC_Lookup!$B$2:$B$12,MATCH(G998,MCC_Lookup!$A$2:$A$12,0))</f>
        <v>Transportation</v>
      </c>
      <c r="N998" s="1" t="str">
        <f>IF(TRIM(H998)="","BLANK",IF(PROPER(TRIM(H998))=TRIM(M998),"MATCH","MISMATCH"))</f>
        <v>MATCH</v>
      </c>
      <c r="O998" s="5" t="str">
        <f>INDEX([1]Employee!$C$2:$C$276,MATCH(B998,[1]Employee!$A$2:$A$276,0))</f>
        <v>Underwriting</v>
      </c>
    </row>
    <row r="999" spans="1:15">
      <c r="A999" s="1" t="s">
        <v>2167</v>
      </c>
      <c r="B999" s="1" t="s">
        <v>1159</v>
      </c>
      <c r="C999" s="1" t="s">
        <v>2168</v>
      </c>
      <c r="D999" s="2">
        <v>46073</v>
      </c>
      <c r="E999" s="2">
        <v>46079</v>
      </c>
      <c r="F999" s="1" t="s">
        <v>72</v>
      </c>
      <c r="G999" s="1" t="s">
        <v>8</v>
      </c>
      <c r="H999" s="1" t="s">
        <v>9</v>
      </c>
      <c r="I999" s="7">
        <v>47.19</v>
      </c>
      <c r="J999" s="1" t="s">
        <v>38</v>
      </c>
      <c r="K999" s="1"/>
      <c r="L999" s="1" t="s">
        <v>39</v>
      </c>
      <c r="M999" s="1" t="str">
        <f>INDEX(MCC_Lookup!$B$2:$B$12,MATCH(G999,MCC_Lookup!$A$2:$A$12,0))</f>
        <v>Transportation</v>
      </c>
      <c r="N999" s="1" t="str">
        <f>IF(TRIM(H999)="","BLANK",IF(PROPER(TRIM(H999))=TRIM(M999),"MATCH","MISMATCH"))</f>
        <v>MATCH</v>
      </c>
      <c r="O999" s="5" t="str">
        <f>INDEX([1]Employee!$C$2:$C$276,MATCH(B999,[1]Employee!$A$2:$A$276,0))</f>
        <v>Customer Support</v>
      </c>
    </row>
    <row r="1000" spans="1:15">
      <c r="A1000" s="1" t="s">
        <v>2169</v>
      </c>
      <c r="B1000" s="1" t="s">
        <v>349</v>
      </c>
      <c r="C1000" s="1" t="s">
        <v>2170</v>
      </c>
      <c r="D1000" s="2">
        <v>46073</v>
      </c>
      <c r="E1000" s="2">
        <v>46079</v>
      </c>
      <c r="F1000" s="1" t="s">
        <v>95</v>
      </c>
      <c r="G1000" s="1" t="s">
        <v>6</v>
      </c>
      <c r="H1000" s="1" t="s">
        <v>7</v>
      </c>
      <c r="I1000" s="7">
        <v>270.14</v>
      </c>
      <c r="J1000" s="1" t="s">
        <v>38</v>
      </c>
      <c r="K1000" s="1"/>
      <c r="L1000" s="1" t="s">
        <v>39</v>
      </c>
      <c r="M1000" s="1" t="str">
        <f>INDEX(MCC_Lookup!$B$2:$B$12,MATCH(G1000,MCC_Lookup!$A$2:$A$12,0))</f>
        <v>Lodging</v>
      </c>
      <c r="N1000" s="1" t="str">
        <f>IF(TRIM(H1000)="","BLANK",IF(PROPER(TRIM(H1000))=TRIM(M1000),"MATCH","MISMATCH"))</f>
        <v>MATCH</v>
      </c>
      <c r="O1000" s="5" t="str">
        <f>INDEX([1]Employee!$C$2:$C$276,MATCH(B1000,[1]Employee!$A$2:$A$276,0))</f>
        <v>Sales &amp; Marketing</v>
      </c>
    </row>
    <row r="1001" spans="1:15">
      <c r="A1001" s="1" t="s">
        <v>2171</v>
      </c>
      <c r="B1001" s="1" t="s">
        <v>97</v>
      </c>
      <c r="C1001" s="1" t="s">
        <v>2172</v>
      </c>
      <c r="D1001" s="2">
        <v>46073</v>
      </c>
      <c r="E1001" s="2">
        <v>46080</v>
      </c>
      <c r="F1001" s="1" t="s">
        <v>47</v>
      </c>
      <c r="G1001" s="1" t="s">
        <v>6</v>
      </c>
      <c r="H1001" s="1" t="s">
        <v>7</v>
      </c>
      <c r="I1001" s="7">
        <v>293.43</v>
      </c>
      <c r="J1001" s="1" t="s">
        <v>38</v>
      </c>
      <c r="K1001" s="1"/>
      <c r="L1001" s="1" t="s">
        <v>39</v>
      </c>
      <c r="M1001" s="1" t="str">
        <f>INDEX(MCC_Lookup!$B$2:$B$12,MATCH(G1001,MCC_Lookup!$A$2:$A$12,0))</f>
        <v>Lodging</v>
      </c>
      <c r="N1001" s="1" t="str">
        <f>IF(TRIM(H1001)="","BLANK",IF(PROPER(TRIM(H1001))=TRIM(M1001),"MATCH","MISMATCH"))</f>
        <v>MATCH</v>
      </c>
      <c r="O1001" s="5" t="str">
        <f>INDEX([1]Employee!$C$2:$C$276,MATCH(B1001,[1]Employee!$A$2:$A$276,0))</f>
        <v>Sales &amp; Marketing</v>
      </c>
    </row>
    <row r="1002" spans="1:15">
      <c r="A1002" s="1" t="s">
        <v>2173</v>
      </c>
      <c r="B1002" s="1" t="s">
        <v>433</v>
      </c>
      <c r="C1002" s="1" t="s">
        <v>2174</v>
      </c>
      <c r="D1002" s="2">
        <v>46074</v>
      </c>
      <c r="E1002" s="2">
        <v>46080</v>
      </c>
      <c r="F1002" s="1" t="s">
        <v>124</v>
      </c>
      <c r="G1002" s="1" t="s">
        <v>17</v>
      </c>
      <c r="H1002" s="1" t="s">
        <v>16</v>
      </c>
      <c r="I1002" s="7">
        <v>155.36000000000001</v>
      </c>
      <c r="J1002" s="1" t="s">
        <v>38</v>
      </c>
      <c r="K1002" s="1"/>
      <c r="L1002" s="1" t="s">
        <v>39</v>
      </c>
      <c r="M1002" s="1" t="str">
        <f>INDEX(MCC_Lookup!$B$2:$B$12,MATCH(G1002,MCC_Lookup!$A$2:$A$12,0))</f>
        <v>Entertainment</v>
      </c>
      <c r="N1002" s="1" t="str">
        <f>IF(TRIM(H1002)="","BLANK",IF(PROPER(TRIM(H1002))=TRIM(M1002),"MATCH","MISMATCH"))</f>
        <v>MATCH</v>
      </c>
      <c r="O1002" s="5" t="str">
        <f>INDEX([1]Employee!$C$2:$C$276,MATCH(B1002,[1]Employee!$A$2:$A$276,0))</f>
        <v>Sales &amp; Marketing</v>
      </c>
    </row>
    <row r="1003" spans="1:15">
      <c r="A1003" s="1" t="s">
        <v>2175</v>
      </c>
      <c r="B1003" s="1" t="s">
        <v>648</v>
      </c>
      <c r="C1003" s="1" t="s">
        <v>2176</v>
      </c>
      <c r="D1003" s="2">
        <v>46080</v>
      </c>
      <c r="E1003" s="2">
        <v>46080</v>
      </c>
      <c r="F1003" s="1" t="s">
        <v>76</v>
      </c>
      <c r="G1003" s="1" t="s">
        <v>13</v>
      </c>
      <c r="H1003" s="1" t="s">
        <v>14</v>
      </c>
      <c r="I1003" s="7">
        <v>368.19</v>
      </c>
      <c r="J1003" s="1" t="s">
        <v>38</v>
      </c>
      <c r="K1003" s="1"/>
      <c r="L1003" s="1" t="s">
        <v>48</v>
      </c>
      <c r="M1003" s="1" t="str">
        <f>INDEX(MCC_Lookup!$B$2:$B$12,MATCH(G1003,MCC_Lookup!$A$2:$A$12,0))</f>
        <v>Software</v>
      </c>
      <c r="N1003" s="1" t="str">
        <f>IF(TRIM(H1003)="","BLANK",IF(PROPER(TRIM(H1003))=TRIM(M1003),"MATCH","MISMATCH"))</f>
        <v>MATCH</v>
      </c>
      <c r="O1003" s="5" t="str">
        <f>INDEX([1]Employee!$C$2:$C$276,MATCH(B1003,[1]Employee!$A$2:$A$276,0))</f>
        <v>Sales &amp; Marketing</v>
      </c>
    </row>
    <row r="1004" spans="1:15">
      <c r="A1004" s="1" t="s">
        <v>2177</v>
      </c>
      <c r="B1004" s="1" t="s">
        <v>2178</v>
      </c>
      <c r="C1004" s="1"/>
      <c r="D1004" s="2">
        <v>46074</v>
      </c>
      <c r="E1004" s="2">
        <v>46080</v>
      </c>
      <c r="F1004" s="1" t="s">
        <v>120</v>
      </c>
      <c r="G1004" s="1" t="s">
        <v>12</v>
      </c>
      <c r="H1004" s="1" t="s">
        <v>11</v>
      </c>
      <c r="I1004" s="7">
        <v>390.79</v>
      </c>
      <c r="J1004" s="1" t="s">
        <v>111</v>
      </c>
      <c r="K1004" s="1" t="s">
        <v>112</v>
      </c>
      <c r="L1004" s="1" t="s">
        <v>48</v>
      </c>
      <c r="M1004" s="1" t="str">
        <f>INDEX(MCC_Lookup!$B$2:$B$12,MATCH(G1004,MCC_Lookup!$A$2:$A$12,0))</f>
        <v>Office Supplies</v>
      </c>
      <c r="N1004" s="1" t="str">
        <f>IF(TRIM(H1004)="","BLANK",IF(PROPER(TRIM(H1004))=TRIM(M1004),"MATCH","MISMATCH"))</f>
        <v>MATCH</v>
      </c>
      <c r="O1004" s="5" t="str">
        <f>INDEX([1]Employee!$C$2:$C$276,MATCH(B1004,[1]Employee!$A$2:$A$276,0))</f>
        <v>Customer Support</v>
      </c>
    </row>
    <row r="1005" spans="1:15">
      <c r="A1005" s="1" t="s">
        <v>2179</v>
      </c>
      <c r="B1005" s="1" t="s">
        <v>426</v>
      </c>
      <c r="C1005" s="1" t="s">
        <v>2180</v>
      </c>
      <c r="D1005" s="2">
        <v>46071</v>
      </c>
      <c r="E1005" s="2">
        <v>46080</v>
      </c>
      <c r="F1005" s="1" t="s">
        <v>120</v>
      </c>
      <c r="G1005" s="1" t="s">
        <v>12</v>
      </c>
      <c r="H1005" s="1" t="s">
        <v>11</v>
      </c>
      <c r="I1005" s="7">
        <v>423.09</v>
      </c>
      <c r="J1005" s="1" t="s">
        <v>38</v>
      </c>
      <c r="K1005" s="1"/>
      <c r="L1005" s="1" t="s">
        <v>39</v>
      </c>
      <c r="M1005" s="1" t="str">
        <f>INDEX(MCC_Lookup!$B$2:$B$12,MATCH(G1005,MCC_Lookup!$A$2:$A$12,0))</f>
        <v>Office Supplies</v>
      </c>
      <c r="N1005" s="1" t="str">
        <f>IF(TRIM(H1005)="","BLANK",IF(PROPER(TRIM(H1005))=TRIM(M1005),"MATCH","MISMATCH"))</f>
        <v>MATCH</v>
      </c>
      <c r="O1005" s="5" t="str">
        <f>INDEX([1]Employee!$C$2:$C$276,MATCH(B1005,[1]Employee!$A$2:$A$276,0))</f>
        <v>Sales &amp; Marketing</v>
      </c>
    </row>
    <row r="1006" spans="1:15">
      <c r="A1006" s="1" t="s">
        <v>2181</v>
      </c>
      <c r="B1006" s="1" t="s">
        <v>199</v>
      </c>
      <c r="C1006" s="1" t="s">
        <v>2182</v>
      </c>
      <c r="D1006" s="2">
        <v>46075</v>
      </c>
      <c r="E1006" s="2">
        <v>46080</v>
      </c>
      <c r="F1006" s="1" t="s">
        <v>99</v>
      </c>
      <c r="G1006" s="1" t="s">
        <v>2</v>
      </c>
      <c r="H1006" s="1" t="s">
        <v>3</v>
      </c>
      <c r="I1006" s="7">
        <v>64.95</v>
      </c>
      <c r="J1006" s="1" t="s">
        <v>38</v>
      </c>
      <c r="K1006" s="1"/>
      <c r="L1006" s="1" t="s">
        <v>39</v>
      </c>
      <c r="M1006" s="1" t="str">
        <f>INDEX(MCC_Lookup!$B$2:$B$12,MATCH(G1006,MCC_Lookup!$A$2:$A$12,0))</f>
        <v>Meals</v>
      </c>
      <c r="N1006" s="1" t="str">
        <f>IF(TRIM(H1006)="","BLANK",IF(PROPER(TRIM(H1006))=TRIM(M1006),"MATCH","MISMATCH"))</f>
        <v>MATCH</v>
      </c>
      <c r="O1006" s="5" t="str">
        <f>INDEX([1]Employee!$C$2:$C$276,MATCH(B1006,[1]Employee!$A$2:$A$276,0))</f>
        <v>Sales &amp; Marketing</v>
      </c>
    </row>
    <row r="1007" spans="1:15">
      <c r="A1007" s="1" t="s">
        <v>2183</v>
      </c>
      <c r="B1007" s="1" t="s">
        <v>472</v>
      </c>
      <c r="C1007" s="1" t="s">
        <v>2184</v>
      </c>
      <c r="D1007" s="2">
        <v>46078</v>
      </c>
      <c r="E1007" s="2">
        <v>46080</v>
      </c>
      <c r="F1007" s="1" t="s">
        <v>56</v>
      </c>
      <c r="G1007" s="1" t="s">
        <v>4</v>
      </c>
      <c r="H1007" s="1" t="s">
        <v>5</v>
      </c>
      <c r="I1007" s="7">
        <v>274.52999999999997</v>
      </c>
      <c r="J1007" s="1" t="s">
        <v>38</v>
      </c>
      <c r="K1007" s="1"/>
      <c r="L1007" s="1" t="s">
        <v>39</v>
      </c>
      <c r="M1007" s="1" t="str">
        <f>INDEX(MCC_Lookup!$B$2:$B$12,MATCH(G1007,MCC_Lookup!$A$2:$A$12,0))</f>
        <v>Travel</v>
      </c>
      <c r="N1007" s="1" t="str">
        <f>IF(TRIM(H1007)="","BLANK",IF(PROPER(TRIM(H1007))=TRIM(M1007),"MATCH","MISMATCH"))</f>
        <v>MATCH</v>
      </c>
      <c r="O1007" s="5" t="str">
        <f>INDEX([1]Employee!$C$2:$C$276,MATCH(B1007,[1]Employee!$A$2:$A$276,0))</f>
        <v>Sales &amp; Marketing</v>
      </c>
    </row>
    <row r="1008" spans="1:15">
      <c r="A1008" s="1" t="s">
        <v>2185</v>
      </c>
      <c r="B1008" s="1" t="s">
        <v>2009</v>
      </c>
      <c r="C1008" s="1" t="s">
        <v>2186</v>
      </c>
      <c r="D1008" s="2">
        <v>46080</v>
      </c>
      <c r="E1008" s="2">
        <v>46080</v>
      </c>
      <c r="F1008" s="1" t="s">
        <v>242</v>
      </c>
      <c r="G1008" s="1" t="s">
        <v>13</v>
      </c>
      <c r="H1008" s="1" t="s">
        <v>14</v>
      </c>
      <c r="I1008" s="7">
        <v>21.53</v>
      </c>
      <c r="J1008" s="1" t="s">
        <v>38</v>
      </c>
      <c r="K1008" s="1"/>
      <c r="L1008" s="1" t="s">
        <v>39</v>
      </c>
      <c r="M1008" s="1" t="str">
        <f>INDEX(MCC_Lookup!$B$2:$B$12,MATCH(G1008,MCC_Lookup!$A$2:$A$12,0))</f>
        <v>Software</v>
      </c>
      <c r="N1008" s="1" t="str">
        <f>IF(TRIM(H1008)="","BLANK",IF(PROPER(TRIM(H1008))=TRIM(M1008),"MATCH","MISMATCH"))</f>
        <v>MATCH</v>
      </c>
      <c r="O1008" s="5" t="str">
        <f>INDEX([1]Employee!$C$2:$C$276,MATCH(B1008,[1]Employee!$A$2:$A$276,0))</f>
        <v>Finance</v>
      </c>
    </row>
    <row r="1009" spans="1:15">
      <c r="A1009" s="1" t="s">
        <v>2187</v>
      </c>
      <c r="B1009" s="1" t="s">
        <v>108</v>
      </c>
      <c r="C1009" s="1" t="s">
        <v>2188</v>
      </c>
      <c r="D1009" s="2">
        <v>46073</v>
      </c>
      <c r="E1009" s="2">
        <v>46080</v>
      </c>
      <c r="F1009" s="1" t="s">
        <v>259</v>
      </c>
      <c r="G1009" s="1" t="s">
        <v>20</v>
      </c>
      <c r="H1009" s="1" t="s">
        <v>19</v>
      </c>
      <c r="I1009" s="7">
        <v>458.08</v>
      </c>
      <c r="J1009" s="1" t="s">
        <v>38</v>
      </c>
      <c r="K1009" s="1"/>
      <c r="L1009" s="1" t="s">
        <v>39</v>
      </c>
      <c r="M1009" s="1" t="str">
        <f>INDEX(MCC_Lookup!$B$2:$B$12,MATCH(G1009,MCC_Lookup!$A$2:$A$12,0))</f>
        <v>Events</v>
      </c>
      <c r="N1009" s="1" t="str">
        <f>IF(TRIM(H1009)="","BLANK",IF(PROPER(TRIM(H1009))=TRIM(M1009),"MATCH","MISMATCH"))</f>
        <v>MATCH</v>
      </c>
      <c r="O1009" s="5" t="str">
        <f>INDEX([1]Employee!$C$2:$C$276,MATCH(B1009,[1]Employee!$A$2:$A$276,0))</f>
        <v>Sales &amp; Marketing</v>
      </c>
    </row>
    <row r="1010" spans="1:15">
      <c r="A1010" s="1" t="s">
        <v>2189</v>
      </c>
      <c r="B1010" s="1" t="s">
        <v>1122</v>
      </c>
      <c r="C1010" s="1"/>
      <c r="D1010" s="2">
        <v>46080</v>
      </c>
      <c r="E1010" s="2">
        <v>46080</v>
      </c>
      <c r="F1010" s="1" t="s">
        <v>106</v>
      </c>
      <c r="G1010" s="1" t="s">
        <v>13</v>
      </c>
      <c r="H1010" s="1" t="s">
        <v>1838</v>
      </c>
      <c r="I1010" s="7">
        <v>232.55</v>
      </c>
      <c r="J1010" s="1" t="s">
        <v>38</v>
      </c>
      <c r="K1010" s="1"/>
      <c r="L1010" s="1" t="s">
        <v>39</v>
      </c>
      <c r="M1010" s="1" t="str">
        <f>INDEX(MCC_Lookup!$B$2:$B$12,MATCH(G1010,MCC_Lookup!$A$2:$A$12,0))</f>
        <v>Software</v>
      </c>
      <c r="N1010" s="1" t="str">
        <f>IF(TRIM(H1010)="","BLANK",IF(PROPER(TRIM(H1010))=TRIM(M1010),"MATCH","MISMATCH"))</f>
        <v>MATCH</v>
      </c>
      <c r="O1010" s="5" t="str">
        <f>INDEX([1]Employee!$C$2:$C$276,MATCH(B1010,[1]Employee!$A$2:$A$276,0))</f>
        <v>Customer Support</v>
      </c>
    </row>
    <row r="1011" spans="1:15">
      <c r="A1011" s="1" t="s">
        <v>2190</v>
      </c>
      <c r="B1011" s="1" t="s">
        <v>71</v>
      </c>
      <c r="C1011" s="1" t="s">
        <v>2191</v>
      </c>
      <c r="D1011" s="2">
        <v>46071</v>
      </c>
      <c r="E1011" s="2">
        <v>46080</v>
      </c>
      <c r="F1011" s="1" t="s">
        <v>305</v>
      </c>
      <c r="G1011" s="1" t="s">
        <v>2</v>
      </c>
      <c r="H1011" s="1" t="s">
        <v>3</v>
      </c>
      <c r="I1011" s="7">
        <v>8.33</v>
      </c>
      <c r="J1011" s="1" t="s">
        <v>38</v>
      </c>
      <c r="K1011" s="1"/>
      <c r="L1011" s="1" t="s">
        <v>39</v>
      </c>
      <c r="M1011" s="1" t="str">
        <f>INDEX(MCC_Lookup!$B$2:$B$12,MATCH(G1011,MCC_Lookup!$A$2:$A$12,0))</f>
        <v>Meals</v>
      </c>
      <c r="N1011" s="1" t="str">
        <f>IF(TRIM(H1011)="","BLANK",IF(PROPER(TRIM(H1011))=TRIM(M1011),"MATCH","MISMATCH"))</f>
        <v>MATCH</v>
      </c>
      <c r="O1011" s="5" t="str">
        <f>INDEX([1]Employee!$C$2:$C$276,MATCH(B1011,[1]Employee!$A$2:$A$276,0))</f>
        <v>Sales &amp; Marketing</v>
      </c>
    </row>
    <row r="1012" spans="1:15">
      <c r="A1012" s="1" t="s">
        <v>2192</v>
      </c>
      <c r="B1012" s="1" t="s">
        <v>667</v>
      </c>
      <c r="C1012" s="1" t="s">
        <v>2193</v>
      </c>
      <c r="D1012" s="2">
        <v>46073</v>
      </c>
      <c r="E1012" s="2">
        <v>46080</v>
      </c>
      <c r="F1012" s="1" t="s">
        <v>52</v>
      </c>
      <c r="G1012" s="1" t="s">
        <v>15</v>
      </c>
      <c r="H1012" s="1" t="s">
        <v>5</v>
      </c>
      <c r="I1012" s="7">
        <v>43.91</v>
      </c>
      <c r="J1012" s="1" t="s">
        <v>38</v>
      </c>
      <c r="K1012" s="1"/>
      <c r="L1012" s="1" t="s">
        <v>39</v>
      </c>
      <c r="M1012" s="1" t="str">
        <f>INDEX(MCC_Lookup!$B$2:$B$12,MATCH(G1012,MCC_Lookup!$A$2:$A$12,0))</f>
        <v>Entertainment</v>
      </c>
      <c r="N1012" s="1" t="str">
        <f>IF(TRIM(H1012)="","BLANK",IF(PROPER(TRIM(H1012))=TRIM(M1012),"MATCH","MISMATCH"))</f>
        <v>MISMATCH</v>
      </c>
      <c r="O1012" s="5" t="str">
        <f>INDEX([1]Employee!$C$2:$C$276,MATCH(B1012,[1]Employee!$A$2:$A$276,0))</f>
        <v>Sales &amp; Marketing</v>
      </c>
    </row>
    <row r="1013" spans="1:15">
      <c r="A1013" s="1" t="s">
        <v>2194</v>
      </c>
      <c r="B1013" s="1" t="s">
        <v>133</v>
      </c>
      <c r="C1013" s="1"/>
      <c r="D1013" s="2">
        <v>46079</v>
      </c>
      <c r="E1013" s="2">
        <v>46080</v>
      </c>
      <c r="F1013" s="1" t="s">
        <v>52</v>
      </c>
      <c r="G1013" s="1" t="s">
        <v>15</v>
      </c>
      <c r="H1013" s="1" t="s">
        <v>16</v>
      </c>
      <c r="I1013" s="7">
        <v>35.99</v>
      </c>
      <c r="J1013" s="1" t="s">
        <v>38</v>
      </c>
      <c r="K1013" s="1"/>
      <c r="L1013" s="1" t="s">
        <v>39</v>
      </c>
      <c r="M1013" s="1" t="str">
        <f>INDEX(MCC_Lookup!$B$2:$B$12,MATCH(G1013,MCC_Lookup!$A$2:$A$12,0))</f>
        <v>Entertainment</v>
      </c>
      <c r="N1013" s="1" t="str">
        <f>IF(TRIM(H1013)="","BLANK",IF(PROPER(TRIM(H1013))=TRIM(M1013),"MATCH","MISMATCH"))</f>
        <v>MATCH</v>
      </c>
      <c r="O1013" s="5" t="str">
        <f>INDEX([1]Employee!$C$2:$C$276,MATCH(B1013,[1]Employee!$A$2:$A$276,0))</f>
        <v>Finance</v>
      </c>
    </row>
    <row r="1014" spans="1:15">
      <c r="A1014" s="1" t="s">
        <v>2195</v>
      </c>
      <c r="B1014" s="1" t="s">
        <v>915</v>
      </c>
      <c r="C1014" s="1" t="s">
        <v>2196</v>
      </c>
      <c r="D1014" s="2">
        <v>46075</v>
      </c>
      <c r="E1014" s="2">
        <v>46080</v>
      </c>
      <c r="F1014" s="1" t="s">
        <v>61</v>
      </c>
      <c r="G1014" s="1" t="s">
        <v>13</v>
      </c>
      <c r="H1014" s="1" t="s">
        <v>14</v>
      </c>
      <c r="I1014" s="7">
        <v>34.85</v>
      </c>
      <c r="J1014" s="1" t="s">
        <v>38</v>
      </c>
      <c r="K1014" s="1"/>
      <c r="L1014" s="1" t="s">
        <v>48</v>
      </c>
      <c r="M1014" s="1" t="str">
        <f>INDEX(MCC_Lookup!$B$2:$B$12,MATCH(G1014,MCC_Lookup!$A$2:$A$12,0))</f>
        <v>Software</v>
      </c>
      <c r="N1014" s="1" t="str">
        <f>IF(TRIM(H1014)="","BLANK",IF(PROPER(TRIM(H1014))=TRIM(M1014),"MATCH","MISMATCH"))</f>
        <v>MATCH</v>
      </c>
      <c r="O1014" s="5" t="str">
        <f>INDEX([1]Employee!$C$2:$C$276,MATCH(B1014,[1]Employee!$A$2:$A$276,0))</f>
        <v>Sales &amp; Marketing</v>
      </c>
    </row>
    <row r="1015" spans="1:15">
      <c r="A1015" s="1" t="s">
        <v>2197</v>
      </c>
      <c r="B1015" s="1" t="s">
        <v>915</v>
      </c>
      <c r="C1015" s="1"/>
      <c r="D1015" s="2">
        <v>46076</v>
      </c>
      <c r="E1015" s="2">
        <v>46080</v>
      </c>
      <c r="F1015" s="1" t="s">
        <v>259</v>
      </c>
      <c r="G1015" s="1" t="s">
        <v>20</v>
      </c>
      <c r="H1015" s="1" t="s">
        <v>19</v>
      </c>
      <c r="I1015" s="7">
        <v>611.95000000000005</v>
      </c>
      <c r="J1015" s="1" t="s">
        <v>38</v>
      </c>
      <c r="K1015" s="1"/>
      <c r="L1015" s="1" t="s">
        <v>39</v>
      </c>
      <c r="M1015" s="1" t="str">
        <f>INDEX(MCC_Lookup!$B$2:$B$12,MATCH(G1015,MCC_Lookup!$A$2:$A$12,0))</f>
        <v>Events</v>
      </c>
      <c r="N1015" s="1" t="str">
        <f>IF(TRIM(H1015)="","BLANK",IF(PROPER(TRIM(H1015))=TRIM(M1015),"MATCH","MISMATCH"))</f>
        <v>MATCH</v>
      </c>
      <c r="O1015" s="5" t="str">
        <f>INDEX([1]Employee!$C$2:$C$276,MATCH(B1015,[1]Employee!$A$2:$A$276,0))</f>
        <v>Sales &amp; Marketing</v>
      </c>
    </row>
    <row r="1016" spans="1:15">
      <c r="A1016" s="1" t="s">
        <v>2198</v>
      </c>
      <c r="B1016" s="1" t="s">
        <v>54</v>
      </c>
      <c r="C1016" s="1" t="s">
        <v>2199</v>
      </c>
      <c r="D1016" s="2">
        <v>46075</v>
      </c>
      <c r="E1016" s="2">
        <v>46080</v>
      </c>
      <c r="F1016" s="1" t="s">
        <v>347</v>
      </c>
      <c r="G1016" s="1" t="s">
        <v>8</v>
      </c>
      <c r="H1016" s="1" t="s">
        <v>9</v>
      </c>
      <c r="I1016" s="7">
        <v>35.049999999999997</v>
      </c>
      <c r="J1016" s="1" t="s">
        <v>38</v>
      </c>
      <c r="K1016" s="1"/>
      <c r="L1016" s="1" t="s">
        <v>39</v>
      </c>
      <c r="M1016" s="1" t="str">
        <f>INDEX(MCC_Lookup!$B$2:$B$12,MATCH(G1016,MCC_Lookup!$A$2:$A$12,0))</f>
        <v>Transportation</v>
      </c>
      <c r="N1016" s="1" t="str">
        <f>IF(TRIM(H1016)="","BLANK",IF(PROPER(TRIM(H1016))=TRIM(M1016),"MATCH","MISMATCH"))</f>
        <v>MATCH</v>
      </c>
      <c r="O1016" s="5" t="str">
        <f>INDEX([1]Employee!$C$2:$C$276,MATCH(B1016,[1]Employee!$A$2:$A$276,0))</f>
        <v>Sales &amp; Marketing</v>
      </c>
    </row>
    <row r="1017" spans="1:15">
      <c r="A1017" s="1" t="s">
        <v>2200</v>
      </c>
      <c r="B1017" s="1" t="s">
        <v>924</v>
      </c>
      <c r="C1017" s="1" t="s">
        <v>2201</v>
      </c>
      <c r="D1017" s="2">
        <v>46070</v>
      </c>
      <c r="E1017" s="2">
        <v>46080</v>
      </c>
      <c r="F1017" s="1" t="s">
        <v>109</v>
      </c>
      <c r="G1017" s="1" t="s">
        <v>18</v>
      </c>
      <c r="H1017" s="1" t="s">
        <v>19</v>
      </c>
      <c r="I1017" s="7">
        <v>122.78</v>
      </c>
      <c r="J1017" s="1" t="s">
        <v>38</v>
      </c>
      <c r="K1017" s="1"/>
      <c r="L1017" s="1" t="s">
        <v>39</v>
      </c>
      <c r="M1017" s="1" t="str">
        <f>INDEX(MCC_Lookup!$B$2:$B$12,MATCH(G1017,MCC_Lookup!$A$2:$A$12,0))</f>
        <v>Events</v>
      </c>
      <c r="N1017" s="1" t="str">
        <f>IF(TRIM(H1017)="","BLANK",IF(PROPER(TRIM(H1017))=TRIM(M1017),"MATCH","MISMATCH"))</f>
        <v>MATCH</v>
      </c>
      <c r="O1017" s="5" t="str">
        <f>INDEX([1]Employee!$C$2:$C$276,MATCH(B1017,[1]Employee!$A$2:$A$276,0))</f>
        <v>HR &amp; Events</v>
      </c>
    </row>
    <row r="1018" spans="1:15">
      <c r="A1018" s="1" t="s">
        <v>2202</v>
      </c>
      <c r="B1018" s="1" t="s">
        <v>597</v>
      </c>
      <c r="C1018" s="1" t="s">
        <v>2203</v>
      </c>
      <c r="D1018" s="2">
        <v>46074</v>
      </c>
      <c r="E1018" s="2">
        <v>46080</v>
      </c>
      <c r="F1018" s="1" t="s">
        <v>347</v>
      </c>
      <c r="G1018" s="1" t="s">
        <v>8</v>
      </c>
      <c r="H1018" s="1" t="s">
        <v>9</v>
      </c>
      <c r="I1018" s="7">
        <v>43.31</v>
      </c>
      <c r="J1018" s="1" t="s">
        <v>38</v>
      </c>
      <c r="K1018" s="1"/>
      <c r="L1018" s="1" t="s">
        <v>39</v>
      </c>
      <c r="M1018" s="1" t="str">
        <f>INDEX(MCC_Lookup!$B$2:$B$12,MATCH(G1018,MCC_Lookup!$A$2:$A$12,0))</f>
        <v>Transportation</v>
      </c>
      <c r="N1018" s="1" t="str">
        <f>IF(TRIM(H1018)="","BLANK",IF(PROPER(TRIM(H1018))=TRIM(M1018),"MATCH","MISMATCH"))</f>
        <v>MATCH</v>
      </c>
      <c r="O1018" s="5" t="str">
        <f>INDEX([1]Employee!$C$2:$C$276,MATCH(B1018,[1]Employee!$A$2:$A$276,0))</f>
        <v>Sales &amp; Marketing</v>
      </c>
    </row>
    <row r="1019" spans="1:15">
      <c r="A1019" s="1" t="s">
        <v>2204</v>
      </c>
      <c r="B1019" s="1" t="s">
        <v>149</v>
      </c>
      <c r="C1019" s="1" t="s">
        <v>2205</v>
      </c>
      <c r="D1019" s="2">
        <v>46077</v>
      </c>
      <c r="E1019" s="2">
        <v>46080</v>
      </c>
      <c r="F1019" s="1" t="s">
        <v>69</v>
      </c>
      <c r="G1019" s="1" t="s">
        <v>8</v>
      </c>
      <c r="H1019" s="1" t="s">
        <v>9</v>
      </c>
      <c r="I1019" s="7">
        <v>46.41</v>
      </c>
      <c r="J1019" s="1" t="s">
        <v>38</v>
      </c>
      <c r="K1019" s="1"/>
      <c r="L1019" s="1" t="s">
        <v>39</v>
      </c>
      <c r="M1019" s="1" t="str">
        <f>INDEX(MCC_Lookup!$B$2:$B$12,MATCH(G1019,MCC_Lookup!$A$2:$A$12,0))</f>
        <v>Transportation</v>
      </c>
      <c r="N1019" s="1" t="str">
        <f>IF(TRIM(H1019)="","BLANK",IF(PROPER(TRIM(H1019))=TRIM(M1019),"MATCH","MISMATCH"))</f>
        <v>MATCH</v>
      </c>
      <c r="O1019" s="5" t="str">
        <f>INDEX([1]Employee!$C$2:$C$276,MATCH(B1019,[1]Employee!$A$2:$A$276,0))</f>
        <v>Sales &amp; Marketing</v>
      </c>
    </row>
    <row r="1020" spans="1:15">
      <c r="A1020" s="1" t="s">
        <v>2206</v>
      </c>
      <c r="B1020" s="1" t="s">
        <v>600</v>
      </c>
      <c r="C1020" s="1" t="s">
        <v>2207</v>
      </c>
      <c r="D1020" s="2">
        <v>46077</v>
      </c>
      <c r="E1020" s="2">
        <v>46080</v>
      </c>
      <c r="F1020" s="1" t="s">
        <v>347</v>
      </c>
      <c r="G1020" s="1" t="s">
        <v>8</v>
      </c>
      <c r="H1020" s="1" t="s">
        <v>9</v>
      </c>
      <c r="I1020" s="7">
        <v>37.04</v>
      </c>
      <c r="J1020" s="1" t="s">
        <v>38</v>
      </c>
      <c r="K1020" s="1"/>
      <c r="L1020" s="1" t="s">
        <v>39</v>
      </c>
      <c r="M1020" s="1" t="str">
        <f>INDEX(MCC_Lookup!$B$2:$B$12,MATCH(G1020,MCC_Lookup!$A$2:$A$12,0))</f>
        <v>Transportation</v>
      </c>
      <c r="N1020" s="1" t="str">
        <f>IF(TRIM(H1020)="","BLANK",IF(PROPER(TRIM(H1020))=TRIM(M1020),"MATCH","MISMATCH"))</f>
        <v>MATCH</v>
      </c>
      <c r="O1020" s="5" t="str">
        <f>INDEX([1]Employee!$C$2:$C$276,MATCH(B1020,[1]Employee!$A$2:$A$276,0))</f>
        <v>Actuarial &amp; Risk</v>
      </c>
    </row>
    <row r="1021" spans="1:15">
      <c r="A1021" s="1" t="s">
        <v>2208</v>
      </c>
      <c r="B1021" s="1" t="s">
        <v>588</v>
      </c>
      <c r="C1021" s="1" t="s">
        <v>2209</v>
      </c>
      <c r="D1021" s="2">
        <v>46072</v>
      </c>
      <c r="E1021" s="2">
        <v>46080</v>
      </c>
      <c r="F1021" s="1" t="s">
        <v>79</v>
      </c>
      <c r="G1021" s="1" t="s">
        <v>13</v>
      </c>
      <c r="H1021" s="1" t="s">
        <v>14</v>
      </c>
      <c r="I1021" s="7">
        <v>179.43</v>
      </c>
      <c r="J1021" s="1" t="s">
        <v>38</v>
      </c>
      <c r="K1021" s="1"/>
      <c r="L1021" s="1" t="s">
        <v>39</v>
      </c>
      <c r="M1021" s="1" t="str">
        <f>INDEX(MCC_Lookup!$B$2:$B$12,MATCH(G1021,MCC_Lookup!$A$2:$A$12,0))</f>
        <v>Software</v>
      </c>
      <c r="N1021" s="1" t="str">
        <f>IF(TRIM(H1021)="","BLANK",IF(PROPER(TRIM(H1021))=TRIM(M1021),"MATCH","MISMATCH"))</f>
        <v>MATCH</v>
      </c>
      <c r="O1021" s="5" t="str">
        <f>INDEX([1]Employee!$C$2:$C$276,MATCH(B1021,[1]Employee!$A$2:$A$276,0))</f>
        <v>Claims</v>
      </c>
    </row>
    <row r="1022" spans="1:15">
      <c r="A1022" s="1" t="s">
        <v>2210</v>
      </c>
      <c r="B1022" s="1" t="s">
        <v>196</v>
      </c>
      <c r="C1022" s="1"/>
      <c r="D1022" s="2">
        <v>46073</v>
      </c>
      <c r="E1022" s="2">
        <v>46080</v>
      </c>
      <c r="F1022" s="1" t="s">
        <v>72</v>
      </c>
      <c r="G1022" s="1" t="s">
        <v>8</v>
      </c>
      <c r="H1022" s="1"/>
      <c r="I1022" s="7">
        <v>56.9</v>
      </c>
      <c r="J1022" s="1" t="s">
        <v>38</v>
      </c>
      <c r="K1022" s="1"/>
      <c r="L1022" s="1" t="s">
        <v>39</v>
      </c>
      <c r="M1022" s="1" t="str">
        <f>INDEX(MCC_Lookup!$B$2:$B$12,MATCH(G1022,MCC_Lookup!$A$2:$A$12,0))</f>
        <v>Transportation</v>
      </c>
      <c r="N1022" s="1" t="str">
        <f>IF(TRIM(H1022)="","BLANK",IF(PROPER(TRIM(H1022))=TRIM(M1022),"MATCH","MISMATCH"))</f>
        <v>BLANK</v>
      </c>
      <c r="O1022" s="5" t="str">
        <f>INDEX([1]Employee!$C$2:$C$276,MATCH(B1022,[1]Employee!$A$2:$A$276,0))</f>
        <v>Sales &amp; Marketing</v>
      </c>
    </row>
    <row r="1023" spans="1:15">
      <c r="A1023" s="1" t="s">
        <v>2211</v>
      </c>
      <c r="B1023" s="1" t="s">
        <v>63</v>
      </c>
      <c r="C1023" s="1"/>
      <c r="D1023" s="2">
        <v>46076</v>
      </c>
      <c r="E1023" s="2">
        <v>46080</v>
      </c>
      <c r="F1023" s="1" t="s">
        <v>43</v>
      </c>
      <c r="G1023" s="1" t="s">
        <v>2</v>
      </c>
      <c r="H1023" s="1" t="s">
        <v>3</v>
      </c>
      <c r="I1023" s="7">
        <v>9.5299999999999994</v>
      </c>
      <c r="J1023" s="1" t="s">
        <v>38</v>
      </c>
      <c r="K1023" s="1"/>
      <c r="L1023" s="1" t="s">
        <v>39</v>
      </c>
      <c r="M1023" s="1" t="str">
        <f>INDEX(MCC_Lookup!$B$2:$B$12,MATCH(G1023,MCC_Lookup!$A$2:$A$12,0))</f>
        <v>Meals</v>
      </c>
      <c r="N1023" s="1" t="str">
        <f>IF(TRIM(H1023)="","BLANK",IF(PROPER(TRIM(H1023))=TRIM(M1023),"MATCH","MISMATCH"))</f>
        <v>MATCH</v>
      </c>
      <c r="O1023" s="5" t="str">
        <f>INDEX([1]Employee!$C$2:$C$276,MATCH(B1023,[1]Employee!$A$2:$A$276,0))</f>
        <v>Sales &amp; Marketing</v>
      </c>
    </row>
    <row r="1024" spans="1:15">
      <c r="A1024" s="1" t="s">
        <v>2212</v>
      </c>
      <c r="B1024" s="1" t="s">
        <v>194</v>
      </c>
      <c r="C1024" s="1" t="s">
        <v>2213</v>
      </c>
      <c r="D1024" s="2">
        <v>46079</v>
      </c>
      <c r="E1024" s="2">
        <v>46081</v>
      </c>
      <c r="F1024" s="1" t="s">
        <v>43</v>
      </c>
      <c r="G1024" s="1" t="s">
        <v>2</v>
      </c>
      <c r="H1024" s="1" t="s">
        <v>3</v>
      </c>
      <c r="I1024" s="7">
        <v>9.2200000000000006</v>
      </c>
      <c r="J1024" s="1" t="s">
        <v>38</v>
      </c>
      <c r="K1024" s="1"/>
      <c r="L1024" s="1" t="s">
        <v>39</v>
      </c>
      <c r="M1024" s="1" t="str">
        <f>INDEX(MCC_Lookup!$B$2:$B$12,MATCH(G1024,MCC_Lookup!$A$2:$A$12,0))</f>
        <v>Meals</v>
      </c>
      <c r="N1024" s="1" t="str">
        <f>IF(TRIM(H1024)="","BLANK",IF(PROPER(TRIM(H1024))=TRIM(M1024),"MATCH","MISMATCH"))</f>
        <v>MATCH</v>
      </c>
      <c r="O1024" s="5" t="str">
        <f>INDEX([1]Employee!$C$2:$C$276,MATCH(B1024,[1]Employee!$A$2:$A$276,0))</f>
        <v>Claims</v>
      </c>
    </row>
    <row r="1025" spans="1:15">
      <c r="A1025" s="1" t="s">
        <v>2214</v>
      </c>
      <c r="B1025" s="1" t="s">
        <v>328</v>
      </c>
      <c r="C1025" s="1" t="s">
        <v>2215</v>
      </c>
      <c r="D1025" s="2">
        <v>46072</v>
      </c>
      <c r="E1025" s="2">
        <v>46081</v>
      </c>
      <c r="F1025" s="1" t="s">
        <v>173</v>
      </c>
      <c r="G1025" s="1" t="s">
        <v>2</v>
      </c>
      <c r="H1025" s="1" t="s">
        <v>3</v>
      </c>
      <c r="I1025" s="7">
        <v>89.75</v>
      </c>
      <c r="J1025" s="1" t="s">
        <v>38</v>
      </c>
      <c r="K1025" s="1"/>
      <c r="L1025" s="1" t="s">
        <v>39</v>
      </c>
      <c r="M1025" s="1" t="str">
        <f>INDEX(MCC_Lookup!$B$2:$B$12,MATCH(G1025,MCC_Lookup!$A$2:$A$12,0))</f>
        <v>Meals</v>
      </c>
      <c r="N1025" s="1" t="str">
        <f>IF(TRIM(H1025)="","BLANK",IF(PROPER(TRIM(H1025))=TRIM(M1025),"MATCH","MISMATCH"))</f>
        <v>MATCH</v>
      </c>
      <c r="O1025" s="5" t="str">
        <f>INDEX([1]Employee!$C$2:$C$276,MATCH(B1025,[1]Employee!$A$2:$A$276,0))</f>
        <v>Underwriting</v>
      </c>
    </row>
    <row r="1026" spans="1:15">
      <c r="A1026" s="1" t="s">
        <v>2216</v>
      </c>
      <c r="B1026" s="1" t="s">
        <v>469</v>
      </c>
      <c r="C1026" s="1"/>
      <c r="D1026" s="2">
        <v>46080</v>
      </c>
      <c r="E1026" s="2">
        <v>46081</v>
      </c>
      <c r="F1026" s="1" t="s">
        <v>305</v>
      </c>
      <c r="G1026" s="1" t="s">
        <v>2</v>
      </c>
      <c r="H1026" s="1" t="s">
        <v>3</v>
      </c>
      <c r="I1026" s="7">
        <v>17.43</v>
      </c>
      <c r="J1026" s="1" t="s">
        <v>111</v>
      </c>
      <c r="K1026" s="1" t="s">
        <v>127</v>
      </c>
      <c r="L1026" s="1" t="s">
        <v>48</v>
      </c>
      <c r="M1026" s="1" t="str">
        <f>INDEX(MCC_Lookup!$B$2:$B$12,MATCH(G1026,MCC_Lookup!$A$2:$A$12,0))</f>
        <v>Meals</v>
      </c>
      <c r="N1026" s="1" t="str">
        <f>IF(TRIM(H1026)="","BLANK",IF(PROPER(TRIM(H1026))=TRIM(M1026),"MATCH","MISMATCH"))</f>
        <v>MATCH</v>
      </c>
      <c r="O1026" s="5" t="str">
        <f>INDEX([1]Employee!$C$2:$C$276,MATCH(B1026,[1]Employee!$A$2:$A$276,0))</f>
        <v>Sales &amp; Marketing</v>
      </c>
    </row>
    <row r="1027" spans="1:15">
      <c r="A1027" s="1" t="s">
        <v>2217</v>
      </c>
      <c r="B1027" s="1" t="s">
        <v>789</v>
      </c>
      <c r="C1027" s="1" t="s">
        <v>2218</v>
      </c>
      <c r="D1027" s="2">
        <v>46071</v>
      </c>
      <c r="E1027" s="2">
        <v>46081</v>
      </c>
      <c r="F1027" s="1" t="s">
        <v>56</v>
      </c>
      <c r="G1027" s="1" t="s">
        <v>4</v>
      </c>
      <c r="H1027" s="1" t="s">
        <v>5</v>
      </c>
      <c r="I1027" s="7">
        <v>444.47</v>
      </c>
      <c r="J1027" s="1" t="s">
        <v>38</v>
      </c>
      <c r="K1027" s="1"/>
      <c r="L1027" s="1" t="s">
        <v>48</v>
      </c>
      <c r="M1027" s="1" t="str">
        <f>INDEX(MCC_Lookup!$B$2:$B$12,MATCH(G1027,MCC_Lookup!$A$2:$A$12,0))</f>
        <v>Travel</v>
      </c>
      <c r="N1027" s="1" t="str">
        <f>IF(TRIM(H1027)="","BLANK",IF(PROPER(TRIM(H1027))=TRIM(M1027),"MATCH","MISMATCH"))</f>
        <v>MATCH</v>
      </c>
      <c r="O1027" s="5" t="str">
        <f>INDEX([1]Employee!$C$2:$C$276,MATCH(B1027,[1]Employee!$A$2:$A$276,0))</f>
        <v>Actuarial &amp; Risk</v>
      </c>
    </row>
    <row r="1028" spans="1:15">
      <c r="A1028" s="1" t="s">
        <v>2219</v>
      </c>
      <c r="B1028" s="1" t="s">
        <v>97</v>
      </c>
      <c r="C1028" s="1" t="s">
        <v>2220</v>
      </c>
      <c r="D1028" s="2">
        <v>46078</v>
      </c>
      <c r="E1028" s="2">
        <v>46081</v>
      </c>
      <c r="F1028" s="1" t="s">
        <v>76</v>
      </c>
      <c r="G1028" s="1" t="s">
        <v>13</v>
      </c>
      <c r="H1028" s="1" t="s">
        <v>2221</v>
      </c>
      <c r="I1028" s="7">
        <v>385.59</v>
      </c>
      <c r="J1028" s="1" t="s">
        <v>38</v>
      </c>
      <c r="K1028" s="1"/>
      <c r="L1028" s="1" t="s">
        <v>39</v>
      </c>
      <c r="M1028" s="1" t="str">
        <f>INDEX(MCC_Lookup!$B$2:$B$12,MATCH(G1028,MCC_Lookup!$A$2:$A$12,0))</f>
        <v>Software</v>
      </c>
      <c r="N1028" s="1" t="str">
        <f>IF(TRIM(H1028)="","BLANK",IF(PROPER(TRIM(H1028))=TRIM(M1028),"MATCH","MISMATCH"))</f>
        <v>MATCH</v>
      </c>
      <c r="O1028" s="5" t="str">
        <f>INDEX([1]Employee!$C$2:$C$276,MATCH(B1028,[1]Employee!$A$2:$A$276,0))</f>
        <v>Sales &amp; Marketing</v>
      </c>
    </row>
    <row r="1029" spans="1:15">
      <c r="A1029" s="1" t="s">
        <v>2222</v>
      </c>
      <c r="B1029" s="1" t="s">
        <v>677</v>
      </c>
      <c r="C1029" s="1" t="s">
        <v>2223</v>
      </c>
      <c r="D1029" s="2">
        <v>46075</v>
      </c>
      <c r="E1029" s="2">
        <v>46081</v>
      </c>
      <c r="F1029" s="1" t="s">
        <v>160</v>
      </c>
      <c r="G1029" s="1" t="s">
        <v>6</v>
      </c>
      <c r="H1029" s="1" t="s">
        <v>726</v>
      </c>
      <c r="I1029" s="7">
        <v>342.78</v>
      </c>
      <c r="J1029" s="1" t="s">
        <v>38</v>
      </c>
      <c r="K1029" s="1"/>
      <c r="L1029" s="1" t="s">
        <v>39</v>
      </c>
      <c r="M1029" s="1" t="str">
        <f>INDEX(MCC_Lookup!$B$2:$B$12,MATCH(G1029,MCC_Lookup!$A$2:$A$12,0))</f>
        <v>Lodging</v>
      </c>
      <c r="N1029" s="1" t="str">
        <f>IF(TRIM(H1029)="","BLANK",IF(PROPER(TRIM(H1029))=TRIM(M1029),"MATCH","MISMATCH"))</f>
        <v>MATCH</v>
      </c>
      <c r="O1029" s="5" t="str">
        <f>INDEX([1]Employee!$C$2:$C$276,MATCH(B1029,[1]Employee!$A$2:$A$276,0))</f>
        <v>Sales &amp; Marketing</v>
      </c>
    </row>
    <row r="1030" spans="1:15">
      <c r="A1030" s="1" t="s">
        <v>2224</v>
      </c>
      <c r="B1030" s="1" t="s">
        <v>81</v>
      </c>
      <c r="C1030" s="1" t="s">
        <v>2225</v>
      </c>
      <c r="D1030" s="2">
        <v>46076</v>
      </c>
      <c r="E1030" s="2">
        <v>46081</v>
      </c>
      <c r="F1030" s="1" t="s">
        <v>92</v>
      </c>
      <c r="G1030" s="1" t="s">
        <v>10</v>
      </c>
      <c r="H1030" s="1" t="s">
        <v>2226</v>
      </c>
      <c r="I1030" s="7">
        <v>154.38</v>
      </c>
      <c r="J1030" s="1" t="s">
        <v>38</v>
      </c>
      <c r="K1030" s="1"/>
      <c r="L1030" s="1" t="s">
        <v>39</v>
      </c>
      <c r="M1030" s="1" t="str">
        <f>INDEX(MCC_Lookup!$B$2:$B$12,MATCH(G1030,MCC_Lookup!$A$2:$A$12,0))</f>
        <v>Office Supplies</v>
      </c>
      <c r="N1030" s="1" t="str">
        <f>IF(TRIM(H1030)="","BLANK",IF(PROPER(TRIM(H1030))=TRIM(M1030),"MATCH","MISMATCH"))</f>
        <v>MATCH</v>
      </c>
      <c r="O1030" s="5" t="str">
        <f>INDEX([1]Employee!$C$2:$C$276,MATCH(B1030,[1]Employee!$A$2:$A$276,0))</f>
        <v>Sales &amp; Marketing</v>
      </c>
    </row>
    <row r="1031" spans="1:15">
      <c r="A1031" s="1" t="s">
        <v>2227</v>
      </c>
      <c r="B1031" s="1" t="s">
        <v>267</v>
      </c>
      <c r="C1031" s="1" t="s">
        <v>2228</v>
      </c>
      <c r="D1031" s="2">
        <v>46075</v>
      </c>
      <c r="E1031" s="2">
        <v>46081</v>
      </c>
      <c r="F1031" s="1" t="s">
        <v>124</v>
      </c>
      <c r="G1031" s="1" t="s">
        <v>17</v>
      </c>
      <c r="H1031" s="1" t="s">
        <v>16</v>
      </c>
      <c r="I1031" s="7">
        <v>66.39</v>
      </c>
      <c r="J1031" s="1" t="s">
        <v>38</v>
      </c>
      <c r="K1031" s="1"/>
      <c r="L1031" s="1" t="s">
        <v>39</v>
      </c>
      <c r="M1031" s="1" t="str">
        <f>INDEX(MCC_Lookup!$B$2:$B$12,MATCH(G1031,MCC_Lookup!$A$2:$A$12,0))</f>
        <v>Entertainment</v>
      </c>
      <c r="N1031" s="1" t="str">
        <f>IF(TRIM(H1031)="","BLANK",IF(PROPER(TRIM(H1031))=TRIM(M1031),"MATCH","MISMATCH"))</f>
        <v>MATCH</v>
      </c>
      <c r="O1031" s="5" t="str">
        <f>INDEX([1]Employee!$C$2:$C$276,MATCH(B1031,[1]Employee!$A$2:$A$276,0))</f>
        <v>Claims</v>
      </c>
    </row>
    <row r="1032" spans="1:15">
      <c r="A1032" s="1" t="s">
        <v>2229</v>
      </c>
      <c r="B1032" s="1" t="s">
        <v>915</v>
      </c>
      <c r="C1032" s="1" t="s">
        <v>2230</v>
      </c>
      <c r="D1032" s="2">
        <v>46073</v>
      </c>
      <c r="E1032" s="2">
        <v>46081</v>
      </c>
      <c r="F1032" s="1" t="s">
        <v>160</v>
      </c>
      <c r="G1032" s="1" t="s">
        <v>6</v>
      </c>
      <c r="H1032" s="1"/>
      <c r="I1032" s="7">
        <v>375.78</v>
      </c>
      <c r="J1032" s="1" t="s">
        <v>38</v>
      </c>
      <c r="K1032" s="1"/>
      <c r="L1032" s="1" t="s">
        <v>39</v>
      </c>
      <c r="M1032" s="1" t="str">
        <f>INDEX(MCC_Lookup!$B$2:$B$12,MATCH(G1032,MCC_Lookup!$A$2:$A$12,0))</f>
        <v>Lodging</v>
      </c>
      <c r="N1032" s="1" t="str">
        <f>IF(TRIM(H1032)="","BLANK",IF(PROPER(TRIM(H1032))=TRIM(M1032),"MATCH","MISMATCH"))</f>
        <v>BLANK</v>
      </c>
      <c r="O1032" s="5" t="str">
        <f>INDEX([1]Employee!$C$2:$C$276,MATCH(B1032,[1]Employee!$A$2:$A$276,0))</f>
        <v>Sales &amp; Marketing</v>
      </c>
    </row>
    <row r="1033" spans="1:15">
      <c r="A1033" s="1" t="s">
        <v>2231</v>
      </c>
      <c r="B1033" s="1" t="s">
        <v>643</v>
      </c>
      <c r="C1033" s="1" t="s">
        <v>2232</v>
      </c>
      <c r="D1033" s="2">
        <v>46079</v>
      </c>
      <c r="E1033" s="2">
        <v>46081</v>
      </c>
      <c r="F1033" s="1" t="s">
        <v>106</v>
      </c>
      <c r="G1033" s="1" t="s">
        <v>13</v>
      </c>
      <c r="H1033" s="1" t="s">
        <v>14</v>
      </c>
      <c r="I1033" s="7">
        <v>227.38</v>
      </c>
      <c r="J1033" s="1" t="s">
        <v>38</v>
      </c>
      <c r="K1033" s="1"/>
      <c r="L1033" s="1" t="s">
        <v>39</v>
      </c>
      <c r="M1033" s="1" t="str">
        <f>INDEX(MCC_Lookup!$B$2:$B$12,MATCH(G1033,MCC_Lookup!$A$2:$A$12,0))</f>
        <v>Software</v>
      </c>
      <c r="N1033" s="1" t="str">
        <f>IF(TRIM(H1033)="","BLANK",IF(PROPER(TRIM(H1033))=TRIM(M1033),"MATCH","MISMATCH"))</f>
        <v>MATCH</v>
      </c>
      <c r="O1033" s="5" t="str">
        <f>INDEX([1]Employee!$C$2:$C$276,MATCH(B1033,[1]Employee!$A$2:$A$276,0))</f>
        <v>Sales &amp; Marketing</v>
      </c>
    </row>
    <row r="1034" spans="1:15">
      <c r="A1034" s="1" t="s">
        <v>2233</v>
      </c>
      <c r="B1034" s="1" t="s">
        <v>179</v>
      </c>
      <c r="C1034" s="1" t="s">
        <v>2234</v>
      </c>
      <c r="D1034" s="2">
        <v>46074</v>
      </c>
      <c r="E1034" s="2">
        <v>46081</v>
      </c>
      <c r="F1034" s="1" t="s">
        <v>47</v>
      </c>
      <c r="G1034" s="1" t="s">
        <v>6</v>
      </c>
      <c r="H1034" s="1" t="s">
        <v>7</v>
      </c>
      <c r="I1034" s="7">
        <v>303.72000000000003</v>
      </c>
      <c r="J1034" s="1" t="s">
        <v>38</v>
      </c>
      <c r="K1034" s="1"/>
      <c r="L1034" s="1" t="s">
        <v>39</v>
      </c>
      <c r="M1034" s="1" t="str">
        <f>INDEX(MCC_Lookup!$B$2:$B$12,MATCH(G1034,MCC_Lookup!$A$2:$A$12,0))</f>
        <v>Lodging</v>
      </c>
      <c r="N1034" s="1" t="str">
        <f>IF(TRIM(H1034)="","BLANK",IF(PROPER(TRIM(H1034))=TRIM(M1034),"MATCH","MISMATCH"))</f>
        <v>MATCH</v>
      </c>
      <c r="O1034" s="5" t="str">
        <f>INDEX([1]Employee!$C$2:$C$276,MATCH(B1034,[1]Employee!$A$2:$A$276,0))</f>
        <v>Claims</v>
      </c>
    </row>
    <row r="1035" spans="1:15">
      <c r="A1035" s="1" t="s">
        <v>2235</v>
      </c>
      <c r="B1035" s="1" t="s">
        <v>1509</v>
      </c>
      <c r="C1035" s="1" t="s">
        <v>2236</v>
      </c>
      <c r="D1035" s="2">
        <v>46077</v>
      </c>
      <c r="E1035" s="2">
        <v>46081</v>
      </c>
      <c r="F1035" s="1" t="s">
        <v>83</v>
      </c>
      <c r="G1035" s="1" t="s">
        <v>2</v>
      </c>
      <c r="H1035" s="1"/>
      <c r="I1035" s="7">
        <v>18.13</v>
      </c>
      <c r="J1035" s="1" t="s">
        <v>38</v>
      </c>
      <c r="K1035" s="1"/>
      <c r="L1035" s="1" t="s">
        <v>39</v>
      </c>
      <c r="M1035" s="1" t="str">
        <f>INDEX(MCC_Lookup!$B$2:$B$12,MATCH(G1035,MCC_Lookup!$A$2:$A$12,0))</f>
        <v>Meals</v>
      </c>
      <c r="N1035" s="1" t="str">
        <f>IF(TRIM(H1035)="","BLANK",IF(PROPER(TRIM(H1035))=TRIM(M1035),"MATCH","MISMATCH"))</f>
        <v>BLANK</v>
      </c>
      <c r="O1035" s="5" t="str">
        <f>INDEX([1]Employee!$C$2:$C$276,MATCH(B1035,[1]Employee!$A$2:$A$276,0))</f>
        <v>Claims</v>
      </c>
    </row>
    <row r="1036" spans="1:15">
      <c r="A1036" s="1" t="s">
        <v>2237</v>
      </c>
      <c r="B1036" s="1" t="s">
        <v>146</v>
      </c>
      <c r="C1036" s="1" t="s">
        <v>2238</v>
      </c>
      <c r="D1036" s="2">
        <v>46075</v>
      </c>
      <c r="E1036" s="2">
        <v>46081</v>
      </c>
      <c r="F1036" s="1" t="s">
        <v>173</v>
      </c>
      <c r="G1036" s="1" t="s">
        <v>2</v>
      </c>
      <c r="H1036" s="1" t="s">
        <v>3</v>
      </c>
      <c r="I1036" s="7">
        <v>66.510000000000005</v>
      </c>
      <c r="J1036" s="1" t="s">
        <v>38</v>
      </c>
      <c r="K1036" s="1"/>
      <c r="L1036" s="1" t="s">
        <v>48</v>
      </c>
      <c r="M1036" s="1" t="str">
        <f>INDEX(MCC_Lookup!$B$2:$B$12,MATCH(G1036,MCC_Lookup!$A$2:$A$12,0))</f>
        <v>Meals</v>
      </c>
      <c r="N1036" s="1" t="str">
        <f>IF(TRIM(H1036)="","BLANK",IF(PROPER(TRIM(H1036))=TRIM(M1036),"MATCH","MISMATCH"))</f>
        <v>MATCH</v>
      </c>
      <c r="O1036" s="5" t="str">
        <f>INDEX([1]Employee!$C$2:$C$276,MATCH(B1036,[1]Employee!$A$2:$A$276,0))</f>
        <v>HR &amp; Events</v>
      </c>
    </row>
    <row r="1037" spans="1:15">
      <c r="A1037" s="1" t="s">
        <v>2239</v>
      </c>
      <c r="B1037" s="1" t="s">
        <v>261</v>
      </c>
      <c r="C1037" s="1" t="s">
        <v>2240</v>
      </c>
      <c r="D1037" s="2">
        <v>46081</v>
      </c>
      <c r="E1037" s="2">
        <v>46082</v>
      </c>
      <c r="F1037" s="1" t="s">
        <v>69</v>
      </c>
      <c r="G1037" s="1" t="s">
        <v>8</v>
      </c>
      <c r="H1037" s="1" t="s">
        <v>9</v>
      </c>
      <c r="I1037" s="7">
        <v>35.770000000000003</v>
      </c>
      <c r="J1037" s="1" t="s">
        <v>38</v>
      </c>
      <c r="K1037" s="1"/>
      <c r="L1037" s="1" t="s">
        <v>39</v>
      </c>
      <c r="M1037" s="1" t="str">
        <f>INDEX(MCC_Lookup!$B$2:$B$12,MATCH(G1037,MCC_Lookup!$A$2:$A$12,0))</f>
        <v>Transportation</v>
      </c>
      <c r="N1037" s="1" t="str">
        <f>IF(TRIM(H1037)="","BLANK",IF(PROPER(TRIM(H1037))=TRIM(M1037),"MATCH","MISMATCH"))</f>
        <v>MATCH</v>
      </c>
      <c r="O1037" s="5" t="str">
        <f>INDEX([1]Employee!$C$2:$C$276,MATCH(B1037,[1]Employee!$A$2:$A$276,0))</f>
        <v>Sales &amp; Marketing</v>
      </c>
    </row>
    <row r="1038" spans="1:15">
      <c r="A1038" s="1" t="s">
        <v>2241</v>
      </c>
      <c r="B1038" s="1" t="s">
        <v>253</v>
      </c>
      <c r="C1038" s="1"/>
      <c r="D1038" s="2">
        <v>46082</v>
      </c>
      <c r="E1038" s="2">
        <v>46082</v>
      </c>
      <c r="F1038" s="1" t="s">
        <v>109</v>
      </c>
      <c r="G1038" s="1" t="s">
        <v>18</v>
      </c>
      <c r="H1038" s="1" t="s">
        <v>19</v>
      </c>
      <c r="I1038" s="7">
        <v>142.91</v>
      </c>
      <c r="J1038" s="1" t="s">
        <v>111</v>
      </c>
      <c r="K1038" s="1" t="s">
        <v>112</v>
      </c>
      <c r="L1038" s="1" t="s">
        <v>48</v>
      </c>
      <c r="M1038" s="1" t="str">
        <f>INDEX(MCC_Lookup!$B$2:$B$12,MATCH(G1038,MCC_Lookup!$A$2:$A$12,0))</f>
        <v>Events</v>
      </c>
      <c r="N1038" s="1" t="str">
        <f>IF(TRIM(H1038)="","BLANK",IF(PROPER(TRIM(H1038))=TRIM(M1038),"MATCH","MISMATCH"))</f>
        <v>MATCH</v>
      </c>
      <c r="O1038" s="5" t="str">
        <f>INDEX([1]Employee!$C$2:$C$276,MATCH(B1038,[1]Employee!$A$2:$A$276,0))</f>
        <v>Claims</v>
      </c>
    </row>
    <row r="1039" spans="1:15">
      <c r="A1039" s="1" t="s">
        <v>2242</v>
      </c>
      <c r="B1039" s="1" t="s">
        <v>108</v>
      </c>
      <c r="C1039" s="1" t="s">
        <v>2243</v>
      </c>
      <c r="D1039" s="2">
        <v>46080</v>
      </c>
      <c r="E1039" s="2">
        <v>46082</v>
      </c>
      <c r="F1039" s="1" t="s">
        <v>72</v>
      </c>
      <c r="G1039" s="1" t="s">
        <v>8</v>
      </c>
      <c r="H1039" s="1" t="s">
        <v>9</v>
      </c>
      <c r="I1039" s="7">
        <v>17.61</v>
      </c>
      <c r="J1039" s="1" t="s">
        <v>38</v>
      </c>
      <c r="K1039" s="1"/>
      <c r="L1039" s="1" t="s">
        <v>39</v>
      </c>
      <c r="M1039" s="1" t="str">
        <f>INDEX(MCC_Lookup!$B$2:$B$12,MATCH(G1039,MCC_Lookup!$A$2:$A$12,0))</f>
        <v>Transportation</v>
      </c>
      <c r="N1039" s="1" t="str">
        <f>IF(TRIM(H1039)="","BLANK",IF(PROPER(TRIM(H1039))=TRIM(M1039),"MATCH","MISMATCH"))</f>
        <v>MATCH</v>
      </c>
      <c r="O1039" s="5" t="str">
        <f>INDEX([1]Employee!$C$2:$C$276,MATCH(B1039,[1]Employee!$A$2:$A$276,0))</f>
        <v>Sales &amp; Marketing</v>
      </c>
    </row>
    <row r="1040" spans="1:15">
      <c r="A1040" s="1" t="s">
        <v>2244</v>
      </c>
      <c r="B1040" s="1" t="s">
        <v>108</v>
      </c>
      <c r="C1040" s="1"/>
      <c r="D1040" s="2">
        <v>46080</v>
      </c>
      <c r="E1040" s="2">
        <v>46082</v>
      </c>
      <c r="F1040" s="1" t="s">
        <v>61</v>
      </c>
      <c r="G1040" s="1" t="s">
        <v>13</v>
      </c>
      <c r="H1040" s="1" t="s">
        <v>14</v>
      </c>
      <c r="I1040" s="7">
        <v>40.68</v>
      </c>
      <c r="J1040" s="1" t="s">
        <v>38</v>
      </c>
      <c r="K1040" s="1"/>
      <c r="L1040" s="1" t="s">
        <v>39</v>
      </c>
      <c r="M1040" s="1" t="str">
        <f>INDEX(MCC_Lookup!$B$2:$B$12,MATCH(G1040,MCC_Lookup!$A$2:$A$12,0))</f>
        <v>Software</v>
      </c>
      <c r="N1040" s="1" t="str">
        <f>IF(TRIM(H1040)="","BLANK",IF(PROPER(TRIM(H1040))=TRIM(M1040),"MATCH","MISMATCH"))</f>
        <v>MATCH</v>
      </c>
      <c r="O1040" s="5" t="str">
        <f>INDEX([1]Employee!$C$2:$C$276,MATCH(B1040,[1]Employee!$A$2:$A$276,0))</f>
        <v>Sales &amp; Marketing</v>
      </c>
    </row>
    <row r="1041" spans="1:15">
      <c r="A1041" s="1" t="s">
        <v>2245</v>
      </c>
      <c r="B1041" s="1" t="s">
        <v>836</v>
      </c>
      <c r="C1041" s="1"/>
      <c r="D1041" s="2">
        <v>46081</v>
      </c>
      <c r="E1041" s="2">
        <v>46082</v>
      </c>
      <c r="F1041" s="1" t="s">
        <v>120</v>
      </c>
      <c r="G1041" s="1" t="s">
        <v>12</v>
      </c>
      <c r="H1041" s="1" t="s">
        <v>11</v>
      </c>
      <c r="I1041" s="7">
        <v>113.09</v>
      </c>
      <c r="J1041" s="1" t="s">
        <v>38</v>
      </c>
      <c r="K1041" s="1"/>
      <c r="L1041" s="1" t="s">
        <v>39</v>
      </c>
      <c r="M1041" s="1" t="str">
        <f>INDEX(MCC_Lookup!$B$2:$B$12,MATCH(G1041,MCC_Lookup!$A$2:$A$12,0))</f>
        <v>Office Supplies</v>
      </c>
      <c r="N1041" s="1" t="str">
        <f>IF(TRIM(H1041)="","BLANK",IF(PROPER(TRIM(H1041))=TRIM(M1041),"MATCH","MISMATCH"))</f>
        <v>MATCH</v>
      </c>
      <c r="O1041" s="5" t="str">
        <f>INDEX([1]Employee!$C$2:$C$276,MATCH(B1041,[1]Employee!$A$2:$A$276,0))</f>
        <v>Sales &amp; Marketing</v>
      </c>
    </row>
    <row r="1042" spans="1:15">
      <c r="A1042" s="1" t="s">
        <v>2246</v>
      </c>
      <c r="B1042" s="1" t="s">
        <v>547</v>
      </c>
      <c r="C1042" s="1"/>
      <c r="D1042" s="2">
        <v>46072</v>
      </c>
      <c r="E1042" s="2">
        <v>46082</v>
      </c>
      <c r="F1042" s="1" t="s">
        <v>47</v>
      </c>
      <c r="G1042" s="1" t="s">
        <v>6</v>
      </c>
      <c r="H1042" s="1" t="s">
        <v>7</v>
      </c>
      <c r="I1042" s="7">
        <v>263.61</v>
      </c>
      <c r="J1042" s="1" t="s">
        <v>111</v>
      </c>
      <c r="K1042" s="1" t="s">
        <v>112</v>
      </c>
      <c r="L1042" s="1" t="s">
        <v>39</v>
      </c>
      <c r="M1042" s="1" t="str">
        <f>INDEX(MCC_Lookup!$B$2:$B$12,MATCH(G1042,MCC_Lookup!$A$2:$A$12,0))</f>
        <v>Lodging</v>
      </c>
      <c r="N1042" s="1" t="str">
        <f>IF(TRIM(H1042)="","BLANK",IF(PROPER(TRIM(H1042))=TRIM(M1042),"MATCH","MISMATCH"))</f>
        <v>MATCH</v>
      </c>
      <c r="O1042" s="5" t="str">
        <f>INDEX([1]Employee!$C$2:$C$276,MATCH(B1042,[1]Employee!$A$2:$A$276,0))</f>
        <v>Sales &amp; Marketing</v>
      </c>
    </row>
    <row r="1043" spans="1:15">
      <c r="A1043" s="1" t="s">
        <v>2247</v>
      </c>
      <c r="B1043" s="1" t="s">
        <v>1427</v>
      </c>
      <c r="C1043" s="1"/>
      <c r="D1043" s="2">
        <v>46080</v>
      </c>
      <c r="E1043" s="2">
        <v>46082</v>
      </c>
      <c r="F1043" s="1" t="s">
        <v>79</v>
      </c>
      <c r="G1043" s="1" t="s">
        <v>13</v>
      </c>
      <c r="H1043" s="1" t="s">
        <v>14</v>
      </c>
      <c r="I1043" s="7">
        <v>190.29</v>
      </c>
      <c r="J1043" s="1" t="s">
        <v>38</v>
      </c>
      <c r="K1043" s="1"/>
      <c r="L1043" s="1" t="s">
        <v>48</v>
      </c>
      <c r="M1043" s="1" t="str">
        <f>INDEX(MCC_Lookup!$B$2:$B$12,MATCH(G1043,MCC_Lookup!$A$2:$A$12,0))</f>
        <v>Software</v>
      </c>
      <c r="N1043" s="1" t="str">
        <f>IF(TRIM(H1043)="","BLANK",IF(PROPER(TRIM(H1043))=TRIM(M1043),"MATCH","MISMATCH"))</f>
        <v>MATCH</v>
      </c>
      <c r="O1043" s="5" t="str">
        <f>INDEX([1]Employee!$C$2:$C$276,MATCH(B1043,[1]Employee!$A$2:$A$276,0))</f>
        <v>Finance</v>
      </c>
    </row>
    <row r="1044" spans="1:15">
      <c r="A1044" s="1" t="s">
        <v>2248</v>
      </c>
      <c r="B1044" s="1" t="s">
        <v>149</v>
      </c>
      <c r="C1044" s="1" t="s">
        <v>2249</v>
      </c>
      <c r="D1044" s="2">
        <v>46082</v>
      </c>
      <c r="E1044" s="2">
        <v>46082</v>
      </c>
      <c r="F1044" s="1" t="s">
        <v>99</v>
      </c>
      <c r="G1044" s="1" t="s">
        <v>2</v>
      </c>
      <c r="H1044" s="1" t="s">
        <v>3</v>
      </c>
      <c r="I1044" s="7">
        <v>66.52</v>
      </c>
      <c r="J1044" s="1" t="s">
        <v>38</v>
      </c>
      <c r="K1044" s="1"/>
      <c r="L1044" s="1" t="s">
        <v>39</v>
      </c>
      <c r="M1044" s="1" t="str">
        <f>INDEX(MCC_Lookup!$B$2:$B$12,MATCH(G1044,MCC_Lookup!$A$2:$A$12,0))</f>
        <v>Meals</v>
      </c>
      <c r="N1044" s="1" t="str">
        <f>IF(TRIM(H1044)="","BLANK",IF(PROPER(TRIM(H1044))=TRIM(M1044),"MATCH","MISMATCH"))</f>
        <v>MATCH</v>
      </c>
      <c r="O1044" s="5" t="str">
        <f>INDEX([1]Employee!$C$2:$C$276,MATCH(B1044,[1]Employee!$A$2:$A$276,0))</f>
        <v>Sales &amp; Marketing</v>
      </c>
    </row>
    <row r="1045" spans="1:15">
      <c r="A1045" s="1" t="s">
        <v>2250</v>
      </c>
      <c r="B1045" s="1" t="s">
        <v>1110</v>
      </c>
      <c r="C1045" s="1" t="s">
        <v>2251</v>
      </c>
      <c r="D1045" s="2">
        <v>46075</v>
      </c>
      <c r="E1045" s="2">
        <v>46082</v>
      </c>
      <c r="F1045" s="1" t="s">
        <v>242</v>
      </c>
      <c r="G1045" s="1" t="s">
        <v>13</v>
      </c>
      <c r="H1045" s="1" t="s">
        <v>14</v>
      </c>
      <c r="I1045" s="7">
        <v>38.21</v>
      </c>
      <c r="J1045" s="1" t="s">
        <v>38</v>
      </c>
      <c r="K1045" s="1"/>
      <c r="L1045" s="1" t="s">
        <v>39</v>
      </c>
      <c r="M1045" s="1" t="str">
        <f>INDEX(MCC_Lookup!$B$2:$B$12,MATCH(G1045,MCC_Lookup!$A$2:$A$12,0))</f>
        <v>Software</v>
      </c>
      <c r="N1045" s="1" t="str">
        <f>IF(TRIM(H1045)="","BLANK",IF(PROPER(TRIM(H1045))=TRIM(M1045),"MATCH","MISMATCH"))</f>
        <v>MATCH</v>
      </c>
      <c r="O1045" s="5" t="str">
        <f>INDEX([1]Employee!$C$2:$C$276,MATCH(B1045,[1]Employee!$A$2:$A$276,0))</f>
        <v>Executive &amp; Corporate</v>
      </c>
    </row>
    <row r="1046" spans="1:15">
      <c r="A1046" s="1" t="s">
        <v>2252</v>
      </c>
      <c r="B1046" s="1" t="s">
        <v>499</v>
      </c>
      <c r="C1046" s="1" t="s">
        <v>2253</v>
      </c>
      <c r="D1046" s="2">
        <v>46081</v>
      </c>
      <c r="E1046" s="2">
        <v>46082</v>
      </c>
      <c r="F1046" s="1" t="s">
        <v>347</v>
      </c>
      <c r="G1046" s="1" t="s">
        <v>8</v>
      </c>
      <c r="H1046" s="1" t="s">
        <v>494</v>
      </c>
      <c r="I1046" s="7">
        <v>32.549999999999997</v>
      </c>
      <c r="J1046" s="1" t="s">
        <v>38</v>
      </c>
      <c r="K1046" s="1"/>
      <c r="L1046" s="1" t="s">
        <v>48</v>
      </c>
      <c r="M1046" s="1" t="str">
        <f>INDEX(MCC_Lookup!$B$2:$B$12,MATCH(G1046,MCC_Lookup!$A$2:$A$12,0))</f>
        <v>Transportation</v>
      </c>
      <c r="N1046" s="1" t="str">
        <f>IF(TRIM(H1046)="","BLANK",IF(PROPER(TRIM(H1046))=TRIM(M1046),"MATCH","MISMATCH"))</f>
        <v>MATCH</v>
      </c>
      <c r="O1046" s="5" t="str">
        <f>INDEX([1]Employee!$C$2:$C$276,MATCH(B1046,[1]Employee!$A$2:$A$276,0))</f>
        <v>Sales &amp; Marketing</v>
      </c>
    </row>
    <row r="1047" spans="1:15">
      <c r="A1047" s="1" t="s">
        <v>2254</v>
      </c>
      <c r="B1047" s="1" t="s">
        <v>136</v>
      </c>
      <c r="C1047" s="1" t="s">
        <v>2255</v>
      </c>
      <c r="D1047" s="2">
        <v>46076</v>
      </c>
      <c r="E1047" s="2">
        <v>46082</v>
      </c>
      <c r="F1047" s="1" t="s">
        <v>160</v>
      </c>
      <c r="G1047" s="1" t="s">
        <v>6</v>
      </c>
      <c r="H1047" s="1" t="s">
        <v>7</v>
      </c>
      <c r="I1047" s="7">
        <v>308.48</v>
      </c>
      <c r="J1047" s="1" t="s">
        <v>38</v>
      </c>
      <c r="K1047" s="1"/>
      <c r="L1047" s="1" t="s">
        <v>39</v>
      </c>
      <c r="M1047" s="1" t="str">
        <f>INDEX(MCC_Lookup!$B$2:$B$12,MATCH(G1047,MCC_Lookup!$A$2:$A$12,0))</f>
        <v>Lodging</v>
      </c>
      <c r="N1047" s="1" t="str">
        <f>IF(TRIM(H1047)="","BLANK",IF(PROPER(TRIM(H1047))=TRIM(M1047),"MATCH","MISMATCH"))</f>
        <v>MATCH</v>
      </c>
      <c r="O1047" s="5" t="str">
        <f>INDEX([1]Employee!$C$2:$C$276,MATCH(B1047,[1]Employee!$A$2:$A$276,0))</f>
        <v>Sales &amp; Marketing</v>
      </c>
    </row>
    <row r="1048" spans="1:15">
      <c r="A1048" s="1" t="s">
        <v>2256</v>
      </c>
      <c r="B1048" s="1" t="s">
        <v>1302</v>
      </c>
      <c r="C1048" s="1" t="s">
        <v>2257</v>
      </c>
      <c r="D1048" s="2">
        <v>46078</v>
      </c>
      <c r="E1048" s="2">
        <v>46082</v>
      </c>
      <c r="F1048" s="1" t="s">
        <v>65</v>
      </c>
      <c r="G1048" s="1" t="s">
        <v>18</v>
      </c>
      <c r="H1048" s="1"/>
      <c r="I1048" s="7">
        <v>448.79</v>
      </c>
      <c r="J1048" s="1" t="s">
        <v>38</v>
      </c>
      <c r="K1048" s="1"/>
      <c r="L1048" s="1" t="s">
        <v>39</v>
      </c>
      <c r="M1048" s="1" t="str">
        <f>INDEX(MCC_Lookup!$B$2:$B$12,MATCH(G1048,MCC_Lookup!$A$2:$A$12,0))</f>
        <v>Events</v>
      </c>
      <c r="N1048" s="1" t="str">
        <f>IF(TRIM(H1048)="","BLANK",IF(PROPER(TRIM(H1048))=TRIM(M1048),"MATCH","MISMATCH"))</f>
        <v>BLANK</v>
      </c>
      <c r="O1048" s="5" t="str">
        <f>INDEX([1]Employee!$C$2:$C$276,MATCH(B1048,[1]Employee!$A$2:$A$276,0))</f>
        <v>HR &amp; Events</v>
      </c>
    </row>
    <row r="1049" spans="1:15">
      <c r="A1049" s="1" t="s">
        <v>2258</v>
      </c>
      <c r="B1049" s="1" t="s">
        <v>1302</v>
      </c>
      <c r="C1049" s="1" t="s">
        <v>2259</v>
      </c>
      <c r="D1049" s="2">
        <v>46082</v>
      </c>
      <c r="E1049" s="2">
        <v>46082</v>
      </c>
      <c r="F1049" s="1" t="s">
        <v>173</v>
      </c>
      <c r="G1049" s="1" t="s">
        <v>2</v>
      </c>
      <c r="H1049" s="1" t="s">
        <v>3</v>
      </c>
      <c r="I1049" s="7">
        <v>81.05</v>
      </c>
      <c r="J1049" s="1" t="s">
        <v>38</v>
      </c>
      <c r="K1049" s="1"/>
      <c r="L1049" s="1" t="s">
        <v>39</v>
      </c>
      <c r="M1049" s="1" t="str">
        <f>INDEX(MCC_Lookup!$B$2:$B$12,MATCH(G1049,MCC_Lookup!$A$2:$A$12,0))</f>
        <v>Meals</v>
      </c>
      <c r="N1049" s="1" t="str">
        <f>IF(TRIM(H1049)="","BLANK",IF(PROPER(TRIM(H1049))=TRIM(M1049),"MATCH","MISMATCH"))</f>
        <v>MATCH</v>
      </c>
      <c r="O1049" s="5" t="str">
        <f>INDEX([1]Employee!$C$2:$C$276,MATCH(B1049,[1]Employee!$A$2:$A$276,0))</f>
        <v>HR &amp; Events</v>
      </c>
    </row>
    <row r="1050" spans="1:15">
      <c r="A1050" s="1" t="s">
        <v>2260</v>
      </c>
      <c r="B1050" s="1" t="s">
        <v>515</v>
      </c>
      <c r="C1050" s="1" t="s">
        <v>2261</v>
      </c>
      <c r="D1050" s="2">
        <v>46075</v>
      </c>
      <c r="E1050" s="2">
        <v>46082</v>
      </c>
      <c r="F1050" s="1" t="s">
        <v>37</v>
      </c>
      <c r="G1050" s="1" t="s">
        <v>4</v>
      </c>
      <c r="H1050" s="1" t="s">
        <v>5</v>
      </c>
      <c r="I1050" s="7">
        <v>369.53</v>
      </c>
      <c r="J1050" s="1" t="s">
        <v>38</v>
      </c>
      <c r="K1050" s="1"/>
      <c r="L1050" s="1" t="s">
        <v>48</v>
      </c>
      <c r="M1050" s="1" t="str">
        <f>INDEX(MCC_Lookup!$B$2:$B$12,MATCH(G1050,MCC_Lookup!$A$2:$A$12,0))</f>
        <v>Travel</v>
      </c>
      <c r="N1050" s="1" t="str">
        <f>IF(TRIM(H1050)="","BLANK",IF(PROPER(TRIM(H1050))=TRIM(M1050),"MATCH","MISMATCH"))</f>
        <v>MATCH</v>
      </c>
      <c r="O1050" s="5" t="str">
        <f>INDEX([1]Employee!$C$2:$C$276,MATCH(B1050,[1]Employee!$A$2:$A$276,0))</f>
        <v>Actuarial &amp; Risk</v>
      </c>
    </row>
    <row r="1051" spans="1:15">
      <c r="A1051" s="1" t="s">
        <v>2262</v>
      </c>
      <c r="B1051" s="1" t="s">
        <v>35</v>
      </c>
      <c r="C1051" s="1"/>
      <c r="D1051" s="2">
        <v>46080</v>
      </c>
      <c r="E1051" s="2">
        <v>46082</v>
      </c>
      <c r="F1051" s="1" t="s">
        <v>201</v>
      </c>
      <c r="G1051" s="1" t="s">
        <v>4</v>
      </c>
      <c r="H1051" s="1" t="s">
        <v>5</v>
      </c>
      <c r="I1051" s="7">
        <v>234.26</v>
      </c>
      <c r="J1051" s="1" t="s">
        <v>38</v>
      </c>
      <c r="K1051" s="1"/>
      <c r="L1051" s="1" t="s">
        <v>39</v>
      </c>
      <c r="M1051" s="1" t="str">
        <f>INDEX(MCC_Lookup!$B$2:$B$12,MATCH(G1051,MCC_Lookup!$A$2:$A$12,0))</f>
        <v>Travel</v>
      </c>
      <c r="N1051" s="1" t="str">
        <f>IF(TRIM(H1051)="","BLANK",IF(PROPER(TRIM(H1051))=TRIM(M1051),"MATCH","MISMATCH"))</f>
        <v>MATCH</v>
      </c>
      <c r="O1051" s="5" t="str">
        <f>INDEX([1]Employee!$C$2:$C$276,MATCH(B1051,[1]Employee!$A$2:$A$276,0))</f>
        <v>Sales &amp; Marketing</v>
      </c>
    </row>
    <row r="1052" spans="1:15">
      <c r="A1052" s="1" t="s">
        <v>2263</v>
      </c>
      <c r="B1052" s="1" t="s">
        <v>1170</v>
      </c>
      <c r="C1052" s="1" t="s">
        <v>2264</v>
      </c>
      <c r="D1052" s="2">
        <v>46078</v>
      </c>
      <c r="E1052" s="2">
        <v>46082</v>
      </c>
      <c r="F1052" s="1" t="s">
        <v>83</v>
      </c>
      <c r="G1052" s="1" t="s">
        <v>2</v>
      </c>
      <c r="H1052" s="1" t="s">
        <v>3</v>
      </c>
      <c r="I1052" s="7">
        <v>14.02</v>
      </c>
      <c r="J1052" s="1" t="s">
        <v>38</v>
      </c>
      <c r="K1052" s="1"/>
      <c r="L1052" s="1" t="s">
        <v>39</v>
      </c>
      <c r="M1052" s="1" t="str">
        <f>INDEX(MCC_Lookup!$B$2:$B$12,MATCH(G1052,MCC_Lookup!$A$2:$A$12,0))</f>
        <v>Meals</v>
      </c>
      <c r="N1052" s="1" t="str">
        <f>IF(TRIM(H1052)="","BLANK",IF(PROPER(TRIM(H1052))=TRIM(M1052),"MATCH","MISMATCH"))</f>
        <v>MATCH</v>
      </c>
      <c r="O1052" s="5" t="str">
        <f>INDEX([1]Employee!$C$2:$C$276,MATCH(B1052,[1]Employee!$A$2:$A$276,0))</f>
        <v>Finance</v>
      </c>
    </row>
    <row r="1053" spans="1:15">
      <c r="A1053" s="1" t="s">
        <v>2265</v>
      </c>
      <c r="B1053" s="1" t="s">
        <v>314</v>
      </c>
      <c r="C1053" s="1" t="s">
        <v>2266</v>
      </c>
      <c r="D1053" s="2">
        <v>46074</v>
      </c>
      <c r="E1053" s="2">
        <v>46082</v>
      </c>
      <c r="F1053" s="1" t="s">
        <v>43</v>
      </c>
      <c r="G1053" s="1" t="s">
        <v>2</v>
      </c>
      <c r="H1053" s="1" t="s">
        <v>3</v>
      </c>
      <c r="I1053" s="7">
        <v>9.91</v>
      </c>
      <c r="J1053" s="1" t="s">
        <v>38</v>
      </c>
      <c r="K1053" s="1"/>
      <c r="L1053" s="1" t="s">
        <v>39</v>
      </c>
      <c r="M1053" s="1" t="str">
        <f>INDEX(MCC_Lookup!$B$2:$B$12,MATCH(G1053,MCC_Lookup!$A$2:$A$12,0))</f>
        <v>Meals</v>
      </c>
      <c r="N1053" s="1" t="str">
        <f>IF(TRIM(H1053)="","BLANK",IF(PROPER(TRIM(H1053))=TRIM(M1053),"MATCH","MISMATCH"))</f>
        <v>MATCH</v>
      </c>
      <c r="O1053" s="5" t="str">
        <f>INDEX([1]Employee!$C$2:$C$276,MATCH(B1053,[1]Employee!$A$2:$A$276,0))</f>
        <v>Sales &amp; Marketing</v>
      </c>
    </row>
    <row r="1054" spans="1:15">
      <c r="A1054" s="1" t="s">
        <v>2267</v>
      </c>
      <c r="B1054" s="1" t="s">
        <v>104</v>
      </c>
      <c r="C1054" s="1"/>
      <c r="D1054" s="2">
        <v>46080</v>
      </c>
      <c r="E1054" s="2">
        <v>46082</v>
      </c>
      <c r="F1054" s="1" t="s">
        <v>99</v>
      </c>
      <c r="G1054" s="1" t="s">
        <v>2</v>
      </c>
      <c r="H1054" s="1" t="s">
        <v>11</v>
      </c>
      <c r="I1054" s="7">
        <v>35.590000000000003</v>
      </c>
      <c r="J1054" s="1" t="s">
        <v>38</v>
      </c>
      <c r="K1054" s="1"/>
      <c r="L1054" s="1" t="s">
        <v>39</v>
      </c>
      <c r="M1054" s="1" t="str">
        <f>INDEX(MCC_Lookup!$B$2:$B$12,MATCH(G1054,MCC_Lookup!$A$2:$A$12,0))</f>
        <v>Meals</v>
      </c>
      <c r="N1054" s="1" t="str">
        <f>IF(TRIM(H1054)="","BLANK",IF(PROPER(TRIM(H1054))=TRIM(M1054),"MATCH","MISMATCH"))</f>
        <v>MISMATCH</v>
      </c>
      <c r="O1054" s="5" t="str">
        <f>INDEX([1]Employee!$C$2:$C$276,MATCH(B1054,[1]Employee!$A$2:$A$276,0))</f>
        <v>Sales &amp; Marketing</v>
      </c>
    </row>
    <row r="1055" spans="1:15">
      <c r="A1055" s="1" t="s">
        <v>2268</v>
      </c>
      <c r="B1055" s="1" t="s">
        <v>593</v>
      </c>
      <c r="C1055" s="1" t="s">
        <v>2269</v>
      </c>
      <c r="D1055" s="2">
        <v>46075</v>
      </c>
      <c r="E1055" s="2">
        <v>46082</v>
      </c>
      <c r="F1055" s="1" t="s">
        <v>43</v>
      </c>
      <c r="G1055" s="1" t="s">
        <v>2</v>
      </c>
      <c r="H1055" s="1"/>
      <c r="I1055" s="7">
        <v>9.81</v>
      </c>
      <c r="J1055" s="1" t="s">
        <v>38</v>
      </c>
      <c r="K1055" s="1"/>
      <c r="L1055" s="1" t="s">
        <v>39</v>
      </c>
      <c r="M1055" s="1" t="str">
        <f>INDEX(MCC_Lookup!$B$2:$B$12,MATCH(G1055,MCC_Lookup!$A$2:$A$12,0))</f>
        <v>Meals</v>
      </c>
      <c r="N1055" s="1" t="str">
        <f>IF(TRIM(H1055)="","BLANK",IF(PROPER(TRIM(H1055))=TRIM(M1055),"MATCH","MISMATCH"))</f>
        <v>BLANK</v>
      </c>
      <c r="O1055" s="5" t="str">
        <f>INDEX([1]Employee!$C$2:$C$276,MATCH(B1055,[1]Employee!$A$2:$A$276,0))</f>
        <v>Sales &amp; Marketing</v>
      </c>
    </row>
    <row r="1056" spans="1:15">
      <c r="A1056" s="1" t="s">
        <v>2270</v>
      </c>
      <c r="B1056" s="1" t="s">
        <v>709</v>
      </c>
      <c r="C1056" s="1" t="s">
        <v>2271</v>
      </c>
      <c r="D1056" s="2">
        <v>46076</v>
      </c>
      <c r="E1056" s="2">
        <v>46082</v>
      </c>
      <c r="F1056" s="1" t="s">
        <v>69</v>
      </c>
      <c r="G1056" s="1" t="s">
        <v>8</v>
      </c>
      <c r="H1056" s="1" t="s">
        <v>9</v>
      </c>
      <c r="I1056" s="7">
        <v>47</v>
      </c>
      <c r="J1056" s="1" t="s">
        <v>38</v>
      </c>
      <c r="K1056" s="1"/>
      <c r="L1056" s="1" t="s">
        <v>39</v>
      </c>
      <c r="M1056" s="1" t="str">
        <f>INDEX(MCC_Lookup!$B$2:$B$12,MATCH(G1056,MCC_Lookup!$A$2:$A$12,0))</f>
        <v>Transportation</v>
      </c>
      <c r="N1056" s="1" t="str">
        <f>IF(TRIM(H1056)="","BLANK",IF(PROPER(TRIM(H1056))=TRIM(M1056),"MATCH","MISMATCH"))</f>
        <v>MATCH</v>
      </c>
      <c r="O1056" s="5" t="str">
        <f>INDEX([1]Employee!$C$2:$C$276,MATCH(B1056,[1]Employee!$A$2:$A$276,0))</f>
        <v>Underwriting</v>
      </c>
    </row>
    <row r="1057" spans="1:15">
      <c r="A1057" s="1" t="s">
        <v>2272</v>
      </c>
      <c r="B1057" s="1" t="s">
        <v>382</v>
      </c>
      <c r="C1057" s="1" t="s">
        <v>2273</v>
      </c>
      <c r="D1057" s="2">
        <v>46072</v>
      </c>
      <c r="E1057" s="2">
        <v>46082</v>
      </c>
      <c r="F1057" s="1" t="s">
        <v>47</v>
      </c>
      <c r="G1057" s="1" t="s">
        <v>6</v>
      </c>
      <c r="H1057" s="1" t="s">
        <v>7</v>
      </c>
      <c r="I1057" s="7">
        <v>179.77</v>
      </c>
      <c r="J1057" s="1" t="s">
        <v>38</v>
      </c>
      <c r="K1057" s="1"/>
      <c r="L1057" s="1" t="s">
        <v>39</v>
      </c>
      <c r="M1057" s="1" t="str">
        <f>INDEX(MCC_Lookup!$B$2:$B$12,MATCH(G1057,MCC_Lookup!$A$2:$A$12,0))</f>
        <v>Lodging</v>
      </c>
      <c r="N1057" s="1" t="str">
        <f>IF(TRIM(H1057)="","BLANK",IF(PROPER(TRIM(H1057))=TRIM(M1057),"MATCH","MISMATCH"))</f>
        <v>MATCH</v>
      </c>
      <c r="O1057" s="5" t="str">
        <f>INDEX([1]Employee!$C$2:$C$276,MATCH(B1057,[1]Employee!$A$2:$A$276,0))</f>
        <v>Sales &amp; Marketing</v>
      </c>
    </row>
    <row r="1058" spans="1:15">
      <c r="A1058" s="1" t="s">
        <v>2274</v>
      </c>
      <c r="B1058" s="1" t="s">
        <v>371</v>
      </c>
      <c r="C1058" s="1"/>
      <c r="D1058" s="2">
        <v>46081</v>
      </c>
      <c r="E1058" s="2">
        <v>46083</v>
      </c>
      <c r="F1058" s="1" t="s">
        <v>99</v>
      </c>
      <c r="G1058" s="1" t="s">
        <v>2</v>
      </c>
      <c r="H1058" s="1" t="s">
        <v>3</v>
      </c>
      <c r="I1058" s="7">
        <v>60.63</v>
      </c>
      <c r="J1058" s="1" t="s">
        <v>38</v>
      </c>
      <c r="K1058" s="1"/>
      <c r="L1058" s="1" t="s">
        <v>39</v>
      </c>
      <c r="M1058" s="1" t="str">
        <f>INDEX(MCC_Lookup!$B$2:$B$12,MATCH(G1058,MCC_Lookup!$A$2:$A$12,0))</f>
        <v>Meals</v>
      </c>
      <c r="N1058" s="1" t="str">
        <f>IF(TRIM(H1058)="","BLANK",IF(PROPER(TRIM(H1058))=TRIM(M1058),"MATCH","MISMATCH"))</f>
        <v>MATCH</v>
      </c>
      <c r="O1058" s="5" t="str">
        <f>INDEX([1]Employee!$C$2:$C$276,MATCH(B1058,[1]Employee!$A$2:$A$276,0))</f>
        <v>Customer Support</v>
      </c>
    </row>
    <row r="1059" spans="1:15">
      <c r="A1059" s="1" t="s">
        <v>2275</v>
      </c>
      <c r="B1059" s="1" t="s">
        <v>1110</v>
      </c>
      <c r="C1059" s="1" t="s">
        <v>2276</v>
      </c>
      <c r="D1059" s="2">
        <v>46074</v>
      </c>
      <c r="E1059" s="2">
        <v>46083</v>
      </c>
      <c r="F1059" s="1" t="s">
        <v>61</v>
      </c>
      <c r="G1059" s="1" t="s">
        <v>13</v>
      </c>
      <c r="H1059" s="1" t="s">
        <v>14</v>
      </c>
      <c r="I1059" s="7">
        <v>33.58</v>
      </c>
      <c r="J1059" s="1" t="s">
        <v>38</v>
      </c>
      <c r="K1059" s="1"/>
      <c r="L1059" s="1" t="s">
        <v>39</v>
      </c>
      <c r="M1059" s="1" t="str">
        <f>INDEX(MCC_Lookup!$B$2:$B$12,MATCH(G1059,MCC_Lookup!$A$2:$A$12,0))</f>
        <v>Software</v>
      </c>
      <c r="N1059" s="1" t="str">
        <f>IF(TRIM(H1059)="","BLANK",IF(PROPER(TRIM(H1059))=TRIM(M1059),"MATCH","MISMATCH"))</f>
        <v>MATCH</v>
      </c>
      <c r="O1059" s="5" t="str">
        <f>INDEX([1]Employee!$C$2:$C$276,MATCH(B1059,[1]Employee!$A$2:$A$276,0))</f>
        <v>Executive &amp; Corporate</v>
      </c>
    </row>
    <row r="1060" spans="1:15">
      <c r="A1060" s="1" t="s">
        <v>2277</v>
      </c>
      <c r="B1060" s="1" t="s">
        <v>328</v>
      </c>
      <c r="C1060" s="1" t="s">
        <v>2278</v>
      </c>
      <c r="D1060" s="2">
        <v>46082</v>
      </c>
      <c r="E1060" s="2">
        <v>46083</v>
      </c>
      <c r="F1060" s="1" t="s">
        <v>99</v>
      </c>
      <c r="G1060" s="1" t="s">
        <v>2</v>
      </c>
      <c r="H1060" s="1" t="s">
        <v>3</v>
      </c>
      <c r="I1060" s="7">
        <v>134.85</v>
      </c>
      <c r="J1060" s="1" t="s">
        <v>38</v>
      </c>
      <c r="K1060" s="1"/>
      <c r="L1060" s="1" t="s">
        <v>48</v>
      </c>
      <c r="M1060" s="1" t="str">
        <f>INDEX(MCC_Lookup!$B$2:$B$12,MATCH(G1060,MCC_Lookup!$A$2:$A$12,0))</f>
        <v>Meals</v>
      </c>
      <c r="N1060" s="1" t="str">
        <f>IF(TRIM(H1060)="","BLANK",IF(PROPER(TRIM(H1060))=TRIM(M1060),"MATCH","MISMATCH"))</f>
        <v>MATCH</v>
      </c>
      <c r="O1060" s="5" t="str">
        <f>INDEX([1]Employee!$C$2:$C$276,MATCH(B1060,[1]Employee!$A$2:$A$276,0))</f>
        <v>Underwriting</v>
      </c>
    </row>
    <row r="1061" spans="1:15">
      <c r="A1061" s="1" t="s">
        <v>2279</v>
      </c>
      <c r="B1061" s="1" t="s">
        <v>732</v>
      </c>
      <c r="C1061" s="1" t="s">
        <v>2280</v>
      </c>
      <c r="D1061" s="2">
        <v>46083</v>
      </c>
      <c r="E1061" s="2">
        <v>46083</v>
      </c>
      <c r="F1061" s="1" t="s">
        <v>305</v>
      </c>
      <c r="G1061" s="1" t="s">
        <v>2</v>
      </c>
      <c r="H1061" s="1"/>
      <c r="I1061" s="7">
        <v>10.16</v>
      </c>
      <c r="J1061" s="1" t="s">
        <v>38</v>
      </c>
      <c r="K1061" s="1"/>
      <c r="L1061" s="1" t="s">
        <v>39</v>
      </c>
      <c r="M1061" s="1" t="str">
        <f>INDEX(MCC_Lookup!$B$2:$B$12,MATCH(G1061,MCC_Lookup!$A$2:$A$12,0))</f>
        <v>Meals</v>
      </c>
      <c r="N1061" s="1" t="str">
        <f>IF(TRIM(H1061)="","BLANK",IF(PROPER(TRIM(H1061))=TRIM(M1061),"MATCH","MISMATCH"))</f>
        <v>BLANK</v>
      </c>
      <c r="O1061" s="5" t="str">
        <f>INDEX([1]Employee!$C$2:$C$276,MATCH(B1061,[1]Employee!$A$2:$A$276,0))</f>
        <v>Underwriting</v>
      </c>
    </row>
    <row r="1062" spans="1:15">
      <c r="A1062" s="1" t="s">
        <v>2281</v>
      </c>
      <c r="B1062" s="1" t="s">
        <v>615</v>
      </c>
      <c r="C1062" s="1" t="s">
        <v>2282</v>
      </c>
      <c r="D1062" s="2">
        <v>46079</v>
      </c>
      <c r="E1062" s="2">
        <v>46083</v>
      </c>
      <c r="F1062" s="1" t="s">
        <v>72</v>
      </c>
      <c r="G1062" s="1" t="s">
        <v>8</v>
      </c>
      <c r="H1062" s="1" t="s">
        <v>9</v>
      </c>
      <c r="I1062" s="7">
        <v>8.07</v>
      </c>
      <c r="J1062" s="1" t="s">
        <v>38</v>
      </c>
      <c r="K1062" s="1"/>
      <c r="L1062" s="1" t="s">
        <v>39</v>
      </c>
      <c r="M1062" s="1" t="str">
        <f>INDEX(MCC_Lookup!$B$2:$B$12,MATCH(G1062,MCC_Lookup!$A$2:$A$12,0))</f>
        <v>Transportation</v>
      </c>
      <c r="N1062" s="1" t="str">
        <f>IF(TRIM(H1062)="","BLANK",IF(PROPER(TRIM(H1062))=TRIM(M1062),"MATCH","MISMATCH"))</f>
        <v>MATCH</v>
      </c>
      <c r="O1062" s="5" t="str">
        <f>INDEX([1]Employee!$C$2:$C$276,MATCH(B1062,[1]Employee!$A$2:$A$276,0))</f>
        <v>Underwriting</v>
      </c>
    </row>
    <row r="1063" spans="1:15">
      <c r="A1063" s="1" t="s">
        <v>2283</v>
      </c>
      <c r="B1063" s="1" t="s">
        <v>244</v>
      </c>
      <c r="C1063" s="1" t="s">
        <v>2284</v>
      </c>
      <c r="D1063" s="2">
        <v>46083</v>
      </c>
      <c r="E1063" s="2">
        <v>46083</v>
      </c>
      <c r="F1063" s="1" t="s">
        <v>76</v>
      </c>
      <c r="G1063" s="1" t="s">
        <v>13</v>
      </c>
      <c r="H1063" s="1" t="s">
        <v>14</v>
      </c>
      <c r="I1063" s="7">
        <v>460.82</v>
      </c>
      <c r="J1063" s="1" t="s">
        <v>38</v>
      </c>
      <c r="K1063" s="1"/>
      <c r="L1063" s="1" t="s">
        <v>39</v>
      </c>
      <c r="M1063" s="1" t="str">
        <f>INDEX(MCC_Lookup!$B$2:$B$12,MATCH(G1063,MCC_Lookup!$A$2:$A$12,0))</f>
        <v>Software</v>
      </c>
      <c r="N1063" s="1" t="str">
        <f>IF(TRIM(H1063)="","BLANK",IF(PROPER(TRIM(H1063))=TRIM(M1063),"MATCH","MISMATCH"))</f>
        <v>MATCH</v>
      </c>
      <c r="O1063" s="5" t="str">
        <f>INDEX([1]Employee!$C$2:$C$276,MATCH(B1063,[1]Employee!$A$2:$A$276,0))</f>
        <v>Sales &amp; Marketing</v>
      </c>
    </row>
    <row r="1064" spans="1:15">
      <c r="A1064" s="1" t="s">
        <v>2285</v>
      </c>
      <c r="B1064" s="1" t="s">
        <v>1051</v>
      </c>
      <c r="C1064" s="1" t="s">
        <v>2286</v>
      </c>
      <c r="D1064" s="2">
        <v>46074</v>
      </c>
      <c r="E1064" s="2">
        <v>46083</v>
      </c>
      <c r="F1064" s="1" t="s">
        <v>124</v>
      </c>
      <c r="G1064" s="1" t="s">
        <v>17</v>
      </c>
      <c r="H1064" s="1"/>
      <c r="I1064" s="7">
        <v>139.51</v>
      </c>
      <c r="J1064" s="1" t="s">
        <v>38</v>
      </c>
      <c r="K1064" s="1"/>
      <c r="L1064" s="1" t="s">
        <v>39</v>
      </c>
      <c r="M1064" s="1" t="str">
        <f>INDEX(MCC_Lookup!$B$2:$B$12,MATCH(G1064,MCC_Lookup!$A$2:$A$12,0))</f>
        <v>Entertainment</v>
      </c>
      <c r="N1064" s="1" t="str">
        <f>IF(TRIM(H1064)="","BLANK",IF(PROPER(TRIM(H1064))=TRIM(M1064),"MATCH","MISMATCH"))</f>
        <v>BLANK</v>
      </c>
      <c r="O1064" s="5" t="str">
        <f>INDEX([1]Employee!$C$2:$C$276,MATCH(B1064,[1]Employee!$A$2:$A$276,0))</f>
        <v>Finance</v>
      </c>
    </row>
    <row r="1065" spans="1:15">
      <c r="A1065" s="1" t="s">
        <v>2287</v>
      </c>
      <c r="B1065" s="1" t="s">
        <v>553</v>
      </c>
      <c r="C1065" s="1" t="s">
        <v>2288</v>
      </c>
      <c r="D1065" s="2">
        <v>46079</v>
      </c>
      <c r="E1065" s="2">
        <v>46083</v>
      </c>
      <c r="F1065" s="1" t="s">
        <v>347</v>
      </c>
      <c r="G1065" s="1" t="s">
        <v>8</v>
      </c>
      <c r="H1065" s="1" t="s">
        <v>9</v>
      </c>
      <c r="I1065" s="7">
        <v>34.78</v>
      </c>
      <c r="J1065" s="1" t="s">
        <v>38</v>
      </c>
      <c r="K1065" s="1"/>
      <c r="L1065" s="1" t="s">
        <v>39</v>
      </c>
      <c r="M1065" s="1" t="str">
        <f>INDEX(MCC_Lookup!$B$2:$B$12,MATCH(G1065,MCC_Lookup!$A$2:$A$12,0))</f>
        <v>Transportation</v>
      </c>
      <c r="N1065" s="1" t="str">
        <f>IF(TRIM(H1065)="","BLANK",IF(PROPER(TRIM(H1065))=TRIM(M1065),"MATCH","MISMATCH"))</f>
        <v>MATCH</v>
      </c>
      <c r="O1065" s="5" t="str">
        <f>INDEX([1]Employee!$C$2:$C$276,MATCH(B1065,[1]Employee!$A$2:$A$276,0))</f>
        <v>Claims</v>
      </c>
    </row>
    <row r="1066" spans="1:15">
      <c r="A1066" s="1" t="s">
        <v>2289</v>
      </c>
      <c r="B1066" s="1" t="s">
        <v>71</v>
      </c>
      <c r="C1066" s="1" t="s">
        <v>2290</v>
      </c>
      <c r="D1066" s="2">
        <v>46083</v>
      </c>
      <c r="E1066" s="2">
        <v>46083</v>
      </c>
      <c r="F1066" s="1" t="s">
        <v>92</v>
      </c>
      <c r="G1066" s="1" t="s">
        <v>10</v>
      </c>
      <c r="H1066" s="1" t="s">
        <v>295</v>
      </c>
      <c r="I1066" s="7">
        <v>139.86000000000001</v>
      </c>
      <c r="J1066" s="1" t="s">
        <v>38</v>
      </c>
      <c r="K1066" s="1"/>
      <c r="L1066" s="1" t="s">
        <v>48</v>
      </c>
      <c r="M1066" s="1" t="str">
        <f>INDEX(MCC_Lookup!$B$2:$B$12,MATCH(G1066,MCC_Lookup!$A$2:$A$12,0))</f>
        <v>Office Supplies</v>
      </c>
      <c r="N1066" s="1" t="str">
        <f>IF(TRIM(H1066)="","BLANK",IF(PROPER(TRIM(H1066))=TRIM(M1066),"MATCH","MISMATCH"))</f>
        <v>MATCH</v>
      </c>
      <c r="O1066" s="5" t="str">
        <f>INDEX([1]Employee!$C$2:$C$276,MATCH(B1066,[1]Employee!$A$2:$A$276,0))</f>
        <v>Sales &amp; Marketing</v>
      </c>
    </row>
    <row r="1067" spans="1:15">
      <c r="A1067" s="1" t="s">
        <v>2291</v>
      </c>
      <c r="B1067" s="1" t="s">
        <v>97</v>
      </c>
      <c r="C1067" s="1" t="s">
        <v>2292</v>
      </c>
      <c r="D1067" s="2">
        <v>46079</v>
      </c>
      <c r="E1067" s="2">
        <v>46083</v>
      </c>
      <c r="F1067" s="1" t="s">
        <v>120</v>
      </c>
      <c r="G1067" s="1" t="s">
        <v>12</v>
      </c>
      <c r="H1067" s="1" t="s">
        <v>11</v>
      </c>
      <c r="I1067" s="7">
        <v>29.33</v>
      </c>
      <c r="J1067" s="1" t="s">
        <v>38</v>
      </c>
      <c r="K1067" s="1"/>
      <c r="L1067" s="1" t="s">
        <v>39</v>
      </c>
      <c r="M1067" s="1" t="str">
        <f>INDEX(MCC_Lookup!$B$2:$B$12,MATCH(G1067,MCC_Lookup!$A$2:$A$12,0))</f>
        <v>Office Supplies</v>
      </c>
      <c r="N1067" s="1" t="str">
        <f>IF(TRIM(H1067)="","BLANK",IF(PROPER(TRIM(H1067))=TRIM(M1067),"MATCH","MISMATCH"))</f>
        <v>MATCH</v>
      </c>
      <c r="O1067" s="5" t="str">
        <f>INDEX([1]Employee!$C$2:$C$276,MATCH(B1067,[1]Employee!$A$2:$A$276,0))</f>
        <v>Sales &amp; Marketing</v>
      </c>
    </row>
    <row r="1068" spans="1:15">
      <c r="A1068" s="1" t="s">
        <v>2293</v>
      </c>
      <c r="B1068" s="1" t="s">
        <v>1488</v>
      </c>
      <c r="C1068" s="1" t="s">
        <v>2294</v>
      </c>
      <c r="D1068" s="2">
        <v>46083</v>
      </c>
      <c r="E1068" s="2">
        <v>46083</v>
      </c>
      <c r="F1068" s="1" t="s">
        <v>116</v>
      </c>
      <c r="G1068" s="1" t="s">
        <v>2</v>
      </c>
      <c r="H1068" s="1" t="s">
        <v>3</v>
      </c>
      <c r="I1068" s="7">
        <v>15.24</v>
      </c>
      <c r="J1068" s="1" t="s">
        <v>38</v>
      </c>
      <c r="K1068" s="1"/>
      <c r="L1068" s="1" t="s">
        <v>39</v>
      </c>
      <c r="M1068" s="1" t="str">
        <f>INDEX(MCC_Lookup!$B$2:$B$12,MATCH(G1068,MCC_Lookup!$A$2:$A$12,0))</f>
        <v>Meals</v>
      </c>
      <c r="N1068" s="1" t="str">
        <f>IF(TRIM(H1068)="","BLANK",IF(PROPER(TRIM(H1068))=TRIM(M1068),"MATCH","MISMATCH"))</f>
        <v>MATCH</v>
      </c>
      <c r="O1068" s="5" t="str">
        <f>INDEX([1]Employee!$C$2:$C$276,MATCH(B1068,[1]Employee!$A$2:$A$276,0))</f>
        <v>Claims</v>
      </c>
    </row>
    <row r="1069" spans="1:15">
      <c r="A1069" s="1" t="s">
        <v>2295</v>
      </c>
      <c r="B1069" s="1" t="s">
        <v>50</v>
      </c>
      <c r="C1069" s="1" t="s">
        <v>2296</v>
      </c>
      <c r="D1069" s="2">
        <v>46077</v>
      </c>
      <c r="E1069" s="2">
        <v>46083</v>
      </c>
      <c r="F1069" s="1" t="s">
        <v>47</v>
      </c>
      <c r="G1069" s="1" t="s">
        <v>6</v>
      </c>
      <c r="H1069" s="1" t="s">
        <v>228</v>
      </c>
      <c r="I1069" s="7">
        <v>356.06</v>
      </c>
      <c r="J1069" s="1" t="s">
        <v>38</v>
      </c>
      <c r="K1069" s="1"/>
      <c r="L1069" s="1" t="s">
        <v>39</v>
      </c>
      <c r="M1069" s="1" t="str">
        <f>INDEX(MCC_Lookup!$B$2:$B$12,MATCH(G1069,MCC_Lookup!$A$2:$A$12,0))</f>
        <v>Lodging</v>
      </c>
      <c r="N1069" s="1" t="str">
        <f>IF(TRIM(H1069)="","BLANK",IF(PROPER(TRIM(H1069))=TRIM(M1069),"MATCH","MISMATCH"))</f>
        <v>MATCH</v>
      </c>
      <c r="O1069" s="5" t="str">
        <f>INDEX([1]Employee!$C$2:$C$276,MATCH(B1069,[1]Employee!$A$2:$A$276,0))</f>
        <v>Sales &amp; Marketing</v>
      </c>
    </row>
    <row r="1070" spans="1:15">
      <c r="A1070" s="1" t="s">
        <v>2297</v>
      </c>
      <c r="B1070" s="1" t="s">
        <v>90</v>
      </c>
      <c r="C1070" s="1" t="s">
        <v>2298</v>
      </c>
      <c r="D1070" s="2">
        <v>46074</v>
      </c>
      <c r="E1070" s="2">
        <v>46083</v>
      </c>
      <c r="F1070" s="1" t="s">
        <v>43</v>
      </c>
      <c r="G1070" s="1" t="s">
        <v>2</v>
      </c>
      <c r="H1070" s="1" t="s">
        <v>3</v>
      </c>
      <c r="I1070" s="7">
        <v>24.2</v>
      </c>
      <c r="J1070" s="1" t="s">
        <v>38</v>
      </c>
      <c r="K1070" s="1"/>
      <c r="L1070" s="1" t="s">
        <v>39</v>
      </c>
      <c r="M1070" s="1" t="str">
        <f>INDEX(MCC_Lookup!$B$2:$B$12,MATCH(G1070,MCC_Lookup!$A$2:$A$12,0))</f>
        <v>Meals</v>
      </c>
      <c r="N1070" s="1" t="str">
        <f>IF(TRIM(H1070)="","BLANK",IF(PROPER(TRIM(H1070))=TRIM(M1070),"MATCH","MISMATCH"))</f>
        <v>MATCH</v>
      </c>
      <c r="O1070" s="5" t="str">
        <f>INDEX([1]Employee!$C$2:$C$276,MATCH(B1070,[1]Employee!$A$2:$A$276,0))</f>
        <v>Sales &amp; Marketing</v>
      </c>
    </row>
    <row r="1071" spans="1:15">
      <c r="A1071" s="1" t="s">
        <v>2299</v>
      </c>
      <c r="B1071" s="1" t="s">
        <v>499</v>
      </c>
      <c r="C1071" s="1" t="s">
        <v>2300</v>
      </c>
      <c r="D1071" s="2">
        <v>46083</v>
      </c>
      <c r="E1071" s="2">
        <v>46083</v>
      </c>
      <c r="F1071" s="1" t="s">
        <v>160</v>
      </c>
      <c r="G1071" s="1" t="s">
        <v>6</v>
      </c>
      <c r="H1071" s="1" t="s">
        <v>7</v>
      </c>
      <c r="I1071" s="7">
        <v>454.51</v>
      </c>
      <c r="J1071" s="1" t="s">
        <v>38</v>
      </c>
      <c r="K1071" s="1"/>
      <c r="L1071" s="1" t="s">
        <v>39</v>
      </c>
      <c r="M1071" s="1" t="str">
        <f>INDEX(MCC_Lookup!$B$2:$B$12,MATCH(G1071,MCC_Lookup!$A$2:$A$12,0))</f>
        <v>Lodging</v>
      </c>
      <c r="N1071" s="1" t="str">
        <f>IF(TRIM(H1071)="","BLANK",IF(PROPER(TRIM(H1071))=TRIM(M1071),"MATCH","MISMATCH"))</f>
        <v>MATCH</v>
      </c>
      <c r="O1071" s="5" t="str">
        <f>INDEX([1]Employee!$C$2:$C$276,MATCH(B1071,[1]Employee!$A$2:$A$276,0))</f>
        <v>Sales &amp; Marketing</v>
      </c>
    </row>
    <row r="1072" spans="1:15">
      <c r="A1072" s="1" t="s">
        <v>2301</v>
      </c>
      <c r="B1072" s="1" t="s">
        <v>453</v>
      </c>
      <c r="C1072" s="1"/>
      <c r="D1072" s="2">
        <v>46078</v>
      </c>
      <c r="E1072" s="2">
        <v>46083</v>
      </c>
      <c r="F1072" s="1" t="s">
        <v>177</v>
      </c>
      <c r="G1072" s="1" t="s">
        <v>13</v>
      </c>
      <c r="H1072" s="1" t="s">
        <v>14</v>
      </c>
      <c r="I1072" s="7">
        <v>42.02</v>
      </c>
      <c r="J1072" s="1" t="s">
        <v>111</v>
      </c>
      <c r="K1072" s="1" t="s">
        <v>229</v>
      </c>
      <c r="L1072" s="1" t="s">
        <v>39</v>
      </c>
      <c r="M1072" s="1" t="str">
        <f>INDEX(MCC_Lookup!$B$2:$B$12,MATCH(G1072,MCC_Lookup!$A$2:$A$12,0))</f>
        <v>Software</v>
      </c>
      <c r="N1072" s="1" t="str">
        <f>IF(TRIM(H1072)="","BLANK",IF(PROPER(TRIM(H1072))=TRIM(M1072),"MATCH","MISMATCH"))</f>
        <v>MATCH</v>
      </c>
      <c r="O1072" s="5" t="str">
        <f>INDEX([1]Employee!$C$2:$C$276,MATCH(B1072,[1]Employee!$A$2:$A$276,0))</f>
        <v>IT &amp; Platform Engineering</v>
      </c>
    </row>
    <row r="1073" spans="1:15">
      <c r="A1073" s="1" t="s">
        <v>2302</v>
      </c>
      <c r="B1073" s="1" t="s">
        <v>810</v>
      </c>
      <c r="C1073" s="1" t="s">
        <v>2303</v>
      </c>
      <c r="D1073" s="2">
        <v>46077</v>
      </c>
      <c r="E1073" s="2">
        <v>46083</v>
      </c>
      <c r="F1073" s="1" t="s">
        <v>76</v>
      </c>
      <c r="G1073" s="1" t="s">
        <v>13</v>
      </c>
      <c r="H1073" s="1" t="s">
        <v>14</v>
      </c>
      <c r="I1073" s="7">
        <v>276</v>
      </c>
      <c r="J1073" s="1" t="s">
        <v>38</v>
      </c>
      <c r="K1073" s="1"/>
      <c r="L1073" s="1" t="s">
        <v>39</v>
      </c>
      <c r="M1073" s="1" t="str">
        <f>INDEX(MCC_Lookup!$B$2:$B$12,MATCH(G1073,MCC_Lookup!$A$2:$A$12,0))</f>
        <v>Software</v>
      </c>
      <c r="N1073" s="1" t="str">
        <f>IF(TRIM(H1073)="","BLANK",IF(PROPER(TRIM(H1073))=TRIM(M1073),"MATCH","MISMATCH"))</f>
        <v>MATCH</v>
      </c>
      <c r="O1073" s="5" t="str">
        <f>INDEX([1]Employee!$C$2:$C$276,MATCH(B1073,[1]Employee!$A$2:$A$276,0))</f>
        <v>Sales &amp; Marketing</v>
      </c>
    </row>
    <row r="1074" spans="1:15">
      <c r="A1074" s="1" t="s">
        <v>2304</v>
      </c>
      <c r="B1074" s="1" t="s">
        <v>104</v>
      </c>
      <c r="C1074" s="1" t="s">
        <v>2305</v>
      </c>
      <c r="D1074" s="2">
        <v>46082</v>
      </c>
      <c r="E1074" s="2">
        <v>46083</v>
      </c>
      <c r="F1074" s="1" t="s">
        <v>116</v>
      </c>
      <c r="G1074" s="1" t="s">
        <v>2</v>
      </c>
      <c r="H1074" s="1" t="s">
        <v>138</v>
      </c>
      <c r="I1074" s="7">
        <v>13.55</v>
      </c>
      <c r="J1074" s="1" t="s">
        <v>38</v>
      </c>
      <c r="K1074" s="1"/>
      <c r="L1074" s="1" t="s">
        <v>39</v>
      </c>
      <c r="M1074" s="1" t="str">
        <f>INDEX(MCC_Lookup!$B$2:$B$12,MATCH(G1074,MCC_Lookup!$A$2:$A$12,0))</f>
        <v>Meals</v>
      </c>
      <c r="N1074" s="1" t="str">
        <f>IF(TRIM(H1074)="","BLANK",IF(PROPER(TRIM(H1074))=TRIM(M1074),"MATCH","MISMATCH"))</f>
        <v>MATCH</v>
      </c>
      <c r="O1074" s="5" t="str">
        <f>INDEX([1]Employee!$C$2:$C$276,MATCH(B1074,[1]Employee!$A$2:$A$276,0))</f>
        <v>Sales &amp; Marketing</v>
      </c>
    </row>
    <row r="1075" spans="1:15">
      <c r="A1075" s="1" t="s">
        <v>2306</v>
      </c>
      <c r="B1075" s="1" t="s">
        <v>677</v>
      </c>
      <c r="C1075" s="1" t="s">
        <v>2307</v>
      </c>
      <c r="D1075" s="2">
        <v>46082</v>
      </c>
      <c r="E1075" s="2">
        <v>46083</v>
      </c>
      <c r="F1075" s="1" t="s">
        <v>124</v>
      </c>
      <c r="G1075" s="1" t="s">
        <v>17</v>
      </c>
      <c r="H1075" s="1" t="s">
        <v>16</v>
      </c>
      <c r="I1075" s="7">
        <v>235.5</v>
      </c>
      <c r="J1075" s="1" t="s">
        <v>38</v>
      </c>
      <c r="K1075" s="1"/>
      <c r="L1075" s="1" t="s">
        <v>39</v>
      </c>
      <c r="M1075" s="1" t="str">
        <f>INDEX(MCC_Lookup!$B$2:$B$12,MATCH(G1075,MCC_Lookup!$A$2:$A$12,0))</f>
        <v>Entertainment</v>
      </c>
      <c r="N1075" s="1" t="str">
        <f>IF(TRIM(H1075)="","BLANK",IF(PROPER(TRIM(H1075))=TRIM(M1075),"MATCH","MISMATCH"))</f>
        <v>MATCH</v>
      </c>
      <c r="O1075" s="5" t="str">
        <f>INDEX([1]Employee!$C$2:$C$276,MATCH(B1075,[1]Employee!$A$2:$A$276,0))</f>
        <v>Sales &amp; Marketing</v>
      </c>
    </row>
    <row r="1076" spans="1:15">
      <c r="A1076" s="1" t="s">
        <v>2308</v>
      </c>
      <c r="B1076" s="1" t="s">
        <v>597</v>
      </c>
      <c r="C1076" s="1" t="s">
        <v>2309</v>
      </c>
      <c r="D1076" s="2">
        <v>46076</v>
      </c>
      <c r="E1076" s="2">
        <v>46083</v>
      </c>
      <c r="F1076" s="1" t="s">
        <v>116</v>
      </c>
      <c r="G1076" s="1" t="s">
        <v>2</v>
      </c>
      <c r="H1076" s="1" t="s">
        <v>3</v>
      </c>
      <c r="I1076" s="7">
        <v>11.04</v>
      </c>
      <c r="J1076" s="1" t="s">
        <v>38</v>
      </c>
      <c r="K1076" s="1"/>
      <c r="L1076" s="1" t="s">
        <v>39</v>
      </c>
      <c r="M1076" s="1" t="str">
        <f>INDEX(MCC_Lookup!$B$2:$B$12,MATCH(G1076,MCC_Lookup!$A$2:$A$12,0))</f>
        <v>Meals</v>
      </c>
      <c r="N1076" s="1" t="str">
        <f>IF(TRIM(H1076)="","BLANK",IF(PROPER(TRIM(H1076))=TRIM(M1076),"MATCH","MISMATCH"))</f>
        <v>MATCH</v>
      </c>
      <c r="O1076" s="5" t="str">
        <f>INDEX([1]Employee!$C$2:$C$276,MATCH(B1076,[1]Employee!$A$2:$A$276,0))</f>
        <v>Sales &amp; Marketing</v>
      </c>
    </row>
    <row r="1077" spans="1:15">
      <c r="A1077" s="1" t="s">
        <v>2310</v>
      </c>
      <c r="B1077" s="1" t="s">
        <v>475</v>
      </c>
      <c r="C1077" s="1" t="s">
        <v>2311</v>
      </c>
      <c r="D1077" s="2">
        <v>46081</v>
      </c>
      <c r="E1077" s="2">
        <v>46084</v>
      </c>
      <c r="F1077" s="1" t="s">
        <v>120</v>
      </c>
      <c r="G1077" s="1" t="s">
        <v>12</v>
      </c>
      <c r="H1077" s="1" t="s">
        <v>131</v>
      </c>
      <c r="I1077" s="7">
        <v>38.450000000000003</v>
      </c>
      <c r="J1077" s="1" t="s">
        <v>38</v>
      </c>
      <c r="K1077" s="1"/>
      <c r="L1077" s="1" t="s">
        <v>48</v>
      </c>
      <c r="M1077" s="1" t="str">
        <f>INDEX(MCC_Lookup!$B$2:$B$12,MATCH(G1077,MCC_Lookup!$A$2:$A$12,0))</f>
        <v>Office Supplies</v>
      </c>
      <c r="N1077" s="1" t="str">
        <f>IF(TRIM(H1077)="","BLANK",IF(PROPER(TRIM(H1077))=TRIM(M1077),"MATCH","MISMATCH"))</f>
        <v>MATCH</v>
      </c>
      <c r="O1077" s="5" t="str">
        <f>INDEX([1]Employee!$C$2:$C$276,MATCH(B1077,[1]Employee!$A$2:$A$276,0))</f>
        <v>Sales &amp; Marketing</v>
      </c>
    </row>
    <row r="1078" spans="1:15">
      <c r="A1078" s="1" t="s">
        <v>2312</v>
      </c>
      <c r="B1078" s="1" t="s">
        <v>71</v>
      </c>
      <c r="C1078" s="1" t="s">
        <v>2313</v>
      </c>
      <c r="D1078" s="2">
        <v>46074</v>
      </c>
      <c r="E1078" s="2">
        <v>46084</v>
      </c>
      <c r="F1078" s="1" t="s">
        <v>124</v>
      </c>
      <c r="G1078" s="1" t="s">
        <v>17</v>
      </c>
      <c r="H1078" s="1" t="s">
        <v>403</v>
      </c>
      <c r="I1078" s="7">
        <v>106.19</v>
      </c>
      <c r="J1078" s="1" t="s">
        <v>38</v>
      </c>
      <c r="K1078" s="1"/>
      <c r="L1078" s="1" t="s">
        <v>39</v>
      </c>
      <c r="M1078" s="1" t="str">
        <f>INDEX(MCC_Lookup!$B$2:$B$12,MATCH(G1078,MCC_Lookup!$A$2:$A$12,0))</f>
        <v>Entertainment</v>
      </c>
      <c r="N1078" s="1" t="str">
        <f>IF(TRIM(H1078)="","BLANK",IF(PROPER(TRIM(H1078))=TRIM(M1078),"MATCH","MISMATCH"))</f>
        <v>MATCH</v>
      </c>
      <c r="O1078" s="5" t="str">
        <f>INDEX([1]Employee!$C$2:$C$276,MATCH(B1078,[1]Employee!$A$2:$A$276,0))</f>
        <v>Sales &amp; Marketing</v>
      </c>
    </row>
    <row r="1079" spans="1:15">
      <c r="A1079" s="1" t="s">
        <v>2314</v>
      </c>
      <c r="B1079" s="1" t="s">
        <v>41</v>
      </c>
      <c r="C1079" s="1" t="s">
        <v>2315</v>
      </c>
      <c r="D1079" s="2">
        <v>46074</v>
      </c>
      <c r="E1079" s="2">
        <v>46084</v>
      </c>
      <c r="F1079" s="1" t="s">
        <v>69</v>
      </c>
      <c r="G1079" s="1" t="s">
        <v>8</v>
      </c>
      <c r="H1079" s="1" t="s">
        <v>9</v>
      </c>
      <c r="I1079" s="7">
        <v>46.51</v>
      </c>
      <c r="J1079" s="1" t="s">
        <v>38</v>
      </c>
      <c r="K1079" s="1"/>
      <c r="L1079" s="1" t="s">
        <v>39</v>
      </c>
      <c r="M1079" s="1" t="str">
        <f>INDEX(MCC_Lookup!$B$2:$B$12,MATCH(G1079,MCC_Lookup!$A$2:$A$12,0))</f>
        <v>Transportation</v>
      </c>
      <c r="N1079" s="1" t="str">
        <f>IF(TRIM(H1079)="","BLANK",IF(PROPER(TRIM(H1079))=TRIM(M1079),"MATCH","MISMATCH"))</f>
        <v>MATCH</v>
      </c>
      <c r="O1079" s="5" t="str">
        <f>INDEX([1]Employee!$C$2:$C$276,MATCH(B1079,[1]Employee!$A$2:$A$276,0))</f>
        <v>Sales &amp; Marketing</v>
      </c>
    </row>
    <row r="1080" spans="1:15">
      <c r="A1080" s="1" t="s">
        <v>2316</v>
      </c>
      <c r="B1080" s="1" t="s">
        <v>63</v>
      </c>
      <c r="C1080" s="1" t="s">
        <v>2317</v>
      </c>
      <c r="D1080" s="2">
        <v>46079</v>
      </c>
      <c r="E1080" s="2">
        <v>46084</v>
      </c>
      <c r="F1080" s="1" t="s">
        <v>61</v>
      </c>
      <c r="G1080" s="1" t="s">
        <v>13</v>
      </c>
      <c r="H1080" s="1" t="s">
        <v>14</v>
      </c>
      <c r="I1080" s="7">
        <v>83.34</v>
      </c>
      <c r="J1080" s="1" t="s">
        <v>38</v>
      </c>
      <c r="K1080" s="1"/>
      <c r="L1080" s="1" t="s">
        <v>39</v>
      </c>
      <c r="M1080" s="1" t="str">
        <f>INDEX(MCC_Lookup!$B$2:$B$12,MATCH(G1080,MCC_Lookup!$A$2:$A$12,0))</f>
        <v>Software</v>
      </c>
      <c r="N1080" s="1" t="str">
        <f>IF(TRIM(H1080)="","BLANK",IF(PROPER(TRIM(H1080))=TRIM(M1080),"MATCH","MISMATCH"))</f>
        <v>MATCH</v>
      </c>
      <c r="O1080" s="5" t="str">
        <f>INDEX([1]Employee!$C$2:$C$276,MATCH(B1080,[1]Employee!$A$2:$A$276,0))</f>
        <v>Sales &amp; Marketing</v>
      </c>
    </row>
    <row r="1081" spans="1:15">
      <c r="A1081" s="1" t="s">
        <v>2318</v>
      </c>
      <c r="B1081" s="1" t="s">
        <v>63</v>
      </c>
      <c r="C1081" s="1"/>
      <c r="D1081" s="2">
        <v>46080</v>
      </c>
      <c r="E1081" s="2">
        <v>46084</v>
      </c>
      <c r="F1081" s="1" t="s">
        <v>2319</v>
      </c>
      <c r="G1081" s="1" t="s">
        <v>15</v>
      </c>
      <c r="H1081" s="1" t="s">
        <v>16</v>
      </c>
      <c r="I1081" s="7">
        <v>34.4</v>
      </c>
      <c r="J1081" s="1" t="s">
        <v>38</v>
      </c>
      <c r="K1081" s="1"/>
      <c r="L1081" s="1" t="s">
        <v>39</v>
      </c>
      <c r="M1081" s="1" t="str">
        <f>INDEX(MCC_Lookup!$B$2:$B$12,MATCH(G1081,MCC_Lookup!$A$2:$A$12,0))</f>
        <v>Entertainment</v>
      </c>
      <c r="N1081" s="1" t="str">
        <f>IF(TRIM(H1081)="","BLANK",IF(PROPER(TRIM(H1081))=TRIM(M1081),"MATCH","MISMATCH"))</f>
        <v>MATCH</v>
      </c>
      <c r="O1081" s="5" t="str">
        <f>INDEX([1]Employee!$C$2:$C$276,MATCH(B1081,[1]Employee!$A$2:$A$276,0))</f>
        <v>Sales &amp; Marketing</v>
      </c>
    </row>
    <row r="1082" spans="1:15">
      <c r="A1082" s="1" t="s">
        <v>2320</v>
      </c>
      <c r="B1082" s="1" t="s">
        <v>643</v>
      </c>
      <c r="C1082" s="1" t="s">
        <v>2321</v>
      </c>
      <c r="D1082" s="2">
        <v>46082</v>
      </c>
      <c r="E1082" s="2">
        <v>46084</v>
      </c>
      <c r="F1082" s="1" t="s">
        <v>160</v>
      </c>
      <c r="G1082" s="1" t="s">
        <v>6</v>
      </c>
      <c r="H1082" s="1" t="s">
        <v>7</v>
      </c>
      <c r="I1082" s="7">
        <v>266.14999999999998</v>
      </c>
      <c r="J1082" s="1" t="s">
        <v>38</v>
      </c>
      <c r="K1082" s="1"/>
      <c r="L1082" s="1" t="s">
        <v>48</v>
      </c>
      <c r="M1082" s="1" t="str">
        <f>INDEX(MCC_Lookup!$B$2:$B$12,MATCH(G1082,MCC_Lookup!$A$2:$A$12,0))</f>
        <v>Lodging</v>
      </c>
      <c r="N1082" s="1" t="str">
        <f>IF(TRIM(H1082)="","BLANK",IF(PROPER(TRIM(H1082))=TRIM(M1082),"MATCH","MISMATCH"))</f>
        <v>MATCH</v>
      </c>
      <c r="O1082" s="5" t="str">
        <f>INDEX([1]Employee!$C$2:$C$276,MATCH(B1082,[1]Employee!$A$2:$A$276,0))</f>
        <v>Sales &amp; Marketing</v>
      </c>
    </row>
    <row r="1083" spans="1:15">
      <c r="A1083" s="1" t="s">
        <v>2322</v>
      </c>
      <c r="B1083" s="1" t="s">
        <v>643</v>
      </c>
      <c r="C1083" s="1" t="s">
        <v>2323</v>
      </c>
      <c r="D1083" s="2">
        <v>46084</v>
      </c>
      <c r="E1083" s="2">
        <v>46084</v>
      </c>
      <c r="F1083" s="1" t="s">
        <v>2324</v>
      </c>
      <c r="G1083" s="1" t="s">
        <v>13</v>
      </c>
      <c r="H1083" s="1" t="s">
        <v>14</v>
      </c>
      <c r="I1083" s="7">
        <v>324.02</v>
      </c>
      <c r="J1083" s="1" t="s">
        <v>38</v>
      </c>
      <c r="K1083" s="1"/>
      <c r="L1083" s="1" t="s">
        <v>39</v>
      </c>
      <c r="M1083" s="1" t="str">
        <f>INDEX(MCC_Lookup!$B$2:$B$12,MATCH(G1083,MCC_Lookup!$A$2:$A$12,0))</f>
        <v>Software</v>
      </c>
      <c r="N1083" s="1" t="str">
        <f>IF(TRIM(H1083)="","BLANK",IF(PROPER(TRIM(H1083))=TRIM(M1083),"MATCH","MISMATCH"))</f>
        <v>MATCH</v>
      </c>
      <c r="O1083" s="5" t="str">
        <f>INDEX([1]Employee!$C$2:$C$276,MATCH(B1083,[1]Employee!$A$2:$A$276,0))</f>
        <v>Sales &amp; Marketing</v>
      </c>
    </row>
    <row r="1084" spans="1:15">
      <c r="A1084" s="1" t="s">
        <v>2325</v>
      </c>
      <c r="B1084" s="1" t="s">
        <v>615</v>
      </c>
      <c r="C1084" s="1" t="s">
        <v>2326</v>
      </c>
      <c r="D1084" s="2">
        <v>46079</v>
      </c>
      <c r="E1084" s="2">
        <v>46084</v>
      </c>
      <c r="F1084" s="1" t="s">
        <v>116</v>
      </c>
      <c r="G1084" s="1" t="s">
        <v>2</v>
      </c>
      <c r="H1084" s="1" t="s">
        <v>3</v>
      </c>
      <c r="I1084" s="7">
        <v>19.489999999999998</v>
      </c>
      <c r="J1084" s="1" t="s">
        <v>38</v>
      </c>
      <c r="K1084" s="1"/>
      <c r="L1084" s="1" t="s">
        <v>39</v>
      </c>
      <c r="M1084" s="1" t="str">
        <f>INDEX(MCC_Lookup!$B$2:$B$12,MATCH(G1084,MCC_Lookup!$A$2:$A$12,0))</f>
        <v>Meals</v>
      </c>
      <c r="N1084" s="1" t="str">
        <f>IF(TRIM(H1084)="","BLANK",IF(PROPER(TRIM(H1084))=TRIM(M1084),"MATCH","MISMATCH"))</f>
        <v>MATCH</v>
      </c>
      <c r="O1084" s="5" t="str">
        <f>INDEX([1]Employee!$C$2:$C$276,MATCH(B1084,[1]Employee!$A$2:$A$276,0))</f>
        <v>Underwriting</v>
      </c>
    </row>
    <row r="1085" spans="1:15">
      <c r="A1085" s="1" t="s">
        <v>2327</v>
      </c>
      <c r="B1085" s="1" t="s">
        <v>292</v>
      </c>
      <c r="C1085" s="1" t="s">
        <v>2328</v>
      </c>
      <c r="D1085" s="2">
        <v>46076</v>
      </c>
      <c r="E1085" s="2">
        <v>46084</v>
      </c>
      <c r="F1085" s="1" t="s">
        <v>1068</v>
      </c>
      <c r="G1085" s="1" t="s">
        <v>20</v>
      </c>
      <c r="H1085" s="1" t="s">
        <v>19</v>
      </c>
      <c r="I1085" s="7">
        <v>473.64</v>
      </c>
      <c r="J1085" s="1" t="s">
        <v>38</v>
      </c>
      <c r="K1085" s="1"/>
      <c r="L1085" s="1" t="s">
        <v>39</v>
      </c>
      <c r="M1085" s="1" t="str">
        <f>INDEX(MCC_Lookup!$B$2:$B$12,MATCH(G1085,MCC_Lookup!$A$2:$A$12,0))</f>
        <v>Events</v>
      </c>
      <c r="N1085" s="1" t="str">
        <f>IF(TRIM(H1085)="","BLANK",IF(PROPER(TRIM(H1085))=TRIM(M1085),"MATCH","MISMATCH"))</f>
        <v>MATCH</v>
      </c>
      <c r="O1085" s="5" t="str">
        <f>INDEX([1]Employee!$C$2:$C$276,MATCH(B1085,[1]Employee!$A$2:$A$276,0))</f>
        <v>Sales &amp; Marketing</v>
      </c>
    </row>
    <row r="1086" spans="1:15">
      <c r="A1086" s="1" t="s">
        <v>2329</v>
      </c>
      <c r="B1086" s="1" t="s">
        <v>129</v>
      </c>
      <c r="C1086" s="1" t="s">
        <v>2330</v>
      </c>
      <c r="D1086" s="2">
        <v>46078</v>
      </c>
      <c r="E1086" s="2">
        <v>46084</v>
      </c>
      <c r="F1086" s="1" t="s">
        <v>72</v>
      </c>
      <c r="G1086" s="1" t="s">
        <v>8</v>
      </c>
      <c r="H1086" s="1" t="s">
        <v>9</v>
      </c>
      <c r="I1086" s="7">
        <v>49.68</v>
      </c>
      <c r="J1086" s="1" t="s">
        <v>38</v>
      </c>
      <c r="K1086" s="1"/>
      <c r="L1086" s="1" t="s">
        <v>48</v>
      </c>
      <c r="M1086" s="1" t="str">
        <f>INDEX(MCC_Lookup!$B$2:$B$12,MATCH(G1086,MCC_Lookup!$A$2:$A$12,0))</f>
        <v>Transportation</v>
      </c>
      <c r="N1086" s="1" t="str">
        <f>IF(TRIM(H1086)="","BLANK",IF(PROPER(TRIM(H1086))=TRIM(M1086),"MATCH","MISMATCH"))</f>
        <v>MATCH</v>
      </c>
      <c r="O1086" s="5" t="str">
        <f>INDEX([1]Employee!$C$2:$C$276,MATCH(B1086,[1]Employee!$A$2:$A$276,0))</f>
        <v>Sales &amp; Marketing</v>
      </c>
    </row>
    <row r="1087" spans="1:15">
      <c r="A1087" s="1" t="s">
        <v>2331</v>
      </c>
      <c r="B1087" s="1" t="s">
        <v>1061</v>
      </c>
      <c r="C1087" s="1"/>
      <c r="D1087" s="2">
        <v>46078</v>
      </c>
      <c r="E1087" s="2">
        <v>46084</v>
      </c>
      <c r="F1087" s="1" t="s">
        <v>124</v>
      </c>
      <c r="G1087" s="1" t="s">
        <v>17</v>
      </c>
      <c r="H1087" s="1" t="s">
        <v>16</v>
      </c>
      <c r="I1087" s="7">
        <v>151.49</v>
      </c>
      <c r="J1087" s="1" t="s">
        <v>38</v>
      </c>
      <c r="K1087" s="1"/>
      <c r="L1087" s="1" t="s">
        <v>48</v>
      </c>
      <c r="M1087" s="1" t="str">
        <f>INDEX(MCC_Lookup!$B$2:$B$12,MATCH(G1087,MCC_Lookup!$A$2:$A$12,0))</f>
        <v>Entertainment</v>
      </c>
      <c r="N1087" s="1" t="str">
        <f>IF(TRIM(H1087)="","BLANK",IF(PROPER(TRIM(H1087))=TRIM(M1087),"MATCH","MISMATCH"))</f>
        <v>MATCH</v>
      </c>
      <c r="O1087" s="5" t="str">
        <f>INDEX([1]Employee!$C$2:$C$276,MATCH(B1087,[1]Employee!$A$2:$A$276,0))</f>
        <v>Claims</v>
      </c>
    </row>
    <row r="1088" spans="1:15">
      <c r="A1088" s="1" t="s">
        <v>2332</v>
      </c>
      <c r="B1088" s="1" t="s">
        <v>2333</v>
      </c>
      <c r="C1088" s="1" t="s">
        <v>2334</v>
      </c>
      <c r="D1088" s="2">
        <v>46077</v>
      </c>
      <c r="E1088" s="2">
        <v>46084</v>
      </c>
      <c r="F1088" s="1" t="s">
        <v>116</v>
      </c>
      <c r="G1088" s="1" t="s">
        <v>2</v>
      </c>
      <c r="H1088" s="1" t="s">
        <v>19</v>
      </c>
      <c r="I1088" s="7">
        <v>16.89</v>
      </c>
      <c r="J1088" s="1" t="s">
        <v>38</v>
      </c>
      <c r="K1088" s="1"/>
      <c r="L1088" s="1" t="s">
        <v>39</v>
      </c>
      <c r="M1088" s="1" t="str">
        <f>INDEX(MCC_Lookup!$B$2:$B$12,MATCH(G1088,MCC_Lookup!$A$2:$A$12,0))</f>
        <v>Meals</v>
      </c>
      <c r="N1088" s="1" t="str">
        <f>IF(TRIM(H1088)="","BLANK",IF(PROPER(TRIM(H1088))=TRIM(M1088),"MATCH","MISMATCH"))</f>
        <v>MISMATCH</v>
      </c>
      <c r="O1088" s="5" t="str">
        <f>INDEX([1]Employee!$C$2:$C$276,MATCH(B1088,[1]Employee!$A$2:$A$276,0))</f>
        <v>HR &amp; Events</v>
      </c>
    </row>
    <row r="1089" spans="1:15">
      <c r="A1089" s="1" t="s">
        <v>2335</v>
      </c>
      <c r="B1089" s="1" t="s">
        <v>661</v>
      </c>
      <c r="C1089" s="1" t="s">
        <v>2336</v>
      </c>
      <c r="D1089" s="2">
        <v>46080</v>
      </c>
      <c r="E1089" s="2">
        <v>46084</v>
      </c>
      <c r="F1089" s="1" t="s">
        <v>83</v>
      </c>
      <c r="G1089" s="1" t="s">
        <v>2</v>
      </c>
      <c r="H1089" s="1" t="s">
        <v>3</v>
      </c>
      <c r="I1089" s="7">
        <v>18.670000000000002</v>
      </c>
      <c r="J1089" s="1" t="s">
        <v>38</v>
      </c>
      <c r="K1089" s="1"/>
      <c r="L1089" s="1" t="s">
        <v>39</v>
      </c>
      <c r="M1089" s="1" t="str">
        <f>INDEX(MCC_Lookup!$B$2:$B$12,MATCH(G1089,MCC_Lookup!$A$2:$A$12,0))</f>
        <v>Meals</v>
      </c>
      <c r="N1089" s="1" t="str">
        <f>IF(TRIM(H1089)="","BLANK",IF(PROPER(TRIM(H1089))=TRIM(M1089),"MATCH","MISMATCH"))</f>
        <v>MATCH</v>
      </c>
      <c r="O1089" s="5" t="str">
        <f>INDEX([1]Employee!$C$2:$C$276,MATCH(B1089,[1]Employee!$A$2:$A$276,0))</f>
        <v>Sales &amp; Marketing</v>
      </c>
    </row>
    <row r="1090" spans="1:15">
      <c r="A1090" s="1" t="s">
        <v>2337</v>
      </c>
      <c r="B1090" s="1" t="s">
        <v>247</v>
      </c>
      <c r="C1090" s="1" t="s">
        <v>2338</v>
      </c>
      <c r="D1090" s="2">
        <v>46074</v>
      </c>
      <c r="E1090" s="2">
        <v>46084</v>
      </c>
      <c r="F1090" s="1" t="s">
        <v>99</v>
      </c>
      <c r="G1090" s="1" t="s">
        <v>2</v>
      </c>
      <c r="H1090" s="1" t="s">
        <v>3</v>
      </c>
      <c r="I1090" s="7">
        <v>69.17</v>
      </c>
      <c r="J1090" s="1" t="s">
        <v>38</v>
      </c>
      <c r="K1090" s="1"/>
      <c r="L1090" s="1" t="s">
        <v>39</v>
      </c>
      <c r="M1090" s="1" t="str">
        <f>INDEX(MCC_Lookup!$B$2:$B$12,MATCH(G1090,MCC_Lookup!$A$2:$A$12,0))</f>
        <v>Meals</v>
      </c>
      <c r="N1090" s="1" t="str">
        <f>IF(TRIM(H1090)="","BLANK",IF(PROPER(TRIM(H1090))=TRIM(M1090),"MATCH","MISMATCH"))</f>
        <v>MATCH</v>
      </c>
      <c r="O1090" s="5" t="str">
        <f>INDEX([1]Employee!$C$2:$C$276,MATCH(B1090,[1]Employee!$A$2:$A$276,0))</f>
        <v>HR &amp; Events</v>
      </c>
    </row>
    <row r="1091" spans="1:15">
      <c r="A1091" s="1" t="s">
        <v>2339</v>
      </c>
      <c r="B1091" s="1" t="s">
        <v>247</v>
      </c>
      <c r="C1091" s="1" t="s">
        <v>2340</v>
      </c>
      <c r="D1091" s="2">
        <v>46077</v>
      </c>
      <c r="E1091" s="2">
        <v>46084</v>
      </c>
      <c r="F1091" s="1" t="s">
        <v>120</v>
      </c>
      <c r="G1091" s="1" t="s">
        <v>12</v>
      </c>
      <c r="H1091" s="1" t="s">
        <v>11</v>
      </c>
      <c r="I1091" s="7">
        <v>419.81</v>
      </c>
      <c r="J1091" s="1" t="s">
        <v>38</v>
      </c>
      <c r="K1091" s="1"/>
      <c r="L1091" s="1" t="s">
        <v>39</v>
      </c>
      <c r="M1091" s="1" t="str">
        <f>INDEX(MCC_Lookup!$B$2:$B$12,MATCH(G1091,MCC_Lookup!$A$2:$A$12,0))</f>
        <v>Office Supplies</v>
      </c>
      <c r="N1091" s="1" t="str">
        <f>IF(TRIM(H1091)="","BLANK",IF(PROPER(TRIM(H1091))=TRIM(M1091),"MATCH","MISMATCH"))</f>
        <v>MATCH</v>
      </c>
      <c r="O1091" s="5" t="str">
        <f>INDEX([1]Employee!$C$2:$C$276,MATCH(B1091,[1]Employee!$A$2:$A$276,0))</f>
        <v>HR &amp; Events</v>
      </c>
    </row>
    <row r="1092" spans="1:15">
      <c r="A1092" s="1" t="s">
        <v>2341</v>
      </c>
      <c r="B1092" s="1" t="s">
        <v>472</v>
      </c>
      <c r="C1092" s="1" t="s">
        <v>2342</v>
      </c>
      <c r="D1092" s="2">
        <v>46079</v>
      </c>
      <c r="E1092" s="2">
        <v>46085</v>
      </c>
      <c r="F1092" s="1" t="s">
        <v>79</v>
      </c>
      <c r="G1092" s="1" t="s">
        <v>13</v>
      </c>
      <c r="H1092" s="1" t="s">
        <v>3</v>
      </c>
      <c r="I1092" s="7">
        <v>190.97</v>
      </c>
      <c r="J1092" s="1" t="s">
        <v>38</v>
      </c>
      <c r="K1092" s="1"/>
      <c r="L1092" s="1" t="s">
        <v>39</v>
      </c>
      <c r="M1092" s="1" t="str">
        <f>INDEX(MCC_Lookup!$B$2:$B$12,MATCH(G1092,MCC_Lookup!$A$2:$A$12,0))</f>
        <v>Software</v>
      </c>
      <c r="N1092" s="1" t="str">
        <f>IF(TRIM(H1092)="","BLANK",IF(PROPER(TRIM(H1092))=TRIM(M1092),"MATCH","MISMATCH"))</f>
        <v>MISMATCH</v>
      </c>
      <c r="O1092" s="5" t="str">
        <f>INDEX([1]Employee!$C$2:$C$276,MATCH(B1092,[1]Employee!$A$2:$A$276,0))</f>
        <v>Sales &amp; Marketing</v>
      </c>
    </row>
    <row r="1093" spans="1:15">
      <c r="A1093" s="1" t="s">
        <v>2343</v>
      </c>
      <c r="B1093" s="1" t="s">
        <v>2344</v>
      </c>
      <c r="C1093" s="1" t="s">
        <v>2345</v>
      </c>
      <c r="D1093" s="2">
        <v>46077</v>
      </c>
      <c r="E1093" s="2">
        <v>46085</v>
      </c>
      <c r="F1093" s="1" t="s">
        <v>177</v>
      </c>
      <c r="G1093" s="1" t="s">
        <v>13</v>
      </c>
      <c r="H1093" s="1" t="s">
        <v>14</v>
      </c>
      <c r="I1093" s="7">
        <v>54.84</v>
      </c>
      <c r="J1093" s="1" t="s">
        <v>38</v>
      </c>
      <c r="K1093" s="1"/>
      <c r="L1093" s="1" t="s">
        <v>39</v>
      </c>
      <c r="M1093" s="1" t="str">
        <f>INDEX(MCC_Lookup!$B$2:$B$12,MATCH(G1093,MCC_Lookup!$A$2:$A$12,0))</f>
        <v>Software</v>
      </c>
      <c r="N1093" s="1" t="str">
        <f>IF(TRIM(H1093)="","BLANK",IF(PROPER(TRIM(H1093))=TRIM(M1093),"MATCH","MISMATCH"))</f>
        <v>MATCH</v>
      </c>
      <c r="O1093" s="5" t="str">
        <f>INDEX([1]Employee!$C$2:$C$276,MATCH(B1093,[1]Employee!$A$2:$A$276,0))</f>
        <v>Claims</v>
      </c>
    </row>
    <row r="1094" spans="1:15">
      <c r="A1094" s="1" t="s">
        <v>2346</v>
      </c>
      <c r="B1094" s="1" t="s">
        <v>515</v>
      </c>
      <c r="C1094" s="1" t="s">
        <v>2347</v>
      </c>
      <c r="D1094" s="2">
        <v>46080</v>
      </c>
      <c r="E1094" s="2">
        <v>46085</v>
      </c>
      <c r="F1094" s="1" t="s">
        <v>124</v>
      </c>
      <c r="G1094" s="1" t="s">
        <v>17</v>
      </c>
      <c r="H1094" s="1" t="s">
        <v>3</v>
      </c>
      <c r="I1094" s="7">
        <v>103.88</v>
      </c>
      <c r="J1094" s="1" t="s">
        <v>38</v>
      </c>
      <c r="K1094" s="1"/>
      <c r="L1094" s="1" t="s">
        <v>39</v>
      </c>
      <c r="M1094" s="1" t="str">
        <f>INDEX(MCC_Lookup!$B$2:$B$12,MATCH(G1094,MCC_Lookup!$A$2:$A$12,0))</f>
        <v>Entertainment</v>
      </c>
      <c r="N1094" s="1" t="str">
        <f>IF(TRIM(H1094)="","BLANK",IF(PROPER(TRIM(H1094))=TRIM(M1094),"MATCH","MISMATCH"))</f>
        <v>MISMATCH</v>
      </c>
      <c r="O1094" s="5" t="str">
        <f>INDEX([1]Employee!$C$2:$C$276,MATCH(B1094,[1]Employee!$A$2:$A$276,0))</f>
        <v>Actuarial &amp; Risk</v>
      </c>
    </row>
    <row r="1095" spans="1:15">
      <c r="A1095" s="1" t="s">
        <v>2348</v>
      </c>
      <c r="B1095" s="1" t="s">
        <v>772</v>
      </c>
      <c r="C1095" s="1" t="s">
        <v>2349</v>
      </c>
      <c r="D1095" s="2">
        <v>46082</v>
      </c>
      <c r="E1095" s="2">
        <v>46085</v>
      </c>
      <c r="F1095" s="1" t="s">
        <v>201</v>
      </c>
      <c r="G1095" s="1" t="s">
        <v>4</v>
      </c>
      <c r="H1095" s="1" t="s">
        <v>5</v>
      </c>
      <c r="I1095" s="7">
        <v>461.39</v>
      </c>
      <c r="J1095" s="1" t="s">
        <v>38</v>
      </c>
      <c r="K1095" s="1"/>
      <c r="L1095" s="1" t="s">
        <v>39</v>
      </c>
      <c r="M1095" s="1" t="str">
        <f>INDEX(MCC_Lookup!$B$2:$B$12,MATCH(G1095,MCC_Lookup!$A$2:$A$12,0))</f>
        <v>Travel</v>
      </c>
      <c r="N1095" s="1" t="str">
        <f>IF(TRIM(H1095)="","BLANK",IF(PROPER(TRIM(H1095))=TRIM(M1095),"MATCH","MISMATCH"))</f>
        <v>MATCH</v>
      </c>
      <c r="O1095" s="5" t="str">
        <f>INDEX([1]Employee!$C$2:$C$276,MATCH(B1095,[1]Employee!$A$2:$A$276,0))</f>
        <v>Underwriting</v>
      </c>
    </row>
    <row r="1096" spans="1:15">
      <c r="A1096" s="1" t="s">
        <v>2350</v>
      </c>
      <c r="B1096" s="1" t="s">
        <v>821</v>
      </c>
      <c r="C1096" s="1"/>
      <c r="D1096" s="2">
        <v>46082</v>
      </c>
      <c r="E1096" s="2">
        <v>46085</v>
      </c>
      <c r="F1096" s="1" t="s">
        <v>95</v>
      </c>
      <c r="G1096" s="1" t="s">
        <v>6</v>
      </c>
      <c r="H1096" s="1" t="s">
        <v>1476</v>
      </c>
      <c r="I1096" s="7">
        <v>371.06</v>
      </c>
      <c r="J1096" s="1" t="s">
        <v>111</v>
      </c>
      <c r="K1096" s="1" t="s">
        <v>112</v>
      </c>
      <c r="L1096" s="1" t="s">
        <v>39</v>
      </c>
      <c r="M1096" s="1" t="str">
        <f>INDEX(MCC_Lookup!$B$2:$B$12,MATCH(G1096,MCC_Lookup!$A$2:$A$12,0))</f>
        <v>Lodging</v>
      </c>
      <c r="N1096" s="1" t="str">
        <f>IF(TRIM(H1096)="","BLANK",IF(PROPER(TRIM(H1096))=TRIM(M1096),"MATCH","MISMATCH"))</f>
        <v>MATCH</v>
      </c>
      <c r="O1096" s="5" t="str">
        <f>INDEX([1]Employee!$C$2:$C$276,MATCH(B1096,[1]Employee!$A$2:$A$276,0))</f>
        <v>Claims</v>
      </c>
    </row>
    <row r="1097" spans="1:15">
      <c r="A1097" s="1" t="s">
        <v>2351</v>
      </c>
      <c r="B1097" s="1" t="s">
        <v>171</v>
      </c>
      <c r="C1097" s="1" t="s">
        <v>2352</v>
      </c>
      <c r="D1097" s="2">
        <v>46077</v>
      </c>
      <c r="E1097" s="2">
        <v>46085</v>
      </c>
      <c r="F1097" s="1" t="s">
        <v>69</v>
      </c>
      <c r="G1097" s="1" t="s">
        <v>8</v>
      </c>
      <c r="H1097" s="1" t="s">
        <v>9</v>
      </c>
      <c r="I1097" s="7">
        <v>46.21</v>
      </c>
      <c r="J1097" s="1" t="s">
        <v>38</v>
      </c>
      <c r="K1097" s="1"/>
      <c r="L1097" s="1" t="s">
        <v>39</v>
      </c>
      <c r="M1097" s="1" t="str">
        <f>INDEX(MCC_Lookup!$B$2:$B$12,MATCH(G1097,MCC_Lookup!$A$2:$A$12,0))</f>
        <v>Transportation</v>
      </c>
      <c r="N1097" s="1" t="str">
        <f>IF(TRIM(H1097)="","BLANK",IF(PROPER(TRIM(H1097))=TRIM(M1097),"MATCH","MISMATCH"))</f>
        <v>MATCH</v>
      </c>
      <c r="O1097" s="5" t="str">
        <f>INDEX([1]Employee!$C$2:$C$276,MATCH(B1097,[1]Employee!$A$2:$A$276,0))</f>
        <v>Claims</v>
      </c>
    </row>
    <row r="1098" spans="1:15">
      <c r="A1098" s="1" t="s">
        <v>2353</v>
      </c>
      <c r="B1098" s="1" t="s">
        <v>171</v>
      </c>
      <c r="C1098" s="1" t="s">
        <v>2354</v>
      </c>
      <c r="D1098" s="2">
        <v>46083</v>
      </c>
      <c r="E1098" s="2">
        <v>46085</v>
      </c>
      <c r="F1098" s="1" t="s">
        <v>201</v>
      </c>
      <c r="G1098" s="1" t="s">
        <v>4</v>
      </c>
      <c r="H1098" s="1" t="s">
        <v>5</v>
      </c>
      <c r="I1098" s="7">
        <v>233.26</v>
      </c>
      <c r="J1098" s="1" t="s">
        <v>38</v>
      </c>
      <c r="K1098" s="1"/>
      <c r="L1098" s="1" t="s">
        <v>39</v>
      </c>
      <c r="M1098" s="1" t="str">
        <f>INDEX(MCC_Lookup!$B$2:$B$12,MATCH(G1098,MCC_Lookup!$A$2:$A$12,0))</f>
        <v>Travel</v>
      </c>
      <c r="N1098" s="1" t="str">
        <f>IF(TRIM(H1098)="","BLANK",IF(PROPER(TRIM(H1098))=TRIM(M1098),"MATCH","MISMATCH"))</f>
        <v>MATCH</v>
      </c>
      <c r="O1098" s="5" t="str">
        <f>INDEX([1]Employee!$C$2:$C$276,MATCH(B1098,[1]Employee!$A$2:$A$276,0))</f>
        <v>Claims</v>
      </c>
    </row>
    <row r="1099" spans="1:15">
      <c r="A1099" s="1" t="s">
        <v>2355</v>
      </c>
      <c r="B1099" s="1" t="s">
        <v>314</v>
      </c>
      <c r="C1099" s="1" t="s">
        <v>2356</v>
      </c>
      <c r="D1099" s="2">
        <v>46077</v>
      </c>
      <c r="E1099" s="2">
        <v>46085</v>
      </c>
      <c r="F1099" s="1" t="s">
        <v>124</v>
      </c>
      <c r="G1099" s="1" t="s">
        <v>17</v>
      </c>
      <c r="H1099" s="1"/>
      <c r="I1099" s="7">
        <v>205.66</v>
      </c>
      <c r="J1099" s="1" t="s">
        <v>38</v>
      </c>
      <c r="K1099" s="1"/>
      <c r="L1099" s="1" t="s">
        <v>39</v>
      </c>
      <c r="M1099" s="1" t="str">
        <f>INDEX(MCC_Lookup!$B$2:$B$12,MATCH(G1099,MCC_Lookup!$A$2:$A$12,0))</f>
        <v>Entertainment</v>
      </c>
      <c r="N1099" s="1" t="str">
        <f>IF(TRIM(H1099)="","BLANK",IF(PROPER(TRIM(H1099))=TRIM(M1099),"MATCH","MISMATCH"))</f>
        <v>BLANK</v>
      </c>
      <c r="O1099" s="5" t="str">
        <f>INDEX([1]Employee!$C$2:$C$276,MATCH(B1099,[1]Employee!$A$2:$A$276,0))</f>
        <v>Sales &amp; Marketing</v>
      </c>
    </row>
    <row r="1100" spans="1:15">
      <c r="A1100" s="1" t="s">
        <v>2357</v>
      </c>
      <c r="B1100" s="1" t="s">
        <v>156</v>
      </c>
      <c r="C1100" s="1" t="s">
        <v>2358</v>
      </c>
      <c r="D1100" s="2">
        <v>46078</v>
      </c>
      <c r="E1100" s="2">
        <v>46085</v>
      </c>
      <c r="F1100" s="1" t="s">
        <v>76</v>
      </c>
      <c r="G1100" s="1" t="s">
        <v>13</v>
      </c>
      <c r="H1100" s="1" t="s">
        <v>14</v>
      </c>
      <c r="I1100" s="7">
        <v>443.83</v>
      </c>
      <c r="J1100" s="1" t="s">
        <v>38</v>
      </c>
      <c r="K1100" s="1"/>
      <c r="L1100" s="1" t="s">
        <v>48</v>
      </c>
      <c r="M1100" s="1" t="str">
        <f>INDEX(MCC_Lookup!$B$2:$B$12,MATCH(G1100,MCC_Lookup!$A$2:$A$12,0))</f>
        <v>Software</v>
      </c>
      <c r="N1100" s="1" t="str">
        <f>IF(TRIM(H1100)="","BLANK",IF(PROPER(TRIM(H1100))=TRIM(M1100),"MATCH","MISMATCH"))</f>
        <v>MATCH</v>
      </c>
      <c r="O1100" s="5" t="str">
        <f>INDEX([1]Employee!$C$2:$C$276,MATCH(B1100,[1]Employee!$A$2:$A$276,0))</f>
        <v>Sales &amp; Marketing</v>
      </c>
    </row>
    <row r="1101" spans="1:15">
      <c r="A1101" s="1" t="s">
        <v>2359</v>
      </c>
      <c r="B1101" s="1" t="s">
        <v>289</v>
      </c>
      <c r="C1101" s="1"/>
      <c r="D1101" s="2">
        <v>46075</v>
      </c>
      <c r="E1101" s="2">
        <v>46085</v>
      </c>
      <c r="F1101" s="1" t="s">
        <v>92</v>
      </c>
      <c r="G1101" s="1" t="s">
        <v>10</v>
      </c>
      <c r="H1101" s="1" t="s">
        <v>131</v>
      </c>
      <c r="I1101" s="7">
        <v>52.97</v>
      </c>
      <c r="J1101" s="1" t="s">
        <v>111</v>
      </c>
      <c r="K1101" s="1" t="s">
        <v>112</v>
      </c>
      <c r="L1101" s="1" t="s">
        <v>39</v>
      </c>
      <c r="M1101" s="1" t="str">
        <f>INDEX(MCC_Lookup!$B$2:$B$12,MATCH(G1101,MCC_Lookup!$A$2:$A$12,0))</f>
        <v>Office Supplies</v>
      </c>
      <c r="N1101" s="1" t="str">
        <f>IF(TRIM(H1101)="","BLANK",IF(PROPER(TRIM(H1101))=TRIM(M1101),"MATCH","MISMATCH"))</f>
        <v>MATCH</v>
      </c>
      <c r="O1101" s="5" t="str">
        <f>INDEX([1]Employee!$C$2:$C$276,MATCH(B1101,[1]Employee!$A$2:$A$276,0))</f>
        <v>Finance</v>
      </c>
    </row>
    <row r="1102" spans="1:15">
      <c r="A1102" s="1" t="s">
        <v>2360</v>
      </c>
      <c r="B1102" s="1" t="s">
        <v>585</v>
      </c>
      <c r="C1102" s="1" t="s">
        <v>2361</v>
      </c>
      <c r="D1102" s="2">
        <v>46084</v>
      </c>
      <c r="E1102" s="2">
        <v>46085</v>
      </c>
      <c r="F1102" s="1" t="s">
        <v>177</v>
      </c>
      <c r="G1102" s="1" t="s">
        <v>13</v>
      </c>
      <c r="H1102" s="1" t="s">
        <v>14</v>
      </c>
      <c r="I1102" s="7">
        <v>36.42</v>
      </c>
      <c r="J1102" s="1" t="s">
        <v>38</v>
      </c>
      <c r="K1102" s="1"/>
      <c r="L1102" s="1" t="s">
        <v>48</v>
      </c>
      <c r="M1102" s="1" t="str">
        <f>INDEX(MCC_Lookup!$B$2:$B$12,MATCH(G1102,MCC_Lookup!$A$2:$A$12,0))</f>
        <v>Software</v>
      </c>
      <c r="N1102" s="1" t="str">
        <f>IF(TRIM(H1102)="","BLANK",IF(PROPER(TRIM(H1102))=TRIM(M1102),"MATCH","MISMATCH"))</f>
        <v>MATCH</v>
      </c>
      <c r="O1102" s="5" t="str">
        <f>INDEX([1]Employee!$C$2:$C$276,MATCH(B1102,[1]Employee!$A$2:$A$276,0))</f>
        <v>Customer Support</v>
      </c>
    </row>
    <row r="1103" spans="1:15">
      <c r="A1103" s="1" t="s">
        <v>2362</v>
      </c>
      <c r="B1103" s="1" t="s">
        <v>1595</v>
      </c>
      <c r="C1103" s="1" t="s">
        <v>2363</v>
      </c>
      <c r="D1103" s="2">
        <v>46079</v>
      </c>
      <c r="E1103" s="2">
        <v>46085</v>
      </c>
      <c r="F1103" s="1" t="s">
        <v>92</v>
      </c>
      <c r="G1103" s="1" t="s">
        <v>10</v>
      </c>
      <c r="H1103" s="1" t="s">
        <v>11</v>
      </c>
      <c r="I1103" s="7">
        <v>165.15</v>
      </c>
      <c r="J1103" s="1" t="s">
        <v>38</v>
      </c>
      <c r="K1103" s="1"/>
      <c r="L1103" s="1" t="s">
        <v>39</v>
      </c>
      <c r="M1103" s="1" t="str">
        <f>INDEX(MCC_Lookup!$B$2:$B$12,MATCH(G1103,MCC_Lookup!$A$2:$A$12,0))</f>
        <v>Office Supplies</v>
      </c>
      <c r="N1103" s="1" t="str">
        <f>IF(TRIM(H1103)="","BLANK",IF(PROPER(TRIM(H1103))=TRIM(M1103),"MATCH","MISMATCH"))</f>
        <v>MATCH</v>
      </c>
      <c r="O1103" s="5" t="str">
        <f>INDEX([1]Employee!$C$2:$C$276,MATCH(B1103,[1]Employee!$A$2:$A$276,0))</f>
        <v>HR &amp; Events</v>
      </c>
    </row>
    <row r="1104" spans="1:15">
      <c r="A1104" s="1" t="s">
        <v>2364</v>
      </c>
      <c r="B1104" s="1" t="s">
        <v>97</v>
      </c>
      <c r="C1104" s="1" t="s">
        <v>2365</v>
      </c>
      <c r="D1104" s="2">
        <v>46084</v>
      </c>
      <c r="E1104" s="2">
        <v>46085</v>
      </c>
      <c r="F1104" s="1" t="s">
        <v>99</v>
      </c>
      <c r="G1104" s="1" t="s">
        <v>2</v>
      </c>
      <c r="H1104" s="1" t="s">
        <v>3</v>
      </c>
      <c r="I1104" s="7">
        <v>54.07</v>
      </c>
      <c r="J1104" s="1" t="s">
        <v>38</v>
      </c>
      <c r="K1104" s="1"/>
      <c r="L1104" s="1" t="s">
        <v>39</v>
      </c>
      <c r="M1104" s="1" t="str">
        <f>INDEX(MCC_Lookup!$B$2:$B$12,MATCH(G1104,MCC_Lookup!$A$2:$A$12,0))</f>
        <v>Meals</v>
      </c>
      <c r="N1104" s="1" t="str">
        <f>IF(TRIM(H1104)="","BLANK",IF(PROPER(TRIM(H1104))=TRIM(M1104),"MATCH","MISMATCH"))</f>
        <v>MATCH</v>
      </c>
      <c r="O1104" s="5" t="str">
        <f>INDEX([1]Employee!$C$2:$C$276,MATCH(B1104,[1]Employee!$A$2:$A$276,0))</f>
        <v>Sales &amp; Marketing</v>
      </c>
    </row>
    <row r="1105" spans="1:15">
      <c r="A1105" s="1" t="s">
        <v>2366</v>
      </c>
      <c r="B1105" s="1" t="s">
        <v>277</v>
      </c>
      <c r="C1105" s="1" t="s">
        <v>2367</v>
      </c>
      <c r="D1105" s="2">
        <v>46078</v>
      </c>
      <c r="E1105" s="2">
        <v>46085</v>
      </c>
      <c r="F1105" s="1" t="s">
        <v>37</v>
      </c>
      <c r="G1105" s="1" t="s">
        <v>4</v>
      </c>
      <c r="H1105" s="1" t="s">
        <v>5</v>
      </c>
      <c r="I1105" s="7">
        <v>162.72</v>
      </c>
      <c r="J1105" s="1" t="s">
        <v>38</v>
      </c>
      <c r="K1105" s="1"/>
      <c r="L1105" s="1" t="s">
        <v>39</v>
      </c>
      <c r="M1105" s="1" t="str">
        <f>INDEX(MCC_Lookup!$B$2:$B$12,MATCH(G1105,MCC_Lookup!$A$2:$A$12,0))</f>
        <v>Travel</v>
      </c>
      <c r="N1105" s="1" t="str">
        <f>IF(TRIM(H1105)="","BLANK",IF(PROPER(TRIM(H1105))=TRIM(M1105),"MATCH","MISMATCH"))</f>
        <v>MATCH</v>
      </c>
      <c r="O1105" s="5" t="str">
        <f>INDEX([1]Employee!$C$2:$C$276,MATCH(B1105,[1]Employee!$A$2:$A$276,0))</f>
        <v>Claims</v>
      </c>
    </row>
    <row r="1106" spans="1:15">
      <c r="A1106" s="1" t="s">
        <v>2368</v>
      </c>
      <c r="B1106" s="1" t="s">
        <v>448</v>
      </c>
      <c r="C1106" s="1"/>
      <c r="D1106" s="2">
        <v>46083</v>
      </c>
      <c r="E1106" s="2">
        <v>46085</v>
      </c>
      <c r="F1106" s="1" t="s">
        <v>83</v>
      </c>
      <c r="G1106" s="1" t="s">
        <v>2</v>
      </c>
      <c r="H1106" s="1" t="s">
        <v>138</v>
      </c>
      <c r="I1106" s="7">
        <v>15.65</v>
      </c>
      <c r="J1106" s="1" t="s">
        <v>38</v>
      </c>
      <c r="K1106" s="1"/>
      <c r="L1106" s="1" t="s">
        <v>48</v>
      </c>
      <c r="M1106" s="1" t="str">
        <f>INDEX(MCC_Lookup!$B$2:$B$12,MATCH(G1106,MCC_Lookup!$A$2:$A$12,0))</f>
        <v>Meals</v>
      </c>
      <c r="N1106" s="1" t="str">
        <f>IF(TRIM(H1106)="","BLANK",IF(PROPER(TRIM(H1106))=TRIM(M1106),"MATCH","MISMATCH"))</f>
        <v>MATCH</v>
      </c>
      <c r="O1106" s="5" t="str">
        <f>INDEX([1]Employee!$C$2:$C$276,MATCH(B1106,[1]Employee!$A$2:$A$276,0))</f>
        <v>Sales &amp; Marketing</v>
      </c>
    </row>
    <row r="1107" spans="1:15">
      <c r="A1107" s="1" t="s">
        <v>2369</v>
      </c>
      <c r="B1107" s="1" t="s">
        <v>475</v>
      </c>
      <c r="C1107" s="1" t="s">
        <v>2370</v>
      </c>
      <c r="D1107" s="2">
        <v>46080</v>
      </c>
      <c r="E1107" s="2">
        <v>46085</v>
      </c>
      <c r="F1107" s="1" t="s">
        <v>43</v>
      </c>
      <c r="G1107" s="1" t="s">
        <v>2</v>
      </c>
      <c r="H1107" s="1" t="s">
        <v>3</v>
      </c>
      <c r="I1107" s="7">
        <v>9.2100000000000009</v>
      </c>
      <c r="J1107" s="1" t="s">
        <v>38</v>
      </c>
      <c r="K1107" s="1"/>
      <c r="L1107" s="1" t="s">
        <v>39</v>
      </c>
      <c r="M1107" s="1" t="str">
        <f>INDEX(MCC_Lookup!$B$2:$B$12,MATCH(G1107,MCC_Lookup!$A$2:$A$12,0))</f>
        <v>Meals</v>
      </c>
      <c r="N1107" s="1" t="str">
        <f>IF(TRIM(H1107)="","BLANK",IF(PROPER(TRIM(H1107))=TRIM(M1107),"MATCH","MISMATCH"))</f>
        <v>MATCH</v>
      </c>
      <c r="O1107" s="5" t="str">
        <f>INDEX([1]Employee!$C$2:$C$276,MATCH(B1107,[1]Employee!$A$2:$A$276,0))</f>
        <v>Sales &amp; Marketing</v>
      </c>
    </row>
    <row r="1108" spans="1:15">
      <c r="A1108" s="1" t="s">
        <v>2371</v>
      </c>
      <c r="B1108" s="1" t="s">
        <v>550</v>
      </c>
      <c r="C1108" s="1" t="s">
        <v>2372</v>
      </c>
      <c r="D1108" s="2">
        <v>46075</v>
      </c>
      <c r="E1108" s="2">
        <v>46085</v>
      </c>
      <c r="F1108" s="1" t="s">
        <v>47</v>
      </c>
      <c r="G1108" s="1" t="s">
        <v>6</v>
      </c>
      <c r="H1108" s="1" t="s">
        <v>7</v>
      </c>
      <c r="I1108" s="7">
        <v>155.76</v>
      </c>
      <c r="J1108" s="1" t="s">
        <v>38</v>
      </c>
      <c r="K1108" s="1"/>
      <c r="L1108" s="1" t="s">
        <v>48</v>
      </c>
      <c r="M1108" s="1" t="str">
        <f>INDEX(MCC_Lookup!$B$2:$B$12,MATCH(G1108,MCC_Lookup!$A$2:$A$12,0))</f>
        <v>Lodging</v>
      </c>
      <c r="N1108" s="1" t="str">
        <f>IF(TRIM(H1108)="","BLANK",IF(PROPER(TRIM(H1108))=TRIM(M1108),"MATCH","MISMATCH"))</f>
        <v>MATCH</v>
      </c>
      <c r="O1108" s="5" t="str">
        <f>INDEX([1]Employee!$C$2:$C$276,MATCH(B1108,[1]Employee!$A$2:$A$276,0))</f>
        <v>Sales &amp; Marketing</v>
      </c>
    </row>
    <row r="1109" spans="1:15">
      <c r="A1109" s="1" t="s">
        <v>2373</v>
      </c>
      <c r="B1109" s="1" t="s">
        <v>54</v>
      </c>
      <c r="C1109" s="1" t="s">
        <v>2374</v>
      </c>
      <c r="D1109" s="2">
        <v>46082</v>
      </c>
      <c r="E1109" s="2">
        <v>46085</v>
      </c>
      <c r="F1109" s="1" t="s">
        <v>52</v>
      </c>
      <c r="G1109" s="1" t="s">
        <v>15</v>
      </c>
      <c r="H1109" s="1" t="s">
        <v>16</v>
      </c>
      <c r="I1109" s="7">
        <v>29.86</v>
      </c>
      <c r="J1109" s="1" t="s">
        <v>38</v>
      </c>
      <c r="K1109" s="1"/>
      <c r="L1109" s="1" t="s">
        <v>48</v>
      </c>
      <c r="M1109" s="1" t="str">
        <f>INDEX(MCC_Lookup!$B$2:$B$12,MATCH(G1109,MCC_Lookup!$A$2:$A$12,0))</f>
        <v>Entertainment</v>
      </c>
      <c r="N1109" s="1" t="str">
        <f>IF(TRIM(H1109)="","BLANK",IF(PROPER(TRIM(H1109))=TRIM(M1109),"MATCH","MISMATCH"))</f>
        <v>MATCH</v>
      </c>
      <c r="O1109" s="5" t="str">
        <f>INDEX([1]Employee!$C$2:$C$276,MATCH(B1109,[1]Employee!$A$2:$A$276,0))</f>
        <v>Sales &amp; Marketing</v>
      </c>
    </row>
    <row r="1110" spans="1:15">
      <c r="A1110" s="1" t="s">
        <v>2375</v>
      </c>
      <c r="B1110" s="1" t="s">
        <v>50</v>
      </c>
      <c r="C1110" s="1" t="s">
        <v>2376</v>
      </c>
      <c r="D1110" s="2">
        <v>46077</v>
      </c>
      <c r="E1110" s="2">
        <v>46085</v>
      </c>
      <c r="F1110" s="1" t="s">
        <v>362</v>
      </c>
      <c r="G1110" s="1" t="s">
        <v>2</v>
      </c>
      <c r="H1110" s="1" t="s">
        <v>3</v>
      </c>
      <c r="I1110" s="7">
        <v>78.05</v>
      </c>
      <c r="J1110" s="1" t="s">
        <v>38</v>
      </c>
      <c r="K1110" s="1"/>
      <c r="L1110" s="1" t="s">
        <v>48</v>
      </c>
      <c r="M1110" s="1" t="str">
        <f>INDEX(MCC_Lookup!$B$2:$B$12,MATCH(G1110,MCC_Lookup!$A$2:$A$12,0))</f>
        <v>Meals</v>
      </c>
      <c r="N1110" s="1" t="str">
        <f>IF(TRIM(H1110)="","BLANK",IF(PROPER(TRIM(H1110))=TRIM(M1110),"MATCH","MISMATCH"))</f>
        <v>MATCH</v>
      </c>
      <c r="O1110" s="5" t="str">
        <f>INDEX([1]Employee!$C$2:$C$276,MATCH(B1110,[1]Employee!$A$2:$A$276,0))</f>
        <v>Sales &amp; Marketing</v>
      </c>
    </row>
    <row r="1111" spans="1:15">
      <c r="A1111" s="1" t="s">
        <v>2377</v>
      </c>
      <c r="B1111" s="1" t="s">
        <v>50</v>
      </c>
      <c r="C1111" s="1" t="s">
        <v>2378</v>
      </c>
      <c r="D1111" s="2">
        <v>46085</v>
      </c>
      <c r="E1111" s="2">
        <v>46085</v>
      </c>
      <c r="F1111" s="1" t="s">
        <v>61</v>
      </c>
      <c r="G1111" s="1" t="s">
        <v>13</v>
      </c>
      <c r="H1111" s="1" t="s">
        <v>14</v>
      </c>
      <c r="I1111" s="7">
        <v>45.07</v>
      </c>
      <c r="J1111" s="1" t="s">
        <v>38</v>
      </c>
      <c r="K1111" s="1"/>
      <c r="L1111" s="1" t="s">
        <v>39</v>
      </c>
      <c r="M1111" s="1" t="str">
        <f>INDEX(MCC_Lookup!$B$2:$B$12,MATCH(G1111,MCC_Lookup!$A$2:$A$12,0))</f>
        <v>Software</v>
      </c>
      <c r="N1111" s="1" t="str">
        <f>IF(TRIM(H1111)="","BLANK",IF(PROPER(TRIM(H1111))=TRIM(M1111),"MATCH","MISMATCH"))</f>
        <v>MATCH</v>
      </c>
      <c r="O1111" s="5" t="str">
        <f>INDEX([1]Employee!$C$2:$C$276,MATCH(B1111,[1]Employee!$A$2:$A$276,0))</f>
        <v>Sales &amp; Marketing</v>
      </c>
    </row>
    <row r="1112" spans="1:15">
      <c r="A1112" s="1" t="s">
        <v>2379</v>
      </c>
      <c r="B1112" s="1" t="s">
        <v>59</v>
      </c>
      <c r="C1112" s="1" t="s">
        <v>2380</v>
      </c>
      <c r="D1112" s="2">
        <v>46080</v>
      </c>
      <c r="E1112" s="2">
        <v>46085</v>
      </c>
      <c r="F1112" s="1" t="s">
        <v>120</v>
      </c>
      <c r="G1112" s="1" t="s">
        <v>12</v>
      </c>
      <c r="H1112" s="1" t="s">
        <v>11</v>
      </c>
      <c r="I1112" s="7">
        <v>424.15</v>
      </c>
      <c r="J1112" s="1" t="s">
        <v>38</v>
      </c>
      <c r="K1112" s="1"/>
      <c r="L1112" s="1" t="s">
        <v>48</v>
      </c>
      <c r="M1112" s="1" t="str">
        <f>INDEX(MCC_Lookup!$B$2:$B$12,MATCH(G1112,MCC_Lookup!$A$2:$A$12,0))</f>
        <v>Office Supplies</v>
      </c>
      <c r="N1112" s="1" t="str">
        <f>IF(TRIM(H1112)="","BLANK",IF(PROPER(TRIM(H1112))=TRIM(M1112),"MATCH","MISMATCH"))</f>
        <v>MATCH</v>
      </c>
      <c r="O1112" s="5" t="str">
        <f>INDEX([1]Employee!$C$2:$C$276,MATCH(B1112,[1]Employee!$A$2:$A$276,0))</f>
        <v>Sales &amp; Marketing</v>
      </c>
    </row>
    <row r="1113" spans="1:15">
      <c r="A1113" s="1" t="s">
        <v>2381</v>
      </c>
      <c r="B1113" s="1" t="s">
        <v>59</v>
      </c>
      <c r="C1113" s="1" t="s">
        <v>2382</v>
      </c>
      <c r="D1113" s="2">
        <v>46085</v>
      </c>
      <c r="E1113" s="2">
        <v>46085</v>
      </c>
      <c r="F1113" s="1" t="s">
        <v>79</v>
      </c>
      <c r="G1113" s="1" t="s">
        <v>13</v>
      </c>
      <c r="H1113" s="1" t="s">
        <v>14</v>
      </c>
      <c r="I1113" s="7">
        <v>224.05</v>
      </c>
      <c r="J1113" s="1" t="s">
        <v>38</v>
      </c>
      <c r="K1113" s="1"/>
      <c r="L1113" s="1" t="s">
        <v>39</v>
      </c>
      <c r="M1113" s="1" t="str">
        <f>INDEX(MCC_Lookup!$B$2:$B$12,MATCH(G1113,MCC_Lookup!$A$2:$A$12,0))</f>
        <v>Software</v>
      </c>
      <c r="N1113" s="1" t="str">
        <f>IF(TRIM(H1113)="","BLANK",IF(PROPER(TRIM(H1113))=TRIM(M1113),"MATCH","MISMATCH"))</f>
        <v>MATCH</v>
      </c>
      <c r="O1113" s="5" t="str">
        <f>INDEX([1]Employee!$C$2:$C$276,MATCH(B1113,[1]Employee!$A$2:$A$276,0))</f>
        <v>Sales &amp; Marketing</v>
      </c>
    </row>
    <row r="1114" spans="1:15">
      <c r="A1114" s="1" t="s">
        <v>2383</v>
      </c>
      <c r="B1114" s="1" t="s">
        <v>104</v>
      </c>
      <c r="C1114" s="1" t="s">
        <v>2384</v>
      </c>
      <c r="D1114" s="2">
        <v>46080</v>
      </c>
      <c r="E1114" s="2">
        <v>46086</v>
      </c>
      <c r="F1114" s="1" t="s">
        <v>160</v>
      </c>
      <c r="G1114" s="1" t="s">
        <v>6</v>
      </c>
      <c r="H1114" s="1" t="s">
        <v>7</v>
      </c>
      <c r="I1114" s="7">
        <v>248.05</v>
      </c>
      <c r="J1114" s="1" t="s">
        <v>38</v>
      </c>
      <c r="K1114" s="1"/>
      <c r="L1114" s="1" t="s">
        <v>48</v>
      </c>
      <c r="M1114" s="1" t="str">
        <f>INDEX(MCC_Lookup!$B$2:$B$12,MATCH(G1114,MCC_Lookup!$A$2:$A$12,0))</f>
        <v>Lodging</v>
      </c>
      <c r="N1114" s="1" t="str">
        <f>IF(TRIM(H1114)="","BLANK",IF(PROPER(TRIM(H1114))=TRIM(M1114),"MATCH","MISMATCH"))</f>
        <v>MATCH</v>
      </c>
      <c r="O1114" s="5" t="str">
        <f>INDEX([1]Employee!$C$2:$C$276,MATCH(B1114,[1]Employee!$A$2:$A$276,0))</f>
        <v>Sales &amp; Marketing</v>
      </c>
    </row>
    <row r="1115" spans="1:15">
      <c r="A1115" s="1" t="s">
        <v>2385</v>
      </c>
      <c r="B1115" s="1" t="s">
        <v>149</v>
      </c>
      <c r="C1115" s="1" t="s">
        <v>2386</v>
      </c>
      <c r="D1115" s="2">
        <v>46084</v>
      </c>
      <c r="E1115" s="2">
        <v>46086</v>
      </c>
      <c r="F1115" s="1" t="s">
        <v>109</v>
      </c>
      <c r="G1115" s="1" t="s">
        <v>18</v>
      </c>
      <c r="H1115" s="1" t="s">
        <v>19</v>
      </c>
      <c r="I1115" s="7">
        <v>218.24</v>
      </c>
      <c r="J1115" s="1" t="s">
        <v>38</v>
      </c>
      <c r="K1115" s="1"/>
      <c r="L1115" s="1" t="s">
        <v>39</v>
      </c>
      <c r="M1115" s="1" t="str">
        <f>INDEX(MCC_Lookup!$B$2:$B$12,MATCH(G1115,MCC_Lookup!$A$2:$A$12,0))</f>
        <v>Events</v>
      </c>
      <c r="N1115" s="1" t="str">
        <f>IF(TRIM(H1115)="","BLANK",IF(PROPER(TRIM(H1115))=TRIM(M1115),"MATCH","MISMATCH"))</f>
        <v>MATCH</v>
      </c>
      <c r="O1115" s="5" t="str">
        <f>INDEX([1]Employee!$C$2:$C$276,MATCH(B1115,[1]Employee!$A$2:$A$276,0))</f>
        <v>Sales &amp; Marketing</v>
      </c>
    </row>
    <row r="1116" spans="1:15">
      <c r="A1116" s="1" t="s">
        <v>2387</v>
      </c>
      <c r="B1116" s="1" t="s">
        <v>41</v>
      </c>
      <c r="C1116" s="1" t="s">
        <v>2388</v>
      </c>
      <c r="D1116" s="2">
        <v>46081</v>
      </c>
      <c r="E1116" s="2">
        <v>46086</v>
      </c>
      <c r="F1116" s="1" t="s">
        <v>99</v>
      </c>
      <c r="G1116" s="1" t="s">
        <v>2</v>
      </c>
      <c r="H1116" s="1" t="s">
        <v>3</v>
      </c>
      <c r="I1116" s="7">
        <v>116.99</v>
      </c>
      <c r="J1116" s="1" t="s">
        <v>38</v>
      </c>
      <c r="K1116" s="1"/>
      <c r="L1116" s="1" t="s">
        <v>39</v>
      </c>
      <c r="M1116" s="1" t="str">
        <f>INDEX(MCC_Lookup!$B$2:$B$12,MATCH(G1116,MCC_Lookup!$A$2:$A$12,0))</f>
        <v>Meals</v>
      </c>
      <c r="N1116" s="1" t="str">
        <f>IF(TRIM(H1116)="","BLANK",IF(PROPER(TRIM(H1116))=TRIM(M1116),"MATCH","MISMATCH"))</f>
        <v>MATCH</v>
      </c>
      <c r="O1116" s="5" t="str">
        <f>INDEX([1]Employee!$C$2:$C$276,MATCH(B1116,[1]Employee!$A$2:$A$276,0))</f>
        <v>Sales &amp; Marketing</v>
      </c>
    </row>
    <row r="1117" spans="1:15">
      <c r="A1117" s="1" t="s">
        <v>2389</v>
      </c>
      <c r="B1117" s="1" t="s">
        <v>832</v>
      </c>
      <c r="C1117" s="1" t="s">
        <v>2390</v>
      </c>
      <c r="D1117" s="2">
        <v>46081</v>
      </c>
      <c r="E1117" s="2">
        <v>46086</v>
      </c>
      <c r="F1117" s="1" t="s">
        <v>52</v>
      </c>
      <c r="G1117" s="1" t="s">
        <v>15</v>
      </c>
      <c r="H1117" s="1" t="s">
        <v>9</v>
      </c>
      <c r="I1117" s="7">
        <v>18.18</v>
      </c>
      <c r="J1117" s="1" t="s">
        <v>38</v>
      </c>
      <c r="K1117" s="1"/>
      <c r="L1117" s="1" t="s">
        <v>48</v>
      </c>
      <c r="M1117" s="1" t="str">
        <f>INDEX(MCC_Lookup!$B$2:$B$12,MATCH(G1117,MCC_Lookup!$A$2:$A$12,0))</f>
        <v>Entertainment</v>
      </c>
      <c r="N1117" s="1" t="str">
        <f>IF(TRIM(H1117)="","BLANK",IF(PROPER(TRIM(H1117))=TRIM(M1117),"MATCH","MISMATCH"))</f>
        <v>MISMATCH</v>
      </c>
      <c r="O1117" s="5" t="str">
        <f>INDEX([1]Employee!$C$2:$C$276,MATCH(B1117,[1]Employee!$A$2:$A$276,0))</f>
        <v>Sales &amp; Marketing</v>
      </c>
    </row>
    <row r="1118" spans="1:15">
      <c r="A1118" s="1" t="s">
        <v>2391</v>
      </c>
      <c r="B1118" s="1" t="s">
        <v>199</v>
      </c>
      <c r="C1118" s="1" t="s">
        <v>2392</v>
      </c>
      <c r="D1118" s="2">
        <v>46077</v>
      </c>
      <c r="E1118" s="2">
        <v>46086</v>
      </c>
      <c r="F1118" s="1" t="s">
        <v>65</v>
      </c>
      <c r="G1118" s="1" t="s">
        <v>18</v>
      </c>
      <c r="H1118" s="1" t="s">
        <v>19</v>
      </c>
      <c r="I1118" s="7">
        <v>446.47</v>
      </c>
      <c r="J1118" s="1" t="s">
        <v>38</v>
      </c>
      <c r="K1118" s="1"/>
      <c r="L1118" s="1" t="s">
        <v>39</v>
      </c>
      <c r="M1118" s="1" t="str">
        <f>INDEX(MCC_Lookup!$B$2:$B$12,MATCH(G1118,MCC_Lookup!$A$2:$A$12,0))</f>
        <v>Events</v>
      </c>
      <c r="N1118" s="1" t="str">
        <f>IF(TRIM(H1118)="","BLANK",IF(PROPER(TRIM(H1118))=TRIM(M1118),"MATCH","MISMATCH"))</f>
        <v>MATCH</v>
      </c>
      <c r="O1118" s="5" t="str">
        <f>INDEX([1]Employee!$C$2:$C$276,MATCH(B1118,[1]Employee!$A$2:$A$276,0))</f>
        <v>Sales &amp; Marketing</v>
      </c>
    </row>
    <row r="1119" spans="1:15">
      <c r="A1119" s="1" t="s">
        <v>2393</v>
      </c>
      <c r="B1119" s="1" t="s">
        <v>1509</v>
      </c>
      <c r="C1119" s="1" t="s">
        <v>2394</v>
      </c>
      <c r="D1119" s="2">
        <v>46086</v>
      </c>
      <c r="E1119" s="2">
        <v>46086</v>
      </c>
      <c r="F1119" s="1" t="s">
        <v>61</v>
      </c>
      <c r="G1119" s="1" t="s">
        <v>13</v>
      </c>
      <c r="H1119" s="1" t="s">
        <v>14</v>
      </c>
      <c r="I1119" s="7">
        <v>75.36</v>
      </c>
      <c r="J1119" s="1" t="s">
        <v>38</v>
      </c>
      <c r="K1119" s="1"/>
      <c r="L1119" s="1" t="s">
        <v>39</v>
      </c>
      <c r="M1119" s="1" t="str">
        <f>INDEX(MCC_Lookup!$B$2:$B$12,MATCH(G1119,MCC_Lookup!$A$2:$A$12,0))</f>
        <v>Software</v>
      </c>
      <c r="N1119" s="1" t="str">
        <f>IF(TRIM(H1119)="","BLANK",IF(PROPER(TRIM(H1119))=TRIM(M1119),"MATCH","MISMATCH"))</f>
        <v>MATCH</v>
      </c>
      <c r="O1119" s="5" t="str">
        <f>INDEX([1]Employee!$C$2:$C$276,MATCH(B1119,[1]Employee!$A$2:$A$276,0))</f>
        <v>Claims</v>
      </c>
    </row>
    <row r="1120" spans="1:15">
      <c r="A1120" s="1" t="s">
        <v>2395</v>
      </c>
      <c r="B1120" s="1" t="s">
        <v>1064</v>
      </c>
      <c r="C1120" s="1" t="s">
        <v>2396</v>
      </c>
      <c r="D1120" s="2">
        <v>46086</v>
      </c>
      <c r="E1120" s="2">
        <v>46086</v>
      </c>
      <c r="F1120" s="1" t="s">
        <v>347</v>
      </c>
      <c r="G1120" s="1" t="s">
        <v>8</v>
      </c>
      <c r="H1120" s="1" t="s">
        <v>9</v>
      </c>
      <c r="I1120" s="7">
        <v>37.64</v>
      </c>
      <c r="J1120" s="1" t="s">
        <v>38</v>
      </c>
      <c r="K1120" s="1"/>
      <c r="L1120" s="1" t="s">
        <v>39</v>
      </c>
      <c r="M1120" s="1" t="str">
        <f>INDEX(MCC_Lookup!$B$2:$B$12,MATCH(G1120,MCC_Lookup!$A$2:$A$12,0))</f>
        <v>Transportation</v>
      </c>
      <c r="N1120" s="1" t="str">
        <f>IF(TRIM(H1120)="","BLANK",IF(PROPER(TRIM(H1120))=TRIM(M1120),"MATCH","MISMATCH"))</f>
        <v>MATCH</v>
      </c>
      <c r="O1120" s="5" t="str">
        <f>INDEX([1]Employee!$C$2:$C$276,MATCH(B1120,[1]Employee!$A$2:$A$276,0))</f>
        <v>Actuarial &amp; Risk</v>
      </c>
    </row>
    <row r="1121" spans="1:15">
      <c r="A1121" s="1" t="s">
        <v>2397</v>
      </c>
      <c r="B1121" s="1" t="s">
        <v>244</v>
      </c>
      <c r="C1121" s="1" t="s">
        <v>2398</v>
      </c>
      <c r="D1121" s="2">
        <v>46077</v>
      </c>
      <c r="E1121" s="2">
        <v>46086</v>
      </c>
      <c r="F1121" s="1" t="s">
        <v>160</v>
      </c>
      <c r="G1121" s="1" t="s">
        <v>6</v>
      </c>
      <c r="H1121" s="1" t="s">
        <v>7</v>
      </c>
      <c r="I1121" s="7">
        <v>375.25</v>
      </c>
      <c r="J1121" s="1" t="s">
        <v>38</v>
      </c>
      <c r="K1121" s="1"/>
      <c r="L1121" s="1" t="s">
        <v>48</v>
      </c>
      <c r="M1121" s="1" t="str">
        <f>INDEX(MCC_Lookup!$B$2:$B$12,MATCH(G1121,MCC_Lookup!$A$2:$A$12,0))</f>
        <v>Lodging</v>
      </c>
      <c r="N1121" s="1" t="str">
        <f>IF(TRIM(H1121)="","BLANK",IF(PROPER(TRIM(H1121))=TRIM(M1121),"MATCH","MISMATCH"))</f>
        <v>MATCH</v>
      </c>
      <c r="O1121" s="5" t="str">
        <f>INDEX([1]Employee!$C$2:$C$276,MATCH(B1121,[1]Employee!$A$2:$A$276,0))</f>
        <v>Sales &amp; Marketing</v>
      </c>
    </row>
    <row r="1122" spans="1:15">
      <c r="A1122" s="1" t="s">
        <v>2399</v>
      </c>
      <c r="B1122" s="1" t="s">
        <v>379</v>
      </c>
      <c r="C1122" s="1" t="s">
        <v>2400</v>
      </c>
      <c r="D1122" s="2">
        <v>46077</v>
      </c>
      <c r="E1122" s="2">
        <v>46086</v>
      </c>
      <c r="F1122" s="1" t="s">
        <v>116</v>
      </c>
      <c r="G1122" s="1" t="s">
        <v>2</v>
      </c>
      <c r="H1122" s="1" t="s">
        <v>3</v>
      </c>
      <c r="I1122" s="7">
        <v>9.76</v>
      </c>
      <c r="J1122" s="1" t="s">
        <v>38</v>
      </c>
      <c r="K1122" s="1"/>
      <c r="L1122" s="1" t="s">
        <v>48</v>
      </c>
      <c r="M1122" s="1" t="str">
        <f>INDEX(MCC_Lookup!$B$2:$B$12,MATCH(G1122,MCC_Lookup!$A$2:$A$12,0))</f>
        <v>Meals</v>
      </c>
      <c r="N1122" s="1" t="str">
        <f>IF(TRIM(H1122)="","BLANK",IF(PROPER(TRIM(H1122))=TRIM(M1122),"MATCH","MISMATCH"))</f>
        <v>MATCH</v>
      </c>
      <c r="O1122" s="5" t="str">
        <f>INDEX([1]Employee!$C$2:$C$276,MATCH(B1122,[1]Employee!$A$2:$A$276,0))</f>
        <v>Sales &amp; Marketing</v>
      </c>
    </row>
    <row r="1123" spans="1:15">
      <c r="A1123" s="1" t="s">
        <v>2401</v>
      </c>
      <c r="B1123" s="1" t="s">
        <v>379</v>
      </c>
      <c r="C1123" s="1"/>
      <c r="D1123" s="2">
        <v>46082</v>
      </c>
      <c r="E1123" s="2">
        <v>46086</v>
      </c>
      <c r="F1123" s="1" t="s">
        <v>120</v>
      </c>
      <c r="G1123" s="1" t="s">
        <v>12</v>
      </c>
      <c r="H1123" s="1" t="s">
        <v>11</v>
      </c>
      <c r="I1123" s="7">
        <v>409.92</v>
      </c>
      <c r="J1123" s="1" t="s">
        <v>38</v>
      </c>
      <c r="K1123" s="1"/>
      <c r="L1123" s="1" t="s">
        <v>39</v>
      </c>
      <c r="M1123" s="1" t="str">
        <f>INDEX(MCC_Lookup!$B$2:$B$12,MATCH(G1123,MCC_Lookup!$A$2:$A$12,0))</f>
        <v>Office Supplies</v>
      </c>
      <c r="N1123" s="1" t="str">
        <f>IF(TRIM(H1123)="","BLANK",IF(PROPER(TRIM(H1123))=TRIM(M1123),"MATCH","MISMATCH"))</f>
        <v>MATCH</v>
      </c>
      <c r="O1123" s="5" t="str">
        <f>INDEX([1]Employee!$C$2:$C$276,MATCH(B1123,[1]Employee!$A$2:$A$276,0))</f>
        <v>Sales &amp; Marketing</v>
      </c>
    </row>
    <row r="1124" spans="1:15">
      <c r="A1124" s="1" t="s">
        <v>2402</v>
      </c>
      <c r="B1124" s="1" t="s">
        <v>640</v>
      </c>
      <c r="C1124" s="1" t="s">
        <v>2403</v>
      </c>
      <c r="D1124" s="2">
        <v>46082</v>
      </c>
      <c r="E1124" s="2">
        <v>46086</v>
      </c>
      <c r="F1124" s="1" t="s">
        <v>259</v>
      </c>
      <c r="G1124" s="1" t="s">
        <v>20</v>
      </c>
      <c r="H1124" s="1" t="s">
        <v>19</v>
      </c>
      <c r="I1124" s="7">
        <v>549.26</v>
      </c>
      <c r="J1124" s="1" t="s">
        <v>38</v>
      </c>
      <c r="K1124" s="1"/>
      <c r="L1124" s="1" t="s">
        <v>48</v>
      </c>
      <c r="M1124" s="1" t="str">
        <f>INDEX(MCC_Lookup!$B$2:$B$12,MATCH(G1124,MCC_Lookup!$A$2:$A$12,0))</f>
        <v>Events</v>
      </c>
      <c r="N1124" s="1" t="str">
        <f>IF(TRIM(H1124)="","BLANK",IF(PROPER(TRIM(H1124))=TRIM(M1124),"MATCH","MISMATCH"))</f>
        <v>MATCH</v>
      </c>
      <c r="O1124" s="5" t="str">
        <f>INDEX([1]Employee!$C$2:$C$276,MATCH(B1124,[1]Employee!$A$2:$A$276,0))</f>
        <v>Underwriting</v>
      </c>
    </row>
    <row r="1125" spans="1:15">
      <c r="A1125" s="1" t="s">
        <v>2404</v>
      </c>
      <c r="B1125" s="1" t="s">
        <v>71</v>
      </c>
      <c r="C1125" s="1" t="s">
        <v>2405</v>
      </c>
      <c r="D1125" s="2">
        <v>46081</v>
      </c>
      <c r="E1125" s="2">
        <v>46087</v>
      </c>
      <c r="F1125" s="1" t="s">
        <v>69</v>
      </c>
      <c r="G1125" s="1" t="s">
        <v>8</v>
      </c>
      <c r="H1125" s="1" t="s">
        <v>9</v>
      </c>
      <c r="I1125" s="7">
        <v>53.73</v>
      </c>
      <c r="J1125" s="1" t="s">
        <v>38</v>
      </c>
      <c r="K1125" s="1"/>
      <c r="L1125" s="1" t="s">
        <v>39</v>
      </c>
      <c r="M1125" s="1" t="str">
        <f>INDEX(MCC_Lookup!$B$2:$B$12,MATCH(G1125,MCC_Lookup!$A$2:$A$12,0))</f>
        <v>Transportation</v>
      </c>
      <c r="N1125" s="1" t="str">
        <f>IF(TRIM(H1125)="","BLANK",IF(PROPER(TRIM(H1125))=TRIM(M1125),"MATCH","MISMATCH"))</f>
        <v>MATCH</v>
      </c>
      <c r="O1125" s="5" t="str">
        <f>INDEX([1]Employee!$C$2:$C$276,MATCH(B1125,[1]Employee!$A$2:$A$276,0))</f>
        <v>Sales &amp; Marketing</v>
      </c>
    </row>
    <row r="1126" spans="1:15">
      <c r="A1126" s="1" t="s">
        <v>2406</v>
      </c>
      <c r="B1126" s="1" t="s">
        <v>2027</v>
      </c>
      <c r="C1126" s="1" t="s">
        <v>2407</v>
      </c>
      <c r="D1126" s="2">
        <v>46083</v>
      </c>
      <c r="E1126" s="2">
        <v>46087</v>
      </c>
      <c r="F1126" s="1" t="s">
        <v>160</v>
      </c>
      <c r="G1126" s="1" t="s">
        <v>6</v>
      </c>
      <c r="H1126" s="1" t="s">
        <v>7</v>
      </c>
      <c r="I1126" s="7">
        <v>240.24</v>
      </c>
      <c r="J1126" s="1" t="s">
        <v>38</v>
      </c>
      <c r="K1126" s="1"/>
      <c r="L1126" s="1" t="s">
        <v>48</v>
      </c>
      <c r="M1126" s="1" t="str">
        <f>INDEX(MCC_Lookup!$B$2:$B$12,MATCH(G1126,MCC_Lookup!$A$2:$A$12,0))</f>
        <v>Lodging</v>
      </c>
      <c r="N1126" s="1" t="str">
        <f>IF(TRIM(H1126)="","BLANK",IF(PROPER(TRIM(H1126))=TRIM(M1126),"MATCH","MISMATCH"))</f>
        <v>MATCH</v>
      </c>
      <c r="O1126" s="5" t="str">
        <f>INDEX([1]Employee!$C$2:$C$276,MATCH(B1126,[1]Employee!$A$2:$A$276,0))</f>
        <v>Customer Support</v>
      </c>
    </row>
    <row r="1127" spans="1:15">
      <c r="A1127" s="1" t="s">
        <v>2408</v>
      </c>
      <c r="B1127" s="1" t="s">
        <v>475</v>
      </c>
      <c r="C1127" s="1"/>
      <c r="D1127" s="2">
        <v>46084</v>
      </c>
      <c r="E1127" s="2">
        <v>46087</v>
      </c>
      <c r="F1127" s="1" t="s">
        <v>37</v>
      </c>
      <c r="G1127" s="1" t="s">
        <v>4</v>
      </c>
      <c r="H1127" s="1" t="s">
        <v>5</v>
      </c>
      <c r="I1127" s="7">
        <v>185.72</v>
      </c>
      <c r="J1127" s="1" t="s">
        <v>38</v>
      </c>
      <c r="K1127" s="1"/>
      <c r="L1127" s="1" t="s">
        <v>39</v>
      </c>
      <c r="M1127" s="1" t="str">
        <f>INDEX(MCC_Lookup!$B$2:$B$12,MATCH(G1127,MCC_Lookup!$A$2:$A$12,0))</f>
        <v>Travel</v>
      </c>
      <c r="N1127" s="1" t="str">
        <f>IF(TRIM(H1127)="","BLANK",IF(PROPER(TRIM(H1127))=TRIM(M1127),"MATCH","MISMATCH"))</f>
        <v>MATCH</v>
      </c>
      <c r="O1127" s="5" t="str">
        <f>INDEX([1]Employee!$C$2:$C$276,MATCH(B1127,[1]Employee!$A$2:$A$276,0))</f>
        <v>Sales &amp; Marketing</v>
      </c>
    </row>
    <row r="1128" spans="1:15">
      <c r="A1128" s="1" t="s">
        <v>2409</v>
      </c>
      <c r="B1128" s="1" t="s">
        <v>317</v>
      </c>
      <c r="C1128" s="1" t="s">
        <v>2410</v>
      </c>
      <c r="D1128" s="2">
        <v>46083</v>
      </c>
      <c r="E1128" s="2">
        <v>46087</v>
      </c>
      <c r="F1128" s="1" t="s">
        <v>43</v>
      </c>
      <c r="G1128" s="1" t="s">
        <v>2</v>
      </c>
      <c r="H1128" s="1" t="s">
        <v>3</v>
      </c>
      <c r="I1128" s="7">
        <v>7.43</v>
      </c>
      <c r="J1128" s="1" t="s">
        <v>38</v>
      </c>
      <c r="K1128" s="1"/>
      <c r="L1128" s="1" t="s">
        <v>39</v>
      </c>
      <c r="M1128" s="1" t="str">
        <f>INDEX(MCC_Lookup!$B$2:$B$12,MATCH(G1128,MCC_Lookup!$A$2:$A$12,0))</f>
        <v>Meals</v>
      </c>
      <c r="N1128" s="1" t="str">
        <f>IF(TRIM(H1128)="","BLANK",IF(PROPER(TRIM(H1128))=TRIM(M1128),"MATCH","MISMATCH"))</f>
        <v>MATCH</v>
      </c>
      <c r="O1128" s="5" t="str">
        <f>INDEX([1]Employee!$C$2:$C$276,MATCH(B1128,[1]Employee!$A$2:$A$276,0))</f>
        <v>Sales &amp; Marketing</v>
      </c>
    </row>
    <row r="1129" spans="1:15">
      <c r="A1129" s="1" t="s">
        <v>2411</v>
      </c>
      <c r="B1129" s="1" t="s">
        <v>2009</v>
      </c>
      <c r="C1129" s="1" t="s">
        <v>2412</v>
      </c>
      <c r="D1129" s="2">
        <v>46080</v>
      </c>
      <c r="E1129" s="2">
        <v>46087</v>
      </c>
      <c r="F1129" s="1" t="s">
        <v>47</v>
      </c>
      <c r="G1129" s="1" t="s">
        <v>6</v>
      </c>
      <c r="H1129" s="1" t="s">
        <v>7</v>
      </c>
      <c r="I1129" s="7">
        <v>214.31</v>
      </c>
      <c r="J1129" s="1" t="s">
        <v>38</v>
      </c>
      <c r="K1129" s="1"/>
      <c r="L1129" s="1" t="s">
        <v>39</v>
      </c>
      <c r="M1129" s="1" t="str">
        <f>INDEX(MCC_Lookup!$B$2:$B$12,MATCH(G1129,MCC_Lookup!$A$2:$A$12,0))</f>
        <v>Lodging</v>
      </c>
      <c r="N1129" s="1" t="str">
        <f>IF(TRIM(H1129)="","BLANK",IF(PROPER(TRIM(H1129))=TRIM(M1129),"MATCH","MISMATCH"))</f>
        <v>MATCH</v>
      </c>
      <c r="O1129" s="5" t="str">
        <f>INDEX([1]Employee!$C$2:$C$276,MATCH(B1129,[1]Employee!$A$2:$A$276,0))</f>
        <v>Finance</v>
      </c>
    </row>
    <row r="1130" spans="1:15">
      <c r="A1130" s="1" t="s">
        <v>2413</v>
      </c>
      <c r="B1130" s="1" t="s">
        <v>81</v>
      </c>
      <c r="C1130" s="1" t="s">
        <v>2414</v>
      </c>
      <c r="D1130" s="2">
        <v>46084</v>
      </c>
      <c r="E1130" s="2">
        <v>46087</v>
      </c>
      <c r="F1130" s="1" t="s">
        <v>79</v>
      </c>
      <c r="G1130" s="1" t="s">
        <v>13</v>
      </c>
      <c r="H1130" s="1" t="s">
        <v>14</v>
      </c>
      <c r="I1130" s="7">
        <v>237.65</v>
      </c>
      <c r="J1130" s="1" t="s">
        <v>38</v>
      </c>
      <c r="K1130" s="1"/>
      <c r="L1130" s="1" t="s">
        <v>39</v>
      </c>
      <c r="M1130" s="1" t="str">
        <f>INDEX(MCC_Lookup!$B$2:$B$12,MATCH(G1130,MCC_Lookup!$A$2:$A$12,0))</f>
        <v>Software</v>
      </c>
      <c r="N1130" s="1" t="str">
        <f>IF(TRIM(H1130)="","BLANK",IF(PROPER(TRIM(H1130))=TRIM(M1130),"MATCH","MISMATCH"))</f>
        <v>MATCH</v>
      </c>
      <c r="O1130" s="5" t="str">
        <f>INDEX([1]Employee!$C$2:$C$276,MATCH(B1130,[1]Employee!$A$2:$A$276,0))</f>
        <v>Sales &amp; Marketing</v>
      </c>
    </row>
    <row r="1131" spans="1:15">
      <c r="A1131" s="1" t="s">
        <v>2415</v>
      </c>
      <c r="B1131" s="1" t="s">
        <v>469</v>
      </c>
      <c r="C1131" s="1"/>
      <c r="D1131" s="2">
        <v>46078</v>
      </c>
      <c r="E1131" s="2">
        <v>46087</v>
      </c>
      <c r="F1131" s="1" t="s">
        <v>47</v>
      </c>
      <c r="G1131" s="1" t="s">
        <v>6</v>
      </c>
      <c r="H1131" s="1" t="s">
        <v>7</v>
      </c>
      <c r="I1131" s="7">
        <v>237.42</v>
      </c>
      <c r="J1131" s="1" t="s">
        <v>111</v>
      </c>
      <c r="K1131" s="1" t="s">
        <v>127</v>
      </c>
      <c r="L1131" s="1" t="s">
        <v>39</v>
      </c>
      <c r="M1131" s="1" t="str">
        <f>INDEX(MCC_Lookup!$B$2:$B$12,MATCH(G1131,MCC_Lookup!$A$2:$A$12,0))</f>
        <v>Lodging</v>
      </c>
      <c r="N1131" s="1" t="str">
        <f>IF(TRIM(H1131)="","BLANK",IF(PROPER(TRIM(H1131))=TRIM(M1131),"MATCH","MISMATCH"))</f>
        <v>MATCH</v>
      </c>
      <c r="O1131" s="5" t="str">
        <f>INDEX([1]Employee!$C$2:$C$276,MATCH(B1131,[1]Employee!$A$2:$A$276,0))</f>
        <v>Sales &amp; Marketing</v>
      </c>
    </row>
    <row r="1132" spans="1:15">
      <c r="A1132" s="1" t="s">
        <v>2416</v>
      </c>
      <c r="B1132" s="1" t="s">
        <v>2344</v>
      </c>
      <c r="C1132" s="1" t="s">
        <v>2417</v>
      </c>
      <c r="D1132" s="2">
        <v>46086</v>
      </c>
      <c r="E1132" s="2">
        <v>46087</v>
      </c>
      <c r="F1132" s="1" t="s">
        <v>2418</v>
      </c>
      <c r="G1132" s="1" t="s">
        <v>2</v>
      </c>
      <c r="H1132" s="1" t="s">
        <v>3</v>
      </c>
      <c r="I1132" s="7">
        <v>29.01</v>
      </c>
      <c r="J1132" s="1" t="s">
        <v>38</v>
      </c>
      <c r="K1132" s="1"/>
      <c r="L1132" s="1" t="s">
        <v>39</v>
      </c>
      <c r="M1132" s="1" t="str">
        <f>INDEX(MCC_Lookup!$B$2:$B$12,MATCH(G1132,MCC_Lookup!$A$2:$A$12,0))</f>
        <v>Meals</v>
      </c>
      <c r="N1132" s="1" t="str">
        <f>IF(TRIM(H1132)="","BLANK",IF(PROPER(TRIM(H1132))=TRIM(M1132),"MATCH","MISMATCH"))</f>
        <v>MATCH</v>
      </c>
      <c r="O1132" s="5" t="str">
        <f>INDEX([1]Employee!$C$2:$C$276,MATCH(B1132,[1]Employee!$A$2:$A$276,0))</f>
        <v>Claims</v>
      </c>
    </row>
    <row r="1133" spans="1:15">
      <c r="A1133" s="1" t="s">
        <v>2419</v>
      </c>
      <c r="B1133" s="1" t="s">
        <v>2344</v>
      </c>
      <c r="C1133" s="1" t="s">
        <v>2420</v>
      </c>
      <c r="D1133" s="2">
        <v>46085</v>
      </c>
      <c r="E1133" s="2">
        <v>46087</v>
      </c>
      <c r="F1133" s="1" t="s">
        <v>483</v>
      </c>
      <c r="G1133" s="1" t="s">
        <v>13</v>
      </c>
      <c r="H1133" s="1" t="s">
        <v>14</v>
      </c>
      <c r="I1133" s="7">
        <v>59.39</v>
      </c>
      <c r="J1133" s="1" t="s">
        <v>38</v>
      </c>
      <c r="K1133" s="1"/>
      <c r="L1133" s="1" t="s">
        <v>39</v>
      </c>
      <c r="M1133" s="1" t="str">
        <f>INDEX(MCC_Lookup!$B$2:$B$12,MATCH(G1133,MCC_Lookup!$A$2:$A$12,0))</f>
        <v>Software</v>
      </c>
      <c r="N1133" s="1" t="str">
        <f>IF(TRIM(H1133)="","BLANK",IF(PROPER(TRIM(H1133))=TRIM(M1133),"MATCH","MISMATCH"))</f>
        <v>MATCH</v>
      </c>
      <c r="O1133" s="5" t="str">
        <f>INDEX([1]Employee!$C$2:$C$276,MATCH(B1133,[1]Employee!$A$2:$A$276,0))</f>
        <v>Claims</v>
      </c>
    </row>
    <row r="1134" spans="1:15">
      <c r="A1134" s="1" t="s">
        <v>2421</v>
      </c>
      <c r="B1134" s="1" t="s">
        <v>1128</v>
      </c>
      <c r="C1134" s="1" t="s">
        <v>2422</v>
      </c>
      <c r="D1134" s="2">
        <v>46083</v>
      </c>
      <c r="E1134" s="2">
        <v>46087</v>
      </c>
      <c r="F1134" s="1" t="s">
        <v>160</v>
      </c>
      <c r="G1134" s="1" t="s">
        <v>6</v>
      </c>
      <c r="H1134" s="1" t="s">
        <v>1476</v>
      </c>
      <c r="I1134" s="7">
        <v>365.14</v>
      </c>
      <c r="J1134" s="1" t="s">
        <v>38</v>
      </c>
      <c r="K1134" s="1"/>
      <c r="L1134" s="1" t="s">
        <v>39</v>
      </c>
      <c r="M1134" s="1" t="str">
        <f>INDEX(MCC_Lookup!$B$2:$B$12,MATCH(G1134,MCC_Lookup!$A$2:$A$12,0))</f>
        <v>Lodging</v>
      </c>
      <c r="N1134" s="1" t="str">
        <f>IF(TRIM(H1134)="","BLANK",IF(PROPER(TRIM(H1134))=TRIM(M1134),"MATCH","MISMATCH"))</f>
        <v>MATCH</v>
      </c>
      <c r="O1134" s="5" t="str">
        <f>INDEX([1]Employee!$C$2:$C$276,MATCH(B1134,[1]Employee!$A$2:$A$276,0))</f>
        <v>Customer Support</v>
      </c>
    </row>
    <row r="1135" spans="1:15">
      <c r="A1135" s="1" t="s">
        <v>2423</v>
      </c>
      <c r="B1135" s="1" t="s">
        <v>264</v>
      </c>
      <c r="C1135" s="1" t="s">
        <v>2424</v>
      </c>
      <c r="D1135" s="2">
        <v>46085</v>
      </c>
      <c r="E1135" s="2">
        <v>46087</v>
      </c>
      <c r="F1135" s="1" t="s">
        <v>72</v>
      </c>
      <c r="G1135" s="1" t="s">
        <v>8</v>
      </c>
      <c r="H1135" s="1" t="s">
        <v>9</v>
      </c>
      <c r="I1135" s="7">
        <v>37.700000000000003</v>
      </c>
      <c r="J1135" s="1" t="s">
        <v>38</v>
      </c>
      <c r="K1135" s="1"/>
      <c r="L1135" s="1" t="s">
        <v>39</v>
      </c>
      <c r="M1135" s="1" t="str">
        <f>INDEX(MCC_Lookup!$B$2:$B$12,MATCH(G1135,MCC_Lookup!$A$2:$A$12,0))</f>
        <v>Transportation</v>
      </c>
      <c r="N1135" s="1" t="str">
        <f>IF(TRIM(H1135)="","BLANK",IF(PROPER(TRIM(H1135))=TRIM(M1135),"MATCH","MISMATCH"))</f>
        <v>MATCH</v>
      </c>
      <c r="O1135" s="5" t="str">
        <f>INDEX([1]Employee!$C$2:$C$276,MATCH(B1135,[1]Employee!$A$2:$A$276,0))</f>
        <v>Finance</v>
      </c>
    </row>
    <row r="1136" spans="1:15">
      <c r="A1136" s="1" t="s">
        <v>2425</v>
      </c>
      <c r="B1136" s="1" t="s">
        <v>216</v>
      </c>
      <c r="C1136" s="1" t="s">
        <v>2426</v>
      </c>
      <c r="D1136" s="2">
        <v>46085</v>
      </c>
      <c r="E1136" s="2">
        <v>46087</v>
      </c>
      <c r="F1136" s="1" t="s">
        <v>201</v>
      </c>
      <c r="G1136" s="1" t="s">
        <v>4</v>
      </c>
      <c r="H1136" s="1" t="s">
        <v>57</v>
      </c>
      <c r="I1136" s="7">
        <v>295.33999999999997</v>
      </c>
      <c r="J1136" s="1" t="s">
        <v>38</v>
      </c>
      <c r="K1136" s="1"/>
      <c r="L1136" s="1" t="s">
        <v>39</v>
      </c>
      <c r="M1136" s="1" t="str">
        <f>INDEX(MCC_Lookup!$B$2:$B$12,MATCH(G1136,MCC_Lookup!$A$2:$A$12,0))</f>
        <v>Travel</v>
      </c>
      <c r="N1136" s="1" t="str">
        <f>IF(TRIM(H1136)="","BLANK",IF(PROPER(TRIM(H1136))=TRIM(M1136),"MATCH","MISMATCH"))</f>
        <v>MATCH</v>
      </c>
      <c r="O1136" s="5" t="str">
        <f>INDEX([1]Employee!$C$2:$C$276,MATCH(B1136,[1]Employee!$A$2:$A$276,0))</f>
        <v>Sales &amp; Marketing</v>
      </c>
    </row>
    <row r="1137" spans="1:15">
      <c r="A1137" s="1" t="s">
        <v>2427</v>
      </c>
      <c r="B1137" s="1" t="s">
        <v>542</v>
      </c>
      <c r="C1137" s="1" t="s">
        <v>2428</v>
      </c>
      <c r="D1137" s="2">
        <v>46078</v>
      </c>
      <c r="E1137" s="2">
        <v>46087</v>
      </c>
      <c r="F1137" s="1" t="s">
        <v>76</v>
      </c>
      <c r="G1137" s="1" t="s">
        <v>13</v>
      </c>
      <c r="H1137" s="1"/>
      <c r="I1137" s="7">
        <v>332.2</v>
      </c>
      <c r="J1137" s="1" t="s">
        <v>38</v>
      </c>
      <c r="K1137" s="1"/>
      <c r="L1137" s="1" t="s">
        <v>39</v>
      </c>
      <c r="M1137" s="1" t="str">
        <f>INDEX(MCC_Lookup!$B$2:$B$12,MATCH(G1137,MCC_Lookup!$A$2:$A$12,0))</f>
        <v>Software</v>
      </c>
      <c r="N1137" s="1" t="str">
        <f>IF(TRIM(H1137)="","BLANK",IF(PROPER(TRIM(H1137))=TRIM(M1137),"MATCH","MISMATCH"))</f>
        <v>BLANK</v>
      </c>
      <c r="O1137" s="5" t="str">
        <f>INDEX([1]Employee!$C$2:$C$276,MATCH(B1137,[1]Employee!$A$2:$A$276,0))</f>
        <v>Underwriting</v>
      </c>
    </row>
    <row r="1138" spans="1:15">
      <c r="A1138" s="1" t="s">
        <v>2429</v>
      </c>
      <c r="B1138" s="1" t="s">
        <v>175</v>
      </c>
      <c r="C1138" s="1"/>
      <c r="D1138" s="2">
        <v>46087</v>
      </c>
      <c r="E1138" s="2">
        <v>46087</v>
      </c>
      <c r="F1138" s="1" t="s">
        <v>65</v>
      </c>
      <c r="G1138" s="1" t="s">
        <v>18</v>
      </c>
      <c r="H1138" s="1" t="s">
        <v>517</v>
      </c>
      <c r="I1138" s="7">
        <v>433.14</v>
      </c>
      <c r="J1138" s="1" t="s">
        <v>111</v>
      </c>
      <c r="K1138" s="1" t="s">
        <v>112</v>
      </c>
      <c r="L1138" s="1" t="s">
        <v>39</v>
      </c>
      <c r="M1138" s="1" t="str">
        <f>INDEX(MCC_Lookup!$B$2:$B$12,MATCH(G1138,MCC_Lookup!$A$2:$A$12,0))</f>
        <v>Events</v>
      </c>
      <c r="N1138" s="1" t="str">
        <f>IF(TRIM(H1138)="","BLANK",IF(PROPER(TRIM(H1138))=TRIM(M1138),"MATCH","MISMATCH"))</f>
        <v>MATCH</v>
      </c>
      <c r="O1138" s="5" t="str">
        <f>INDEX([1]Employee!$C$2:$C$276,MATCH(B1138,[1]Employee!$A$2:$A$276,0))</f>
        <v>Claims</v>
      </c>
    </row>
    <row r="1139" spans="1:15">
      <c r="A1139" s="1" t="s">
        <v>2430</v>
      </c>
      <c r="B1139" s="1" t="s">
        <v>182</v>
      </c>
      <c r="C1139" s="1" t="s">
        <v>2431</v>
      </c>
      <c r="D1139" s="2">
        <v>46079</v>
      </c>
      <c r="E1139" s="2">
        <v>46087</v>
      </c>
      <c r="F1139" s="1" t="s">
        <v>106</v>
      </c>
      <c r="G1139" s="1" t="s">
        <v>13</v>
      </c>
      <c r="H1139" s="1" t="s">
        <v>470</v>
      </c>
      <c r="I1139" s="7">
        <v>74.78</v>
      </c>
      <c r="J1139" s="1" t="s">
        <v>38</v>
      </c>
      <c r="K1139" s="1"/>
      <c r="L1139" s="1" t="s">
        <v>39</v>
      </c>
      <c r="M1139" s="1" t="str">
        <f>INDEX(MCC_Lookup!$B$2:$B$12,MATCH(G1139,MCC_Lookup!$A$2:$A$12,0))</f>
        <v>Software</v>
      </c>
      <c r="N1139" s="1" t="str">
        <f>IF(TRIM(H1139)="","BLANK",IF(PROPER(TRIM(H1139))=TRIM(M1139),"MATCH","MISMATCH"))</f>
        <v>MATCH</v>
      </c>
      <c r="O1139" s="5" t="str">
        <f>INDEX([1]Employee!$C$2:$C$276,MATCH(B1139,[1]Employee!$A$2:$A$276,0))</f>
        <v>Sales &amp; Marketing</v>
      </c>
    </row>
    <row r="1140" spans="1:15">
      <c r="A1140" s="1" t="s">
        <v>2432</v>
      </c>
      <c r="B1140" s="1" t="s">
        <v>108</v>
      </c>
      <c r="C1140" s="1" t="s">
        <v>2433</v>
      </c>
      <c r="D1140" s="2">
        <v>46079</v>
      </c>
      <c r="E1140" s="2">
        <v>46087</v>
      </c>
      <c r="F1140" s="1" t="s">
        <v>56</v>
      </c>
      <c r="G1140" s="1" t="s">
        <v>4</v>
      </c>
      <c r="H1140" s="1" t="s">
        <v>5</v>
      </c>
      <c r="I1140" s="7">
        <v>588.57000000000005</v>
      </c>
      <c r="J1140" s="1" t="s">
        <v>38</v>
      </c>
      <c r="K1140" s="1"/>
      <c r="L1140" s="1" t="s">
        <v>39</v>
      </c>
      <c r="M1140" s="1" t="str">
        <f>INDEX(MCC_Lookup!$B$2:$B$12,MATCH(G1140,MCC_Lookup!$A$2:$A$12,0))</f>
        <v>Travel</v>
      </c>
      <c r="N1140" s="1" t="str">
        <f>IF(TRIM(H1140)="","BLANK",IF(PROPER(TRIM(H1140))=TRIM(M1140),"MATCH","MISMATCH"))</f>
        <v>MATCH</v>
      </c>
      <c r="O1140" s="5" t="str">
        <f>INDEX([1]Employee!$C$2:$C$276,MATCH(B1140,[1]Employee!$A$2:$A$276,0))</f>
        <v>Sales &amp; Marketing</v>
      </c>
    </row>
    <row r="1141" spans="1:15">
      <c r="A1141" s="1" t="s">
        <v>2434</v>
      </c>
      <c r="B1141" s="1" t="s">
        <v>303</v>
      </c>
      <c r="C1141" s="1"/>
      <c r="D1141" s="2">
        <v>46077</v>
      </c>
      <c r="E1141" s="2">
        <v>46087</v>
      </c>
      <c r="F1141" s="1" t="s">
        <v>173</v>
      </c>
      <c r="G1141" s="1" t="s">
        <v>2</v>
      </c>
      <c r="H1141" s="1" t="s">
        <v>3</v>
      </c>
      <c r="I1141" s="7">
        <v>55.46</v>
      </c>
      <c r="J1141" s="1" t="s">
        <v>38</v>
      </c>
      <c r="K1141" s="1"/>
      <c r="L1141" s="1" t="s">
        <v>39</v>
      </c>
      <c r="M1141" s="1" t="str">
        <f>INDEX(MCC_Lookup!$B$2:$B$12,MATCH(G1141,MCC_Lookup!$A$2:$A$12,0))</f>
        <v>Meals</v>
      </c>
      <c r="N1141" s="1" t="str">
        <f>IF(TRIM(H1141)="","BLANK",IF(PROPER(TRIM(H1141))=TRIM(M1141),"MATCH","MISMATCH"))</f>
        <v>MATCH</v>
      </c>
      <c r="O1141" s="5" t="str">
        <f>INDEX([1]Employee!$C$2:$C$276,MATCH(B1141,[1]Employee!$A$2:$A$276,0))</f>
        <v>Sales &amp; Marketing</v>
      </c>
    </row>
    <row r="1142" spans="1:15">
      <c r="A1142" s="1" t="s">
        <v>2435</v>
      </c>
      <c r="B1142" s="1" t="s">
        <v>149</v>
      </c>
      <c r="C1142" s="1" t="s">
        <v>2436</v>
      </c>
      <c r="D1142" s="2">
        <v>46077</v>
      </c>
      <c r="E1142" s="2">
        <v>46087</v>
      </c>
      <c r="F1142" s="1" t="s">
        <v>160</v>
      </c>
      <c r="G1142" s="1" t="s">
        <v>6</v>
      </c>
      <c r="H1142" s="1" t="s">
        <v>7</v>
      </c>
      <c r="I1142" s="7">
        <v>465.51</v>
      </c>
      <c r="J1142" s="1" t="s">
        <v>38</v>
      </c>
      <c r="K1142" s="1"/>
      <c r="L1142" s="1" t="s">
        <v>39</v>
      </c>
      <c r="M1142" s="1" t="str">
        <f>INDEX(MCC_Lookup!$B$2:$B$12,MATCH(G1142,MCC_Lookup!$A$2:$A$12,0))</f>
        <v>Lodging</v>
      </c>
      <c r="N1142" s="1" t="str">
        <f>IF(TRIM(H1142)="","BLANK",IF(PROPER(TRIM(H1142))=TRIM(M1142),"MATCH","MISMATCH"))</f>
        <v>MATCH</v>
      </c>
      <c r="O1142" s="5" t="str">
        <f>INDEX([1]Employee!$C$2:$C$276,MATCH(B1142,[1]Employee!$A$2:$A$276,0))</f>
        <v>Sales &amp; Marketing</v>
      </c>
    </row>
    <row r="1143" spans="1:15">
      <c r="A1143" s="1" t="s">
        <v>2437</v>
      </c>
      <c r="B1143" s="1" t="s">
        <v>63</v>
      </c>
      <c r="C1143" s="1" t="s">
        <v>2438</v>
      </c>
      <c r="D1143" s="2">
        <v>46081</v>
      </c>
      <c r="E1143" s="2">
        <v>46087</v>
      </c>
      <c r="F1143" s="1" t="s">
        <v>56</v>
      </c>
      <c r="G1143" s="1" t="s">
        <v>4</v>
      </c>
      <c r="H1143" s="1" t="s">
        <v>5</v>
      </c>
      <c r="I1143" s="7">
        <v>202.67</v>
      </c>
      <c r="J1143" s="1" t="s">
        <v>38</v>
      </c>
      <c r="K1143" s="1"/>
      <c r="L1143" s="1" t="s">
        <v>39</v>
      </c>
      <c r="M1143" s="1" t="str">
        <f>INDEX(MCC_Lookup!$B$2:$B$12,MATCH(G1143,MCC_Lookup!$A$2:$A$12,0))</f>
        <v>Travel</v>
      </c>
      <c r="N1143" s="1" t="str">
        <f>IF(TRIM(H1143)="","BLANK",IF(PROPER(TRIM(H1143))=TRIM(M1143),"MATCH","MISMATCH"))</f>
        <v>MATCH</v>
      </c>
      <c r="O1143" s="5" t="str">
        <f>INDEX([1]Employee!$C$2:$C$276,MATCH(B1143,[1]Employee!$A$2:$A$276,0))</f>
        <v>Sales &amp; Marketing</v>
      </c>
    </row>
    <row r="1144" spans="1:15">
      <c r="A1144" s="1" t="s">
        <v>2439</v>
      </c>
      <c r="B1144" s="1" t="s">
        <v>314</v>
      </c>
      <c r="C1144" s="1" t="s">
        <v>2440</v>
      </c>
      <c r="D1144" s="2">
        <v>46077</v>
      </c>
      <c r="E1144" s="2">
        <v>46087</v>
      </c>
      <c r="F1144" s="1" t="s">
        <v>347</v>
      </c>
      <c r="G1144" s="1" t="s">
        <v>8</v>
      </c>
      <c r="H1144" s="1" t="s">
        <v>9</v>
      </c>
      <c r="I1144" s="7">
        <v>50.61</v>
      </c>
      <c r="J1144" s="1" t="s">
        <v>38</v>
      </c>
      <c r="K1144" s="1"/>
      <c r="L1144" s="1" t="s">
        <v>39</v>
      </c>
      <c r="M1144" s="1" t="str">
        <f>INDEX(MCC_Lookup!$B$2:$B$12,MATCH(G1144,MCC_Lookup!$A$2:$A$12,0))</f>
        <v>Transportation</v>
      </c>
      <c r="N1144" s="1" t="str">
        <f>IF(TRIM(H1144)="","BLANK",IF(PROPER(TRIM(H1144))=TRIM(M1144),"MATCH","MISMATCH"))</f>
        <v>MATCH</v>
      </c>
      <c r="O1144" s="5" t="str">
        <f>INDEX([1]Employee!$C$2:$C$276,MATCH(B1144,[1]Employee!$A$2:$A$276,0))</f>
        <v>Sales &amp; Marketing</v>
      </c>
    </row>
    <row r="1145" spans="1:15">
      <c r="A1145" s="1" t="s">
        <v>2441</v>
      </c>
      <c r="B1145" s="1" t="s">
        <v>297</v>
      </c>
      <c r="C1145" s="1" t="s">
        <v>2442</v>
      </c>
      <c r="D1145" s="2">
        <v>46086</v>
      </c>
      <c r="E1145" s="2">
        <v>46087</v>
      </c>
      <c r="F1145" s="1" t="s">
        <v>259</v>
      </c>
      <c r="G1145" s="1" t="s">
        <v>20</v>
      </c>
      <c r="H1145" s="1" t="s">
        <v>19</v>
      </c>
      <c r="I1145" s="7">
        <v>498.8</v>
      </c>
      <c r="J1145" s="1" t="s">
        <v>38</v>
      </c>
      <c r="K1145" s="1"/>
      <c r="L1145" s="1" t="s">
        <v>39</v>
      </c>
      <c r="M1145" s="1" t="str">
        <f>INDEX(MCC_Lookup!$B$2:$B$12,MATCH(G1145,MCC_Lookup!$A$2:$A$12,0))</f>
        <v>Events</v>
      </c>
      <c r="N1145" s="1" t="str">
        <f>IF(TRIM(H1145)="","BLANK",IF(PROPER(TRIM(H1145))=TRIM(M1145),"MATCH","MISMATCH"))</f>
        <v>MATCH</v>
      </c>
      <c r="O1145" s="5" t="str">
        <f>INDEX([1]Employee!$C$2:$C$276,MATCH(B1145,[1]Employee!$A$2:$A$276,0))</f>
        <v>Underwriting</v>
      </c>
    </row>
    <row r="1146" spans="1:15">
      <c r="A1146" s="1" t="s">
        <v>2443</v>
      </c>
      <c r="B1146" s="1" t="s">
        <v>815</v>
      </c>
      <c r="C1146" s="1"/>
      <c r="D1146" s="2">
        <v>46085</v>
      </c>
      <c r="E1146" s="2">
        <v>46087</v>
      </c>
      <c r="F1146" s="1" t="s">
        <v>201</v>
      </c>
      <c r="G1146" s="1" t="s">
        <v>4</v>
      </c>
      <c r="H1146" s="1" t="s">
        <v>5</v>
      </c>
      <c r="I1146" s="7">
        <v>293.43</v>
      </c>
      <c r="J1146" s="1" t="s">
        <v>38</v>
      </c>
      <c r="K1146" s="1"/>
      <c r="L1146" s="1" t="s">
        <v>39</v>
      </c>
      <c r="M1146" s="1" t="str">
        <f>INDEX(MCC_Lookup!$B$2:$B$12,MATCH(G1146,MCC_Lookup!$A$2:$A$12,0))</f>
        <v>Travel</v>
      </c>
      <c r="N1146" s="1" t="str">
        <f>IF(TRIM(H1146)="","BLANK",IF(PROPER(TRIM(H1146))=TRIM(M1146),"MATCH","MISMATCH"))</f>
        <v>MATCH</v>
      </c>
      <c r="O1146" s="5" t="str">
        <f>INDEX([1]Employee!$C$2:$C$276,MATCH(B1146,[1]Employee!$A$2:$A$276,0))</f>
        <v>Claims</v>
      </c>
    </row>
    <row r="1147" spans="1:15">
      <c r="A1147" s="1" t="s">
        <v>2444</v>
      </c>
      <c r="B1147" s="1" t="s">
        <v>667</v>
      </c>
      <c r="C1147" s="1" t="s">
        <v>2445</v>
      </c>
      <c r="D1147" s="2">
        <v>46086</v>
      </c>
      <c r="E1147" s="2">
        <v>46087</v>
      </c>
      <c r="F1147" s="1" t="s">
        <v>37</v>
      </c>
      <c r="G1147" s="1" t="s">
        <v>4</v>
      </c>
      <c r="H1147" s="1"/>
      <c r="I1147" s="7">
        <v>153.41999999999999</v>
      </c>
      <c r="J1147" s="1" t="s">
        <v>38</v>
      </c>
      <c r="K1147" s="1"/>
      <c r="L1147" s="1" t="s">
        <v>39</v>
      </c>
      <c r="M1147" s="1" t="str">
        <f>INDEX(MCC_Lookup!$B$2:$B$12,MATCH(G1147,MCC_Lookup!$A$2:$A$12,0))</f>
        <v>Travel</v>
      </c>
      <c r="N1147" s="1" t="str">
        <f>IF(TRIM(H1147)="","BLANK",IF(PROPER(TRIM(H1147))=TRIM(M1147),"MATCH","MISMATCH"))</f>
        <v>BLANK</v>
      </c>
      <c r="O1147" s="5" t="str">
        <f>INDEX([1]Employee!$C$2:$C$276,MATCH(B1147,[1]Employee!$A$2:$A$276,0))</f>
        <v>Sales &amp; Marketing</v>
      </c>
    </row>
    <row r="1148" spans="1:15">
      <c r="A1148" s="1" t="s">
        <v>2446</v>
      </c>
      <c r="B1148" s="1" t="s">
        <v>608</v>
      </c>
      <c r="C1148" s="1" t="s">
        <v>2447</v>
      </c>
      <c r="D1148" s="2">
        <v>46078</v>
      </c>
      <c r="E1148" s="2">
        <v>46087</v>
      </c>
      <c r="F1148" s="1" t="s">
        <v>79</v>
      </c>
      <c r="G1148" s="1" t="s">
        <v>13</v>
      </c>
      <c r="H1148" s="1" t="s">
        <v>14</v>
      </c>
      <c r="I1148" s="7">
        <v>135.47</v>
      </c>
      <c r="J1148" s="1" t="s">
        <v>38</v>
      </c>
      <c r="K1148" s="1"/>
      <c r="L1148" s="1" t="s">
        <v>48</v>
      </c>
      <c r="M1148" s="1" t="str">
        <f>INDEX(MCC_Lookup!$B$2:$B$12,MATCH(G1148,MCC_Lookup!$A$2:$A$12,0))</f>
        <v>Software</v>
      </c>
      <c r="N1148" s="1" t="str">
        <f>IF(TRIM(H1148)="","BLANK",IF(PROPER(TRIM(H1148))=TRIM(M1148),"MATCH","MISMATCH"))</f>
        <v>MATCH</v>
      </c>
      <c r="O1148" s="5" t="str">
        <f>INDEX([1]Employee!$C$2:$C$276,MATCH(B1148,[1]Employee!$A$2:$A$276,0))</f>
        <v>IT &amp; Platform Engineering</v>
      </c>
    </row>
    <row r="1149" spans="1:15">
      <c r="A1149" s="1" t="s">
        <v>2448</v>
      </c>
      <c r="B1149" s="1" t="s">
        <v>413</v>
      </c>
      <c r="C1149" s="1" t="s">
        <v>2449</v>
      </c>
      <c r="D1149" s="2">
        <v>46085</v>
      </c>
      <c r="E1149" s="2">
        <v>46087</v>
      </c>
      <c r="F1149" s="1" t="s">
        <v>92</v>
      </c>
      <c r="G1149" s="1" t="s">
        <v>10</v>
      </c>
      <c r="H1149" s="1" t="s">
        <v>131</v>
      </c>
      <c r="I1149" s="7">
        <v>119.01</v>
      </c>
      <c r="J1149" s="1" t="s">
        <v>38</v>
      </c>
      <c r="K1149" s="1"/>
      <c r="L1149" s="1" t="s">
        <v>39</v>
      </c>
      <c r="M1149" s="1" t="str">
        <f>INDEX(MCC_Lookup!$B$2:$B$12,MATCH(G1149,MCC_Lookup!$A$2:$A$12,0))</f>
        <v>Office Supplies</v>
      </c>
      <c r="N1149" s="1" t="str">
        <f>IF(TRIM(H1149)="","BLANK",IF(PROPER(TRIM(H1149))=TRIM(M1149),"MATCH","MISMATCH"))</f>
        <v>MATCH</v>
      </c>
      <c r="O1149" s="5" t="str">
        <f>INDEX([1]Employee!$C$2:$C$276,MATCH(B1149,[1]Employee!$A$2:$A$276,0))</f>
        <v>Claims</v>
      </c>
    </row>
    <row r="1150" spans="1:15">
      <c r="A1150" s="1" t="s">
        <v>2450</v>
      </c>
      <c r="B1150" s="1" t="s">
        <v>836</v>
      </c>
      <c r="C1150" s="1"/>
      <c r="D1150" s="2">
        <v>46080</v>
      </c>
      <c r="E1150" s="2">
        <v>46087</v>
      </c>
      <c r="F1150" s="1" t="s">
        <v>116</v>
      </c>
      <c r="G1150" s="1" t="s">
        <v>2</v>
      </c>
      <c r="H1150" s="1" t="s">
        <v>3</v>
      </c>
      <c r="I1150" s="7">
        <v>9.14</v>
      </c>
      <c r="J1150" s="1" t="s">
        <v>38</v>
      </c>
      <c r="K1150" s="1"/>
      <c r="L1150" s="1" t="s">
        <v>39</v>
      </c>
      <c r="M1150" s="1" t="str">
        <f>INDEX(MCC_Lookup!$B$2:$B$12,MATCH(G1150,MCC_Lookup!$A$2:$A$12,0))</f>
        <v>Meals</v>
      </c>
      <c r="N1150" s="1" t="str">
        <f>IF(TRIM(H1150)="","BLANK",IF(PROPER(TRIM(H1150))=TRIM(M1150),"MATCH","MISMATCH"))</f>
        <v>MATCH</v>
      </c>
      <c r="O1150" s="5" t="str">
        <f>INDEX([1]Employee!$C$2:$C$276,MATCH(B1150,[1]Employee!$A$2:$A$276,0))</f>
        <v>Sales &amp; Marketing</v>
      </c>
    </row>
    <row r="1151" spans="1:15">
      <c r="A1151" s="1" t="s">
        <v>2451</v>
      </c>
      <c r="B1151" s="1" t="s">
        <v>832</v>
      </c>
      <c r="C1151" s="1"/>
      <c r="D1151" s="2">
        <v>46078</v>
      </c>
      <c r="E1151" s="2">
        <v>46088</v>
      </c>
      <c r="F1151" s="1" t="s">
        <v>259</v>
      </c>
      <c r="G1151" s="1" t="s">
        <v>20</v>
      </c>
      <c r="H1151" s="1" t="s">
        <v>332</v>
      </c>
      <c r="I1151" s="7">
        <v>249.52</v>
      </c>
      <c r="J1151" s="1" t="s">
        <v>38</v>
      </c>
      <c r="K1151" s="1"/>
      <c r="L1151" s="1" t="s">
        <v>39</v>
      </c>
      <c r="M1151" s="1" t="str">
        <f>INDEX(MCC_Lookup!$B$2:$B$12,MATCH(G1151,MCC_Lookup!$A$2:$A$12,0))</f>
        <v>Events</v>
      </c>
      <c r="N1151" s="1" t="str">
        <f>IF(TRIM(H1151)="","BLANK",IF(PROPER(TRIM(H1151))=TRIM(M1151),"MATCH","MISMATCH"))</f>
        <v>MATCH</v>
      </c>
      <c r="O1151" s="5" t="str">
        <f>INDEX([1]Employee!$C$2:$C$276,MATCH(B1151,[1]Employee!$A$2:$A$276,0))</f>
        <v>Sales &amp; Marketing</v>
      </c>
    </row>
    <row r="1152" spans="1:15">
      <c r="A1152" s="1" t="s">
        <v>2452</v>
      </c>
      <c r="B1152" s="1" t="s">
        <v>379</v>
      </c>
      <c r="C1152" s="1" t="s">
        <v>2453</v>
      </c>
      <c r="D1152" s="2">
        <v>46079</v>
      </c>
      <c r="E1152" s="2">
        <v>46088</v>
      </c>
      <c r="F1152" s="1" t="s">
        <v>72</v>
      </c>
      <c r="G1152" s="1" t="s">
        <v>8</v>
      </c>
      <c r="H1152" s="1" t="s">
        <v>494</v>
      </c>
      <c r="I1152" s="7">
        <v>23.13</v>
      </c>
      <c r="J1152" s="1" t="s">
        <v>38</v>
      </c>
      <c r="K1152" s="1"/>
      <c r="L1152" s="1" t="s">
        <v>39</v>
      </c>
      <c r="M1152" s="1" t="str">
        <f>INDEX(MCC_Lookup!$B$2:$B$12,MATCH(G1152,MCC_Lookup!$A$2:$A$12,0))</f>
        <v>Transportation</v>
      </c>
      <c r="N1152" s="1" t="str">
        <f>IF(TRIM(H1152)="","BLANK",IF(PROPER(TRIM(H1152))=TRIM(M1152),"MATCH","MISMATCH"))</f>
        <v>MATCH</v>
      </c>
      <c r="O1152" s="5" t="str">
        <f>INDEX([1]Employee!$C$2:$C$276,MATCH(B1152,[1]Employee!$A$2:$A$276,0))</f>
        <v>Sales &amp; Marketing</v>
      </c>
    </row>
    <row r="1153" spans="1:15">
      <c r="A1153" s="1" t="s">
        <v>2454</v>
      </c>
      <c r="B1153" s="1" t="s">
        <v>41</v>
      </c>
      <c r="C1153" s="1" t="s">
        <v>2455</v>
      </c>
      <c r="D1153" s="2">
        <v>46080</v>
      </c>
      <c r="E1153" s="2">
        <v>46088</v>
      </c>
      <c r="F1153" s="1" t="s">
        <v>177</v>
      </c>
      <c r="G1153" s="1" t="s">
        <v>13</v>
      </c>
      <c r="H1153" s="1" t="s">
        <v>14</v>
      </c>
      <c r="I1153" s="7">
        <v>52.41</v>
      </c>
      <c r="J1153" s="1" t="s">
        <v>38</v>
      </c>
      <c r="K1153" s="1"/>
      <c r="L1153" s="1" t="s">
        <v>39</v>
      </c>
      <c r="M1153" s="1" t="str">
        <f>INDEX(MCC_Lookup!$B$2:$B$12,MATCH(G1153,MCC_Lookup!$A$2:$A$12,0))</f>
        <v>Software</v>
      </c>
      <c r="N1153" s="1" t="str">
        <f>IF(TRIM(H1153)="","BLANK",IF(PROPER(TRIM(H1153))=TRIM(M1153),"MATCH","MISMATCH"))</f>
        <v>MATCH</v>
      </c>
      <c r="O1153" s="5" t="str">
        <f>INDEX([1]Employee!$C$2:$C$276,MATCH(B1153,[1]Employee!$A$2:$A$276,0))</f>
        <v>Sales &amp; Marketing</v>
      </c>
    </row>
    <row r="1154" spans="1:15">
      <c r="A1154" s="1" t="s">
        <v>2456</v>
      </c>
      <c r="B1154" s="1" t="s">
        <v>595</v>
      </c>
      <c r="C1154" s="1" t="s">
        <v>2457</v>
      </c>
      <c r="D1154" s="2">
        <v>46087</v>
      </c>
      <c r="E1154" s="2">
        <v>46088</v>
      </c>
      <c r="F1154" s="1" t="s">
        <v>95</v>
      </c>
      <c r="G1154" s="1" t="s">
        <v>6</v>
      </c>
      <c r="H1154" s="1" t="s">
        <v>7</v>
      </c>
      <c r="I1154" s="7">
        <v>226.06</v>
      </c>
      <c r="J1154" s="1" t="s">
        <v>38</v>
      </c>
      <c r="K1154" s="1"/>
      <c r="L1154" s="1" t="s">
        <v>39</v>
      </c>
      <c r="M1154" s="1" t="str">
        <f>INDEX(MCC_Lookup!$B$2:$B$12,MATCH(G1154,MCC_Lookup!$A$2:$A$12,0))</f>
        <v>Lodging</v>
      </c>
      <c r="N1154" s="1" t="str">
        <f>IF(TRIM(H1154)="","BLANK",IF(PROPER(TRIM(H1154))=TRIM(M1154),"MATCH","MISMATCH"))</f>
        <v>MATCH</v>
      </c>
      <c r="O1154" s="5" t="str">
        <f>INDEX([1]Employee!$C$2:$C$276,MATCH(B1154,[1]Employee!$A$2:$A$276,0))</f>
        <v>Executive &amp; Corporate</v>
      </c>
    </row>
    <row r="1155" spans="1:15">
      <c r="A1155" s="1" t="s">
        <v>2458</v>
      </c>
      <c r="B1155" s="1" t="s">
        <v>325</v>
      </c>
      <c r="C1155" s="1"/>
      <c r="D1155" s="2">
        <v>46086</v>
      </c>
      <c r="E1155" s="2">
        <v>46088</v>
      </c>
      <c r="F1155" s="1" t="s">
        <v>37</v>
      </c>
      <c r="G1155" s="1" t="s">
        <v>4</v>
      </c>
      <c r="H1155" s="1" t="s">
        <v>5</v>
      </c>
      <c r="I1155" s="7">
        <v>180.42</v>
      </c>
      <c r="J1155" s="1" t="s">
        <v>38</v>
      </c>
      <c r="K1155" s="1"/>
      <c r="L1155" s="1" t="s">
        <v>39</v>
      </c>
      <c r="M1155" s="1" t="str">
        <f>INDEX(MCC_Lookup!$B$2:$B$12,MATCH(G1155,MCC_Lookup!$A$2:$A$12,0))</f>
        <v>Travel</v>
      </c>
      <c r="N1155" s="1" t="str">
        <f>IF(TRIM(H1155)="","BLANK",IF(PROPER(TRIM(H1155))=TRIM(M1155),"MATCH","MISMATCH"))</f>
        <v>MATCH</v>
      </c>
      <c r="O1155" s="5" t="str">
        <f>INDEX([1]Employee!$C$2:$C$276,MATCH(B1155,[1]Employee!$A$2:$A$276,0))</f>
        <v>Sales &amp; Marketing</v>
      </c>
    </row>
    <row r="1156" spans="1:15">
      <c r="A1156" s="1" t="s">
        <v>2459</v>
      </c>
      <c r="B1156" s="1" t="s">
        <v>280</v>
      </c>
      <c r="C1156" s="1" t="s">
        <v>2460</v>
      </c>
      <c r="D1156" s="2">
        <v>46080</v>
      </c>
      <c r="E1156" s="2">
        <v>46088</v>
      </c>
      <c r="F1156" s="1" t="s">
        <v>116</v>
      </c>
      <c r="G1156" s="1" t="s">
        <v>2</v>
      </c>
      <c r="H1156" s="1" t="s">
        <v>3</v>
      </c>
      <c r="I1156" s="7">
        <v>13.17</v>
      </c>
      <c r="J1156" s="1" t="s">
        <v>38</v>
      </c>
      <c r="K1156" s="1"/>
      <c r="L1156" s="1" t="s">
        <v>39</v>
      </c>
      <c r="M1156" s="1" t="str">
        <f>INDEX(MCC_Lookup!$B$2:$B$12,MATCH(G1156,MCC_Lookup!$A$2:$A$12,0))</f>
        <v>Meals</v>
      </c>
      <c r="N1156" s="1" t="str">
        <f>IF(TRIM(H1156)="","BLANK",IF(PROPER(TRIM(H1156))=TRIM(M1156),"MATCH","MISMATCH"))</f>
        <v>MATCH</v>
      </c>
      <c r="O1156" s="5" t="str">
        <f>INDEX([1]Employee!$C$2:$C$276,MATCH(B1156,[1]Employee!$A$2:$A$276,0))</f>
        <v>Claims</v>
      </c>
    </row>
    <row r="1157" spans="1:15">
      <c r="A1157" s="1" t="s">
        <v>2461</v>
      </c>
      <c r="B1157" s="1" t="s">
        <v>631</v>
      </c>
      <c r="C1157" s="1" t="s">
        <v>2462</v>
      </c>
      <c r="D1157" s="2">
        <v>46079</v>
      </c>
      <c r="E1157" s="2">
        <v>46088</v>
      </c>
      <c r="F1157" s="1" t="s">
        <v>99</v>
      </c>
      <c r="G1157" s="1" t="s">
        <v>2</v>
      </c>
      <c r="H1157" s="1" t="s">
        <v>3</v>
      </c>
      <c r="I1157" s="7">
        <v>109.97</v>
      </c>
      <c r="J1157" s="1" t="s">
        <v>38</v>
      </c>
      <c r="K1157" s="1"/>
      <c r="L1157" s="1" t="s">
        <v>48</v>
      </c>
      <c r="M1157" s="1" t="str">
        <f>INDEX(MCC_Lookup!$B$2:$B$12,MATCH(G1157,MCC_Lookup!$A$2:$A$12,0))</f>
        <v>Meals</v>
      </c>
      <c r="N1157" s="1" t="str">
        <f>IF(TRIM(H1157)="","BLANK",IF(PROPER(TRIM(H1157))=TRIM(M1157),"MATCH","MISMATCH"))</f>
        <v>MATCH</v>
      </c>
      <c r="O1157" s="5" t="str">
        <f>INDEX([1]Employee!$C$2:$C$276,MATCH(B1157,[1]Employee!$A$2:$A$276,0))</f>
        <v>Claims</v>
      </c>
    </row>
    <row r="1158" spans="1:15">
      <c r="A1158" s="1" t="s">
        <v>2463</v>
      </c>
      <c r="B1158" s="1" t="s">
        <v>947</v>
      </c>
      <c r="C1158" s="1" t="s">
        <v>2464</v>
      </c>
      <c r="D1158" s="2">
        <v>46081</v>
      </c>
      <c r="E1158" s="2">
        <v>46088</v>
      </c>
      <c r="F1158" s="1" t="s">
        <v>347</v>
      </c>
      <c r="G1158" s="1" t="s">
        <v>8</v>
      </c>
      <c r="H1158" s="1" t="s">
        <v>9</v>
      </c>
      <c r="I1158" s="7">
        <v>21.82</v>
      </c>
      <c r="J1158" s="1" t="s">
        <v>38</v>
      </c>
      <c r="K1158" s="1"/>
      <c r="L1158" s="1" t="s">
        <v>39</v>
      </c>
      <c r="M1158" s="1" t="str">
        <f>INDEX(MCC_Lookup!$B$2:$B$12,MATCH(G1158,MCC_Lookup!$A$2:$A$12,0))</f>
        <v>Transportation</v>
      </c>
      <c r="N1158" s="1" t="str">
        <f>IF(TRIM(H1158)="","BLANK",IF(PROPER(TRIM(H1158))=TRIM(M1158),"MATCH","MISMATCH"))</f>
        <v>MATCH</v>
      </c>
      <c r="O1158" s="5" t="str">
        <f>INDEX([1]Employee!$C$2:$C$276,MATCH(B1158,[1]Employee!$A$2:$A$276,0))</f>
        <v>Sales &amp; Marketing</v>
      </c>
    </row>
    <row r="1159" spans="1:15">
      <c r="A1159" s="1" t="s">
        <v>2465</v>
      </c>
      <c r="B1159" s="1" t="s">
        <v>140</v>
      </c>
      <c r="C1159" s="1" t="s">
        <v>2466</v>
      </c>
      <c r="D1159" s="2">
        <v>46081</v>
      </c>
      <c r="E1159" s="2">
        <v>46088</v>
      </c>
      <c r="F1159" s="1" t="s">
        <v>347</v>
      </c>
      <c r="G1159" s="1" t="s">
        <v>8</v>
      </c>
      <c r="H1159" s="1" t="s">
        <v>9</v>
      </c>
      <c r="I1159" s="7">
        <v>55.27</v>
      </c>
      <c r="J1159" s="1" t="s">
        <v>38</v>
      </c>
      <c r="K1159" s="1"/>
      <c r="L1159" s="1" t="s">
        <v>39</v>
      </c>
      <c r="M1159" s="1" t="str">
        <f>INDEX(MCC_Lookup!$B$2:$B$12,MATCH(G1159,MCC_Lookup!$A$2:$A$12,0))</f>
        <v>Transportation</v>
      </c>
      <c r="N1159" s="1" t="str">
        <f>IF(TRIM(H1159)="","BLANK",IF(PROPER(TRIM(H1159))=TRIM(M1159),"MATCH","MISMATCH"))</f>
        <v>MATCH</v>
      </c>
      <c r="O1159" s="5" t="str">
        <f>INDEX([1]Employee!$C$2:$C$276,MATCH(B1159,[1]Employee!$A$2:$A$276,0))</f>
        <v>Finance</v>
      </c>
    </row>
    <row r="1160" spans="1:15">
      <c r="A1160" s="1" t="s">
        <v>2467</v>
      </c>
      <c r="B1160" s="1" t="s">
        <v>71</v>
      </c>
      <c r="C1160" s="1" t="s">
        <v>2468</v>
      </c>
      <c r="D1160" s="2">
        <v>46081</v>
      </c>
      <c r="E1160" s="2">
        <v>46088</v>
      </c>
      <c r="F1160" s="1" t="s">
        <v>72</v>
      </c>
      <c r="G1160" s="1" t="s">
        <v>8</v>
      </c>
      <c r="H1160" s="1" t="s">
        <v>9</v>
      </c>
      <c r="I1160" s="7">
        <v>30.09</v>
      </c>
      <c r="J1160" s="1" t="s">
        <v>38</v>
      </c>
      <c r="K1160" s="1"/>
      <c r="L1160" s="1" t="s">
        <v>39</v>
      </c>
      <c r="M1160" s="1" t="str">
        <f>INDEX(MCC_Lookup!$B$2:$B$12,MATCH(G1160,MCC_Lookup!$A$2:$A$12,0))</f>
        <v>Transportation</v>
      </c>
      <c r="N1160" s="1" t="str">
        <f>IF(TRIM(H1160)="","BLANK",IF(PROPER(TRIM(H1160))=TRIM(M1160),"MATCH","MISMATCH"))</f>
        <v>MATCH</v>
      </c>
      <c r="O1160" s="5" t="str">
        <f>INDEX([1]Employee!$C$2:$C$276,MATCH(B1160,[1]Employee!$A$2:$A$276,0))</f>
        <v>Sales &amp; Marketing</v>
      </c>
    </row>
    <row r="1161" spans="1:15">
      <c r="A1161" s="1" t="s">
        <v>2469</v>
      </c>
      <c r="B1161" s="1" t="s">
        <v>888</v>
      </c>
      <c r="C1161" s="1" t="s">
        <v>2470</v>
      </c>
      <c r="D1161" s="2">
        <v>46088</v>
      </c>
      <c r="E1161" s="2">
        <v>46088</v>
      </c>
      <c r="F1161" s="1" t="s">
        <v>173</v>
      </c>
      <c r="G1161" s="1" t="s">
        <v>2</v>
      </c>
      <c r="H1161" s="1" t="s">
        <v>3</v>
      </c>
      <c r="I1161" s="7">
        <v>44.66</v>
      </c>
      <c r="J1161" s="1" t="s">
        <v>38</v>
      </c>
      <c r="K1161" s="1"/>
      <c r="L1161" s="1" t="s">
        <v>39</v>
      </c>
      <c r="M1161" s="1" t="str">
        <f>INDEX(MCC_Lookup!$B$2:$B$12,MATCH(G1161,MCC_Lookup!$A$2:$A$12,0))</f>
        <v>Meals</v>
      </c>
      <c r="N1161" s="1" t="str">
        <f>IF(TRIM(H1161)="","BLANK",IF(PROPER(TRIM(H1161))=TRIM(M1161),"MATCH","MISMATCH"))</f>
        <v>MATCH</v>
      </c>
      <c r="O1161" s="5" t="str">
        <f>INDEX([1]Employee!$C$2:$C$276,MATCH(B1161,[1]Employee!$A$2:$A$276,0))</f>
        <v>Claims</v>
      </c>
    </row>
    <row r="1162" spans="1:15">
      <c r="A1162" s="1" t="s">
        <v>2471</v>
      </c>
      <c r="B1162" s="1" t="s">
        <v>182</v>
      </c>
      <c r="C1162" s="1" t="s">
        <v>2472</v>
      </c>
      <c r="D1162" s="2">
        <v>46087</v>
      </c>
      <c r="E1162" s="2">
        <v>46088</v>
      </c>
      <c r="F1162" s="1" t="s">
        <v>72</v>
      </c>
      <c r="G1162" s="1" t="s">
        <v>8</v>
      </c>
      <c r="H1162" s="1" t="s">
        <v>9</v>
      </c>
      <c r="I1162" s="7">
        <v>47.67</v>
      </c>
      <c r="J1162" s="1" t="s">
        <v>38</v>
      </c>
      <c r="K1162" s="1"/>
      <c r="L1162" s="1" t="s">
        <v>39</v>
      </c>
      <c r="M1162" s="1" t="str">
        <f>INDEX(MCC_Lookup!$B$2:$B$12,MATCH(G1162,MCC_Lookup!$A$2:$A$12,0))</f>
        <v>Transportation</v>
      </c>
      <c r="N1162" s="1" t="str">
        <f>IF(TRIM(H1162)="","BLANK",IF(PROPER(TRIM(H1162))=TRIM(M1162),"MATCH","MISMATCH"))</f>
        <v>MATCH</v>
      </c>
      <c r="O1162" s="5" t="str">
        <f>INDEX([1]Employee!$C$2:$C$276,MATCH(B1162,[1]Employee!$A$2:$A$276,0))</f>
        <v>Sales &amp; Marketing</v>
      </c>
    </row>
    <row r="1163" spans="1:15">
      <c r="A1163" s="1" t="s">
        <v>2473</v>
      </c>
      <c r="B1163" s="1" t="s">
        <v>94</v>
      </c>
      <c r="C1163" s="1" t="s">
        <v>2474</v>
      </c>
      <c r="D1163" s="2">
        <v>46085</v>
      </c>
      <c r="E1163" s="2">
        <v>46088</v>
      </c>
      <c r="F1163" s="1" t="s">
        <v>242</v>
      </c>
      <c r="G1163" s="1" t="s">
        <v>13</v>
      </c>
      <c r="H1163" s="1" t="s">
        <v>14</v>
      </c>
      <c r="I1163" s="7">
        <v>24.22</v>
      </c>
      <c r="J1163" s="1" t="s">
        <v>38</v>
      </c>
      <c r="K1163" s="1"/>
      <c r="L1163" s="1" t="s">
        <v>48</v>
      </c>
      <c r="M1163" s="1" t="str">
        <f>INDEX(MCC_Lookup!$B$2:$B$12,MATCH(G1163,MCC_Lookup!$A$2:$A$12,0))</f>
        <v>Software</v>
      </c>
      <c r="N1163" s="1" t="str">
        <f>IF(TRIM(H1163)="","BLANK",IF(PROPER(TRIM(H1163))=TRIM(M1163),"MATCH","MISMATCH"))</f>
        <v>MATCH</v>
      </c>
      <c r="O1163" s="5" t="str">
        <f>INDEX([1]Employee!$C$2:$C$276,MATCH(B1163,[1]Employee!$A$2:$A$276,0))</f>
        <v>IT &amp; Platform Engineering</v>
      </c>
    </row>
    <row r="1164" spans="1:15">
      <c r="A1164" s="1" t="s">
        <v>2475</v>
      </c>
      <c r="B1164" s="1" t="s">
        <v>687</v>
      </c>
      <c r="C1164" s="1" t="s">
        <v>2476</v>
      </c>
      <c r="D1164" s="2">
        <v>46089</v>
      </c>
      <c r="E1164" s="2">
        <v>46089</v>
      </c>
      <c r="F1164" s="1" t="s">
        <v>52</v>
      </c>
      <c r="G1164" s="1" t="s">
        <v>15</v>
      </c>
      <c r="H1164" s="1" t="s">
        <v>16</v>
      </c>
      <c r="I1164" s="7">
        <v>35.869999999999997</v>
      </c>
      <c r="J1164" s="1" t="s">
        <v>38</v>
      </c>
      <c r="K1164" s="1"/>
      <c r="L1164" s="1" t="s">
        <v>39</v>
      </c>
      <c r="M1164" s="1" t="str">
        <f>INDEX(MCC_Lookup!$B$2:$B$12,MATCH(G1164,MCC_Lookup!$A$2:$A$12,0))</f>
        <v>Entertainment</v>
      </c>
      <c r="N1164" s="1" t="str">
        <f>IF(TRIM(H1164)="","BLANK",IF(PROPER(TRIM(H1164))=TRIM(M1164),"MATCH","MISMATCH"))</f>
        <v>MATCH</v>
      </c>
      <c r="O1164" s="5" t="str">
        <f>INDEX([1]Employee!$C$2:$C$276,MATCH(B1164,[1]Employee!$A$2:$A$276,0))</f>
        <v>Executive &amp; Corporate</v>
      </c>
    </row>
    <row r="1165" spans="1:15">
      <c r="A1165" s="1" t="s">
        <v>2477</v>
      </c>
      <c r="B1165" s="1" t="s">
        <v>250</v>
      </c>
      <c r="C1165" s="1" t="s">
        <v>2478</v>
      </c>
      <c r="D1165" s="2">
        <v>46079</v>
      </c>
      <c r="E1165" s="2">
        <v>46089</v>
      </c>
      <c r="F1165" s="1" t="s">
        <v>173</v>
      </c>
      <c r="G1165" s="1" t="s">
        <v>2</v>
      </c>
      <c r="H1165" s="1" t="s">
        <v>3</v>
      </c>
      <c r="I1165" s="7">
        <v>59.5</v>
      </c>
      <c r="J1165" s="1" t="s">
        <v>38</v>
      </c>
      <c r="K1165" s="1"/>
      <c r="L1165" s="1" t="s">
        <v>39</v>
      </c>
      <c r="M1165" s="1" t="str">
        <f>INDEX(MCC_Lookup!$B$2:$B$12,MATCH(G1165,MCC_Lookup!$A$2:$A$12,0))</f>
        <v>Meals</v>
      </c>
      <c r="N1165" s="1" t="str">
        <f>IF(TRIM(H1165)="","BLANK",IF(PROPER(TRIM(H1165))=TRIM(M1165),"MATCH","MISMATCH"))</f>
        <v>MATCH</v>
      </c>
      <c r="O1165" s="5" t="str">
        <f>INDEX([1]Employee!$C$2:$C$276,MATCH(B1165,[1]Employee!$A$2:$A$276,0))</f>
        <v>Sales &amp; Marketing</v>
      </c>
    </row>
    <row r="1166" spans="1:15">
      <c r="A1166" s="1" t="s">
        <v>2479</v>
      </c>
      <c r="B1166" s="1" t="s">
        <v>564</v>
      </c>
      <c r="C1166" s="1" t="s">
        <v>2480</v>
      </c>
      <c r="D1166" s="2">
        <v>46085</v>
      </c>
      <c r="E1166" s="2">
        <v>46089</v>
      </c>
      <c r="F1166" s="1" t="s">
        <v>79</v>
      </c>
      <c r="G1166" s="1" t="s">
        <v>13</v>
      </c>
      <c r="H1166" s="1" t="s">
        <v>1838</v>
      </c>
      <c r="I1166" s="7">
        <v>146.63999999999999</v>
      </c>
      <c r="J1166" s="1" t="s">
        <v>38</v>
      </c>
      <c r="K1166" s="1"/>
      <c r="L1166" s="1" t="s">
        <v>39</v>
      </c>
      <c r="M1166" s="1" t="str">
        <f>INDEX(MCC_Lookup!$B$2:$B$12,MATCH(G1166,MCC_Lookup!$A$2:$A$12,0))</f>
        <v>Software</v>
      </c>
      <c r="N1166" s="1" t="str">
        <f>IF(TRIM(H1166)="","BLANK",IF(PROPER(TRIM(H1166))=TRIM(M1166),"MATCH","MISMATCH"))</f>
        <v>MATCH</v>
      </c>
      <c r="O1166" s="5" t="str">
        <f>INDEX([1]Employee!$C$2:$C$276,MATCH(B1166,[1]Employee!$A$2:$A$276,0))</f>
        <v>Sales &amp; Marketing</v>
      </c>
    </row>
    <row r="1167" spans="1:15">
      <c r="A1167" s="1" t="s">
        <v>2481</v>
      </c>
      <c r="B1167" s="1" t="s">
        <v>74</v>
      </c>
      <c r="C1167" s="1" t="s">
        <v>2482</v>
      </c>
      <c r="D1167" s="2">
        <v>46080</v>
      </c>
      <c r="E1167" s="2">
        <v>46089</v>
      </c>
      <c r="F1167" s="1" t="s">
        <v>120</v>
      </c>
      <c r="G1167" s="1" t="s">
        <v>12</v>
      </c>
      <c r="H1167" s="1" t="s">
        <v>11</v>
      </c>
      <c r="I1167" s="7">
        <v>239.79</v>
      </c>
      <c r="J1167" s="1" t="s">
        <v>38</v>
      </c>
      <c r="K1167" s="1"/>
      <c r="L1167" s="1" t="s">
        <v>39</v>
      </c>
      <c r="M1167" s="1" t="str">
        <f>INDEX(MCC_Lookup!$B$2:$B$12,MATCH(G1167,MCC_Lookup!$A$2:$A$12,0))</f>
        <v>Office Supplies</v>
      </c>
      <c r="N1167" s="1" t="str">
        <f>IF(TRIM(H1167)="","BLANK",IF(PROPER(TRIM(H1167))=TRIM(M1167),"MATCH","MISMATCH"))</f>
        <v>MATCH</v>
      </c>
      <c r="O1167" s="5" t="str">
        <f>INDEX([1]Employee!$C$2:$C$276,MATCH(B1167,[1]Employee!$A$2:$A$276,0))</f>
        <v>Underwriting</v>
      </c>
    </row>
    <row r="1168" spans="1:15">
      <c r="A1168" s="1" t="s">
        <v>2483</v>
      </c>
      <c r="B1168" s="1" t="s">
        <v>1637</v>
      </c>
      <c r="C1168" s="1" t="s">
        <v>2484</v>
      </c>
      <c r="D1168" s="2">
        <v>46089</v>
      </c>
      <c r="E1168" s="2">
        <v>46089</v>
      </c>
      <c r="F1168" s="1" t="s">
        <v>76</v>
      </c>
      <c r="G1168" s="1" t="s">
        <v>13</v>
      </c>
      <c r="H1168" s="1" t="s">
        <v>14</v>
      </c>
      <c r="I1168" s="7">
        <v>577.57000000000005</v>
      </c>
      <c r="J1168" s="1" t="s">
        <v>38</v>
      </c>
      <c r="K1168" s="1"/>
      <c r="L1168" s="1" t="s">
        <v>48</v>
      </c>
      <c r="M1168" s="1" t="str">
        <f>INDEX(MCC_Lookup!$B$2:$B$12,MATCH(G1168,MCC_Lookup!$A$2:$A$12,0))</f>
        <v>Software</v>
      </c>
      <c r="N1168" s="1" t="str">
        <f>IF(TRIM(H1168)="","BLANK",IF(PROPER(TRIM(H1168))=TRIM(M1168),"MATCH","MISMATCH"))</f>
        <v>MATCH</v>
      </c>
      <c r="O1168" s="5" t="str">
        <f>INDEX([1]Employee!$C$2:$C$276,MATCH(B1168,[1]Employee!$A$2:$A$276,0))</f>
        <v>Underwriting</v>
      </c>
    </row>
    <row r="1169" spans="1:15">
      <c r="A1169" s="1" t="s">
        <v>2485</v>
      </c>
      <c r="B1169" s="1" t="s">
        <v>756</v>
      </c>
      <c r="C1169" s="1" t="s">
        <v>2486</v>
      </c>
      <c r="D1169" s="2">
        <v>46089</v>
      </c>
      <c r="E1169" s="2">
        <v>46089</v>
      </c>
      <c r="F1169" s="1" t="s">
        <v>47</v>
      </c>
      <c r="G1169" s="1" t="s">
        <v>6</v>
      </c>
      <c r="H1169" s="1" t="s">
        <v>7</v>
      </c>
      <c r="I1169" s="7">
        <v>363.09</v>
      </c>
      <c r="J1169" s="1" t="s">
        <v>38</v>
      </c>
      <c r="K1169" s="1"/>
      <c r="L1169" s="1" t="s">
        <v>39</v>
      </c>
      <c r="M1169" s="1" t="str">
        <f>INDEX(MCC_Lookup!$B$2:$B$12,MATCH(G1169,MCC_Lookup!$A$2:$A$12,0))</f>
        <v>Lodging</v>
      </c>
      <c r="N1169" s="1" t="str">
        <f>IF(TRIM(H1169)="","BLANK",IF(PROPER(TRIM(H1169))=TRIM(M1169),"MATCH","MISMATCH"))</f>
        <v>MATCH</v>
      </c>
      <c r="O1169" s="5" t="str">
        <f>INDEX([1]Employee!$C$2:$C$276,MATCH(B1169,[1]Employee!$A$2:$A$276,0))</f>
        <v>Claims</v>
      </c>
    </row>
    <row r="1170" spans="1:15">
      <c r="A1170" s="1" t="s">
        <v>2487</v>
      </c>
      <c r="B1170" s="1" t="s">
        <v>1814</v>
      </c>
      <c r="C1170" s="1"/>
      <c r="D1170" s="2">
        <v>46085</v>
      </c>
      <c r="E1170" s="2">
        <v>46089</v>
      </c>
      <c r="F1170" s="1" t="s">
        <v>2059</v>
      </c>
      <c r="G1170" s="1" t="s">
        <v>13</v>
      </c>
      <c r="H1170" s="1" t="s">
        <v>14</v>
      </c>
      <c r="I1170" s="7">
        <v>160.06</v>
      </c>
      <c r="J1170" s="1" t="s">
        <v>38</v>
      </c>
      <c r="K1170" s="1"/>
      <c r="L1170" s="1" t="s">
        <v>39</v>
      </c>
      <c r="M1170" s="1" t="str">
        <f>INDEX(MCC_Lookup!$B$2:$B$12,MATCH(G1170,MCC_Lookup!$A$2:$A$12,0))</f>
        <v>Software</v>
      </c>
      <c r="N1170" s="1" t="str">
        <f>IF(TRIM(H1170)="","BLANK",IF(PROPER(TRIM(H1170))=TRIM(M1170),"MATCH","MISMATCH"))</f>
        <v>MATCH</v>
      </c>
      <c r="O1170" s="5" t="str">
        <f>INDEX([1]Employee!$C$2:$C$276,MATCH(B1170,[1]Employee!$A$2:$A$276,0))</f>
        <v>Underwriting</v>
      </c>
    </row>
    <row r="1171" spans="1:15">
      <c r="A1171" s="1" t="s">
        <v>2488</v>
      </c>
      <c r="B1171" s="1" t="s">
        <v>836</v>
      </c>
      <c r="C1171" s="1" t="s">
        <v>2489</v>
      </c>
      <c r="D1171" s="2">
        <v>46089</v>
      </c>
      <c r="E1171" s="2">
        <v>46089</v>
      </c>
      <c r="F1171" s="1" t="s">
        <v>259</v>
      </c>
      <c r="G1171" s="1" t="s">
        <v>20</v>
      </c>
      <c r="H1171" s="1" t="s">
        <v>19</v>
      </c>
      <c r="I1171" s="7">
        <v>575.95000000000005</v>
      </c>
      <c r="J1171" s="1" t="s">
        <v>38</v>
      </c>
      <c r="K1171" s="1"/>
      <c r="L1171" s="1" t="s">
        <v>39</v>
      </c>
      <c r="M1171" s="1" t="str">
        <f>INDEX(MCC_Lookup!$B$2:$B$12,MATCH(G1171,MCC_Lookup!$A$2:$A$12,0))</f>
        <v>Events</v>
      </c>
      <c r="N1171" s="1" t="str">
        <f>IF(TRIM(H1171)="","BLANK",IF(PROPER(TRIM(H1171))=TRIM(M1171),"MATCH","MISMATCH"))</f>
        <v>MATCH</v>
      </c>
      <c r="O1171" s="5" t="str">
        <f>INDEX([1]Employee!$C$2:$C$276,MATCH(B1171,[1]Employee!$A$2:$A$276,0))</f>
        <v>Sales &amp; Marketing</v>
      </c>
    </row>
    <row r="1172" spans="1:15">
      <c r="A1172" s="1" t="s">
        <v>2490</v>
      </c>
      <c r="B1172" s="1" t="s">
        <v>426</v>
      </c>
      <c r="C1172" s="1" t="s">
        <v>2491</v>
      </c>
      <c r="D1172" s="2">
        <v>46081</v>
      </c>
      <c r="E1172" s="2">
        <v>46089</v>
      </c>
      <c r="F1172" s="1" t="s">
        <v>305</v>
      </c>
      <c r="G1172" s="1" t="s">
        <v>2</v>
      </c>
      <c r="H1172" s="1" t="s">
        <v>3</v>
      </c>
      <c r="I1172" s="7">
        <v>6.84</v>
      </c>
      <c r="J1172" s="1" t="s">
        <v>38</v>
      </c>
      <c r="K1172" s="1"/>
      <c r="L1172" s="1" t="s">
        <v>39</v>
      </c>
      <c r="M1172" s="1" t="str">
        <f>INDEX(MCC_Lookup!$B$2:$B$12,MATCH(G1172,MCC_Lookup!$A$2:$A$12,0))</f>
        <v>Meals</v>
      </c>
      <c r="N1172" s="1" t="str">
        <f>IF(TRIM(H1172)="","BLANK",IF(PROPER(TRIM(H1172))=TRIM(M1172),"MATCH","MISMATCH"))</f>
        <v>MATCH</v>
      </c>
      <c r="O1172" s="5" t="str">
        <f>INDEX([1]Employee!$C$2:$C$276,MATCH(B1172,[1]Employee!$A$2:$A$276,0))</f>
        <v>Sales &amp; Marketing</v>
      </c>
    </row>
    <row r="1173" spans="1:15">
      <c r="A1173" s="1" t="s">
        <v>2492</v>
      </c>
      <c r="B1173" s="1" t="s">
        <v>104</v>
      </c>
      <c r="C1173" s="1" t="s">
        <v>2493</v>
      </c>
      <c r="D1173" s="2">
        <v>46086</v>
      </c>
      <c r="E1173" s="2">
        <v>46089</v>
      </c>
      <c r="F1173" s="1" t="s">
        <v>65</v>
      </c>
      <c r="G1173" s="1" t="s">
        <v>18</v>
      </c>
      <c r="H1173" s="1" t="s">
        <v>19</v>
      </c>
      <c r="I1173" s="7">
        <v>134.93</v>
      </c>
      <c r="J1173" s="1" t="s">
        <v>38</v>
      </c>
      <c r="K1173" s="1"/>
      <c r="L1173" s="1" t="s">
        <v>39</v>
      </c>
      <c r="M1173" s="1" t="str">
        <f>INDEX(MCC_Lookup!$B$2:$B$12,MATCH(G1173,MCC_Lookup!$A$2:$A$12,0))</f>
        <v>Events</v>
      </c>
      <c r="N1173" s="1" t="str">
        <f>IF(TRIM(H1173)="","BLANK",IF(PROPER(TRIM(H1173))=TRIM(M1173),"MATCH","MISMATCH"))</f>
        <v>MATCH</v>
      </c>
      <c r="O1173" s="5" t="str">
        <f>INDEX([1]Employee!$C$2:$C$276,MATCH(B1173,[1]Employee!$A$2:$A$276,0))</f>
        <v>Sales &amp; Marketing</v>
      </c>
    </row>
    <row r="1174" spans="1:15">
      <c r="A1174" s="1" t="s">
        <v>2494</v>
      </c>
      <c r="B1174" s="1" t="s">
        <v>373</v>
      </c>
      <c r="C1174" s="1" t="s">
        <v>2495</v>
      </c>
      <c r="D1174" s="2">
        <v>46086</v>
      </c>
      <c r="E1174" s="2">
        <v>46089</v>
      </c>
      <c r="F1174" s="1" t="s">
        <v>362</v>
      </c>
      <c r="G1174" s="1" t="s">
        <v>2</v>
      </c>
      <c r="H1174" s="1" t="s">
        <v>3</v>
      </c>
      <c r="I1174" s="7">
        <v>122.22</v>
      </c>
      <c r="J1174" s="1" t="s">
        <v>38</v>
      </c>
      <c r="K1174" s="1"/>
      <c r="L1174" s="1" t="s">
        <v>39</v>
      </c>
      <c r="M1174" s="1" t="str">
        <f>INDEX(MCC_Lookup!$B$2:$B$12,MATCH(G1174,MCC_Lookup!$A$2:$A$12,0))</f>
        <v>Meals</v>
      </c>
      <c r="N1174" s="1" t="str">
        <f>IF(TRIM(H1174)="","BLANK",IF(PROPER(TRIM(H1174))=TRIM(M1174),"MATCH","MISMATCH"))</f>
        <v>MATCH</v>
      </c>
      <c r="O1174" s="5" t="str">
        <f>INDEX([1]Employee!$C$2:$C$276,MATCH(B1174,[1]Employee!$A$2:$A$276,0))</f>
        <v>Sales &amp; Marketing</v>
      </c>
    </row>
    <row r="1175" spans="1:15">
      <c r="A1175" s="1" t="s">
        <v>2496</v>
      </c>
      <c r="B1175" s="1" t="s">
        <v>373</v>
      </c>
      <c r="C1175" s="1"/>
      <c r="D1175" s="2">
        <v>46086</v>
      </c>
      <c r="E1175" s="2">
        <v>46089</v>
      </c>
      <c r="F1175" s="1" t="s">
        <v>92</v>
      </c>
      <c r="G1175" s="1" t="s">
        <v>10</v>
      </c>
      <c r="H1175" s="1" t="s">
        <v>11</v>
      </c>
      <c r="I1175" s="7">
        <v>142.16</v>
      </c>
      <c r="J1175" s="1" t="s">
        <v>38</v>
      </c>
      <c r="K1175" s="1"/>
      <c r="L1175" s="1" t="s">
        <v>39</v>
      </c>
      <c r="M1175" s="1" t="str">
        <f>INDEX(MCC_Lookup!$B$2:$B$12,MATCH(G1175,MCC_Lookup!$A$2:$A$12,0))</f>
        <v>Office Supplies</v>
      </c>
      <c r="N1175" s="1" t="str">
        <f>IF(TRIM(H1175)="","BLANK",IF(PROPER(TRIM(H1175))=TRIM(M1175),"MATCH","MISMATCH"))</f>
        <v>MATCH</v>
      </c>
      <c r="O1175" s="5" t="str">
        <f>INDEX([1]Employee!$C$2:$C$276,MATCH(B1175,[1]Employee!$A$2:$A$276,0))</f>
        <v>Sales &amp; Marketing</v>
      </c>
    </row>
    <row r="1176" spans="1:15">
      <c r="A1176" s="1" t="s">
        <v>2497</v>
      </c>
      <c r="B1176" s="1" t="s">
        <v>190</v>
      </c>
      <c r="C1176" s="1" t="s">
        <v>2498</v>
      </c>
      <c r="D1176" s="2">
        <v>46088</v>
      </c>
      <c r="E1176" s="2">
        <v>46089</v>
      </c>
      <c r="F1176" s="1" t="s">
        <v>259</v>
      </c>
      <c r="G1176" s="1" t="s">
        <v>20</v>
      </c>
      <c r="H1176" s="1" t="s">
        <v>19</v>
      </c>
      <c r="I1176" s="7">
        <v>250.01</v>
      </c>
      <c r="J1176" s="1" t="s">
        <v>38</v>
      </c>
      <c r="K1176" s="1"/>
      <c r="L1176" s="1" t="s">
        <v>39</v>
      </c>
      <c r="M1176" s="1" t="str">
        <f>INDEX(MCC_Lookup!$B$2:$B$12,MATCH(G1176,MCC_Lookup!$A$2:$A$12,0))</f>
        <v>Events</v>
      </c>
      <c r="N1176" s="1" t="str">
        <f>IF(TRIM(H1176)="","BLANK",IF(PROPER(TRIM(H1176))=TRIM(M1176),"MATCH","MISMATCH"))</f>
        <v>MATCH</v>
      </c>
      <c r="O1176" s="5" t="str">
        <f>INDEX([1]Employee!$C$2:$C$276,MATCH(B1176,[1]Employee!$A$2:$A$276,0))</f>
        <v>Sales &amp; Marketing</v>
      </c>
    </row>
    <row r="1177" spans="1:15">
      <c r="A1177" s="1" t="s">
        <v>2499</v>
      </c>
      <c r="B1177" s="1" t="s">
        <v>63</v>
      </c>
      <c r="C1177" s="1" t="s">
        <v>2500</v>
      </c>
      <c r="D1177" s="2">
        <v>46089</v>
      </c>
      <c r="E1177" s="2">
        <v>46089</v>
      </c>
      <c r="F1177" s="1" t="s">
        <v>305</v>
      </c>
      <c r="G1177" s="1" t="s">
        <v>2</v>
      </c>
      <c r="H1177" s="1" t="s">
        <v>3</v>
      </c>
      <c r="I1177" s="7">
        <v>10.130000000000001</v>
      </c>
      <c r="J1177" s="1" t="s">
        <v>38</v>
      </c>
      <c r="K1177" s="1"/>
      <c r="L1177" s="1" t="s">
        <v>39</v>
      </c>
      <c r="M1177" s="1" t="str">
        <f>INDEX(MCC_Lookup!$B$2:$B$12,MATCH(G1177,MCC_Lookup!$A$2:$A$12,0))</f>
        <v>Meals</v>
      </c>
      <c r="N1177" s="1" t="str">
        <f>IF(TRIM(H1177)="","BLANK",IF(PROPER(TRIM(H1177))=TRIM(M1177),"MATCH","MISMATCH"))</f>
        <v>MATCH</v>
      </c>
      <c r="O1177" s="5" t="str">
        <f>INDEX([1]Employee!$C$2:$C$276,MATCH(B1177,[1]Employee!$A$2:$A$276,0))</f>
        <v>Sales &amp; Marketing</v>
      </c>
    </row>
    <row r="1178" spans="1:15">
      <c r="A1178" s="1" t="s">
        <v>2501</v>
      </c>
      <c r="B1178" s="1" t="s">
        <v>1552</v>
      </c>
      <c r="C1178" s="1" t="s">
        <v>2502</v>
      </c>
      <c r="D1178" s="2">
        <v>46081</v>
      </c>
      <c r="E1178" s="2">
        <v>46089</v>
      </c>
      <c r="F1178" s="1" t="s">
        <v>160</v>
      </c>
      <c r="G1178" s="1" t="s">
        <v>6</v>
      </c>
      <c r="H1178" s="1" t="s">
        <v>7</v>
      </c>
      <c r="I1178" s="7">
        <v>343.49</v>
      </c>
      <c r="J1178" s="1" t="s">
        <v>38</v>
      </c>
      <c r="K1178" s="1"/>
      <c r="L1178" s="1" t="s">
        <v>39</v>
      </c>
      <c r="M1178" s="1" t="str">
        <f>INDEX(MCC_Lookup!$B$2:$B$12,MATCH(G1178,MCC_Lookup!$A$2:$A$12,0))</f>
        <v>Lodging</v>
      </c>
      <c r="N1178" s="1" t="str">
        <f>IF(TRIM(H1178)="","BLANK",IF(PROPER(TRIM(H1178))=TRIM(M1178),"MATCH","MISMATCH"))</f>
        <v>MATCH</v>
      </c>
      <c r="O1178" s="5" t="str">
        <f>INDEX([1]Employee!$C$2:$C$276,MATCH(B1178,[1]Employee!$A$2:$A$276,0))</f>
        <v>Underwriting</v>
      </c>
    </row>
    <row r="1179" spans="1:15">
      <c r="A1179" s="1" t="s">
        <v>2503</v>
      </c>
      <c r="B1179" s="1" t="s">
        <v>1110</v>
      </c>
      <c r="C1179" s="1" t="s">
        <v>2504</v>
      </c>
      <c r="D1179" s="2">
        <v>46081</v>
      </c>
      <c r="E1179" s="2">
        <v>46089</v>
      </c>
      <c r="F1179" s="1" t="s">
        <v>47</v>
      </c>
      <c r="G1179" s="1" t="s">
        <v>6</v>
      </c>
      <c r="H1179" s="1" t="s">
        <v>7</v>
      </c>
      <c r="I1179" s="7">
        <v>169.38</v>
      </c>
      <c r="J1179" s="1" t="s">
        <v>38</v>
      </c>
      <c r="K1179" s="1"/>
      <c r="L1179" s="1" t="s">
        <v>48</v>
      </c>
      <c r="M1179" s="1" t="str">
        <f>INDEX(MCC_Lookup!$B$2:$B$12,MATCH(G1179,MCC_Lookup!$A$2:$A$12,0))</f>
        <v>Lodging</v>
      </c>
      <c r="N1179" s="1" t="str">
        <f>IF(TRIM(H1179)="","BLANK",IF(PROPER(TRIM(H1179))=TRIM(M1179),"MATCH","MISMATCH"))</f>
        <v>MATCH</v>
      </c>
      <c r="O1179" s="5" t="str">
        <f>INDEX([1]Employee!$C$2:$C$276,MATCH(B1179,[1]Employee!$A$2:$A$276,0))</f>
        <v>Executive &amp; Corporate</v>
      </c>
    </row>
    <row r="1180" spans="1:15">
      <c r="A1180" s="1" t="s">
        <v>2505</v>
      </c>
      <c r="B1180" s="1" t="s">
        <v>194</v>
      </c>
      <c r="C1180" s="1" t="s">
        <v>2506</v>
      </c>
      <c r="D1180" s="2">
        <v>46084</v>
      </c>
      <c r="E1180" s="2">
        <v>46089</v>
      </c>
      <c r="F1180" s="1" t="s">
        <v>160</v>
      </c>
      <c r="G1180" s="1" t="s">
        <v>6</v>
      </c>
      <c r="H1180" s="1" t="s">
        <v>7</v>
      </c>
      <c r="I1180" s="7">
        <v>474.76</v>
      </c>
      <c r="J1180" s="1" t="s">
        <v>38</v>
      </c>
      <c r="K1180" s="1"/>
      <c r="L1180" s="1" t="s">
        <v>39</v>
      </c>
      <c r="M1180" s="1" t="str">
        <f>INDEX(MCC_Lookup!$B$2:$B$12,MATCH(G1180,MCC_Lookup!$A$2:$A$12,0))</f>
        <v>Lodging</v>
      </c>
      <c r="N1180" s="1" t="str">
        <f>IF(TRIM(H1180)="","BLANK",IF(PROPER(TRIM(H1180))=TRIM(M1180),"MATCH","MISMATCH"))</f>
        <v>MATCH</v>
      </c>
      <c r="O1180" s="5" t="str">
        <f>INDEX([1]Employee!$C$2:$C$276,MATCH(B1180,[1]Employee!$A$2:$A$276,0))</f>
        <v>Claims</v>
      </c>
    </row>
    <row r="1181" spans="1:15">
      <c r="A1181" s="1" t="s">
        <v>2507</v>
      </c>
      <c r="B1181" s="1" t="s">
        <v>261</v>
      </c>
      <c r="C1181" s="1" t="s">
        <v>2508</v>
      </c>
      <c r="D1181" s="2">
        <v>46086</v>
      </c>
      <c r="E1181" s="2">
        <v>46089</v>
      </c>
      <c r="F1181" s="1" t="s">
        <v>347</v>
      </c>
      <c r="G1181" s="1" t="s">
        <v>8</v>
      </c>
      <c r="H1181" s="1" t="s">
        <v>9</v>
      </c>
      <c r="I1181" s="7">
        <v>39.32</v>
      </c>
      <c r="J1181" s="1" t="s">
        <v>38</v>
      </c>
      <c r="K1181" s="1"/>
      <c r="L1181" s="1" t="s">
        <v>39</v>
      </c>
      <c r="M1181" s="1" t="str">
        <f>INDEX(MCC_Lookup!$B$2:$B$12,MATCH(G1181,MCC_Lookup!$A$2:$A$12,0))</f>
        <v>Transportation</v>
      </c>
      <c r="N1181" s="1" t="str">
        <f>IF(TRIM(H1181)="","BLANK",IF(PROPER(TRIM(H1181))=TRIM(M1181),"MATCH","MISMATCH"))</f>
        <v>MATCH</v>
      </c>
      <c r="O1181" s="5" t="str">
        <f>INDEX([1]Employee!$C$2:$C$276,MATCH(B1181,[1]Employee!$A$2:$A$276,0))</f>
        <v>Sales &amp; Marketing</v>
      </c>
    </row>
    <row r="1182" spans="1:15">
      <c r="A1182" s="1" t="s">
        <v>2509</v>
      </c>
      <c r="B1182" s="1" t="s">
        <v>261</v>
      </c>
      <c r="C1182" s="1"/>
      <c r="D1182" s="2">
        <v>46087</v>
      </c>
      <c r="E1182" s="2">
        <v>46089</v>
      </c>
      <c r="F1182" s="1" t="s">
        <v>99</v>
      </c>
      <c r="G1182" s="1" t="s">
        <v>2</v>
      </c>
      <c r="H1182" s="1" t="s">
        <v>3</v>
      </c>
      <c r="I1182" s="7">
        <v>40.17</v>
      </c>
      <c r="J1182" s="1" t="s">
        <v>38</v>
      </c>
      <c r="K1182" s="1"/>
      <c r="L1182" s="1" t="s">
        <v>39</v>
      </c>
      <c r="M1182" s="1" t="str">
        <f>INDEX(MCC_Lookup!$B$2:$B$12,MATCH(G1182,MCC_Lookup!$A$2:$A$12,0))</f>
        <v>Meals</v>
      </c>
      <c r="N1182" s="1" t="str">
        <f>IF(TRIM(H1182)="","BLANK",IF(PROPER(TRIM(H1182))=TRIM(M1182),"MATCH","MISMATCH"))</f>
        <v>MATCH</v>
      </c>
      <c r="O1182" s="5" t="str">
        <f>INDEX([1]Employee!$C$2:$C$276,MATCH(B1182,[1]Employee!$A$2:$A$276,0))</f>
        <v>Sales &amp; Marketing</v>
      </c>
    </row>
    <row r="1183" spans="1:15">
      <c r="A1183" s="1" t="s">
        <v>2510</v>
      </c>
      <c r="B1183" s="1" t="s">
        <v>71</v>
      </c>
      <c r="C1183" s="1" t="s">
        <v>2511</v>
      </c>
      <c r="D1183" s="2">
        <v>46088</v>
      </c>
      <c r="E1183" s="2">
        <v>46089</v>
      </c>
      <c r="F1183" s="1" t="s">
        <v>120</v>
      </c>
      <c r="G1183" s="1" t="s">
        <v>12</v>
      </c>
      <c r="H1183" s="1" t="s">
        <v>11</v>
      </c>
      <c r="I1183" s="7">
        <v>384.79</v>
      </c>
      <c r="J1183" s="1" t="s">
        <v>38</v>
      </c>
      <c r="K1183" s="1"/>
      <c r="L1183" s="1" t="s">
        <v>39</v>
      </c>
      <c r="M1183" s="1" t="str">
        <f>INDEX(MCC_Lookup!$B$2:$B$12,MATCH(G1183,MCC_Lookup!$A$2:$A$12,0))</f>
        <v>Office Supplies</v>
      </c>
      <c r="N1183" s="1" t="str">
        <f>IF(TRIM(H1183)="","BLANK",IF(PROPER(TRIM(H1183))=TRIM(M1183),"MATCH","MISMATCH"))</f>
        <v>MATCH</v>
      </c>
      <c r="O1183" s="5" t="str">
        <f>INDEX([1]Employee!$C$2:$C$276,MATCH(B1183,[1]Employee!$A$2:$A$276,0))</f>
        <v>Sales &amp; Marketing</v>
      </c>
    </row>
    <row r="1184" spans="1:15">
      <c r="A1184" s="1" t="s">
        <v>2512</v>
      </c>
      <c r="B1184" s="1" t="s">
        <v>71</v>
      </c>
      <c r="C1184" s="1" t="s">
        <v>2513</v>
      </c>
      <c r="D1184" s="2">
        <v>46084</v>
      </c>
      <c r="E1184" s="2">
        <v>46089</v>
      </c>
      <c r="F1184" s="1" t="s">
        <v>242</v>
      </c>
      <c r="G1184" s="1" t="s">
        <v>13</v>
      </c>
      <c r="H1184" s="1" t="s">
        <v>14</v>
      </c>
      <c r="I1184" s="7">
        <v>29</v>
      </c>
      <c r="J1184" s="1" t="s">
        <v>38</v>
      </c>
      <c r="K1184" s="1"/>
      <c r="L1184" s="1" t="s">
        <v>39</v>
      </c>
      <c r="M1184" s="1" t="str">
        <f>INDEX(MCC_Lookup!$B$2:$B$12,MATCH(G1184,MCC_Lookup!$A$2:$A$12,0))</f>
        <v>Software</v>
      </c>
      <c r="N1184" s="1" t="str">
        <f>IF(TRIM(H1184)="","BLANK",IF(PROPER(TRIM(H1184))=TRIM(M1184),"MATCH","MISMATCH"))</f>
        <v>MATCH</v>
      </c>
      <c r="O1184" s="5" t="str">
        <f>INDEX([1]Employee!$C$2:$C$276,MATCH(B1184,[1]Employee!$A$2:$A$276,0))</f>
        <v>Sales &amp; Marketing</v>
      </c>
    </row>
    <row r="1185" spans="1:15">
      <c r="A1185" s="1" t="s">
        <v>2514</v>
      </c>
      <c r="B1185" s="1" t="s">
        <v>136</v>
      </c>
      <c r="C1185" s="1" t="s">
        <v>2515</v>
      </c>
      <c r="D1185" s="2">
        <v>46080</v>
      </c>
      <c r="E1185" s="2">
        <v>46090</v>
      </c>
      <c r="F1185" s="1" t="s">
        <v>79</v>
      </c>
      <c r="G1185" s="1" t="s">
        <v>13</v>
      </c>
      <c r="H1185" s="1" t="s">
        <v>14</v>
      </c>
      <c r="I1185" s="7">
        <v>113.13</v>
      </c>
      <c r="J1185" s="1" t="s">
        <v>38</v>
      </c>
      <c r="K1185" s="1"/>
      <c r="L1185" s="1" t="s">
        <v>39</v>
      </c>
      <c r="M1185" s="1" t="str">
        <f>INDEX(MCC_Lookup!$B$2:$B$12,MATCH(G1185,MCC_Lookup!$A$2:$A$12,0))</f>
        <v>Software</v>
      </c>
      <c r="N1185" s="1" t="str">
        <f>IF(TRIM(H1185)="","BLANK",IF(PROPER(TRIM(H1185))=TRIM(M1185),"MATCH","MISMATCH"))</f>
        <v>MATCH</v>
      </c>
      <c r="O1185" s="5" t="str">
        <f>INDEX([1]Employee!$C$2:$C$276,MATCH(B1185,[1]Employee!$A$2:$A$276,0))</f>
        <v>Sales &amp; Marketing</v>
      </c>
    </row>
    <row r="1186" spans="1:15">
      <c r="A1186" s="1" t="s">
        <v>2516</v>
      </c>
      <c r="B1186" s="1" t="s">
        <v>67</v>
      </c>
      <c r="C1186" s="1" t="s">
        <v>2517</v>
      </c>
      <c r="D1186" s="2">
        <v>46086</v>
      </c>
      <c r="E1186" s="2">
        <v>46090</v>
      </c>
      <c r="F1186" s="1" t="s">
        <v>116</v>
      </c>
      <c r="G1186" s="1" t="s">
        <v>2</v>
      </c>
      <c r="H1186" s="1" t="s">
        <v>3</v>
      </c>
      <c r="I1186" s="7">
        <v>13.43</v>
      </c>
      <c r="J1186" s="1" t="s">
        <v>38</v>
      </c>
      <c r="K1186" s="1"/>
      <c r="L1186" s="1" t="s">
        <v>39</v>
      </c>
      <c r="M1186" s="1" t="str">
        <f>INDEX(MCC_Lookup!$B$2:$B$12,MATCH(G1186,MCC_Lookup!$A$2:$A$12,0))</f>
        <v>Meals</v>
      </c>
      <c r="N1186" s="1" t="str">
        <f>IF(TRIM(H1186)="","BLANK",IF(PROPER(TRIM(H1186))=TRIM(M1186),"MATCH","MISMATCH"))</f>
        <v>MATCH</v>
      </c>
      <c r="O1186" s="5" t="str">
        <f>INDEX([1]Employee!$C$2:$C$276,MATCH(B1186,[1]Employee!$A$2:$A$276,0))</f>
        <v>Sales &amp; Marketing</v>
      </c>
    </row>
    <row r="1187" spans="1:15">
      <c r="A1187" s="1" t="s">
        <v>2518</v>
      </c>
      <c r="B1187" s="1" t="s">
        <v>255</v>
      </c>
      <c r="C1187" s="1" t="s">
        <v>2519</v>
      </c>
      <c r="D1187" s="2">
        <v>46083</v>
      </c>
      <c r="E1187" s="2">
        <v>46090</v>
      </c>
      <c r="F1187" s="1" t="s">
        <v>177</v>
      </c>
      <c r="G1187" s="1" t="s">
        <v>13</v>
      </c>
      <c r="H1187" s="1" t="s">
        <v>14</v>
      </c>
      <c r="I1187" s="7">
        <v>34.64</v>
      </c>
      <c r="J1187" s="1" t="s">
        <v>38</v>
      </c>
      <c r="K1187" s="1"/>
      <c r="L1187" s="1" t="s">
        <v>39</v>
      </c>
      <c r="M1187" s="1" t="str">
        <f>INDEX(MCC_Lookup!$B$2:$B$12,MATCH(G1187,MCC_Lookup!$A$2:$A$12,0))</f>
        <v>Software</v>
      </c>
      <c r="N1187" s="1" t="str">
        <f>IF(TRIM(H1187)="","BLANK",IF(PROPER(TRIM(H1187))=TRIM(M1187),"MATCH","MISMATCH"))</f>
        <v>MATCH</v>
      </c>
      <c r="O1187" s="5" t="str">
        <f>INDEX([1]Employee!$C$2:$C$276,MATCH(B1187,[1]Employee!$A$2:$A$276,0))</f>
        <v>Claims</v>
      </c>
    </row>
    <row r="1188" spans="1:15">
      <c r="A1188" s="1" t="s">
        <v>2520</v>
      </c>
      <c r="B1188" s="1" t="s">
        <v>499</v>
      </c>
      <c r="C1188" s="1" t="s">
        <v>2521</v>
      </c>
      <c r="D1188" s="2">
        <v>46080</v>
      </c>
      <c r="E1188" s="2">
        <v>46090</v>
      </c>
      <c r="F1188" s="1" t="s">
        <v>47</v>
      </c>
      <c r="G1188" s="1" t="s">
        <v>6</v>
      </c>
      <c r="H1188" s="1" t="s">
        <v>7</v>
      </c>
      <c r="I1188" s="7">
        <v>187.61</v>
      </c>
      <c r="J1188" s="1" t="s">
        <v>38</v>
      </c>
      <c r="K1188" s="1"/>
      <c r="L1188" s="1" t="s">
        <v>39</v>
      </c>
      <c r="M1188" s="1" t="str">
        <f>INDEX(MCC_Lookup!$B$2:$B$12,MATCH(G1188,MCC_Lookup!$A$2:$A$12,0))</f>
        <v>Lodging</v>
      </c>
      <c r="N1188" s="1" t="str">
        <f>IF(TRIM(H1188)="","BLANK",IF(PROPER(TRIM(H1188))=TRIM(M1188),"MATCH","MISMATCH"))</f>
        <v>MATCH</v>
      </c>
      <c r="O1188" s="5" t="str">
        <f>INDEX([1]Employee!$C$2:$C$276,MATCH(B1188,[1]Employee!$A$2:$A$276,0))</f>
        <v>Sales &amp; Marketing</v>
      </c>
    </row>
    <row r="1189" spans="1:15">
      <c r="A1189" s="1" t="s">
        <v>2522</v>
      </c>
      <c r="B1189" s="1" t="s">
        <v>661</v>
      </c>
      <c r="C1189" s="1" t="s">
        <v>2523</v>
      </c>
      <c r="D1189" s="2">
        <v>46081</v>
      </c>
      <c r="E1189" s="2">
        <v>46090</v>
      </c>
      <c r="F1189" s="1" t="s">
        <v>347</v>
      </c>
      <c r="G1189" s="1" t="s">
        <v>8</v>
      </c>
      <c r="H1189" s="1" t="s">
        <v>9</v>
      </c>
      <c r="I1189" s="7">
        <v>16.03</v>
      </c>
      <c r="J1189" s="1" t="s">
        <v>38</v>
      </c>
      <c r="K1189" s="1"/>
      <c r="L1189" s="1" t="s">
        <v>39</v>
      </c>
      <c r="M1189" s="1" t="str">
        <f>INDEX(MCC_Lookup!$B$2:$B$12,MATCH(G1189,MCC_Lookup!$A$2:$A$12,0))</f>
        <v>Transportation</v>
      </c>
      <c r="N1189" s="1" t="str">
        <f>IF(TRIM(H1189)="","BLANK",IF(PROPER(TRIM(H1189))=TRIM(M1189),"MATCH","MISMATCH"))</f>
        <v>MATCH</v>
      </c>
      <c r="O1189" s="5" t="str">
        <f>INDEX([1]Employee!$C$2:$C$276,MATCH(B1189,[1]Employee!$A$2:$A$276,0))</f>
        <v>Sales &amp; Marketing</v>
      </c>
    </row>
    <row r="1190" spans="1:15">
      <c r="A1190" s="1" t="s">
        <v>2524</v>
      </c>
      <c r="B1190" s="1" t="s">
        <v>63</v>
      </c>
      <c r="C1190" s="1" t="s">
        <v>2525</v>
      </c>
      <c r="D1190" s="2">
        <v>46084</v>
      </c>
      <c r="E1190" s="2">
        <v>46090</v>
      </c>
      <c r="F1190" s="1" t="s">
        <v>65</v>
      </c>
      <c r="G1190" s="1" t="s">
        <v>18</v>
      </c>
      <c r="H1190" s="1" t="s">
        <v>19</v>
      </c>
      <c r="I1190" s="7">
        <v>102.89</v>
      </c>
      <c r="J1190" s="1" t="s">
        <v>38</v>
      </c>
      <c r="K1190" s="1"/>
      <c r="L1190" s="1" t="s">
        <v>39</v>
      </c>
      <c r="M1190" s="1" t="str">
        <f>INDEX(MCC_Lookup!$B$2:$B$12,MATCH(G1190,MCC_Lookup!$A$2:$A$12,0))</f>
        <v>Events</v>
      </c>
      <c r="N1190" s="1" t="str">
        <f>IF(TRIM(H1190)="","BLANK",IF(PROPER(TRIM(H1190))=TRIM(M1190),"MATCH","MISMATCH"))</f>
        <v>MATCH</v>
      </c>
      <c r="O1190" s="5" t="str">
        <f>INDEX([1]Employee!$C$2:$C$276,MATCH(B1190,[1]Employee!$A$2:$A$276,0))</f>
        <v>Sales &amp; Marketing</v>
      </c>
    </row>
    <row r="1191" spans="1:15">
      <c r="A1191" s="1" t="s">
        <v>2526</v>
      </c>
      <c r="B1191" s="1" t="s">
        <v>1422</v>
      </c>
      <c r="C1191" s="1" t="s">
        <v>2527</v>
      </c>
      <c r="D1191" s="2">
        <v>46090</v>
      </c>
      <c r="E1191" s="2">
        <v>46090</v>
      </c>
      <c r="F1191" s="1" t="s">
        <v>79</v>
      </c>
      <c r="G1191" s="1" t="s">
        <v>13</v>
      </c>
      <c r="H1191" s="1" t="s">
        <v>14</v>
      </c>
      <c r="I1191" s="7">
        <v>95.68</v>
      </c>
      <c r="J1191" s="1" t="s">
        <v>38</v>
      </c>
      <c r="K1191" s="1"/>
      <c r="L1191" s="1" t="s">
        <v>48</v>
      </c>
      <c r="M1191" s="1" t="str">
        <f>INDEX(MCC_Lookup!$B$2:$B$12,MATCH(G1191,MCC_Lookup!$A$2:$A$12,0))</f>
        <v>Software</v>
      </c>
      <c r="N1191" s="1" t="str">
        <f>IF(TRIM(H1191)="","BLANK",IF(PROPER(TRIM(H1191))=TRIM(M1191),"MATCH","MISMATCH"))</f>
        <v>MATCH</v>
      </c>
      <c r="O1191" s="5" t="str">
        <f>INDEX([1]Employee!$C$2:$C$276,MATCH(B1191,[1]Employee!$A$2:$A$276,0))</f>
        <v>Underwriting</v>
      </c>
    </row>
    <row r="1192" spans="1:15">
      <c r="A1192" s="1" t="s">
        <v>2528</v>
      </c>
      <c r="B1192" s="1" t="s">
        <v>104</v>
      </c>
      <c r="C1192" s="1" t="s">
        <v>2529</v>
      </c>
      <c r="D1192" s="2">
        <v>46080</v>
      </c>
      <c r="E1192" s="2">
        <v>46090</v>
      </c>
      <c r="F1192" s="1" t="s">
        <v>177</v>
      </c>
      <c r="G1192" s="1" t="s">
        <v>13</v>
      </c>
      <c r="H1192" s="1" t="s">
        <v>14</v>
      </c>
      <c r="I1192" s="7">
        <v>17.78</v>
      </c>
      <c r="J1192" s="1" t="s">
        <v>38</v>
      </c>
      <c r="K1192" s="1"/>
      <c r="L1192" s="1" t="s">
        <v>39</v>
      </c>
      <c r="M1192" s="1" t="str">
        <f>INDEX(MCC_Lookup!$B$2:$B$12,MATCH(G1192,MCC_Lookup!$A$2:$A$12,0))</f>
        <v>Software</v>
      </c>
      <c r="N1192" s="1" t="str">
        <f>IF(TRIM(H1192)="","BLANK",IF(PROPER(TRIM(H1192))=TRIM(M1192),"MATCH","MISMATCH"))</f>
        <v>MATCH</v>
      </c>
      <c r="O1192" s="5" t="str">
        <f>INDEX([1]Employee!$C$2:$C$276,MATCH(B1192,[1]Employee!$A$2:$A$276,0))</f>
        <v>Sales &amp; Marketing</v>
      </c>
    </row>
    <row r="1193" spans="1:15">
      <c r="A1193" s="1" t="s">
        <v>2530</v>
      </c>
      <c r="B1193" s="1" t="s">
        <v>196</v>
      </c>
      <c r="C1193" s="1" t="s">
        <v>2531</v>
      </c>
      <c r="D1193" s="2">
        <v>46090</v>
      </c>
      <c r="E1193" s="2">
        <v>46090</v>
      </c>
      <c r="F1193" s="1" t="s">
        <v>106</v>
      </c>
      <c r="G1193" s="1" t="s">
        <v>13</v>
      </c>
      <c r="H1193" s="1" t="s">
        <v>470</v>
      </c>
      <c r="I1193" s="7">
        <v>151.87</v>
      </c>
      <c r="J1193" s="1" t="s">
        <v>38</v>
      </c>
      <c r="K1193" s="1"/>
      <c r="L1193" s="1" t="s">
        <v>39</v>
      </c>
      <c r="M1193" s="1" t="str">
        <f>INDEX(MCC_Lookup!$B$2:$B$12,MATCH(G1193,MCC_Lookup!$A$2:$A$12,0))</f>
        <v>Software</v>
      </c>
      <c r="N1193" s="1" t="str">
        <f>IF(TRIM(H1193)="","BLANK",IF(PROPER(TRIM(H1193))=TRIM(M1193),"MATCH","MISMATCH"))</f>
        <v>MATCH</v>
      </c>
      <c r="O1193" s="5" t="str">
        <f>INDEX([1]Employee!$C$2:$C$276,MATCH(B1193,[1]Employee!$A$2:$A$276,0))</f>
        <v>Sales &amp; Marketing</v>
      </c>
    </row>
    <row r="1194" spans="1:15">
      <c r="A1194" s="1" t="s">
        <v>2532</v>
      </c>
      <c r="B1194" s="1" t="s">
        <v>122</v>
      </c>
      <c r="C1194" s="1" t="s">
        <v>2533</v>
      </c>
      <c r="D1194" s="2">
        <v>46083</v>
      </c>
      <c r="E1194" s="2">
        <v>46090</v>
      </c>
      <c r="F1194" s="1" t="s">
        <v>173</v>
      </c>
      <c r="G1194" s="1" t="s">
        <v>2</v>
      </c>
      <c r="H1194" s="1" t="s">
        <v>3</v>
      </c>
      <c r="I1194" s="7">
        <v>34.61</v>
      </c>
      <c r="J1194" s="1" t="s">
        <v>38</v>
      </c>
      <c r="K1194" s="1"/>
      <c r="L1194" s="1" t="s">
        <v>39</v>
      </c>
      <c r="M1194" s="1" t="str">
        <f>INDEX(MCC_Lookup!$B$2:$B$12,MATCH(G1194,MCC_Lookup!$A$2:$A$12,0))</f>
        <v>Meals</v>
      </c>
      <c r="N1194" s="1" t="str">
        <f>IF(TRIM(H1194)="","BLANK",IF(PROPER(TRIM(H1194))=TRIM(M1194),"MATCH","MISMATCH"))</f>
        <v>MATCH</v>
      </c>
      <c r="O1194" s="5" t="str">
        <f>INDEX([1]Employee!$C$2:$C$276,MATCH(B1194,[1]Employee!$A$2:$A$276,0))</f>
        <v>Sales &amp; Marketing</v>
      </c>
    </row>
    <row r="1195" spans="1:15">
      <c r="A1195" s="1" t="s">
        <v>2534</v>
      </c>
      <c r="B1195" s="1" t="s">
        <v>207</v>
      </c>
      <c r="C1195" s="1" t="s">
        <v>2535</v>
      </c>
      <c r="D1195" s="2">
        <v>46089</v>
      </c>
      <c r="E1195" s="2">
        <v>46090</v>
      </c>
      <c r="F1195" s="1" t="s">
        <v>52</v>
      </c>
      <c r="G1195" s="1" t="s">
        <v>15</v>
      </c>
      <c r="H1195" s="1" t="s">
        <v>16</v>
      </c>
      <c r="I1195" s="7">
        <v>57</v>
      </c>
      <c r="J1195" s="1" t="s">
        <v>38</v>
      </c>
      <c r="K1195" s="1"/>
      <c r="L1195" s="1" t="s">
        <v>39</v>
      </c>
      <c r="M1195" s="1" t="str">
        <f>INDEX(MCC_Lookup!$B$2:$B$12,MATCH(G1195,MCC_Lookup!$A$2:$A$12,0))</f>
        <v>Entertainment</v>
      </c>
      <c r="N1195" s="1" t="str">
        <f>IF(TRIM(H1195)="","BLANK",IF(PROPER(TRIM(H1195))=TRIM(M1195),"MATCH","MISMATCH"))</f>
        <v>MATCH</v>
      </c>
      <c r="O1195" s="5" t="str">
        <f>INDEX([1]Employee!$C$2:$C$276,MATCH(B1195,[1]Employee!$A$2:$A$276,0))</f>
        <v>Claims</v>
      </c>
    </row>
    <row r="1196" spans="1:15">
      <c r="A1196" s="1" t="s">
        <v>2536</v>
      </c>
      <c r="B1196" s="1" t="s">
        <v>855</v>
      </c>
      <c r="C1196" s="1" t="s">
        <v>2537</v>
      </c>
      <c r="D1196" s="2">
        <v>46085</v>
      </c>
      <c r="E1196" s="2">
        <v>46090</v>
      </c>
      <c r="F1196" s="1" t="s">
        <v>83</v>
      </c>
      <c r="G1196" s="1" t="s">
        <v>2</v>
      </c>
      <c r="H1196" s="1" t="s">
        <v>3</v>
      </c>
      <c r="I1196" s="7">
        <v>16.170000000000002</v>
      </c>
      <c r="J1196" s="1" t="s">
        <v>38</v>
      </c>
      <c r="K1196" s="1"/>
      <c r="L1196" s="1" t="s">
        <v>39</v>
      </c>
      <c r="M1196" s="1" t="str">
        <f>INDEX(MCC_Lookup!$B$2:$B$12,MATCH(G1196,MCC_Lookup!$A$2:$A$12,0))</f>
        <v>Meals</v>
      </c>
      <c r="N1196" s="1" t="str">
        <f>IF(TRIM(H1196)="","BLANK",IF(PROPER(TRIM(H1196))=TRIM(M1196),"MATCH","MISMATCH"))</f>
        <v>MATCH</v>
      </c>
      <c r="O1196" s="5" t="str">
        <f>INDEX([1]Employee!$C$2:$C$276,MATCH(B1196,[1]Employee!$A$2:$A$276,0))</f>
        <v>Underwriting</v>
      </c>
    </row>
    <row r="1197" spans="1:15">
      <c r="A1197" s="1" t="s">
        <v>2538</v>
      </c>
      <c r="B1197" s="1" t="s">
        <v>679</v>
      </c>
      <c r="C1197" s="1"/>
      <c r="D1197" s="2">
        <v>46086</v>
      </c>
      <c r="E1197" s="2">
        <v>46090</v>
      </c>
      <c r="F1197" s="1" t="s">
        <v>65</v>
      </c>
      <c r="G1197" s="1" t="s">
        <v>18</v>
      </c>
      <c r="H1197" s="1" t="s">
        <v>19</v>
      </c>
      <c r="I1197" s="7">
        <v>144.94</v>
      </c>
      <c r="J1197" s="1" t="s">
        <v>111</v>
      </c>
      <c r="K1197" s="1" t="s">
        <v>127</v>
      </c>
      <c r="L1197" s="1" t="s">
        <v>39</v>
      </c>
      <c r="M1197" s="1" t="str">
        <f>INDEX(MCC_Lookup!$B$2:$B$12,MATCH(G1197,MCC_Lookup!$A$2:$A$12,0))</f>
        <v>Events</v>
      </c>
      <c r="N1197" s="1" t="str">
        <f>IF(TRIM(H1197)="","BLANK",IF(PROPER(TRIM(H1197))=TRIM(M1197),"MATCH","MISMATCH"))</f>
        <v>MATCH</v>
      </c>
      <c r="O1197" s="5" t="str">
        <f>INDEX([1]Employee!$C$2:$C$276,MATCH(B1197,[1]Employee!$A$2:$A$276,0))</f>
        <v>Sales &amp; Marketing</v>
      </c>
    </row>
    <row r="1198" spans="1:15">
      <c r="A1198" s="1" t="s">
        <v>2539</v>
      </c>
      <c r="B1198" s="1" t="s">
        <v>687</v>
      </c>
      <c r="C1198" s="1"/>
      <c r="D1198" s="2">
        <v>46081</v>
      </c>
      <c r="E1198" s="2">
        <v>46090</v>
      </c>
      <c r="F1198" s="1" t="s">
        <v>37</v>
      </c>
      <c r="G1198" s="1" t="s">
        <v>4</v>
      </c>
      <c r="H1198" s="1" t="s">
        <v>5</v>
      </c>
      <c r="I1198" s="7">
        <v>213.44</v>
      </c>
      <c r="J1198" s="1" t="s">
        <v>38</v>
      </c>
      <c r="K1198" s="1"/>
      <c r="L1198" s="1" t="s">
        <v>39</v>
      </c>
      <c r="M1198" s="1" t="str">
        <f>INDEX(MCC_Lookup!$B$2:$B$12,MATCH(G1198,MCC_Lookup!$A$2:$A$12,0))</f>
        <v>Travel</v>
      </c>
      <c r="N1198" s="1" t="str">
        <f>IF(TRIM(H1198)="","BLANK",IF(PROPER(TRIM(H1198))=TRIM(M1198),"MATCH","MISMATCH"))</f>
        <v>MATCH</v>
      </c>
      <c r="O1198" s="5" t="str">
        <f>INDEX([1]Employee!$C$2:$C$276,MATCH(B1198,[1]Employee!$A$2:$A$276,0))</f>
        <v>Executive &amp; Corporate</v>
      </c>
    </row>
    <row r="1199" spans="1:15">
      <c r="A1199" s="1" t="s">
        <v>2540</v>
      </c>
      <c r="B1199" s="1" t="s">
        <v>687</v>
      </c>
      <c r="C1199" s="1" t="s">
        <v>2541</v>
      </c>
      <c r="D1199" s="2">
        <v>46080</v>
      </c>
      <c r="E1199" s="2">
        <v>46090</v>
      </c>
      <c r="F1199" s="1" t="s">
        <v>106</v>
      </c>
      <c r="G1199" s="1" t="s">
        <v>13</v>
      </c>
      <c r="H1199" s="1" t="s">
        <v>14</v>
      </c>
      <c r="I1199" s="7">
        <v>197.98</v>
      </c>
      <c r="J1199" s="1" t="s">
        <v>38</v>
      </c>
      <c r="K1199" s="1"/>
      <c r="L1199" s="1" t="s">
        <v>39</v>
      </c>
      <c r="M1199" s="1" t="str">
        <f>INDEX(MCC_Lookup!$B$2:$B$12,MATCH(G1199,MCC_Lookup!$A$2:$A$12,0))</f>
        <v>Software</v>
      </c>
      <c r="N1199" s="1" t="str">
        <f>IF(TRIM(H1199)="","BLANK",IF(PROPER(TRIM(H1199))=TRIM(M1199),"MATCH","MISMATCH"))</f>
        <v>MATCH</v>
      </c>
      <c r="O1199" s="5" t="str">
        <f>INDEX([1]Employee!$C$2:$C$276,MATCH(B1199,[1]Employee!$A$2:$A$276,0))</f>
        <v>Executive &amp; Corporate</v>
      </c>
    </row>
    <row r="1200" spans="1:15">
      <c r="A1200" s="1" t="s">
        <v>2542</v>
      </c>
      <c r="B1200" s="1" t="s">
        <v>364</v>
      </c>
      <c r="C1200" s="1" t="s">
        <v>2543</v>
      </c>
      <c r="D1200" s="2">
        <v>46087</v>
      </c>
      <c r="E1200" s="2">
        <v>46090</v>
      </c>
      <c r="F1200" s="1" t="s">
        <v>259</v>
      </c>
      <c r="G1200" s="1" t="s">
        <v>20</v>
      </c>
      <c r="H1200" s="1" t="s">
        <v>19</v>
      </c>
      <c r="I1200" s="7">
        <v>147.15</v>
      </c>
      <c r="J1200" s="1" t="s">
        <v>38</v>
      </c>
      <c r="K1200" s="1"/>
      <c r="L1200" s="1" t="s">
        <v>39</v>
      </c>
      <c r="M1200" s="1" t="str">
        <f>INDEX(MCC_Lookup!$B$2:$B$12,MATCH(G1200,MCC_Lookup!$A$2:$A$12,0))</f>
        <v>Events</v>
      </c>
      <c r="N1200" s="1" t="str">
        <f>IF(TRIM(H1200)="","BLANK",IF(PROPER(TRIM(H1200))=TRIM(M1200),"MATCH","MISMATCH"))</f>
        <v>MATCH</v>
      </c>
      <c r="O1200" s="5" t="str">
        <f>INDEX([1]Employee!$C$2:$C$276,MATCH(B1200,[1]Employee!$A$2:$A$276,0))</f>
        <v>Sales &amp; Marketing</v>
      </c>
    </row>
    <row r="1201" spans="1:15">
      <c r="A1201" s="1" t="s">
        <v>2544</v>
      </c>
      <c r="B1201" s="1" t="s">
        <v>227</v>
      </c>
      <c r="C1201" s="1" t="s">
        <v>2545</v>
      </c>
      <c r="D1201" s="2">
        <v>46082</v>
      </c>
      <c r="E1201" s="2">
        <v>46090</v>
      </c>
      <c r="F1201" s="1" t="s">
        <v>106</v>
      </c>
      <c r="G1201" s="1" t="s">
        <v>13</v>
      </c>
      <c r="H1201" s="1" t="s">
        <v>14</v>
      </c>
      <c r="I1201" s="7">
        <v>165.91</v>
      </c>
      <c r="J1201" s="1" t="s">
        <v>38</v>
      </c>
      <c r="K1201" s="1"/>
      <c r="L1201" s="1" t="s">
        <v>39</v>
      </c>
      <c r="M1201" s="1" t="str">
        <f>INDEX(MCC_Lookup!$B$2:$B$12,MATCH(G1201,MCC_Lookup!$A$2:$A$12,0))</f>
        <v>Software</v>
      </c>
      <c r="N1201" s="1" t="str">
        <f>IF(TRIM(H1201)="","BLANK",IF(PROPER(TRIM(H1201))=TRIM(M1201),"MATCH","MISMATCH"))</f>
        <v>MATCH</v>
      </c>
      <c r="O1201" s="5" t="str">
        <f>INDEX([1]Employee!$C$2:$C$276,MATCH(B1201,[1]Employee!$A$2:$A$276,0))</f>
        <v>Claims</v>
      </c>
    </row>
    <row r="1202" spans="1:15">
      <c r="A1202" s="1" t="s">
        <v>2546</v>
      </c>
      <c r="B1202" s="1" t="s">
        <v>227</v>
      </c>
      <c r="C1202" s="1" t="s">
        <v>2547</v>
      </c>
      <c r="D1202" s="2">
        <v>46089</v>
      </c>
      <c r="E1202" s="2">
        <v>46090</v>
      </c>
      <c r="F1202" s="1" t="s">
        <v>201</v>
      </c>
      <c r="G1202" s="1" t="s">
        <v>4</v>
      </c>
      <c r="H1202" s="1" t="s">
        <v>5</v>
      </c>
      <c r="I1202" s="7">
        <v>407.42</v>
      </c>
      <c r="J1202" s="1" t="s">
        <v>38</v>
      </c>
      <c r="K1202" s="1"/>
      <c r="L1202" s="1" t="s">
        <v>39</v>
      </c>
      <c r="M1202" s="1" t="str">
        <f>INDEX(MCC_Lookup!$B$2:$B$12,MATCH(G1202,MCC_Lookup!$A$2:$A$12,0))</f>
        <v>Travel</v>
      </c>
      <c r="N1202" s="1" t="str">
        <f>IF(TRIM(H1202)="","BLANK",IF(PROPER(TRIM(H1202))=TRIM(M1202),"MATCH","MISMATCH"))</f>
        <v>MATCH</v>
      </c>
      <c r="O1202" s="5" t="str">
        <f>INDEX([1]Employee!$C$2:$C$276,MATCH(B1202,[1]Employee!$A$2:$A$276,0))</f>
        <v>Claims</v>
      </c>
    </row>
    <row r="1203" spans="1:15">
      <c r="A1203" s="1" t="s">
        <v>2548</v>
      </c>
      <c r="B1203" s="1" t="s">
        <v>789</v>
      </c>
      <c r="C1203" s="1" t="s">
        <v>2549</v>
      </c>
      <c r="D1203" s="2">
        <v>46085</v>
      </c>
      <c r="E1203" s="2">
        <v>46090</v>
      </c>
      <c r="F1203" s="1" t="s">
        <v>242</v>
      </c>
      <c r="G1203" s="1" t="s">
        <v>13</v>
      </c>
      <c r="H1203" s="1" t="s">
        <v>14</v>
      </c>
      <c r="I1203" s="7">
        <v>23.43</v>
      </c>
      <c r="J1203" s="1" t="s">
        <v>38</v>
      </c>
      <c r="K1203" s="1"/>
      <c r="L1203" s="1" t="s">
        <v>39</v>
      </c>
      <c r="M1203" s="1" t="str">
        <f>INDEX(MCC_Lookup!$B$2:$B$12,MATCH(G1203,MCC_Lookup!$A$2:$A$12,0))</f>
        <v>Software</v>
      </c>
      <c r="N1203" s="1" t="str">
        <f>IF(TRIM(H1203)="","BLANK",IF(PROPER(TRIM(H1203))=TRIM(M1203),"MATCH","MISMATCH"))</f>
        <v>MATCH</v>
      </c>
      <c r="O1203" s="5" t="str">
        <f>INDEX([1]Employee!$C$2:$C$276,MATCH(B1203,[1]Employee!$A$2:$A$276,0))</f>
        <v>Actuarial &amp; Risk</v>
      </c>
    </row>
    <row r="1204" spans="1:15">
      <c r="A1204" s="1" t="s">
        <v>2550</v>
      </c>
      <c r="B1204" s="1" t="s">
        <v>741</v>
      </c>
      <c r="C1204" s="1"/>
      <c r="D1204" s="2">
        <v>46088</v>
      </c>
      <c r="E1204" s="2">
        <v>46091</v>
      </c>
      <c r="F1204" s="1" t="s">
        <v>61</v>
      </c>
      <c r="G1204" s="1" t="s">
        <v>13</v>
      </c>
      <c r="H1204" s="1" t="s">
        <v>14</v>
      </c>
      <c r="I1204" s="7">
        <v>59.53</v>
      </c>
      <c r="J1204" s="1" t="s">
        <v>38</v>
      </c>
      <c r="K1204" s="1"/>
      <c r="L1204" s="1" t="s">
        <v>39</v>
      </c>
      <c r="M1204" s="1" t="str">
        <f>INDEX(MCC_Lookup!$B$2:$B$12,MATCH(G1204,MCC_Lookup!$A$2:$A$12,0))</f>
        <v>Software</v>
      </c>
      <c r="N1204" s="1" t="str">
        <f>IF(TRIM(H1204)="","BLANK",IF(PROPER(TRIM(H1204))=TRIM(M1204),"MATCH","MISMATCH"))</f>
        <v>MATCH</v>
      </c>
      <c r="O1204" s="5" t="str">
        <f>INDEX([1]Employee!$C$2:$C$276,MATCH(B1204,[1]Employee!$A$2:$A$276,0))</f>
        <v>Customer Support</v>
      </c>
    </row>
    <row r="1205" spans="1:15">
      <c r="A1205" s="1" t="s">
        <v>2551</v>
      </c>
      <c r="B1205" s="1" t="s">
        <v>349</v>
      </c>
      <c r="C1205" s="1" t="s">
        <v>2552</v>
      </c>
      <c r="D1205" s="2">
        <v>46090</v>
      </c>
      <c r="E1205" s="2">
        <v>46091</v>
      </c>
      <c r="F1205" s="1" t="s">
        <v>177</v>
      </c>
      <c r="G1205" s="1" t="s">
        <v>13</v>
      </c>
      <c r="H1205" s="1" t="s">
        <v>14</v>
      </c>
      <c r="I1205" s="7">
        <v>26.33</v>
      </c>
      <c r="J1205" s="1" t="s">
        <v>38</v>
      </c>
      <c r="K1205" s="1"/>
      <c r="L1205" s="1" t="s">
        <v>39</v>
      </c>
      <c r="M1205" s="1" t="str">
        <f>INDEX(MCC_Lookup!$B$2:$B$12,MATCH(G1205,MCC_Lookup!$A$2:$A$12,0))</f>
        <v>Software</v>
      </c>
      <c r="N1205" s="1" t="str">
        <f>IF(TRIM(H1205)="","BLANK",IF(PROPER(TRIM(H1205))=TRIM(M1205),"MATCH","MISMATCH"))</f>
        <v>MATCH</v>
      </c>
      <c r="O1205" s="5" t="str">
        <f>INDEX([1]Employee!$C$2:$C$276,MATCH(B1205,[1]Employee!$A$2:$A$276,0))</f>
        <v>Sales &amp; Marketing</v>
      </c>
    </row>
    <row r="1206" spans="1:15">
      <c r="A1206" s="1" t="s">
        <v>2553</v>
      </c>
      <c r="B1206" s="1" t="s">
        <v>915</v>
      </c>
      <c r="C1206" s="1" t="s">
        <v>2554</v>
      </c>
      <c r="D1206" s="2">
        <v>46084</v>
      </c>
      <c r="E1206" s="2">
        <v>46091</v>
      </c>
      <c r="F1206" s="1" t="s">
        <v>173</v>
      </c>
      <c r="G1206" s="1" t="s">
        <v>2</v>
      </c>
      <c r="H1206" s="1" t="s">
        <v>3</v>
      </c>
      <c r="I1206" s="7">
        <v>43.08</v>
      </c>
      <c r="J1206" s="1" t="s">
        <v>38</v>
      </c>
      <c r="K1206" s="1"/>
      <c r="L1206" s="1" t="s">
        <v>48</v>
      </c>
      <c r="M1206" s="1" t="str">
        <f>INDEX(MCC_Lookup!$B$2:$B$12,MATCH(G1206,MCC_Lookup!$A$2:$A$12,0))</f>
        <v>Meals</v>
      </c>
      <c r="N1206" s="1" t="str">
        <f>IF(TRIM(H1206)="","BLANK",IF(PROPER(TRIM(H1206))=TRIM(M1206),"MATCH","MISMATCH"))</f>
        <v>MATCH</v>
      </c>
      <c r="O1206" s="5" t="str">
        <f>INDEX([1]Employee!$C$2:$C$276,MATCH(B1206,[1]Employee!$A$2:$A$276,0))</f>
        <v>Sales &amp; Marketing</v>
      </c>
    </row>
    <row r="1207" spans="1:15">
      <c r="A1207" s="1" t="s">
        <v>2555</v>
      </c>
      <c r="B1207" s="1" t="s">
        <v>1567</v>
      </c>
      <c r="C1207" s="1" t="s">
        <v>2556</v>
      </c>
      <c r="D1207" s="2">
        <v>46086</v>
      </c>
      <c r="E1207" s="2">
        <v>46091</v>
      </c>
      <c r="F1207" s="1" t="s">
        <v>92</v>
      </c>
      <c r="G1207" s="1" t="s">
        <v>10</v>
      </c>
      <c r="H1207" s="1" t="s">
        <v>11</v>
      </c>
      <c r="I1207" s="7">
        <v>137.02000000000001</v>
      </c>
      <c r="J1207" s="1" t="s">
        <v>38</v>
      </c>
      <c r="K1207" s="1"/>
      <c r="L1207" s="1" t="s">
        <v>48</v>
      </c>
      <c r="M1207" s="1" t="str">
        <f>INDEX(MCC_Lookup!$B$2:$B$12,MATCH(G1207,MCC_Lookup!$A$2:$A$12,0))</f>
        <v>Office Supplies</v>
      </c>
      <c r="N1207" s="1" t="str">
        <f>IF(TRIM(H1207)="","BLANK",IF(PROPER(TRIM(H1207))=TRIM(M1207),"MATCH","MISMATCH"))</f>
        <v>MATCH</v>
      </c>
      <c r="O1207" s="5" t="str">
        <f>INDEX([1]Employee!$C$2:$C$276,MATCH(B1207,[1]Employee!$A$2:$A$276,0))</f>
        <v>Underwriting</v>
      </c>
    </row>
    <row r="1208" spans="1:15">
      <c r="A1208" s="1" t="s">
        <v>2557</v>
      </c>
      <c r="B1208" s="1" t="s">
        <v>1116</v>
      </c>
      <c r="C1208" s="1" t="s">
        <v>2558</v>
      </c>
      <c r="D1208" s="2">
        <v>46089</v>
      </c>
      <c r="E1208" s="2">
        <v>46091</v>
      </c>
      <c r="F1208" s="1" t="s">
        <v>259</v>
      </c>
      <c r="G1208" s="1" t="s">
        <v>20</v>
      </c>
      <c r="H1208" s="1" t="s">
        <v>517</v>
      </c>
      <c r="I1208" s="7">
        <v>622.27</v>
      </c>
      <c r="J1208" s="1" t="s">
        <v>38</v>
      </c>
      <c r="K1208" s="1"/>
      <c r="L1208" s="1" t="s">
        <v>39</v>
      </c>
      <c r="M1208" s="1" t="str">
        <f>INDEX(MCC_Lookup!$B$2:$B$12,MATCH(G1208,MCC_Lookup!$A$2:$A$12,0))</f>
        <v>Events</v>
      </c>
      <c r="N1208" s="1" t="str">
        <f>IF(TRIM(H1208)="","BLANK",IF(PROPER(TRIM(H1208))=TRIM(M1208),"MATCH","MISMATCH"))</f>
        <v>MATCH</v>
      </c>
      <c r="O1208" s="5" t="str">
        <f>INDEX([1]Employee!$C$2:$C$276,MATCH(B1208,[1]Employee!$A$2:$A$276,0))</f>
        <v>Underwriting</v>
      </c>
    </row>
    <row r="1209" spans="1:15">
      <c r="A1209" s="1" t="s">
        <v>2559</v>
      </c>
      <c r="B1209" s="1" t="s">
        <v>1650</v>
      </c>
      <c r="C1209" s="1" t="s">
        <v>2560</v>
      </c>
      <c r="D1209" s="2">
        <v>46083</v>
      </c>
      <c r="E1209" s="2">
        <v>46091</v>
      </c>
      <c r="F1209" s="1" t="s">
        <v>65</v>
      </c>
      <c r="G1209" s="1" t="s">
        <v>18</v>
      </c>
      <c r="H1209" s="1" t="s">
        <v>19</v>
      </c>
      <c r="I1209" s="7">
        <v>151.16999999999999</v>
      </c>
      <c r="J1209" s="1" t="s">
        <v>38</v>
      </c>
      <c r="K1209" s="1"/>
      <c r="L1209" s="1" t="s">
        <v>39</v>
      </c>
      <c r="M1209" s="1" t="str">
        <f>INDEX(MCC_Lookup!$B$2:$B$12,MATCH(G1209,MCC_Lookup!$A$2:$A$12,0))</f>
        <v>Events</v>
      </c>
      <c r="N1209" s="1" t="str">
        <f>IF(TRIM(H1209)="","BLANK",IF(PROPER(TRIM(H1209))=TRIM(M1209),"MATCH","MISMATCH"))</f>
        <v>MATCH</v>
      </c>
      <c r="O1209" s="5" t="str">
        <f>INDEX([1]Employee!$C$2:$C$276,MATCH(B1209,[1]Employee!$A$2:$A$276,0))</f>
        <v>HR &amp; Events</v>
      </c>
    </row>
    <row r="1210" spans="1:15">
      <c r="A1210" s="1" t="s">
        <v>2561</v>
      </c>
      <c r="B1210" s="1" t="s">
        <v>888</v>
      </c>
      <c r="C1210" s="1" t="s">
        <v>2562</v>
      </c>
      <c r="D1210" s="2">
        <v>46081</v>
      </c>
      <c r="E1210" s="2">
        <v>46091</v>
      </c>
      <c r="F1210" s="1" t="s">
        <v>72</v>
      </c>
      <c r="G1210" s="1" t="s">
        <v>8</v>
      </c>
      <c r="H1210" s="1" t="s">
        <v>9</v>
      </c>
      <c r="I1210" s="7">
        <v>8.69</v>
      </c>
      <c r="J1210" s="1" t="s">
        <v>38</v>
      </c>
      <c r="K1210" s="1"/>
      <c r="L1210" s="1" t="s">
        <v>39</v>
      </c>
      <c r="M1210" s="1" t="str">
        <f>INDEX(MCC_Lookup!$B$2:$B$12,MATCH(G1210,MCC_Lookup!$A$2:$A$12,0))</f>
        <v>Transportation</v>
      </c>
      <c r="N1210" s="1" t="str">
        <f>IF(TRIM(H1210)="","BLANK",IF(PROPER(TRIM(H1210))=TRIM(M1210),"MATCH","MISMATCH"))</f>
        <v>MATCH</v>
      </c>
      <c r="O1210" s="5" t="str">
        <f>INDEX([1]Employee!$C$2:$C$276,MATCH(B1210,[1]Employee!$A$2:$A$276,0))</f>
        <v>Claims</v>
      </c>
    </row>
    <row r="1211" spans="1:15">
      <c r="A1211" s="1" t="s">
        <v>2563</v>
      </c>
      <c r="B1211" s="1" t="s">
        <v>2564</v>
      </c>
      <c r="C1211" s="1" t="s">
        <v>2565</v>
      </c>
      <c r="D1211" s="2">
        <v>46082</v>
      </c>
      <c r="E1211" s="2">
        <v>46091</v>
      </c>
      <c r="F1211" s="1" t="s">
        <v>109</v>
      </c>
      <c r="G1211" s="1" t="s">
        <v>18</v>
      </c>
      <c r="H1211" s="1" t="s">
        <v>19</v>
      </c>
      <c r="I1211" s="7">
        <v>275</v>
      </c>
      <c r="J1211" s="1" t="s">
        <v>38</v>
      </c>
      <c r="K1211" s="1"/>
      <c r="L1211" s="1" t="s">
        <v>39</v>
      </c>
      <c r="M1211" s="1" t="str">
        <f>INDEX(MCC_Lookup!$B$2:$B$12,MATCH(G1211,MCC_Lookup!$A$2:$A$12,0))</f>
        <v>Events</v>
      </c>
      <c r="N1211" s="1" t="str">
        <f>IF(TRIM(H1211)="","BLANK",IF(PROPER(TRIM(H1211))=TRIM(M1211),"MATCH","MISMATCH"))</f>
        <v>MATCH</v>
      </c>
      <c r="O1211" s="5" t="str">
        <f>INDEX([1]Employee!$C$2:$C$276,MATCH(B1211,[1]Employee!$A$2:$A$276,0))</f>
        <v>Underwriting</v>
      </c>
    </row>
    <row r="1212" spans="1:15">
      <c r="A1212" s="1" t="s">
        <v>2566</v>
      </c>
      <c r="B1212" s="1" t="s">
        <v>595</v>
      </c>
      <c r="C1212" s="1" t="s">
        <v>2567</v>
      </c>
      <c r="D1212" s="2">
        <v>46087</v>
      </c>
      <c r="E1212" s="2">
        <v>46091</v>
      </c>
      <c r="F1212" s="1" t="s">
        <v>106</v>
      </c>
      <c r="G1212" s="1" t="s">
        <v>13</v>
      </c>
      <c r="H1212" s="1" t="s">
        <v>14</v>
      </c>
      <c r="I1212" s="7">
        <v>159.4</v>
      </c>
      <c r="J1212" s="1" t="s">
        <v>38</v>
      </c>
      <c r="K1212" s="1"/>
      <c r="L1212" s="1" t="s">
        <v>39</v>
      </c>
      <c r="M1212" s="1" t="str">
        <f>INDEX(MCC_Lookup!$B$2:$B$12,MATCH(G1212,MCC_Lookup!$A$2:$A$12,0))</f>
        <v>Software</v>
      </c>
      <c r="N1212" s="1" t="str">
        <f>IF(TRIM(H1212)="","BLANK",IF(PROPER(TRIM(H1212))=TRIM(M1212),"MATCH","MISMATCH"))</f>
        <v>MATCH</v>
      </c>
      <c r="O1212" s="5" t="str">
        <f>INDEX([1]Employee!$C$2:$C$276,MATCH(B1212,[1]Employee!$A$2:$A$276,0))</f>
        <v>Executive &amp; Corporate</v>
      </c>
    </row>
    <row r="1213" spans="1:15">
      <c r="A1213" s="1" t="s">
        <v>2568</v>
      </c>
      <c r="B1213" s="1" t="s">
        <v>63</v>
      </c>
      <c r="C1213" s="1" t="s">
        <v>2569</v>
      </c>
      <c r="D1213" s="2">
        <v>46086</v>
      </c>
      <c r="E1213" s="2">
        <v>46091</v>
      </c>
      <c r="F1213" s="1" t="s">
        <v>177</v>
      </c>
      <c r="G1213" s="1" t="s">
        <v>13</v>
      </c>
      <c r="H1213" s="1" t="s">
        <v>14</v>
      </c>
      <c r="I1213" s="7">
        <v>35.65</v>
      </c>
      <c r="J1213" s="1" t="s">
        <v>38</v>
      </c>
      <c r="K1213" s="1"/>
      <c r="L1213" s="1" t="s">
        <v>39</v>
      </c>
      <c r="M1213" s="1" t="str">
        <f>INDEX(MCC_Lookup!$B$2:$B$12,MATCH(G1213,MCC_Lookup!$A$2:$A$12,0))</f>
        <v>Software</v>
      </c>
      <c r="N1213" s="1" t="str">
        <f>IF(TRIM(H1213)="","BLANK",IF(PROPER(TRIM(H1213))=TRIM(M1213),"MATCH","MISMATCH"))</f>
        <v>MATCH</v>
      </c>
      <c r="O1213" s="5" t="str">
        <f>INDEX([1]Employee!$C$2:$C$276,MATCH(B1213,[1]Employee!$A$2:$A$276,0))</f>
        <v>Sales &amp; Marketing</v>
      </c>
    </row>
    <row r="1214" spans="1:15">
      <c r="A1214" s="1" t="s">
        <v>2570</v>
      </c>
      <c r="B1214" s="1" t="s">
        <v>187</v>
      </c>
      <c r="C1214" s="1" t="s">
        <v>2571</v>
      </c>
      <c r="D1214" s="2">
        <v>46089</v>
      </c>
      <c r="E1214" s="2">
        <v>46091</v>
      </c>
      <c r="F1214" s="1" t="s">
        <v>109</v>
      </c>
      <c r="G1214" s="1" t="s">
        <v>18</v>
      </c>
      <c r="H1214" s="1" t="s">
        <v>19</v>
      </c>
      <c r="I1214" s="7">
        <v>267.63</v>
      </c>
      <c r="J1214" s="1" t="s">
        <v>38</v>
      </c>
      <c r="K1214" s="1"/>
      <c r="L1214" s="1" t="s">
        <v>39</v>
      </c>
      <c r="M1214" s="1" t="str">
        <f>INDEX(MCC_Lookup!$B$2:$B$12,MATCH(G1214,MCC_Lookup!$A$2:$A$12,0))</f>
        <v>Events</v>
      </c>
      <c r="N1214" s="1" t="str">
        <f>IF(TRIM(H1214)="","BLANK",IF(PROPER(TRIM(H1214))=TRIM(M1214),"MATCH","MISMATCH"))</f>
        <v>MATCH</v>
      </c>
      <c r="O1214" s="5" t="str">
        <f>INDEX([1]Employee!$C$2:$C$276,MATCH(B1214,[1]Employee!$A$2:$A$276,0))</f>
        <v>HR &amp; Events</v>
      </c>
    </row>
    <row r="1215" spans="1:15">
      <c r="A1215" s="1" t="s">
        <v>2572</v>
      </c>
      <c r="B1215" s="1" t="s">
        <v>175</v>
      </c>
      <c r="C1215" s="1" t="s">
        <v>2573</v>
      </c>
      <c r="D1215" s="2">
        <v>46083</v>
      </c>
      <c r="E1215" s="2">
        <v>46091</v>
      </c>
      <c r="F1215" s="1" t="s">
        <v>173</v>
      </c>
      <c r="G1215" s="1" t="s">
        <v>2</v>
      </c>
      <c r="H1215" s="1" t="s">
        <v>3</v>
      </c>
      <c r="I1215" s="7">
        <v>25.49</v>
      </c>
      <c r="J1215" s="1" t="s">
        <v>38</v>
      </c>
      <c r="K1215" s="1"/>
      <c r="L1215" s="1" t="s">
        <v>39</v>
      </c>
      <c r="M1215" s="1" t="str">
        <f>INDEX(MCC_Lookup!$B$2:$B$12,MATCH(G1215,MCC_Lookup!$A$2:$A$12,0))</f>
        <v>Meals</v>
      </c>
      <c r="N1215" s="1" t="str">
        <f>IF(TRIM(H1215)="","BLANK",IF(PROPER(TRIM(H1215))=TRIM(M1215),"MATCH","MISMATCH"))</f>
        <v>MATCH</v>
      </c>
      <c r="O1215" s="5" t="str">
        <f>INDEX([1]Employee!$C$2:$C$276,MATCH(B1215,[1]Employee!$A$2:$A$276,0))</f>
        <v>Claims</v>
      </c>
    </row>
    <row r="1216" spans="1:15">
      <c r="A1216" s="1" t="s">
        <v>2574</v>
      </c>
      <c r="B1216" s="1" t="s">
        <v>303</v>
      </c>
      <c r="C1216" s="1" t="s">
        <v>2575</v>
      </c>
      <c r="D1216" s="2">
        <v>46082</v>
      </c>
      <c r="E1216" s="2">
        <v>46091</v>
      </c>
      <c r="F1216" s="1" t="s">
        <v>65</v>
      </c>
      <c r="G1216" s="1" t="s">
        <v>18</v>
      </c>
      <c r="H1216" s="1" t="s">
        <v>19</v>
      </c>
      <c r="I1216" s="7">
        <v>191.85</v>
      </c>
      <c r="J1216" s="1" t="s">
        <v>38</v>
      </c>
      <c r="K1216" s="1"/>
      <c r="L1216" s="1" t="s">
        <v>39</v>
      </c>
      <c r="M1216" s="1" t="str">
        <f>INDEX(MCC_Lookup!$B$2:$B$12,MATCH(G1216,MCC_Lookup!$A$2:$A$12,0))</f>
        <v>Events</v>
      </c>
      <c r="N1216" s="1" t="str">
        <f>IF(TRIM(H1216)="","BLANK",IF(PROPER(TRIM(H1216))=TRIM(M1216),"MATCH","MISMATCH"))</f>
        <v>MATCH</v>
      </c>
      <c r="O1216" s="5" t="str">
        <f>INDEX([1]Employee!$C$2:$C$276,MATCH(B1216,[1]Employee!$A$2:$A$276,0))</f>
        <v>Sales &amp; Marketing</v>
      </c>
    </row>
    <row r="1217" spans="1:15">
      <c r="A1217" s="1" t="s">
        <v>2576</v>
      </c>
      <c r="B1217" s="1" t="s">
        <v>300</v>
      </c>
      <c r="C1217" s="1" t="s">
        <v>2577</v>
      </c>
      <c r="D1217" s="2">
        <v>46082</v>
      </c>
      <c r="E1217" s="2">
        <v>46091</v>
      </c>
      <c r="F1217" s="1" t="s">
        <v>43</v>
      </c>
      <c r="G1217" s="1" t="s">
        <v>2</v>
      </c>
      <c r="H1217" s="1" t="s">
        <v>3</v>
      </c>
      <c r="I1217" s="7">
        <v>8.3699999999999992</v>
      </c>
      <c r="J1217" s="1" t="s">
        <v>38</v>
      </c>
      <c r="K1217" s="1"/>
      <c r="L1217" s="1" t="s">
        <v>39</v>
      </c>
      <c r="M1217" s="1" t="str">
        <f>INDEX(MCC_Lookup!$B$2:$B$12,MATCH(G1217,MCC_Lookup!$A$2:$A$12,0))</f>
        <v>Meals</v>
      </c>
      <c r="N1217" s="1" t="str">
        <f>IF(TRIM(H1217)="","BLANK",IF(PROPER(TRIM(H1217))=TRIM(M1217),"MATCH","MISMATCH"))</f>
        <v>MATCH</v>
      </c>
      <c r="O1217" s="5" t="str">
        <f>INDEX([1]Employee!$C$2:$C$276,MATCH(B1217,[1]Employee!$A$2:$A$276,0))</f>
        <v>Sales &amp; Marketing</v>
      </c>
    </row>
    <row r="1218" spans="1:15">
      <c r="A1218" s="1" t="s">
        <v>2578</v>
      </c>
      <c r="B1218" s="1" t="s">
        <v>253</v>
      </c>
      <c r="C1218" s="1" t="s">
        <v>2579</v>
      </c>
      <c r="D1218" s="2">
        <v>46088</v>
      </c>
      <c r="E1218" s="2">
        <v>46091</v>
      </c>
      <c r="F1218" s="1" t="s">
        <v>120</v>
      </c>
      <c r="G1218" s="1" t="s">
        <v>12</v>
      </c>
      <c r="H1218" s="1" t="s">
        <v>11</v>
      </c>
      <c r="I1218" s="7">
        <v>439.91</v>
      </c>
      <c r="J1218" s="1" t="s">
        <v>38</v>
      </c>
      <c r="K1218" s="1"/>
      <c r="L1218" s="1" t="s">
        <v>39</v>
      </c>
      <c r="M1218" s="1" t="str">
        <f>INDEX(MCC_Lookup!$B$2:$B$12,MATCH(G1218,MCC_Lookup!$A$2:$A$12,0))</f>
        <v>Office Supplies</v>
      </c>
      <c r="N1218" s="1" t="str">
        <f>IF(TRIM(H1218)="","BLANK",IF(PROPER(TRIM(H1218))=TRIM(M1218),"MATCH","MISMATCH"))</f>
        <v>MATCH</v>
      </c>
      <c r="O1218" s="5" t="str">
        <f>INDEX([1]Employee!$C$2:$C$276,MATCH(B1218,[1]Employee!$A$2:$A$276,0))</f>
        <v>Claims</v>
      </c>
    </row>
    <row r="1219" spans="1:15">
      <c r="A1219" s="1" t="s">
        <v>2580</v>
      </c>
      <c r="B1219" s="1" t="s">
        <v>600</v>
      </c>
      <c r="C1219" s="1" t="s">
        <v>2581</v>
      </c>
      <c r="D1219" s="2">
        <v>46083</v>
      </c>
      <c r="E1219" s="2">
        <v>46092</v>
      </c>
      <c r="F1219" s="1" t="s">
        <v>1793</v>
      </c>
      <c r="G1219" s="1" t="s">
        <v>12</v>
      </c>
      <c r="H1219" s="1" t="s">
        <v>11</v>
      </c>
      <c r="I1219" s="7">
        <v>54.3</v>
      </c>
      <c r="J1219" s="1" t="s">
        <v>38</v>
      </c>
      <c r="K1219" s="1"/>
      <c r="L1219" s="1" t="s">
        <v>48</v>
      </c>
      <c r="M1219" s="1" t="str">
        <f>INDEX(MCC_Lookup!$B$2:$B$12,MATCH(G1219,MCC_Lookup!$A$2:$A$12,0))</f>
        <v>Office Supplies</v>
      </c>
      <c r="N1219" s="1" t="str">
        <f>IF(TRIM(H1219)="","BLANK",IF(PROPER(TRIM(H1219))=TRIM(M1219),"MATCH","MISMATCH"))</f>
        <v>MATCH</v>
      </c>
      <c r="O1219" s="5" t="str">
        <f>INDEX([1]Employee!$C$2:$C$276,MATCH(B1219,[1]Employee!$A$2:$A$276,0))</f>
        <v>Actuarial &amp; Risk</v>
      </c>
    </row>
    <row r="1220" spans="1:15">
      <c r="A1220" s="1" t="s">
        <v>2582</v>
      </c>
      <c r="B1220" s="1" t="s">
        <v>1113</v>
      </c>
      <c r="C1220" s="1" t="s">
        <v>2583</v>
      </c>
      <c r="D1220" s="2">
        <v>46091</v>
      </c>
      <c r="E1220" s="2">
        <v>46092</v>
      </c>
      <c r="F1220" s="1" t="s">
        <v>37</v>
      </c>
      <c r="G1220" s="1" t="s">
        <v>4</v>
      </c>
      <c r="H1220" s="1" t="s">
        <v>5</v>
      </c>
      <c r="I1220" s="7">
        <v>248.03</v>
      </c>
      <c r="J1220" s="1" t="s">
        <v>38</v>
      </c>
      <c r="K1220" s="1"/>
      <c r="L1220" s="1" t="s">
        <v>39</v>
      </c>
      <c r="M1220" s="1" t="str">
        <f>INDEX(MCC_Lookup!$B$2:$B$12,MATCH(G1220,MCC_Lookup!$A$2:$A$12,0))</f>
        <v>Travel</v>
      </c>
      <c r="N1220" s="1" t="str">
        <f>IF(TRIM(H1220)="","BLANK",IF(PROPER(TRIM(H1220))=TRIM(M1220),"MATCH","MISMATCH"))</f>
        <v>MATCH</v>
      </c>
      <c r="O1220" s="5" t="str">
        <f>INDEX([1]Employee!$C$2:$C$276,MATCH(B1220,[1]Employee!$A$2:$A$276,0))</f>
        <v>Actuarial &amp; Risk</v>
      </c>
    </row>
    <row r="1221" spans="1:15">
      <c r="A1221" s="1" t="s">
        <v>2584</v>
      </c>
      <c r="B1221" s="1" t="s">
        <v>709</v>
      </c>
      <c r="C1221" s="1" t="s">
        <v>2585</v>
      </c>
      <c r="D1221" s="2">
        <v>46083</v>
      </c>
      <c r="E1221" s="2">
        <v>46092</v>
      </c>
      <c r="F1221" s="1" t="s">
        <v>116</v>
      </c>
      <c r="G1221" s="1" t="s">
        <v>2</v>
      </c>
      <c r="H1221" s="1" t="s">
        <v>3</v>
      </c>
      <c r="I1221" s="7">
        <v>13.52</v>
      </c>
      <c r="J1221" s="1" t="s">
        <v>38</v>
      </c>
      <c r="K1221" s="1"/>
      <c r="L1221" s="1" t="s">
        <v>39</v>
      </c>
      <c r="M1221" s="1" t="str">
        <f>INDEX(MCC_Lookup!$B$2:$B$12,MATCH(G1221,MCC_Lookup!$A$2:$A$12,0))</f>
        <v>Meals</v>
      </c>
      <c r="N1221" s="1" t="str">
        <f>IF(TRIM(H1221)="","BLANK",IF(PROPER(TRIM(H1221))=TRIM(M1221),"MATCH","MISMATCH"))</f>
        <v>MATCH</v>
      </c>
      <c r="O1221" s="5" t="str">
        <f>INDEX([1]Employee!$C$2:$C$276,MATCH(B1221,[1]Employee!$A$2:$A$276,0))</f>
        <v>Underwriting</v>
      </c>
    </row>
    <row r="1222" spans="1:15">
      <c r="A1222" s="1" t="s">
        <v>2586</v>
      </c>
      <c r="B1222" s="1" t="s">
        <v>199</v>
      </c>
      <c r="C1222" s="1" t="s">
        <v>2587</v>
      </c>
      <c r="D1222" s="2">
        <v>46082</v>
      </c>
      <c r="E1222" s="2">
        <v>46092</v>
      </c>
      <c r="F1222" s="1" t="s">
        <v>305</v>
      </c>
      <c r="G1222" s="1" t="s">
        <v>2</v>
      </c>
      <c r="H1222" s="1" t="s">
        <v>3</v>
      </c>
      <c r="I1222" s="7">
        <v>5.24</v>
      </c>
      <c r="J1222" s="1" t="s">
        <v>38</v>
      </c>
      <c r="K1222" s="1"/>
      <c r="L1222" s="1" t="s">
        <v>39</v>
      </c>
      <c r="M1222" s="1" t="str">
        <f>INDEX(MCC_Lookup!$B$2:$B$12,MATCH(G1222,MCC_Lookup!$A$2:$A$12,0))</f>
        <v>Meals</v>
      </c>
      <c r="N1222" s="1" t="str">
        <f>IF(TRIM(H1222)="","BLANK",IF(PROPER(TRIM(H1222))=TRIM(M1222),"MATCH","MISMATCH"))</f>
        <v>MATCH</v>
      </c>
      <c r="O1222" s="5" t="str">
        <f>INDEX([1]Employee!$C$2:$C$276,MATCH(B1222,[1]Employee!$A$2:$A$276,0))</f>
        <v>Sales &amp; Marketing</v>
      </c>
    </row>
    <row r="1223" spans="1:15">
      <c r="A1223" s="1" t="s">
        <v>2588</v>
      </c>
      <c r="B1223" s="1" t="s">
        <v>610</v>
      </c>
      <c r="C1223" s="1" t="s">
        <v>2589</v>
      </c>
      <c r="D1223" s="2">
        <v>46090</v>
      </c>
      <c r="E1223" s="2">
        <v>46092</v>
      </c>
      <c r="F1223" s="1" t="s">
        <v>95</v>
      </c>
      <c r="G1223" s="1" t="s">
        <v>6</v>
      </c>
      <c r="H1223" s="1"/>
      <c r="I1223" s="7">
        <v>266.33999999999997</v>
      </c>
      <c r="J1223" s="1" t="s">
        <v>38</v>
      </c>
      <c r="K1223" s="1"/>
      <c r="L1223" s="1" t="s">
        <v>39</v>
      </c>
      <c r="M1223" s="1" t="str">
        <f>INDEX(MCC_Lookup!$B$2:$B$12,MATCH(G1223,MCC_Lookup!$A$2:$A$12,0))</f>
        <v>Lodging</v>
      </c>
      <c r="N1223" s="1" t="str">
        <f>IF(TRIM(H1223)="","BLANK",IF(PROPER(TRIM(H1223))=TRIM(M1223),"MATCH","MISMATCH"))</f>
        <v>BLANK</v>
      </c>
      <c r="O1223" s="5" t="str">
        <f>INDEX([1]Employee!$C$2:$C$276,MATCH(B1223,[1]Employee!$A$2:$A$276,0))</f>
        <v>Actuarial &amp; Risk</v>
      </c>
    </row>
    <row r="1224" spans="1:15">
      <c r="A1224" s="1" t="s">
        <v>2590</v>
      </c>
      <c r="B1224" s="1" t="s">
        <v>231</v>
      </c>
      <c r="C1224" s="1" t="s">
        <v>2591</v>
      </c>
      <c r="D1224" s="2">
        <v>46091</v>
      </c>
      <c r="E1224" s="2">
        <v>46092</v>
      </c>
      <c r="F1224" s="1" t="s">
        <v>99</v>
      </c>
      <c r="G1224" s="1" t="s">
        <v>2</v>
      </c>
      <c r="H1224" s="1" t="s">
        <v>3</v>
      </c>
      <c r="I1224" s="7">
        <v>47.92</v>
      </c>
      <c r="J1224" s="1" t="s">
        <v>38</v>
      </c>
      <c r="K1224" s="1"/>
      <c r="L1224" s="1" t="s">
        <v>39</v>
      </c>
      <c r="M1224" s="1" t="str">
        <f>INDEX(MCC_Lookup!$B$2:$B$12,MATCH(G1224,MCC_Lookup!$A$2:$A$12,0))</f>
        <v>Meals</v>
      </c>
      <c r="N1224" s="1" t="str">
        <f>IF(TRIM(H1224)="","BLANK",IF(PROPER(TRIM(H1224))=TRIM(M1224),"MATCH","MISMATCH"))</f>
        <v>MATCH</v>
      </c>
      <c r="O1224" s="5" t="str">
        <f>INDEX([1]Employee!$C$2:$C$276,MATCH(B1224,[1]Employee!$A$2:$A$276,0))</f>
        <v>Finance</v>
      </c>
    </row>
    <row r="1225" spans="1:15">
      <c r="A1225" s="1" t="s">
        <v>2592</v>
      </c>
      <c r="B1225" s="1" t="s">
        <v>2593</v>
      </c>
      <c r="C1225" s="1" t="s">
        <v>2594</v>
      </c>
      <c r="D1225" s="2">
        <v>46083</v>
      </c>
      <c r="E1225" s="2">
        <v>46092</v>
      </c>
      <c r="F1225" s="1" t="s">
        <v>79</v>
      </c>
      <c r="G1225" s="1" t="s">
        <v>13</v>
      </c>
      <c r="H1225" s="1" t="s">
        <v>14</v>
      </c>
      <c r="I1225" s="7">
        <v>169.79</v>
      </c>
      <c r="J1225" s="1" t="s">
        <v>38</v>
      </c>
      <c r="K1225" s="1"/>
      <c r="L1225" s="1" t="s">
        <v>39</v>
      </c>
      <c r="M1225" s="1" t="str">
        <f>INDEX(MCC_Lookup!$B$2:$B$12,MATCH(G1225,MCC_Lookup!$A$2:$A$12,0))</f>
        <v>Software</v>
      </c>
      <c r="N1225" s="1" t="str">
        <f>IF(TRIM(H1225)="","BLANK",IF(PROPER(TRIM(H1225))=TRIM(M1225),"MATCH","MISMATCH"))</f>
        <v>MATCH</v>
      </c>
      <c r="O1225" s="5" t="str">
        <f>INDEX([1]Employee!$C$2:$C$276,MATCH(B1225,[1]Employee!$A$2:$A$276,0))</f>
        <v>Actuarial &amp; Risk</v>
      </c>
    </row>
    <row r="1226" spans="1:15">
      <c r="A1226" s="1" t="s">
        <v>2595</v>
      </c>
      <c r="B1226" s="1" t="s">
        <v>550</v>
      </c>
      <c r="C1226" s="1" t="s">
        <v>2596</v>
      </c>
      <c r="D1226" s="2">
        <v>46086</v>
      </c>
      <c r="E1226" s="2">
        <v>46092</v>
      </c>
      <c r="F1226" s="1" t="s">
        <v>37</v>
      </c>
      <c r="G1226" s="1" t="s">
        <v>4</v>
      </c>
      <c r="H1226" s="1" t="s">
        <v>5</v>
      </c>
      <c r="I1226" s="7">
        <v>419.1</v>
      </c>
      <c r="J1226" s="1" t="s">
        <v>38</v>
      </c>
      <c r="K1226" s="1"/>
      <c r="L1226" s="1" t="s">
        <v>39</v>
      </c>
      <c r="M1226" s="1" t="str">
        <f>INDEX(MCC_Lookup!$B$2:$B$12,MATCH(G1226,MCC_Lookup!$A$2:$A$12,0))</f>
        <v>Travel</v>
      </c>
      <c r="N1226" s="1" t="str">
        <f>IF(TRIM(H1226)="","BLANK",IF(PROPER(TRIM(H1226))=TRIM(M1226),"MATCH","MISMATCH"))</f>
        <v>MATCH</v>
      </c>
      <c r="O1226" s="5" t="str">
        <f>INDEX([1]Employee!$C$2:$C$276,MATCH(B1226,[1]Employee!$A$2:$A$276,0))</f>
        <v>Sales &amp; Marketing</v>
      </c>
    </row>
    <row r="1227" spans="1:15">
      <c r="A1227" s="1" t="s">
        <v>2597</v>
      </c>
      <c r="B1227" s="1" t="s">
        <v>2598</v>
      </c>
      <c r="C1227" s="1" t="s">
        <v>2599</v>
      </c>
      <c r="D1227" s="2">
        <v>46090</v>
      </c>
      <c r="E1227" s="2">
        <v>46092</v>
      </c>
      <c r="F1227" s="1" t="s">
        <v>76</v>
      </c>
      <c r="G1227" s="1" t="s">
        <v>13</v>
      </c>
      <c r="H1227" s="1" t="s">
        <v>14</v>
      </c>
      <c r="I1227" s="7">
        <v>351.55</v>
      </c>
      <c r="J1227" s="1" t="s">
        <v>38</v>
      </c>
      <c r="K1227" s="1"/>
      <c r="L1227" s="1" t="s">
        <v>39</v>
      </c>
      <c r="M1227" s="1" t="str">
        <f>INDEX(MCC_Lookup!$B$2:$B$12,MATCH(G1227,MCC_Lookup!$A$2:$A$12,0))</f>
        <v>Software</v>
      </c>
      <c r="N1227" s="1" t="str">
        <f>IF(TRIM(H1227)="","BLANK",IF(PROPER(TRIM(H1227))=TRIM(M1227),"MATCH","MISMATCH"))</f>
        <v>MATCH</v>
      </c>
      <c r="O1227" s="5" t="str">
        <f>INDEX([1]Employee!$C$2:$C$276,MATCH(B1227,[1]Employee!$A$2:$A$276,0))</f>
        <v>Underwriting</v>
      </c>
    </row>
    <row r="1228" spans="1:15">
      <c r="A1228" s="1" t="s">
        <v>2600</v>
      </c>
      <c r="B1228" s="1" t="s">
        <v>87</v>
      </c>
      <c r="C1228" s="1" t="s">
        <v>2601</v>
      </c>
      <c r="D1228" s="2">
        <v>46088</v>
      </c>
      <c r="E1228" s="2">
        <v>46092</v>
      </c>
      <c r="F1228" s="1" t="s">
        <v>92</v>
      </c>
      <c r="G1228" s="1" t="s">
        <v>10</v>
      </c>
      <c r="H1228" s="1" t="s">
        <v>11</v>
      </c>
      <c r="I1228" s="7">
        <v>31.13</v>
      </c>
      <c r="J1228" s="1" t="s">
        <v>38</v>
      </c>
      <c r="K1228" s="1"/>
      <c r="L1228" s="1" t="s">
        <v>39</v>
      </c>
      <c r="M1228" s="1" t="str">
        <f>INDEX(MCC_Lookup!$B$2:$B$12,MATCH(G1228,MCC_Lookup!$A$2:$A$12,0))</f>
        <v>Office Supplies</v>
      </c>
      <c r="N1228" s="1" t="str">
        <f>IF(TRIM(H1228)="","BLANK",IF(PROPER(TRIM(H1228))=TRIM(M1228),"MATCH","MISMATCH"))</f>
        <v>MATCH</v>
      </c>
      <c r="O1228" s="5" t="str">
        <f>INDEX([1]Employee!$C$2:$C$276,MATCH(B1228,[1]Employee!$A$2:$A$276,0))</f>
        <v>HR &amp; Events</v>
      </c>
    </row>
    <row r="1229" spans="1:15">
      <c r="A1229" s="1" t="s">
        <v>2602</v>
      </c>
      <c r="B1229" s="1" t="s">
        <v>171</v>
      </c>
      <c r="C1229" s="1" t="s">
        <v>2603</v>
      </c>
      <c r="D1229" s="2">
        <v>46089</v>
      </c>
      <c r="E1229" s="2">
        <v>46092</v>
      </c>
      <c r="F1229" s="1" t="s">
        <v>92</v>
      </c>
      <c r="G1229" s="1" t="s">
        <v>10</v>
      </c>
      <c r="H1229" s="1" t="s">
        <v>11</v>
      </c>
      <c r="I1229" s="7">
        <v>59.57</v>
      </c>
      <c r="J1229" s="1" t="s">
        <v>38</v>
      </c>
      <c r="K1229" s="1"/>
      <c r="L1229" s="1" t="s">
        <v>39</v>
      </c>
      <c r="M1229" s="1" t="str">
        <f>INDEX(MCC_Lookup!$B$2:$B$12,MATCH(G1229,MCC_Lookup!$A$2:$A$12,0))</f>
        <v>Office Supplies</v>
      </c>
      <c r="N1229" s="1" t="str">
        <f>IF(TRIM(H1229)="","BLANK",IF(PROPER(TRIM(H1229))=TRIM(M1229),"MATCH","MISMATCH"))</f>
        <v>MATCH</v>
      </c>
      <c r="O1229" s="5" t="str">
        <f>INDEX([1]Employee!$C$2:$C$276,MATCH(B1229,[1]Employee!$A$2:$A$276,0))</f>
        <v>Claims</v>
      </c>
    </row>
    <row r="1230" spans="1:15">
      <c r="A1230" s="1" t="s">
        <v>2604</v>
      </c>
      <c r="B1230" s="1" t="s">
        <v>194</v>
      </c>
      <c r="C1230" s="1" t="s">
        <v>2605</v>
      </c>
      <c r="D1230" s="2">
        <v>46088</v>
      </c>
      <c r="E1230" s="2">
        <v>46092</v>
      </c>
      <c r="F1230" s="1" t="s">
        <v>160</v>
      </c>
      <c r="G1230" s="1" t="s">
        <v>6</v>
      </c>
      <c r="H1230" s="1" t="s">
        <v>1476</v>
      </c>
      <c r="I1230" s="7">
        <v>397.08</v>
      </c>
      <c r="J1230" s="1" t="s">
        <v>38</v>
      </c>
      <c r="K1230" s="1"/>
      <c r="L1230" s="1" t="s">
        <v>39</v>
      </c>
      <c r="M1230" s="1" t="str">
        <f>INDEX(MCC_Lookup!$B$2:$B$12,MATCH(G1230,MCC_Lookup!$A$2:$A$12,0))</f>
        <v>Lodging</v>
      </c>
      <c r="N1230" s="1" t="str">
        <f>IF(TRIM(H1230)="","BLANK",IF(PROPER(TRIM(H1230))=TRIM(M1230),"MATCH","MISMATCH"))</f>
        <v>MATCH</v>
      </c>
      <c r="O1230" s="5" t="str">
        <f>INDEX([1]Employee!$C$2:$C$276,MATCH(B1230,[1]Employee!$A$2:$A$276,0))</f>
        <v>Claims</v>
      </c>
    </row>
    <row r="1231" spans="1:15">
      <c r="A1231" s="1" t="s">
        <v>2606</v>
      </c>
      <c r="B1231" s="1" t="s">
        <v>250</v>
      </c>
      <c r="C1231" s="1" t="s">
        <v>2607</v>
      </c>
      <c r="D1231" s="2">
        <v>46086</v>
      </c>
      <c r="E1231" s="2">
        <v>46092</v>
      </c>
      <c r="F1231" s="1" t="s">
        <v>177</v>
      </c>
      <c r="G1231" s="1" t="s">
        <v>13</v>
      </c>
      <c r="H1231" s="1" t="s">
        <v>14</v>
      </c>
      <c r="I1231" s="7">
        <v>20.68</v>
      </c>
      <c r="J1231" s="1" t="s">
        <v>38</v>
      </c>
      <c r="K1231" s="1"/>
      <c r="L1231" s="1" t="s">
        <v>39</v>
      </c>
      <c r="M1231" s="1" t="str">
        <f>INDEX(MCC_Lookup!$B$2:$B$12,MATCH(G1231,MCC_Lookup!$A$2:$A$12,0))</f>
        <v>Software</v>
      </c>
      <c r="N1231" s="1" t="str">
        <f>IF(TRIM(H1231)="","BLANK",IF(PROPER(TRIM(H1231))=TRIM(M1231),"MATCH","MISMATCH"))</f>
        <v>MATCH</v>
      </c>
      <c r="O1231" s="5" t="str">
        <f>INDEX([1]Employee!$C$2:$C$276,MATCH(B1231,[1]Employee!$A$2:$A$276,0))</f>
        <v>Sales &amp; Marketing</v>
      </c>
    </row>
    <row r="1232" spans="1:15">
      <c r="A1232" s="1" t="s">
        <v>2608</v>
      </c>
      <c r="B1232" s="1" t="s">
        <v>1188</v>
      </c>
      <c r="C1232" s="1"/>
      <c r="D1232" s="2">
        <v>46090</v>
      </c>
      <c r="E1232" s="2">
        <v>46092</v>
      </c>
      <c r="F1232" s="1" t="s">
        <v>72</v>
      </c>
      <c r="G1232" s="1" t="s">
        <v>8</v>
      </c>
      <c r="H1232" s="1" t="s">
        <v>494</v>
      </c>
      <c r="I1232" s="7">
        <v>43.43</v>
      </c>
      <c r="J1232" s="1" t="s">
        <v>38</v>
      </c>
      <c r="K1232" s="1"/>
      <c r="L1232" s="1" t="s">
        <v>39</v>
      </c>
      <c r="M1232" s="1" t="str">
        <f>INDEX(MCC_Lookup!$B$2:$B$12,MATCH(G1232,MCC_Lookup!$A$2:$A$12,0))</f>
        <v>Transportation</v>
      </c>
      <c r="N1232" s="1" t="str">
        <f>IF(TRIM(H1232)="","BLANK",IF(PROPER(TRIM(H1232))=TRIM(M1232),"MATCH","MISMATCH"))</f>
        <v>MATCH</v>
      </c>
      <c r="O1232" s="5" t="str">
        <f>INDEX([1]Employee!$C$2:$C$276,MATCH(B1232,[1]Employee!$A$2:$A$276,0))</f>
        <v>Executive &amp; Corporate</v>
      </c>
    </row>
    <row r="1233" spans="1:15">
      <c r="A1233" s="1" t="s">
        <v>2609</v>
      </c>
      <c r="B1233" s="1" t="s">
        <v>182</v>
      </c>
      <c r="C1233" s="1" t="s">
        <v>2610</v>
      </c>
      <c r="D1233" s="2">
        <v>46082</v>
      </c>
      <c r="E1233" s="2">
        <v>46092</v>
      </c>
      <c r="F1233" s="1" t="s">
        <v>65</v>
      </c>
      <c r="G1233" s="1" t="s">
        <v>18</v>
      </c>
      <c r="H1233" s="1" t="s">
        <v>19</v>
      </c>
      <c r="I1233" s="7">
        <v>530.04</v>
      </c>
      <c r="J1233" s="1" t="s">
        <v>38</v>
      </c>
      <c r="K1233" s="1"/>
      <c r="L1233" s="1" t="s">
        <v>39</v>
      </c>
      <c r="M1233" s="1" t="str">
        <f>INDEX(MCC_Lookup!$B$2:$B$12,MATCH(G1233,MCC_Lookup!$A$2:$A$12,0))</f>
        <v>Events</v>
      </c>
      <c r="N1233" s="1" t="str">
        <f>IF(TRIM(H1233)="","BLANK",IF(PROPER(TRIM(H1233))=TRIM(M1233),"MATCH","MISMATCH"))</f>
        <v>MATCH</v>
      </c>
      <c r="O1233" s="5" t="str">
        <f>INDEX([1]Employee!$C$2:$C$276,MATCH(B1233,[1]Employee!$A$2:$A$276,0))</f>
        <v>Sales &amp; Marketing</v>
      </c>
    </row>
    <row r="1234" spans="1:15">
      <c r="A1234" s="1" t="s">
        <v>2611</v>
      </c>
      <c r="B1234" s="1" t="s">
        <v>763</v>
      </c>
      <c r="C1234" s="1" t="s">
        <v>2612</v>
      </c>
      <c r="D1234" s="2">
        <v>46085</v>
      </c>
      <c r="E1234" s="2">
        <v>46092</v>
      </c>
      <c r="F1234" s="1" t="s">
        <v>99</v>
      </c>
      <c r="G1234" s="1" t="s">
        <v>2</v>
      </c>
      <c r="H1234" s="1" t="s">
        <v>3</v>
      </c>
      <c r="I1234" s="7">
        <v>68.489999999999995</v>
      </c>
      <c r="J1234" s="1" t="s">
        <v>38</v>
      </c>
      <c r="K1234" s="1"/>
      <c r="L1234" s="1" t="s">
        <v>39</v>
      </c>
      <c r="M1234" s="1" t="str">
        <f>INDEX(MCC_Lookup!$B$2:$B$12,MATCH(G1234,MCC_Lookup!$A$2:$A$12,0))</f>
        <v>Meals</v>
      </c>
      <c r="N1234" s="1" t="str">
        <f>IF(TRIM(H1234)="","BLANK",IF(PROPER(TRIM(H1234))=TRIM(M1234),"MATCH","MISMATCH"))</f>
        <v>MATCH</v>
      </c>
      <c r="O1234" s="5" t="str">
        <f>INDEX([1]Employee!$C$2:$C$276,MATCH(B1234,[1]Employee!$A$2:$A$276,0))</f>
        <v>Executive &amp; Corporate</v>
      </c>
    </row>
    <row r="1235" spans="1:15">
      <c r="A1235" s="1" t="s">
        <v>2613</v>
      </c>
      <c r="B1235" s="1" t="s">
        <v>597</v>
      </c>
      <c r="C1235" s="1" t="s">
        <v>2614</v>
      </c>
      <c r="D1235" s="2">
        <v>46086</v>
      </c>
      <c r="E1235" s="2">
        <v>46092</v>
      </c>
      <c r="F1235" s="1" t="s">
        <v>56</v>
      </c>
      <c r="G1235" s="1" t="s">
        <v>4</v>
      </c>
      <c r="H1235" s="1" t="s">
        <v>5</v>
      </c>
      <c r="I1235" s="7">
        <v>180.43</v>
      </c>
      <c r="J1235" s="1" t="s">
        <v>38</v>
      </c>
      <c r="K1235" s="1"/>
      <c r="L1235" s="1" t="s">
        <v>39</v>
      </c>
      <c r="M1235" s="1" t="str">
        <f>INDEX(MCC_Lookup!$B$2:$B$12,MATCH(G1235,MCC_Lookup!$A$2:$A$12,0))</f>
        <v>Travel</v>
      </c>
      <c r="N1235" s="1" t="str">
        <f>IF(TRIM(H1235)="","BLANK",IF(PROPER(TRIM(H1235))=TRIM(M1235),"MATCH","MISMATCH"))</f>
        <v>MATCH</v>
      </c>
      <c r="O1235" s="5" t="str">
        <f>INDEX([1]Employee!$C$2:$C$276,MATCH(B1235,[1]Employee!$A$2:$A$276,0))</f>
        <v>Sales &amp; Marketing</v>
      </c>
    </row>
    <row r="1236" spans="1:15">
      <c r="A1236" s="1" t="s">
        <v>2615</v>
      </c>
      <c r="B1236" s="1" t="s">
        <v>553</v>
      </c>
      <c r="C1236" s="1"/>
      <c r="D1236" s="2">
        <v>46091</v>
      </c>
      <c r="E1236" s="2">
        <v>46092</v>
      </c>
      <c r="F1236" s="1" t="s">
        <v>160</v>
      </c>
      <c r="G1236" s="1" t="s">
        <v>6</v>
      </c>
      <c r="H1236" s="1" t="s">
        <v>7</v>
      </c>
      <c r="I1236" s="7">
        <v>473.86</v>
      </c>
      <c r="J1236" s="1" t="s">
        <v>38</v>
      </c>
      <c r="K1236" s="1"/>
      <c r="L1236" s="1" t="s">
        <v>39</v>
      </c>
      <c r="M1236" s="1" t="str">
        <f>INDEX(MCC_Lookup!$B$2:$B$12,MATCH(G1236,MCC_Lookup!$A$2:$A$12,0))</f>
        <v>Lodging</v>
      </c>
      <c r="N1236" s="1" t="str">
        <f>IF(TRIM(H1236)="","BLANK",IF(PROPER(TRIM(H1236))=TRIM(M1236),"MATCH","MISMATCH"))</f>
        <v>MATCH</v>
      </c>
      <c r="O1236" s="5" t="str">
        <f>INDEX([1]Employee!$C$2:$C$276,MATCH(B1236,[1]Employee!$A$2:$A$276,0))</f>
        <v>Claims</v>
      </c>
    </row>
    <row r="1237" spans="1:15">
      <c r="A1237" s="1" t="s">
        <v>2616</v>
      </c>
      <c r="B1237" s="1" t="s">
        <v>673</v>
      </c>
      <c r="C1237" s="1" t="s">
        <v>2617</v>
      </c>
      <c r="D1237" s="2">
        <v>46084</v>
      </c>
      <c r="E1237" s="2">
        <v>46092</v>
      </c>
      <c r="F1237" s="1" t="s">
        <v>347</v>
      </c>
      <c r="G1237" s="1" t="s">
        <v>8</v>
      </c>
      <c r="H1237" s="1" t="s">
        <v>9</v>
      </c>
      <c r="I1237" s="7">
        <v>22.33</v>
      </c>
      <c r="J1237" s="1" t="s">
        <v>38</v>
      </c>
      <c r="K1237" s="1"/>
      <c r="L1237" s="1" t="s">
        <v>39</v>
      </c>
      <c r="M1237" s="1" t="str">
        <f>INDEX(MCC_Lookup!$B$2:$B$12,MATCH(G1237,MCC_Lookup!$A$2:$A$12,0))</f>
        <v>Transportation</v>
      </c>
      <c r="N1237" s="1" t="str">
        <f>IF(TRIM(H1237)="","BLANK",IF(PROPER(TRIM(H1237))=TRIM(M1237),"MATCH","MISMATCH"))</f>
        <v>MATCH</v>
      </c>
      <c r="O1237" s="5" t="str">
        <f>INDEX([1]Employee!$C$2:$C$276,MATCH(B1237,[1]Employee!$A$2:$A$276,0))</f>
        <v>HR &amp; Events</v>
      </c>
    </row>
    <row r="1238" spans="1:15">
      <c r="A1238" s="1" t="s">
        <v>2618</v>
      </c>
      <c r="B1238" s="1" t="s">
        <v>433</v>
      </c>
      <c r="C1238" s="1" t="s">
        <v>2619</v>
      </c>
      <c r="D1238" s="2">
        <v>46087</v>
      </c>
      <c r="E1238" s="2">
        <v>46092</v>
      </c>
      <c r="F1238" s="1" t="s">
        <v>124</v>
      </c>
      <c r="G1238" s="1" t="s">
        <v>17</v>
      </c>
      <c r="H1238" s="1" t="s">
        <v>16</v>
      </c>
      <c r="I1238" s="7">
        <v>109.67</v>
      </c>
      <c r="J1238" s="1" t="s">
        <v>38</v>
      </c>
      <c r="K1238" s="1"/>
      <c r="L1238" s="1" t="s">
        <v>39</v>
      </c>
      <c r="M1238" s="1" t="str">
        <f>INDEX(MCC_Lookup!$B$2:$B$12,MATCH(G1238,MCC_Lookup!$A$2:$A$12,0))</f>
        <v>Entertainment</v>
      </c>
      <c r="N1238" s="1" t="str">
        <f>IF(TRIM(H1238)="","BLANK",IF(PROPER(TRIM(H1238))=TRIM(M1238),"MATCH","MISMATCH"))</f>
        <v>MATCH</v>
      </c>
      <c r="O1238" s="5" t="str">
        <f>INDEX([1]Employee!$C$2:$C$276,MATCH(B1238,[1]Employee!$A$2:$A$276,0))</f>
        <v>Sales &amp; Marketing</v>
      </c>
    </row>
    <row r="1239" spans="1:15">
      <c r="A1239" s="1" t="s">
        <v>2620</v>
      </c>
      <c r="B1239" s="1" t="s">
        <v>1824</v>
      </c>
      <c r="C1239" s="1" t="s">
        <v>2621</v>
      </c>
      <c r="D1239" s="2">
        <v>46083</v>
      </c>
      <c r="E1239" s="2">
        <v>46092</v>
      </c>
      <c r="F1239" s="1" t="s">
        <v>120</v>
      </c>
      <c r="G1239" s="1" t="s">
        <v>12</v>
      </c>
      <c r="H1239" s="1" t="s">
        <v>11</v>
      </c>
      <c r="I1239" s="7">
        <v>161.9</v>
      </c>
      <c r="J1239" s="1" t="s">
        <v>38</v>
      </c>
      <c r="K1239" s="1"/>
      <c r="L1239" s="1" t="s">
        <v>39</v>
      </c>
      <c r="M1239" s="1" t="str">
        <f>INDEX(MCC_Lookup!$B$2:$B$12,MATCH(G1239,MCC_Lookup!$A$2:$A$12,0))</f>
        <v>Office Supplies</v>
      </c>
      <c r="N1239" s="1" t="str">
        <f>IF(TRIM(H1239)="","BLANK",IF(PROPER(TRIM(H1239))=TRIM(M1239),"MATCH","MISMATCH"))</f>
        <v>MATCH</v>
      </c>
      <c r="O1239" s="5" t="str">
        <f>INDEX([1]Employee!$C$2:$C$276,MATCH(B1239,[1]Employee!$A$2:$A$276,0))</f>
        <v>Claims</v>
      </c>
    </row>
    <row r="1240" spans="1:15">
      <c r="A1240" s="1" t="s">
        <v>2622</v>
      </c>
      <c r="B1240" s="1" t="s">
        <v>915</v>
      </c>
      <c r="C1240" s="1"/>
      <c r="D1240" s="2">
        <v>46086</v>
      </c>
      <c r="E1240" s="2">
        <v>46092</v>
      </c>
      <c r="F1240" s="1" t="s">
        <v>124</v>
      </c>
      <c r="G1240" s="1" t="s">
        <v>17</v>
      </c>
      <c r="H1240" s="1" t="s">
        <v>16</v>
      </c>
      <c r="I1240" s="7">
        <v>232.64</v>
      </c>
      <c r="J1240" s="1" t="s">
        <v>38</v>
      </c>
      <c r="K1240" s="1"/>
      <c r="L1240" s="1" t="s">
        <v>39</v>
      </c>
      <c r="M1240" s="1" t="str">
        <f>INDEX(MCC_Lookup!$B$2:$B$12,MATCH(G1240,MCC_Lookup!$A$2:$A$12,0))</f>
        <v>Entertainment</v>
      </c>
      <c r="N1240" s="1" t="str">
        <f>IF(TRIM(H1240)="","BLANK",IF(PROPER(TRIM(H1240))=TRIM(M1240),"MATCH","MISMATCH"))</f>
        <v>MATCH</v>
      </c>
      <c r="O1240" s="5" t="str">
        <f>INDEX([1]Employee!$C$2:$C$276,MATCH(B1240,[1]Employee!$A$2:$A$276,0))</f>
        <v>Sales &amp; Marketing</v>
      </c>
    </row>
    <row r="1241" spans="1:15">
      <c r="A1241" s="1" t="s">
        <v>2623</v>
      </c>
      <c r="B1241" s="1" t="s">
        <v>890</v>
      </c>
      <c r="C1241" s="1"/>
      <c r="D1241" s="2">
        <v>46089</v>
      </c>
      <c r="E1241" s="2">
        <v>46092</v>
      </c>
      <c r="F1241" s="1" t="s">
        <v>43</v>
      </c>
      <c r="G1241" s="1" t="s">
        <v>2</v>
      </c>
      <c r="H1241" s="1" t="s">
        <v>3</v>
      </c>
      <c r="I1241" s="7">
        <v>24.6</v>
      </c>
      <c r="J1241" s="1" t="s">
        <v>38</v>
      </c>
      <c r="K1241" s="1"/>
      <c r="L1241" s="1" t="s">
        <v>39</v>
      </c>
      <c r="M1241" s="1" t="str">
        <f>INDEX(MCC_Lookup!$B$2:$B$12,MATCH(G1241,MCC_Lookup!$A$2:$A$12,0))</f>
        <v>Meals</v>
      </c>
      <c r="N1241" s="1" t="str">
        <f>IF(TRIM(H1241)="","BLANK",IF(PROPER(TRIM(H1241))=TRIM(M1241),"MATCH","MISMATCH"))</f>
        <v>MATCH</v>
      </c>
      <c r="O1241" s="5" t="str">
        <f>INDEX([1]Employee!$C$2:$C$276,MATCH(B1241,[1]Employee!$A$2:$A$276,0))</f>
        <v>Sales &amp; Marketing</v>
      </c>
    </row>
    <row r="1242" spans="1:15">
      <c r="A1242" s="1" t="s">
        <v>2624</v>
      </c>
      <c r="B1242" s="1" t="s">
        <v>2564</v>
      </c>
      <c r="C1242" s="1" t="s">
        <v>2625</v>
      </c>
      <c r="D1242" s="2">
        <v>46090</v>
      </c>
      <c r="E1242" s="2">
        <v>46092</v>
      </c>
      <c r="F1242" s="1" t="s">
        <v>124</v>
      </c>
      <c r="G1242" s="1" t="s">
        <v>17</v>
      </c>
      <c r="H1242" s="1" t="s">
        <v>16</v>
      </c>
      <c r="I1242" s="7">
        <v>188.7</v>
      </c>
      <c r="J1242" s="1" t="s">
        <v>38</v>
      </c>
      <c r="K1242" s="1"/>
      <c r="L1242" s="1" t="s">
        <v>39</v>
      </c>
      <c r="M1242" s="1" t="str">
        <f>INDEX(MCC_Lookup!$B$2:$B$12,MATCH(G1242,MCC_Lookup!$A$2:$A$12,0))</f>
        <v>Entertainment</v>
      </c>
      <c r="N1242" s="1" t="str">
        <f>IF(TRIM(H1242)="","BLANK",IF(PROPER(TRIM(H1242))=TRIM(M1242),"MATCH","MISMATCH"))</f>
        <v>MATCH</v>
      </c>
      <c r="O1242" s="5" t="str">
        <f>INDEX([1]Employee!$C$2:$C$276,MATCH(B1242,[1]Employee!$A$2:$A$276,0))</f>
        <v>Underwriting</v>
      </c>
    </row>
    <row r="1243" spans="1:15">
      <c r="A1243" s="1" t="s">
        <v>2626</v>
      </c>
      <c r="B1243" s="1" t="s">
        <v>101</v>
      </c>
      <c r="C1243" s="1" t="s">
        <v>2627</v>
      </c>
      <c r="D1243" s="2">
        <v>46084</v>
      </c>
      <c r="E1243" s="2">
        <v>46092</v>
      </c>
      <c r="F1243" s="1" t="s">
        <v>65</v>
      </c>
      <c r="G1243" s="1" t="s">
        <v>18</v>
      </c>
      <c r="H1243" s="1" t="s">
        <v>517</v>
      </c>
      <c r="I1243" s="7">
        <v>213.76</v>
      </c>
      <c r="J1243" s="1" t="s">
        <v>38</v>
      </c>
      <c r="K1243" s="1"/>
      <c r="L1243" s="1" t="s">
        <v>39</v>
      </c>
      <c r="M1243" s="1" t="str">
        <f>INDEX(MCC_Lookup!$B$2:$B$12,MATCH(G1243,MCC_Lookup!$A$2:$A$12,0))</f>
        <v>Events</v>
      </c>
      <c r="N1243" s="1" t="str">
        <f>IF(TRIM(H1243)="","BLANK",IF(PROPER(TRIM(H1243))=TRIM(M1243),"MATCH","MISMATCH"))</f>
        <v>MATCH</v>
      </c>
      <c r="O1243" s="5" t="str">
        <f>INDEX([1]Employee!$C$2:$C$276,MATCH(B1243,[1]Employee!$A$2:$A$276,0))</f>
        <v>Underwriting</v>
      </c>
    </row>
    <row r="1244" spans="1:15">
      <c r="A1244" s="1" t="s">
        <v>2628</v>
      </c>
      <c r="B1244" s="1" t="s">
        <v>413</v>
      </c>
      <c r="C1244" s="1" t="s">
        <v>2629</v>
      </c>
      <c r="D1244" s="2">
        <v>46088</v>
      </c>
      <c r="E1244" s="2">
        <v>46093</v>
      </c>
      <c r="F1244" s="1" t="s">
        <v>160</v>
      </c>
      <c r="G1244" s="1" t="s">
        <v>6</v>
      </c>
      <c r="H1244" s="1" t="s">
        <v>7</v>
      </c>
      <c r="I1244" s="7">
        <v>263.73</v>
      </c>
      <c r="J1244" s="1" t="s">
        <v>38</v>
      </c>
      <c r="K1244" s="1"/>
      <c r="L1244" s="1" t="s">
        <v>39</v>
      </c>
      <c r="M1244" s="1" t="str">
        <f>INDEX(MCC_Lookup!$B$2:$B$12,MATCH(G1244,MCC_Lookup!$A$2:$A$12,0))</f>
        <v>Lodging</v>
      </c>
      <c r="N1244" s="1" t="str">
        <f>IF(TRIM(H1244)="","BLANK",IF(PROPER(TRIM(H1244))=TRIM(M1244),"MATCH","MISMATCH"))</f>
        <v>MATCH</v>
      </c>
      <c r="O1244" s="5" t="str">
        <f>INDEX([1]Employee!$C$2:$C$276,MATCH(B1244,[1]Employee!$A$2:$A$276,0))</f>
        <v>Claims</v>
      </c>
    </row>
    <row r="1245" spans="1:15">
      <c r="A1245" s="1" t="s">
        <v>2630</v>
      </c>
      <c r="B1245" s="1" t="s">
        <v>709</v>
      </c>
      <c r="C1245" s="1" t="s">
        <v>2631</v>
      </c>
      <c r="D1245" s="2">
        <v>46093</v>
      </c>
      <c r="E1245" s="2">
        <v>46093</v>
      </c>
      <c r="F1245" s="1" t="s">
        <v>37</v>
      </c>
      <c r="G1245" s="1" t="s">
        <v>4</v>
      </c>
      <c r="H1245" s="1" t="s">
        <v>5</v>
      </c>
      <c r="I1245" s="7">
        <v>353.4</v>
      </c>
      <c r="J1245" s="1" t="s">
        <v>38</v>
      </c>
      <c r="K1245" s="1"/>
      <c r="L1245" s="1" t="s">
        <v>39</v>
      </c>
      <c r="M1245" s="1" t="str">
        <f>INDEX(MCC_Lookup!$B$2:$B$12,MATCH(G1245,MCC_Lookup!$A$2:$A$12,0))</f>
        <v>Travel</v>
      </c>
      <c r="N1245" s="1" t="str">
        <f>IF(TRIM(H1245)="","BLANK",IF(PROPER(TRIM(H1245))=TRIM(M1245),"MATCH","MISMATCH"))</f>
        <v>MATCH</v>
      </c>
      <c r="O1245" s="5" t="str">
        <f>INDEX([1]Employee!$C$2:$C$276,MATCH(B1245,[1]Employee!$A$2:$A$276,0))</f>
        <v>Underwriting</v>
      </c>
    </row>
    <row r="1246" spans="1:15">
      <c r="A1246" s="1" t="s">
        <v>2632</v>
      </c>
      <c r="B1246" s="1" t="s">
        <v>97</v>
      </c>
      <c r="C1246" s="1" t="s">
        <v>2633</v>
      </c>
      <c r="D1246" s="2">
        <v>46084</v>
      </c>
      <c r="E1246" s="2">
        <v>46093</v>
      </c>
      <c r="F1246" s="1" t="s">
        <v>37</v>
      </c>
      <c r="G1246" s="1" t="s">
        <v>4</v>
      </c>
      <c r="H1246" s="1" t="s">
        <v>5</v>
      </c>
      <c r="I1246" s="7">
        <v>375.92</v>
      </c>
      <c r="J1246" s="1" t="s">
        <v>38</v>
      </c>
      <c r="K1246" s="1"/>
      <c r="L1246" s="1" t="s">
        <v>39</v>
      </c>
      <c r="M1246" s="1" t="str">
        <f>INDEX(MCC_Lookup!$B$2:$B$12,MATCH(G1246,MCC_Lookup!$A$2:$A$12,0))</f>
        <v>Travel</v>
      </c>
      <c r="N1246" s="1" t="str">
        <f>IF(TRIM(H1246)="","BLANK",IF(PROPER(TRIM(H1246))=TRIM(M1246),"MATCH","MISMATCH"))</f>
        <v>MATCH</v>
      </c>
      <c r="O1246" s="5" t="str">
        <f>INDEX([1]Employee!$C$2:$C$276,MATCH(B1246,[1]Employee!$A$2:$A$276,0))</f>
        <v>Sales &amp; Marketing</v>
      </c>
    </row>
    <row r="1247" spans="1:15">
      <c r="A1247" s="1" t="s">
        <v>2634</v>
      </c>
      <c r="B1247" s="1" t="s">
        <v>136</v>
      </c>
      <c r="C1247" s="1" t="s">
        <v>2635</v>
      </c>
      <c r="D1247" s="2">
        <v>46090</v>
      </c>
      <c r="E1247" s="2">
        <v>46093</v>
      </c>
      <c r="F1247" s="1" t="s">
        <v>52</v>
      </c>
      <c r="G1247" s="1" t="s">
        <v>15</v>
      </c>
      <c r="H1247" s="1" t="s">
        <v>16</v>
      </c>
      <c r="I1247" s="7">
        <v>43.68</v>
      </c>
      <c r="J1247" s="1" t="s">
        <v>38</v>
      </c>
      <c r="K1247" s="1"/>
      <c r="L1247" s="1" t="s">
        <v>39</v>
      </c>
      <c r="M1247" s="1" t="str">
        <f>INDEX(MCC_Lookup!$B$2:$B$12,MATCH(G1247,MCC_Lookup!$A$2:$A$12,0))</f>
        <v>Entertainment</v>
      </c>
      <c r="N1247" s="1" t="str">
        <f>IF(TRIM(H1247)="","BLANK",IF(PROPER(TRIM(H1247))=TRIM(M1247),"MATCH","MISMATCH"))</f>
        <v>MATCH</v>
      </c>
      <c r="O1247" s="5" t="str">
        <f>INDEX([1]Employee!$C$2:$C$276,MATCH(B1247,[1]Employee!$A$2:$A$276,0))</f>
        <v>Sales &amp; Marketing</v>
      </c>
    </row>
    <row r="1248" spans="1:15">
      <c r="A1248" s="1" t="s">
        <v>2636</v>
      </c>
      <c r="B1248" s="1" t="s">
        <v>67</v>
      </c>
      <c r="C1248" s="1"/>
      <c r="D1248" s="2">
        <v>46093</v>
      </c>
      <c r="E1248" s="2">
        <v>46093</v>
      </c>
      <c r="F1248" s="1" t="s">
        <v>259</v>
      </c>
      <c r="G1248" s="1" t="s">
        <v>20</v>
      </c>
      <c r="H1248" s="1" t="s">
        <v>19</v>
      </c>
      <c r="I1248" s="7">
        <v>549.87</v>
      </c>
      <c r="J1248" s="1" t="s">
        <v>38</v>
      </c>
      <c r="K1248" s="1"/>
      <c r="L1248" s="1" t="s">
        <v>48</v>
      </c>
      <c r="M1248" s="1" t="str">
        <f>INDEX(MCC_Lookup!$B$2:$B$12,MATCH(G1248,MCC_Lookup!$A$2:$A$12,0))</f>
        <v>Events</v>
      </c>
      <c r="N1248" s="1" t="str">
        <f>IF(TRIM(H1248)="","BLANK",IF(PROPER(TRIM(H1248))=TRIM(M1248),"MATCH","MISMATCH"))</f>
        <v>MATCH</v>
      </c>
      <c r="O1248" s="5" t="str">
        <f>INDEX([1]Employee!$C$2:$C$276,MATCH(B1248,[1]Employee!$A$2:$A$276,0))</f>
        <v>Sales &amp; Marketing</v>
      </c>
    </row>
    <row r="1249" spans="1:15">
      <c r="A1249" s="1" t="s">
        <v>2637</v>
      </c>
      <c r="B1249" s="1" t="s">
        <v>63</v>
      </c>
      <c r="C1249" s="1" t="s">
        <v>2638</v>
      </c>
      <c r="D1249" s="2">
        <v>46088</v>
      </c>
      <c r="E1249" s="2">
        <v>46093</v>
      </c>
      <c r="F1249" s="1" t="s">
        <v>69</v>
      </c>
      <c r="G1249" s="1" t="s">
        <v>8</v>
      </c>
      <c r="H1249" s="1" t="s">
        <v>9</v>
      </c>
      <c r="I1249" s="7">
        <v>52.94</v>
      </c>
      <c r="J1249" s="1" t="s">
        <v>38</v>
      </c>
      <c r="K1249" s="1"/>
      <c r="L1249" s="1" t="s">
        <v>39</v>
      </c>
      <c r="M1249" s="1" t="str">
        <f>INDEX(MCC_Lookup!$B$2:$B$12,MATCH(G1249,MCC_Lookup!$A$2:$A$12,0))</f>
        <v>Transportation</v>
      </c>
      <c r="N1249" s="1" t="str">
        <f>IF(TRIM(H1249)="","BLANK",IF(PROPER(TRIM(H1249))=TRIM(M1249),"MATCH","MISMATCH"))</f>
        <v>MATCH</v>
      </c>
      <c r="O1249" s="5" t="str">
        <f>INDEX([1]Employee!$C$2:$C$276,MATCH(B1249,[1]Employee!$A$2:$A$276,0))</f>
        <v>Sales &amp; Marketing</v>
      </c>
    </row>
    <row r="1250" spans="1:15">
      <c r="A1250" s="1" t="s">
        <v>2639</v>
      </c>
      <c r="B1250" s="1" t="s">
        <v>1180</v>
      </c>
      <c r="C1250" s="1"/>
      <c r="D1250" s="2">
        <v>46089</v>
      </c>
      <c r="E1250" s="2">
        <v>46093</v>
      </c>
      <c r="F1250" s="1" t="s">
        <v>116</v>
      </c>
      <c r="G1250" s="1" t="s">
        <v>2</v>
      </c>
      <c r="H1250" s="1" t="s">
        <v>3</v>
      </c>
      <c r="I1250" s="7">
        <v>12.27</v>
      </c>
      <c r="J1250" s="1" t="s">
        <v>38</v>
      </c>
      <c r="K1250" s="1"/>
      <c r="L1250" s="1" t="s">
        <v>39</v>
      </c>
      <c r="M1250" s="1" t="str">
        <f>INDEX(MCC_Lookup!$B$2:$B$12,MATCH(G1250,MCC_Lookup!$A$2:$A$12,0))</f>
        <v>Meals</v>
      </c>
      <c r="N1250" s="1" t="str">
        <f>IF(TRIM(H1250)="","BLANK",IF(PROPER(TRIM(H1250))=TRIM(M1250),"MATCH","MISMATCH"))</f>
        <v>MATCH</v>
      </c>
      <c r="O1250" s="5" t="str">
        <f>INDEX([1]Employee!$C$2:$C$276,MATCH(B1250,[1]Employee!$A$2:$A$276,0))</f>
        <v>IT &amp; Platform Engineering</v>
      </c>
    </row>
    <row r="1251" spans="1:15">
      <c r="A1251" s="1" t="s">
        <v>2640</v>
      </c>
      <c r="B1251" s="1" t="s">
        <v>969</v>
      </c>
      <c r="C1251" s="1" t="s">
        <v>2641</v>
      </c>
      <c r="D1251" s="2">
        <v>46085</v>
      </c>
      <c r="E1251" s="2">
        <v>46093</v>
      </c>
      <c r="F1251" s="1" t="s">
        <v>160</v>
      </c>
      <c r="G1251" s="1" t="s">
        <v>6</v>
      </c>
      <c r="H1251" s="1" t="s">
        <v>7</v>
      </c>
      <c r="I1251" s="7">
        <v>277.64</v>
      </c>
      <c r="J1251" s="1" t="s">
        <v>38</v>
      </c>
      <c r="K1251" s="1"/>
      <c r="L1251" s="1" t="s">
        <v>39</v>
      </c>
      <c r="M1251" s="1" t="str">
        <f>INDEX(MCC_Lookup!$B$2:$B$12,MATCH(G1251,MCC_Lookup!$A$2:$A$12,0))</f>
        <v>Lodging</v>
      </c>
      <c r="N1251" s="1" t="str">
        <f>IF(TRIM(H1251)="","BLANK",IF(PROPER(TRIM(H1251))=TRIM(M1251),"MATCH","MISMATCH"))</f>
        <v>MATCH</v>
      </c>
      <c r="O1251" s="5" t="str">
        <f>INDEX([1]Employee!$C$2:$C$276,MATCH(B1251,[1]Employee!$A$2:$A$276,0))</f>
        <v>HR &amp; Events</v>
      </c>
    </row>
    <row r="1252" spans="1:15">
      <c r="A1252" s="1" t="s">
        <v>2642</v>
      </c>
      <c r="B1252" s="1" t="s">
        <v>152</v>
      </c>
      <c r="C1252" s="1" t="s">
        <v>2643</v>
      </c>
      <c r="D1252" s="2">
        <v>46085</v>
      </c>
      <c r="E1252" s="2">
        <v>46093</v>
      </c>
      <c r="F1252" s="1" t="s">
        <v>173</v>
      </c>
      <c r="G1252" s="1" t="s">
        <v>2</v>
      </c>
      <c r="H1252" s="1" t="s">
        <v>3</v>
      </c>
      <c r="I1252" s="7">
        <v>22.3</v>
      </c>
      <c r="J1252" s="1" t="s">
        <v>38</v>
      </c>
      <c r="K1252" s="1"/>
      <c r="L1252" s="1" t="s">
        <v>39</v>
      </c>
      <c r="M1252" s="1" t="str">
        <f>INDEX(MCC_Lookup!$B$2:$B$12,MATCH(G1252,MCC_Lookup!$A$2:$A$12,0))</f>
        <v>Meals</v>
      </c>
      <c r="N1252" s="1" t="str">
        <f>IF(TRIM(H1252)="","BLANK",IF(PROPER(TRIM(H1252))=TRIM(M1252),"MATCH","MISMATCH"))</f>
        <v>MATCH</v>
      </c>
      <c r="O1252" s="5" t="str">
        <f>INDEX([1]Employee!$C$2:$C$276,MATCH(B1252,[1]Employee!$A$2:$A$276,0))</f>
        <v>Sales &amp; Marketing</v>
      </c>
    </row>
    <row r="1253" spans="1:15">
      <c r="A1253" s="1" t="s">
        <v>2644</v>
      </c>
      <c r="B1253" s="1" t="s">
        <v>1886</v>
      </c>
      <c r="C1253" s="1" t="s">
        <v>2645</v>
      </c>
      <c r="D1253" s="2">
        <v>46089</v>
      </c>
      <c r="E1253" s="2">
        <v>46093</v>
      </c>
      <c r="F1253" s="1" t="s">
        <v>95</v>
      </c>
      <c r="G1253" s="1" t="s">
        <v>6</v>
      </c>
      <c r="H1253" s="1" t="s">
        <v>7</v>
      </c>
      <c r="I1253" s="7">
        <v>176.33</v>
      </c>
      <c r="J1253" s="1" t="s">
        <v>38</v>
      </c>
      <c r="K1253" s="1"/>
      <c r="L1253" s="1" t="s">
        <v>39</v>
      </c>
      <c r="M1253" s="1" t="str">
        <f>INDEX(MCC_Lookup!$B$2:$B$12,MATCH(G1253,MCC_Lookup!$A$2:$A$12,0))</f>
        <v>Lodging</v>
      </c>
      <c r="N1253" s="1" t="str">
        <f>IF(TRIM(H1253)="","BLANK",IF(PROPER(TRIM(H1253))=TRIM(M1253),"MATCH","MISMATCH"))</f>
        <v>MATCH</v>
      </c>
      <c r="O1253" s="5" t="str">
        <f>INDEX([1]Employee!$C$2:$C$276,MATCH(B1253,[1]Employee!$A$2:$A$276,0))</f>
        <v>Actuarial &amp; Risk</v>
      </c>
    </row>
    <row r="1254" spans="1:15">
      <c r="A1254" s="1" t="s">
        <v>2646</v>
      </c>
      <c r="B1254" s="1" t="s">
        <v>595</v>
      </c>
      <c r="C1254" s="1" t="s">
        <v>2647</v>
      </c>
      <c r="D1254" s="2">
        <v>46088</v>
      </c>
      <c r="E1254" s="2">
        <v>46093</v>
      </c>
      <c r="F1254" s="1" t="s">
        <v>305</v>
      </c>
      <c r="G1254" s="1" t="s">
        <v>2</v>
      </c>
      <c r="H1254" s="1" t="s">
        <v>138</v>
      </c>
      <c r="I1254" s="7">
        <v>16.25</v>
      </c>
      <c r="J1254" s="1" t="s">
        <v>38</v>
      </c>
      <c r="K1254" s="1"/>
      <c r="L1254" s="1" t="s">
        <v>39</v>
      </c>
      <c r="M1254" s="1" t="str">
        <f>INDEX(MCC_Lookup!$B$2:$B$12,MATCH(G1254,MCC_Lookup!$A$2:$A$12,0))</f>
        <v>Meals</v>
      </c>
      <c r="N1254" s="1" t="str">
        <f>IF(TRIM(H1254)="","BLANK",IF(PROPER(TRIM(H1254))=TRIM(M1254),"MATCH","MISMATCH"))</f>
        <v>MATCH</v>
      </c>
      <c r="O1254" s="5" t="str">
        <f>INDEX([1]Employee!$C$2:$C$276,MATCH(B1254,[1]Employee!$A$2:$A$276,0))</f>
        <v>Executive &amp; Corporate</v>
      </c>
    </row>
    <row r="1255" spans="1:15">
      <c r="A1255" s="1" t="s">
        <v>2648</v>
      </c>
      <c r="B1255" s="1" t="s">
        <v>595</v>
      </c>
      <c r="C1255" s="1"/>
      <c r="D1255" s="2">
        <v>46092</v>
      </c>
      <c r="E1255" s="2">
        <v>46093</v>
      </c>
      <c r="F1255" s="1" t="s">
        <v>2418</v>
      </c>
      <c r="G1255" s="1" t="s">
        <v>2</v>
      </c>
      <c r="H1255" s="1" t="s">
        <v>3</v>
      </c>
      <c r="I1255" s="7">
        <v>21.09</v>
      </c>
      <c r="J1255" s="1" t="s">
        <v>38</v>
      </c>
      <c r="K1255" s="1"/>
      <c r="L1255" s="1" t="s">
        <v>39</v>
      </c>
      <c r="M1255" s="1" t="str">
        <f>INDEX(MCC_Lookup!$B$2:$B$12,MATCH(G1255,MCC_Lookup!$A$2:$A$12,0))</f>
        <v>Meals</v>
      </c>
      <c r="N1255" s="1" t="str">
        <f>IF(TRIM(H1255)="","BLANK",IF(PROPER(TRIM(H1255))=TRIM(M1255),"MATCH","MISMATCH"))</f>
        <v>MATCH</v>
      </c>
      <c r="O1255" s="5" t="str">
        <f>INDEX([1]Employee!$C$2:$C$276,MATCH(B1255,[1]Employee!$A$2:$A$276,0))</f>
        <v>Executive &amp; Corporate</v>
      </c>
    </row>
    <row r="1256" spans="1:15">
      <c r="A1256" s="1" t="s">
        <v>2649</v>
      </c>
      <c r="B1256" s="1" t="s">
        <v>379</v>
      </c>
      <c r="C1256" s="1" t="s">
        <v>2650</v>
      </c>
      <c r="D1256" s="2">
        <v>46093</v>
      </c>
      <c r="E1256" s="2">
        <v>46093</v>
      </c>
      <c r="F1256" s="1" t="s">
        <v>69</v>
      </c>
      <c r="G1256" s="1" t="s">
        <v>8</v>
      </c>
      <c r="H1256" s="1" t="s">
        <v>9</v>
      </c>
      <c r="I1256" s="7">
        <v>46.84</v>
      </c>
      <c r="J1256" s="1" t="s">
        <v>38</v>
      </c>
      <c r="K1256" s="1"/>
      <c r="L1256" s="1" t="s">
        <v>39</v>
      </c>
      <c r="M1256" s="1" t="str">
        <f>INDEX(MCC_Lookup!$B$2:$B$12,MATCH(G1256,MCC_Lookup!$A$2:$A$12,0))</f>
        <v>Transportation</v>
      </c>
      <c r="N1256" s="1" t="str">
        <f>IF(TRIM(H1256)="","BLANK",IF(PROPER(TRIM(H1256))=TRIM(M1256),"MATCH","MISMATCH"))</f>
        <v>MATCH</v>
      </c>
      <c r="O1256" s="5" t="str">
        <f>INDEX([1]Employee!$C$2:$C$276,MATCH(B1256,[1]Employee!$A$2:$A$276,0))</f>
        <v>Sales &amp; Marketing</v>
      </c>
    </row>
    <row r="1257" spans="1:15">
      <c r="A1257" s="1" t="s">
        <v>2651</v>
      </c>
      <c r="B1257" s="1" t="s">
        <v>90</v>
      </c>
      <c r="C1257" s="1"/>
      <c r="D1257" s="2">
        <v>46092</v>
      </c>
      <c r="E1257" s="2">
        <v>46093</v>
      </c>
      <c r="F1257" s="1" t="s">
        <v>52</v>
      </c>
      <c r="G1257" s="1" t="s">
        <v>15</v>
      </c>
      <c r="H1257" s="1" t="s">
        <v>403</v>
      </c>
      <c r="I1257" s="7">
        <v>43.32</v>
      </c>
      <c r="J1257" s="1" t="s">
        <v>38</v>
      </c>
      <c r="K1257" s="1"/>
      <c r="L1257" s="1" t="s">
        <v>39</v>
      </c>
      <c r="M1257" s="1" t="str">
        <f>INDEX(MCC_Lookup!$B$2:$B$12,MATCH(G1257,MCC_Lookup!$A$2:$A$12,0))</f>
        <v>Entertainment</v>
      </c>
      <c r="N1257" s="1" t="str">
        <f>IF(TRIM(H1257)="","BLANK",IF(PROPER(TRIM(H1257))=TRIM(M1257),"MATCH","MISMATCH"))</f>
        <v>MATCH</v>
      </c>
      <c r="O1257" s="5" t="str">
        <f>INDEX([1]Employee!$C$2:$C$276,MATCH(B1257,[1]Employee!$A$2:$A$276,0))</f>
        <v>Sales &amp; Marketing</v>
      </c>
    </row>
    <row r="1258" spans="1:15">
      <c r="A1258" s="1" t="s">
        <v>2652</v>
      </c>
      <c r="B1258" s="1" t="s">
        <v>171</v>
      </c>
      <c r="C1258" s="1" t="s">
        <v>2653</v>
      </c>
      <c r="D1258" s="2">
        <v>46093</v>
      </c>
      <c r="E1258" s="2">
        <v>46093</v>
      </c>
      <c r="F1258" s="1" t="s">
        <v>259</v>
      </c>
      <c r="G1258" s="1" t="s">
        <v>20</v>
      </c>
      <c r="H1258" s="1" t="s">
        <v>19</v>
      </c>
      <c r="I1258" s="7">
        <v>616.45000000000005</v>
      </c>
      <c r="J1258" s="1" t="s">
        <v>38</v>
      </c>
      <c r="K1258" s="1"/>
      <c r="L1258" s="1" t="s">
        <v>39</v>
      </c>
      <c r="M1258" s="1" t="str">
        <f>INDEX(MCC_Lookup!$B$2:$B$12,MATCH(G1258,MCC_Lookup!$A$2:$A$12,0))</f>
        <v>Events</v>
      </c>
      <c r="N1258" s="1" t="str">
        <f>IF(TRIM(H1258)="","BLANK",IF(PROPER(TRIM(H1258))=TRIM(M1258),"MATCH","MISMATCH"))</f>
        <v>MATCH</v>
      </c>
      <c r="O1258" s="5" t="str">
        <f>INDEX([1]Employee!$C$2:$C$276,MATCH(B1258,[1]Employee!$A$2:$A$276,0))</f>
        <v>Claims</v>
      </c>
    </row>
    <row r="1259" spans="1:15">
      <c r="A1259" s="1" t="s">
        <v>2654</v>
      </c>
      <c r="B1259" s="1" t="s">
        <v>1876</v>
      </c>
      <c r="C1259" s="1" t="s">
        <v>2655</v>
      </c>
      <c r="D1259" s="2">
        <v>46089</v>
      </c>
      <c r="E1259" s="2">
        <v>46093</v>
      </c>
      <c r="F1259" s="1" t="s">
        <v>61</v>
      </c>
      <c r="G1259" s="1" t="s">
        <v>13</v>
      </c>
      <c r="H1259" s="1" t="s">
        <v>14</v>
      </c>
      <c r="I1259" s="7">
        <v>61.88</v>
      </c>
      <c r="J1259" s="1" t="s">
        <v>38</v>
      </c>
      <c r="K1259" s="1"/>
      <c r="L1259" s="1" t="s">
        <v>39</v>
      </c>
      <c r="M1259" s="1" t="str">
        <f>INDEX(MCC_Lookup!$B$2:$B$12,MATCH(G1259,MCC_Lookup!$A$2:$A$12,0))</f>
        <v>Software</v>
      </c>
      <c r="N1259" s="1" t="str">
        <f>IF(TRIM(H1259)="","BLANK",IF(PROPER(TRIM(H1259))=TRIM(M1259),"MATCH","MISMATCH"))</f>
        <v>MATCH</v>
      </c>
      <c r="O1259" s="5" t="str">
        <f>INDEX([1]Employee!$C$2:$C$276,MATCH(B1259,[1]Employee!$A$2:$A$276,0))</f>
        <v>IT &amp; Platform Engineering</v>
      </c>
    </row>
    <row r="1260" spans="1:15">
      <c r="A1260" s="1" t="s">
        <v>2656</v>
      </c>
      <c r="B1260" s="1" t="s">
        <v>190</v>
      </c>
      <c r="C1260" s="1" t="s">
        <v>2657</v>
      </c>
      <c r="D1260" s="2">
        <v>46088</v>
      </c>
      <c r="E1260" s="2">
        <v>46093</v>
      </c>
      <c r="F1260" s="1" t="s">
        <v>259</v>
      </c>
      <c r="G1260" s="1" t="s">
        <v>20</v>
      </c>
      <c r="H1260" s="1" t="s">
        <v>517</v>
      </c>
      <c r="I1260" s="7">
        <v>244.93</v>
      </c>
      <c r="J1260" s="1" t="s">
        <v>38</v>
      </c>
      <c r="K1260" s="1"/>
      <c r="L1260" s="1" t="s">
        <v>39</v>
      </c>
      <c r="M1260" s="1" t="str">
        <f>INDEX(MCC_Lookup!$B$2:$B$12,MATCH(G1260,MCC_Lookup!$A$2:$A$12,0))</f>
        <v>Events</v>
      </c>
      <c r="N1260" s="1" t="str">
        <f>IF(TRIM(H1260)="","BLANK",IF(PROPER(TRIM(H1260))=TRIM(M1260),"MATCH","MISMATCH"))</f>
        <v>MATCH</v>
      </c>
      <c r="O1260" s="5" t="str">
        <f>INDEX([1]Employee!$C$2:$C$276,MATCH(B1260,[1]Employee!$A$2:$A$276,0))</f>
        <v>Sales &amp; Marketing</v>
      </c>
    </row>
    <row r="1261" spans="1:15">
      <c r="A1261" s="1" t="s">
        <v>2658</v>
      </c>
      <c r="B1261" s="1" t="s">
        <v>244</v>
      </c>
      <c r="C1261" s="1"/>
      <c r="D1261" s="2">
        <v>46091</v>
      </c>
      <c r="E1261" s="2">
        <v>46093</v>
      </c>
      <c r="F1261" s="1" t="s">
        <v>173</v>
      </c>
      <c r="G1261" s="1" t="s">
        <v>2</v>
      </c>
      <c r="H1261" s="1" t="s">
        <v>3</v>
      </c>
      <c r="I1261" s="7">
        <v>66.819999999999993</v>
      </c>
      <c r="J1261" s="1" t="s">
        <v>38</v>
      </c>
      <c r="K1261" s="1"/>
      <c r="L1261" s="1" t="s">
        <v>39</v>
      </c>
      <c r="M1261" s="1" t="str">
        <f>INDEX(MCC_Lookup!$B$2:$B$12,MATCH(G1261,MCC_Lookup!$A$2:$A$12,0))</f>
        <v>Meals</v>
      </c>
      <c r="N1261" s="1" t="str">
        <f>IF(TRIM(H1261)="","BLANK",IF(PROPER(TRIM(H1261))=TRIM(M1261),"MATCH","MISMATCH"))</f>
        <v>MATCH</v>
      </c>
      <c r="O1261" s="5" t="str">
        <f>INDEX([1]Employee!$C$2:$C$276,MATCH(B1261,[1]Employee!$A$2:$A$276,0))</f>
        <v>Sales &amp; Marketing</v>
      </c>
    </row>
    <row r="1262" spans="1:15">
      <c r="A1262" s="1" t="s">
        <v>2659</v>
      </c>
      <c r="B1262" s="1" t="s">
        <v>1634</v>
      </c>
      <c r="C1262" s="1" t="s">
        <v>2660</v>
      </c>
      <c r="D1262" s="2">
        <v>46091</v>
      </c>
      <c r="E1262" s="2">
        <v>46093</v>
      </c>
      <c r="F1262" s="1" t="s">
        <v>242</v>
      </c>
      <c r="G1262" s="1" t="s">
        <v>13</v>
      </c>
      <c r="H1262" s="1" t="s">
        <v>14</v>
      </c>
      <c r="I1262" s="7">
        <v>24.97</v>
      </c>
      <c r="J1262" s="1" t="s">
        <v>38</v>
      </c>
      <c r="K1262" s="1"/>
      <c r="L1262" s="1" t="s">
        <v>39</v>
      </c>
      <c r="M1262" s="1" t="str">
        <f>INDEX(MCC_Lookup!$B$2:$B$12,MATCH(G1262,MCC_Lookup!$A$2:$A$12,0))</f>
        <v>Software</v>
      </c>
      <c r="N1262" s="1" t="str">
        <f>IF(TRIM(H1262)="","BLANK",IF(PROPER(TRIM(H1262))=TRIM(M1262),"MATCH","MISMATCH"))</f>
        <v>MATCH</v>
      </c>
      <c r="O1262" s="5" t="str">
        <f>INDEX([1]Employee!$C$2:$C$276,MATCH(B1262,[1]Employee!$A$2:$A$276,0))</f>
        <v>Customer Support</v>
      </c>
    </row>
    <row r="1263" spans="1:15">
      <c r="A1263" s="1" t="s">
        <v>2661</v>
      </c>
      <c r="B1263" s="1" t="s">
        <v>564</v>
      </c>
      <c r="C1263" s="1" t="s">
        <v>2662</v>
      </c>
      <c r="D1263" s="2">
        <v>46085</v>
      </c>
      <c r="E1263" s="2">
        <v>46093</v>
      </c>
      <c r="F1263" s="1" t="s">
        <v>65</v>
      </c>
      <c r="G1263" s="1" t="s">
        <v>18</v>
      </c>
      <c r="H1263" s="1" t="s">
        <v>19</v>
      </c>
      <c r="I1263" s="7">
        <v>153.47999999999999</v>
      </c>
      <c r="J1263" s="1" t="s">
        <v>38</v>
      </c>
      <c r="K1263" s="1"/>
      <c r="L1263" s="1" t="s">
        <v>39</v>
      </c>
      <c r="M1263" s="1" t="str">
        <f>INDEX(MCC_Lookup!$B$2:$B$12,MATCH(G1263,MCC_Lookup!$A$2:$A$12,0))</f>
        <v>Events</v>
      </c>
      <c r="N1263" s="1" t="str">
        <f>IF(TRIM(H1263)="","BLANK",IF(PROPER(TRIM(H1263))=TRIM(M1263),"MATCH","MISMATCH"))</f>
        <v>MATCH</v>
      </c>
      <c r="O1263" s="5" t="str">
        <f>INDEX([1]Employee!$C$2:$C$276,MATCH(B1263,[1]Employee!$A$2:$A$276,0))</f>
        <v>Sales &amp; Marketing</v>
      </c>
    </row>
    <row r="1264" spans="1:15">
      <c r="A1264" s="1" t="s">
        <v>2663</v>
      </c>
      <c r="B1264" s="1" t="s">
        <v>1824</v>
      </c>
      <c r="C1264" s="1"/>
      <c r="D1264" s="2">
        <v>46091</v>
      </c>
      <c r="E1264" s="2">
        <v>46093</v>
      </c>
      <c r="F1264" s="1" t="s">
        <v>160</v>
      </c>
      <c r="G1264" s="1" t="s">
        <v>6</v>
      </c>
      <c r="H1264" s="1" t="s">
        <v>7</v>
      </c>
      <c r="I1264" s="7">
        <v>314.73</v>
      </c>
      <c r="J1264" s="1" t="s">
        <v>111</v>
      </c>
      <c r="K1264" s="1" t="s">
        <v>161</v>
      </c>
      <c r="L1264" s="1" t="s">
        <v>39</v>
      </c>
      <c r="M1264" s="1" t="str">
        <f>INDEX(MCC_Lookup!$B$2:$B$12,MATCH(G1264,MCC_Lookup!$A$2:$A$12,0))</f>
        <v>Lodging</v>
      </c>
      <c r="N1264" s="1" t="str">
        <f>IF(TRIM(H1264)="","BLANK",IF(PROPER(TRIM(H1264))=TRIM(M1264),"MATCH","MISMATCH"))</f>
        <v>MATCH</v>
      </c>
      <c r="O1264" s="5" t="str">
        <f>INDEX([1]Employee!$C$2:$C$276,MATCH(B1264,[1]Employee!$A$2:$A$276,0))</f>
        <v>Claims</v>
      </c>
    </row>
    <row r="1265" spans="1:15">
      <c r="A1265" s="1" t="s">
        <v>2664</v>
      </c>
      <c r="B1265" s="1" t="s">
        <v>219</v>
      </c>
      <c r="C1265" s="1" t="s">
        <v>2665</v>
      </c>
      <c r="D1265" s="2">
        <v>46089</v>
      </c>
      <c r="E1265" s="2">
        <v>46094</v>
      </c>
      <c r="F1265" s="1" t="s">
        <v>95</v>
      </c>
      <c r="G1265" s="1" t="s">
        <v>6</v>
      </c>
      <c r="H1265" s="1" t="s">
        <v>7</v>
      </c>
      <c r="I1265" s="7">
        <v>221.99</v>
      </c>
      <c r="J1265" s="1" t="s">
        <v>38</v>
      </c>
      <c r="K1265" s="1"/>
      <c r="L1265" s="1" t="s">
        <v>48</v>
      </c>
      <c r="M1265" s="1" t="str">
        <f>INDEX(MCC_Lookup!$B$2:$B$12,MATCH(G1265,MCC_Lookup!$A$2:$A$12,0))</f>
        <v>Lodging</v>
      </c>
      <c r="N1265" s="1" t="str">
        <f>IF(TRIM(H1265)="","BLANK",IF(PROPER(TRIM(H1265))=TRIM(M1265),"MATCH","MISMATCH"))</f>
        <v>MATCH</v>
      </c>
      <c r="O1265" s="5" t="str">
        <f>INDEX([1]Employee!$C$2:$C$276,MATCH(B1265,[1]Employee!$A$2:$A$276,0))</f>
        <v>Underwriting</v>
      </c>
    </row>
    <row r="1266" spans="1:15">
      <c r="A1266" s="1" t="s">
        <v>2666</v>
      </c>
      <c r="B1266" s="1" t="s">
        <v>593</v>
      </c>
      <c r="C1266" s="1" t="s">
        <v>2667</v>
      </c>
      <c r="D1266" s="2">
        <v>46094</v>
      </c>
      <c r="E1266" s="2">
        <v>46094</v>
      </c>
      <c r="F1266" s="1" t="s">
        <v>79</v>
      </c>
      <c r="G1266" s="1" t="s">
        <v>13</v>
      </c>
      <c r="H1266" s="1" t="s">
        <v>14</v>
      </c>
      <c r="I1266" s="7">
        <v>123.41</v>
      </c>
      <c r="J1266" s="1" t="s">
        <v>38</v>
      </c>
      <c r="K1266" s="1"/>
      <c r="L1266" s="1" t="s">
        <v>39</v>
      </c>
      <c r="M1266" s="1" t="str">
        <f>INDEX(MCC_Lookup!$B$2:$B$12,MATCH(G1266,MCC_Lookup!$A$2:$A$12,0))</f>
        <v>Software</v>
      </c>
      <c r="N1266" s="1" t="str">
        <f>IF(TRIM(H1266)="","BLANK",IF(PROPER(TRIM(H1266))=TRIM(M1266),"MATCH","MISMATCH"))</f>
        <v>MATCH</v>
      </c>
      <c r="O1266" s="5" t="str">
        <f>INDEX([1]Employee!$C$2:$C$276,MATCH(B1266,[1]Employee!$A$2:$A$276,0))</f>
        <v>Sales &amp; Marketing</v>
      </c>
    </row>
    <row r="1267" spans="1:15">
      <c r="A1267" s="1" t="s">
        <v>2668</v>
      </c>
      <c r="B1267" s="1" t="s">
        <v>1064</v>
      </c>
      <c r="C1267" s="1" t="s">
        <v>2669</v>
      </c>
      <c r="D1267" s="2">
        <v>46091</v>
      </c>
      <c r="E1267" s="2">
        <v>46094</v>
      </c>
      <c r="F1267" s="1" t="s">
        <v>305</v>
      </c>
      <c r="G1267" s="1" t="s">
        <v>2</v>
      </c>
      <c r="H1267" s="1" t="s">
        <v>3</v>
      </c>
      <c r="I1267" s="7">
        <v>16.420000000000002</v>
      </c>
      <c r="J1267" s="1" t="s">
        <v>38</v>
      </c>
      <c r="K1267" s="1"/>
      <c r="L1267" s="1" t="s">
        <v>39</v>
      </c>
      <c r="M1267" s="1" t="str">
        <f>INDEX(MCC_Lookup!$B$2:$B$12,MATCH(G1267,MCC_Lookup!$A$2:$A$12,0))</f>
        <v>Meals</v>
      </c>
      <c r="N1267" s="1" t="str">
        <f>IF(TRIM(H1267)="","BLANK",IF(PROPER(TRIM(H1267))=TRIM(M1267),"MATCH","MISMATCH"))</f>
        <v>MATCH</v>
      </c>
      <c r="O1267" s="5" t="str">
        <f>INDEX([1]Employee!$C$2:$C$276,MATCH(B1267,[1]Employee!$A$2:$A$276,0))</f>
        <v>Actuarial &amp; Risk</v>
      </c>
    </row>
    <row r="1268" spans="1:15">
      <c r="A1268" s="1" t="s">
        <v>2670</v>
      </c>
      <c r="B1268" s="1" t="s">
        <v>2333</v>
      </c>
      <c r="C1268" s="1"/>
      <c r="D1268" s="2">
        <v>46092</v>
      </c>
      <c r="E1268" s="2">
        <v>46094</v>
      </c>
      <c r="F1268" s="1" t="s">
        <v>173</v>
      </c>
      <c r="G1268" s="1" t="s">
        <v>2</v>
      </c>
      <c r="H1268" s="1" t="s">
        <v>3</v>
      </c>
      <c r="I1268" s="7">
        <v>79.33</v>
      </c>
      <c r="J1268" s="1" t="s">
        <v>38</v>
      </c>
      <c r="K1268" s="1"/>
      <c r="L1268" s="1" t="s">
        <v>39</v>
      </c>
      <c r="M1268" s="1" t="str">
        <f>INDEX(MCC_Lookup!$B$2:$B$12,MATCH(G1268,MCC_Lookup!$A$2:$A$12,0))</f>
        <v>Meals</v>
      </c>
      <c r="N1268" s="1" t="str">
        <f>IF(TRIM(H1268)="","BLANK",IF(PROPER(TRIM(H1268))=TRIM(M1268),"MATCH","MISMATCH"))</f>
        <v>MATCH</v>
      </c>
      <c r="O1268" s="5" t="str">
        <f>INDEX([1]Employee!$C$2:$C$276,MATCH(B1268,[1]Employee!$A$2:$A$276,0))</f>
        <v>HR &amp; Events</v>
      </c>
    </row>
    <row r="1269" spans="1:15">
      <c r="A1269" s="1" t="s">
        <v>2671</v>
      </c>
      <c r="B1269" s="1" t="s">
        <v>888</v>
      </c>
      <c r="C1269" s="1" t="s">
        <v>2672</v>
      </c>
      <c r="D1269" s="2">
        <v>46090</v>
      </c>
      <c r="E1269" s="2">
        <v>46094</v>
      </c>
      <c r="F1269" s="1" t="s">
        <v>173</v>
      </c>
      <c r="G1269" s="1" t="s">
        <v>2</v>
      </c>
      <c r="H1269" s="1" t="s">
        <v>3</v>
      </c>
      <c r="I1269" s="7">
        <v>39.770000000000003</v>
      </c>
      <c r="J1269" s="1" t="s">
        <v>38</v>
      </c>
      <c r="K1269" s="1"/>
      <c r="L1269" s="1" t="s">
        <v>39</v>
      </c>
      <c r="M1269" s="1" t="str">
        <f>INDEX(MCC_Lookup!$B$2:$B$12,MATCH(G1269,MCC_Lookup!$A$2:$A$12,0))</f>
        <v>Meals</v>
      </c>
      <c r="N1269" s="1" t="str">
        <f>IF(TRIM(H1269)="","BLANK",IF(PROPER(TRIM(H1269))=TRIM(M1269),"MATCH","MISMATCH"))</f>
        <v>MATCH</v>
      </c>
      <c r="O1269" s="5" t="str">
        <f>INDEX([1]Employee!$C$2:$C$276,MATCH(B1269,[1]Employee!$A$2:$A$276,0))</f>
        <v>Claims</v>
      </c>
    </row>
    <row r="1270" spans="1:15">
      <c r="A1270" s="1" t="s">
        <v>2673</v>
      </c>
      <c r="B1270" s="1" t="s">
        <v>821</v>
      </c>
      <c r="C1270" s="1" t="s">
        <v>2674</v>
      </c>
      <c r="D1270" s="2">
        <v>46092</v>
      </c>
      <c r="E1270" s="2">
        <v>46094</v>
      </c>
      <c r="F1270" s="1" t="s">
        <v>242</v>
      </c>
      <c r="G1270" s="1" t="s">
        <v>13</v>
      </c>
      <c r="H1270" s="1" t="s">
        <v>14</v>
      </c>
      <c r="I1270" s="7">
        <v>17.97</v>
      </c>
      <c r="J1270" s="1" t="s">
        <v>38</v>
      </c>
      <c r="K1270" s="1"/>
      <c r="L1270" s="1" t="s">
        <v>39</v>
      </c>
      <c r="M1270" s="1" t="str">
        <f>INDEX(MCC_Lookup!$B$2:$B$12,MATCH(G1270,MCC_Lookup!$A$2:$A$12,0))</f>
        <v>Software</v>
      </c>
      <c r="N1270" s="1" t="str">
        <f>IF(TRIM(H1270)="","BLANK",IF(PROPER(TRIM(H1270))=TRIM(M1270),"MATCH","MISMATCH"))</f>
        <v>MATCH</v>
      </c>
      <c r="O1270" s="5" t="str">
        <f>INDEX([1]Employee!$C$2:$C$276,MATCH(B1270,[1]Employee!$A$2:$A$276,0))</f>
        <v>Claims</v>
      </c>
    </row>
    <row r="1271" spans="1:15">
      <c r="A1271" s="1" t="s">
        <v>2675</v>
      </c>
      <c r="B1271" s="1" t="s">
        <v>527</v>
      </c>
      <c r="C1271" s="1" t="s">
        <v>2676</v>
      </c>
      <c r="D1271" s="2">
        <v>46092</v>
      </c>
      <c r="E1271" s="2">
        <v>46094</v>
      </c>
      <c r="F1271" s="1" t="s">
        <v>65</v>
      </c>
      <c r="G1271" s="1" t="s">
        <v>18</v>
      </c>
      <c r="H1271" s="1" t="s">
        <v>19</v>
      </c>
      <c r="I1271" s="7">
        <v>260.3</v>
      </c>
      <c r="J1271" s="1" t="s">
        <v>38</v>
      </c>
      <c r="K1271" s="1"/>
      <c r="L1271" s="1" t="s">
        <v>39</v>
      </c>
      <c r="M1271" s="1" t="str">
        <f>INDEX(MCC_Lookup!$B$2:$B$12,MATCH(G1271,MCC_Lookup!$A$2:$A$12,0))</f>
        <v>Events</v>
      </c>
      <c r="N1271" s="1" t="str">
        <f>IF(TRIM(H1271)="","BLANK",IF(PROPER(TRIM(H1271))=TRIM(M1271),"MATCH","MISMATCH"))</f>
        <v>MATCH</v>
      </c>
      <c r="O1271" s="5" t="str">
        <f>INDEX([1]Employee!$C$2:$C$276,MATCH(B1271,[1]Employee!$A$2:$A$276,0))</f>
        <v>Customer Support</v>
      </c>
    </row>
    <row r="1272" spans="1:15">
      <c r="A1272" s="1" t="s">
        <v>2677</v>
      </c>
      <c r="B1272" s="1" t="s">
        <v>640</v>
      </c>
      <c r="C1272" s="1" t="s">
        <v>2678</v>
      </c>
      <c r="D1272" s="2">
        <v>46087</v>
      </c>
      <c r="E1272" s="2">
        <v>46094</v>
      </c>
      <c r="F1272" s="1" t="s">
        <v>65</v>
      </c>
      <c r="G1272" s="1" t="s">
        <v>18</v>
      </c>
      <c r="H1272" s="1" t="s">
        <v>312</v>
      </c>
      <c r="I1272" s="7">
        <v>541.76</v>
      </c>
      <c r="J1272" s="1" t="s">
        <v>38</v>
      </c>
      <c r="K1272" s="1"/>
      <c r="L1272" s="1" t="s">
        <v>39</v>
      </c>
      <c r="M1272" s="1" t="str">
        <f>INDEX(MCC_Lookup!$B$2:$B$12,MATCH(G1272,MCC_Lookup!$A$2:$A$12,0))</f>
        <v>Events</v>
      </c>
      <c r="N1272" s="1" t="str">
        <f>IF(TRIM(H1272)="","BLANK",IF(PROPER(TRIM(H1272))=TRIM(M1272),"MATCH","MISMATCH"))</f>
        <v>MATCH</v>
      </c>
      <c r="O1272" s="5" t="str">
        <f>INDEX([1]Employee!$C$2:$C$276,MATCH(B1272,[1]Employee!$A$2:$A$276,0))</f>
        <v>Underwriting</v>
      </c>
    </row>
    <row r="1273" spans="1:15">
      <c r="A1273" s="1" t="s">
        <v>2679</v>
      </c>
      <c r="B1273" s="1" t="s">
        <v>152</v>
      </c>
      <c r="C1273" s="1" t="s">
        <v>2680</v>
      </c>
      <c r="D1273" s="2">
        <v>46092</v>
      </c>
      <c r="E1273" s="2">
        <v>46094</v>
      </c>
      <c r="F1273" s="1" t="s">
        <v>347</v>
      </c>
      <c r="G1273" s="1" t="s">
        <v>8</v>
      </c>
      <c r="H1273" s="1" t="s">
        <v>9</v>
      </c>
      <c r="I1273" s="7">
        <v>47.76</v>
      </c>
      <c r="J1273" s="1" t="s">
        <v>38</v>
      </c>
      <c r="K1273" s="1"/>
      <c r="L1273" s="1" t="s">
        <v>48</v>
      </c>
      <c r="M1273" s="1" t="str">
        <f>INDEX(MCC_Lookup!$B$2:$B$12,MATCH(G1273,MCC_Lookup!$A$2:$A$12,0))</f>
        <v>Transportation</v>
      </c>
      <c r="N1273" s="1" t="str">
        <f>IF(TRIM(H1273)="","BLANK",IF(PROPER(TRIM(H1273))=TRIM(M1273),"MATCH","MISMATCH"))</f>
        <v>MATCH</v>
      </c>
      <c r="O1273" s="5" t="str">
        <f>INDEX([1]Employee!$C$2:$C$276,MATCH(B1273,[1]Employee!$A$2:$A$276,0))</f>
        <v>Sales &amp; Marketing</v>
      </c>
    </row>
    <row r="1274" spans="1:15">
      <c r="A1274" s="1" t="s">
        <v>2681</v>
      </c>
      <c r="B1274" s="1" t="s">
        <v>322</v>
      </c>
      <c r="C1274" s="1" t="s">
        <v>2682</v>
      </c>
      <c r="D1274" s="2">
        <v>46084</v>
      </c>
      <c r="E1274" s="2">
        <v>46094</v>
      </c>
      <c r="F1274" s="1" t="s">
        <v>160</v>
      </c>
      <c r="G1274" s="1" t="s">
        <v>6</v>
      </c>
      <c r="H1274" s="1" t="s">
        <v>726</v>
      </c>
      <c r="I1274" s="7">
        <v>415.09</v>
      </c>
      <c r="J1274" s="1" t="s">
        <v>38</v>
      </c>
      <c r="K1274" s="1"/>
      <c r="L1274" s="1" t="s">
        <v>39</v>
      </c>
      <c r="M1274" s="1" t="str">
        <f>INDEX(MCC_Lookup!$B$2:$B$12,MATCH(G1274,MCC_Lookup!$A$2:$A$12,0))</f>
        <v>Lodging</v>
      </c>
      <c r="N1274" s="1" t="str">
        <f>IF(TRIM(H1274)="","BLANK",IF(PROPER(TRIM(H1274))=TRIM(M1274),"MATCH","MISMATCH"))</f>
        <v>MATCH</v>
      </c>
      <c r="O1274" s="5" t="str">
        <f>INDEX([1]Employee!$C$2:$C$276,MATCH(B1274,[1]Employee!$A$2:$A$276,0))</f>
        <v>Customer Support</v>
      </c>
    </row>
    <row r="1275" spans="1:15">
      <c r="A1275" s="1" t="s">
        <v>2683</v>
      </c>
      <c r="B1275" s="1" t="s">
        <v>382</v>
      </c>
      <c r="C1275" s="1" t="s">
        <v>2684</v>
      </c>
      <c r="D1275" s="2">
        <v>46093</v>
      </c>
      <c r="E1275" s="2">
        <v>46094</v>
      </c>
      <c r="F1275" s="1" t="s">
        <v>47</v>
      </c>
      <c r="G1275" s="1" t="s">
        <v>6</v>
      </c>
      <c r="H1275" s="1" t="s">
        <v>7</v>
      </c>
      <c r="I1275" s="7">
        <v>224.58</v>
      </c>
      <c r="J1275" s="1" t="s">
        <v>38</v>
      </c>
      <c r="K1275" s="1"/>
      <c r="L1275" s="1" t="s">
        <v>39</v>
      </c>
      <c r="M1275" s="1" t="str">
        <f>INDEX(MCC_Lookup!$B$2:$B$12,MATCH(G1275,MCC_Lookup!$A$2:$A$12,0))</f>
        <v>Lodging</v>
      </c>
      <c r="N1275" s="1" t="str">
        <f>IF(TRIM(H1275)="","BLANK",IF(PROPER(TRIM(H1275))=TRIM(M1275),"MATCH","MISMATCH"))</f>
        <v>MATCH</v>
      </c>
      <c r="O1275" s="5" t="str">
        <f>INDEX([1]Employee!$C$2:$C$276,MATCH(B1275,[1]Employee!$A$2:$A$276,0))</f>
        <v>Sales &amp; Marketing</v>
      </c>
    </row>
    <row r="1276" spans="1:15">
      <c r="A1276" s="1" t="s">
        <v>2685</v>
      </c>
      <c r="B1276" s="1" t="s">
        <v>67</v>
      </c>
      <c r="C1276" s="1" t="s">
        <v>2686</v>
      </c>
      <c r="D1276" s="2">
        <v>46088</v>
      </c>
      <c r="E1276" s="2">
        <v>46094</v>
      </c>
      <c r="F1276" s="1" t="s">
        <v>76</v>
      </c>
      <c r="G1276" s="1" t="s">
        <v>13</v>
      </c>
      <c r="H1276" s="1" t="s">
        <v>14</v>
      </c>
      <c r="I1276" s="7">
        <v>359.2</v>
      </c>
      <c r="J1276" s="1" t="s">
        <v>38</v>
      </c>
      <c r="K1276" s="1"/>
      <c r="L1276" s="1" t="s">
        <v>39</v>
      </c>
      <c r="M1276" s="1" t="str">
        <f>INDEX(MCC_Lookup!$B$2:$B$12,MATCH(G1276,MCC_Lookup!$A$2:$A$12,0))</f>
        <v>Software</v>
      </c>
      <c r="N1276" s="1" t="str">
        <f>IF(TRIM(H1276)="","BLANK",IF(PROPER(TRIM(H1276))=TRIM(M1276),"MATCH","MISMATCH"))</f>
        <v>MATCH</v>
      </c>
      <c r="O1276" s="5" t="str">
        <f>INDEX([1]Employee!$C$2:$C$276,MATCH(B1276,[1]Employee!$A$2:$A$276,0))</f>
        <v>Sales &amp; Marketing</v>
      </c>
    </row>
    <row r="1277" spans="1:15">
      <c r="A1277" s="1" t="s">
        <v>2687</v>
      </c>
      <c r="B1277" s="1" t="s">
        <v>175</v>
      </c>
      <c r="C1277" s="1" t="s">
        <v>2688</v>
      </c>
      <c r="D1277" s="2">
        <v>46094</v>
      </c>
      <c r="E1277" s="2">
        <v>46094</v>
      </c>
      <c r="F1277" s="1" t="s">
        <v>56</v>
      </c>
      <c r="G1277" s="1" t="s">
        <v>4</v>
      </c>
      <c r="H1277" s="1" t="s">
        <v>734</v>
      </c>
      <c r="I1277" s="7">
        <v>250.81</v>
      </c>
      <c r="J1277" s="1" t="s">
        <v>38</v>
      </c>
      <c r="K1277" s="1"/>
      <c r="L1277" s="1" t="s">
        <v>39</v>
      </c>
      <c r="M1277" s="1" t="str">
        <f>INDEX(MCC_Lookup!$B$2:$B$12,MATCH(G1277,MCC_Lookup!$A$2:$A$12,0))</f>
        <v>Travel</v>
      </c>
      <c r="N1277" s="1" t="str">
        <f>IF(TRIM(H1277)="","BLANK",IF(PROPER(TRIM(H1277))=TRIM(M1277),"MATCH","MISMATCH"))</f>
        <v>MATCH</v>
      </c>
      <c r="O1277" s="5" t="str">
        <f>INDEX([1]Employee!$C$2:$C$276,MATCH(B1277,[1]Employee!$A$2:$A$276,0))</f>
        <v>Claims</v>
      </c>
    </row>
    <row r="1278" spans="1:15">
      <c r="A1278" s="1" t="s">
        <v>2689</v>
      </c>
      <c r="B1278" s="1" t="s">
        <v>531</v>
      </c>
      <c r="C1278" s="1" t="s">
        <v>2690</v>
      </c>
      <c r="D1278" s="2">
        <v>46084</v>
      </c>
      <c r="E1278" s="2">
        <v>46094</v>
      </c>
      <c r="F1278" s="1" t="s">
        <v>92</v>
      </c>
      <c r="G1278" s="1" t="s">
        <v>10</v>
      </c>
      <c r="H1278" s="1" t="s">
        <v>11</v>
      </c>
      <c r="I1278" s="7">
        <v>97.65</v>
      </c>
      <c r="J1278" s="1" t="s">
        <v>38</v>
      </c>
      <c r="K1278" s="1"/>
      <c r="L1278" s="1" t="s">
        <v>39</v>
      </c>
      <c r="M1278" s="1" t="str">
        <f>INDEX(MCC_Lookup!$B$2:$B$12,MATCH(G1278,MCC_Lookup!$A$2:$A$12,0))</f>
        <v>Office Supplies</v>
      </c>
      <c r="N1278" s="1" t="str">
        <f>IF(TRIM(H1278)="","BLANK",IF(PROPER(TRIM(H1278))=TRIM(M1278),"MATCH","MISMATCH"))</f>
        <v>MATCH</v>
      </c>
      <c r="O1278" s="5" t="str">
        <f>INDEX([1]Employee!$C$2:$C$276,MATCH(B1278,[1]Employee!$A$2:$A$276,0))</f>
        <v>Sales &amp; Marketing</v>
      </c>
    </row>
    <row r="1279" spans="1:15">
      <c r="A1279" s="1" t="s">
        <v>2691</v>
      </c>
      <c r="B1279" s="1" t="s">
        <v>738</v>
      </c>
      <c r="C1279" s="1" t="s">
        <v>2692</v>
      </c>
      <c r="D1279" s="2">
        <v>46084</v>
      </c>
      <c r="E1279" s="2">
        <v>46094</v>
      </c>
      <c r="F1279" s="1" t="s">
        <v>242</v>
      </c>
      <c r="G1279" s="1" t="s">
        <v>13</v>
      </c>
      <c r="H1279" s="1" t="s">
        <v>14</v>
      </c>
      <c r="I1279" s="7">
        <v>18.690000000000001</v>
      </c>
      <c r="J1279" s="1" t="s">
        <v>38</v>
      </c>
      <c r="K1279" s="1"/>
      <c r="L1279" s="1" t="s">
        <v>39</v>
      </c>
      <c r="M1279" s="1" t="str">
        <f>INDEX(MCC_Lookup!$B$2:$B$12,MATCH(G1279,MCC_Lookup!$A$2:$A$12,0))</f>
        <v>Software</v>
      </c>
      <c r="N1279" s="1" t="str">
        <f>IF(TRIM(H1279)="","BLANK",IF(PROPER(TRIM(H1279))=TRIM(M1279),"MATCH","MISMATCH"))</f>
        <v>MATCH</v>
      </c>
      <c r="O1279" s="5" t="str">
        <f>INDEX([1]Employee!$C$2:$C$276,MATCH(B1279,[1]Employee!$A$2:$A$276,0))</f>
        <v>Sales &amp; Marketing</v>
      </c>
    </row>
    <row r="1280" spans="1:15">
      <c r="A1280" s="1" t="s">
        <v>2693</v>
      </c>
      <c r="B1280" s="1" t="s">
        <v>1208</v>
      </c>
      <c r="C1280" s="1"/>
      <c r="D1280" s="2">
        <v>46094</v>
      </c>
      <c r="E1280" s="2">
        <v>46094</v>
      </c>
      <c r="F1280" s="1" t="s">
        <v>177</v>
      </c>
      <c r="G1280" s="1" t="s">
        <v>13</v>
      </c>
      <c r="H1280" s="1" t="s">
        <v>14</v>
      </c>
      <c r="I1280" s="7">
        <v>29.64</v>
      </c>
      <c r="J1280" s="1" t="s">
        <v>38</v>
      </c>
      <c r="K1280" s="1"/>
      <c r="L1280" s="1" t="s">
        <v>39</v>
      </c>
      <c r="M1280" s="1" t="str">
        <f>INDEX(MCC_Lookup!$B$2:$B$12,MATCH(G1280,MCC_Lookup!$A$2:$A$12,0))</f>
        <v>Software</v>
      </c>
      <c r="N1280" s="1" t="str">
        <f>IF(TRIM(H1280)="","BLANK",IF(PROPER(TRIM(H1280))=TRIM(M1280),"MATCH","MISMATCH"))</f>
        <v>MATCH</v>
      </c>
      <c r="O1280" s="5" t="str">
        <f>INDEX([1]Employee!$C$2:$C$276,MATCH(B1280,[1]Employee!$A$2:$A$276,0))</f>
        <v>HR &amp; Events</v>
      </c>
    </row>
    <row r="1281" spans="1:15">
      <c r="A1281" s="1" t="s">
        <v>2694</v>
      </c>
      <c r="B1281" s="1" t="s">
        <v>156</v>
      </c>
      <c r="C1281" s="1" t="s">
        <v>2695</v>
      </c>
      <c r="D1281" s="2">
        <v>46089</v>
      </c>
      <c r="E1281" s="2">
        <v>46094</v>
      </c>
      <c r="F1281" s="1" t="s">
        <v>65</v>
      </c>
      <c r="G1281" s="1" t="s">
        <v>18</v>
      </c>
      <c r="H1281" s="1" t="s">
        <v>312</v>
      </c>
      <c r="I1281" s="7">
        <v>314.39</v>
      </c>
      <c r="J1281" s="1" t="s">
        <v>38</v>
      </c>
      <c r="K1281" s="1"/>
      <c r="L1281" s="1" t="s">
        <v>39</v>
      </c>
      <c r="M1281" s="1" t="str">
        <f>INDEX(MCC_Lookup!$B$2:$B$12,MATCH(G1281,MCC_Lookup!$A$2:$A$12,0))</f>
        <v>Events</v>
      </c>
      <c r="N1281" s="1" t="str">
        <f>IF(TRIM(H1281)="","BLANK",IF(PROPER(TRIM(H1281))=TRIM(M1281),"MATCH","MISMATCH"))</f>
        <v>MATCH</v>
      </c>
      <c r="O1281" s="5" t="str">
        <f>INDEX([1]Employee!$C$2:$C$276,MATCH(B1281,[1]Employee!$A$2:$A$276,0))</f>
        <v>Sales &amp; Marketing</v>
      </c>
    </row>
    <row r="1282" spans="1:15">
      <c r="A1282" s="1" t="s">
        <v>2696</v>
      </c>
      <c r="B1282" s="1" t="s">
        <v>379</v>
      </c>
      <c r="C1282" s="1"/>
      <c r="D1282" s="2">
        <v>46089</v>
      </c>
      <c r="E1282" s="2">
        <v>46094</v>
      </c>
      <c r="F1282" s="1" t="s">
        <v>120</v>
      </c>
      <c r="G1282" s="1" t="s">
        <v>12</v>
      </c>
      <c r="H1282" s="1" t="s">
        <v>11</v>
      </c>
      <c r="I1282" s="7">
        <v>312.55</v>
      </c>
      <c r="J1282" s="1" t="s">
        <v>38</v>
      </c>
      <c r="K1282" s="1"/>
      <c r="L1282" s="1" t="s">
        <v>39</v>
      </c>
      <c r="M1282" s="1" t="str">
        <f>INDEX(MCC_Lookup!$B$2:$B$12,MATCH(G1282,MCC_Lookup!$A$2:$A$12,0))</f>
        <v>Office Supplies</v>
      </c>
      <c r="N1282" s="1" t="str">
        <f>IF(TRIM(H1282)="","BLANK",IF(PROPER(TRIM(H1282))=TRIM(M1282),"MATCH","MISMATCH"))</f>
        <v>MATCH</v>
      </c>
      <c r="O1282" s="5" t="str">
        <f>INDEX([1]Employee!$C$2:$C$276,MATCH(B1282,[1]Employee!$A$2:$A$276,0))</f>
        <v>Sales &amp; Marketing</v>
      </c>
    </row>
    <row r="1283" spans="1:15">
      <c r="A1283" s="1" t="s">
        <v>2697</v>
      </c>
      <c r="B1283" s="1" t="s">
        <v>846</v>
      </c>
      <c r="C1283" s="1" t="s">
        <v>2698</v>
      </c>
      <c r="D1283" s="2">
        <v>46086</v>
      </c>
      <c r="E1283" s="2">
        <v>46094</v>
      </c>
      <c r="F1283" s="1" t="s">
        <v>56</v>
      </c>
      <c r="G1283" s="1" t="s">
        <v>4</v>
      </c>
      <c r="H1283" s="1" t="s">
        <v>5</v>
      </c>
      <c r="I1283" s="7">
        <v>585.84</v>
      </c>
      <c r="J1283" s="1" t="s">
        <v>38</v>
      </c>
      <c r="K1283" s="1"/>
      <c r="L1283" s="1" t="s">
        <v>39</v>
      </c>
      <c r="M1283" s="1" t="str">
        <f>INDEX(MCC_Lookup!$B$2:$B$12,MATCH(G1283,MCC_Lookup!$A$2:$A$12,0))</f>
        <v>Travel</v>
      </c>
      <c r="N1283" s="1" t="str">
        <f>IF(TRIM(H1283)="","BLANK",IF(PROPER(TRIM(H1283))=TRIM(M1283),"MATCH","MISMATCH"))</f>
        <v>MATCH</v>
      </c>
      <c r="O1283" s="5" t="str">
        <f>INDEX([1]Employee!$C$2:$C$276,MATCH(B1283,[1]Employee!$A$2:$A$276,0))</f>
        <v>Sales &amp; Marketing</v>
      </c>
    </row>
    <row r="1284" spans="1:15">
      <c r="A1284" s="1" t="s">
        <v>2699</v>
      </c>
      <c r="B1284" s="1" t="s">
        <v>915</v>
      </c>
      <c r="C1284" s="1" t="s">
        <v>2700</v>
      </c>
      <c r="D1284" s="2">
        <v>46088</v>
      </c>
      <c r="E1284" s="2">
        <v>46094</v>
      </c>
      <c r="F1284" s="1" t="s">
        <v>69</v>
      </c>
      <c r="G1284" s="1" t="s">
        <v>8</v>
      </c>
      <c r="H1284" s="1" t="s">
        <v>9</v>
      </c>
      <c r="I1284" s="7">
        <v>53.5</v>
      </c>
      <c r="J1284" s="1" t="s">
        <v>38</v>
      </c>
      <c r="K1284" s="1"/>
      <c r="L1284" s="1" t="s">
        <v>39</v>
      </c>
      <c r="M1284" s="1" t="str">
        <f>INDEX(MCC_Lookup!$B$2:$B$12,MATCH(G1284,MCC_Lookup!$A$2:$A$12,0))</f>
        <v>Transportation</v>
      </c>
      <c r="N1284" s="1" t="str">
        <f>IF(TRIM(H1284)="","BLANK",IF(PROPER(TRIM(H1284))=TRIM(M1284),"MATCH","MISMATCH"))</f>
        <v>MATCH</v>
      </c>
      <c r="O1284" s="5" t="str">
        <f>INDEX([1]Employee!$C$2:$C$276,MATCH(B1284,[1]Employee!$A$2:$A$276,0))</f>
        <v>Sales &amp; Marketing</v>
      </c>
    </row>
    <row r="1285" spans="1:15">
      <c r="A1285" s="1" t="s">
        <v>2701</v>
      </c>
      <c r="B1285" s="1" t="s">
        <v>595</v>
      </c>
      <c r="C1285" s="1"/>
      <c r="D1285" s="2">
        <v>46084</v>
      </c>
      <c r="E1285" s="2">
        <v>46094</v>
      </c>
      <c r="F1285" s="1" t="s">
        <v>76</v>
      </c>
      <c r="G1285" s="1" t="s">
        <v>13</v>
      </c>
      <c r="H1285" s="1" t="s">
        <v>14</v>
      </c>
      <c r="I1285" s="7">
        <v>535.41</v>
      </c>
      <c r="J1285" s="1" t="s">
        <v>38</v>
      </c>
      <c r="K1285" s="1"/>
      <c r="L1285" s="1" t="s">
        <v>39</v>
      </c>
      <c r="M1285" s="1" t="str">
        <f>INDEX(MCC_Lookup!$B$2:$B$12,MATCH(G1285,MCC_Lookup!$A$2:$A$12,0))</f>
        <v>Software</v>
      </c>
      <c r="N1285" s="1" t="str">
        <f>IF(TRIM(H1285)="","BLANK",IF(PROPER(TRIM(H1285))=TRIM(M1285),"MATCH","MISMATCH"))</f>
        <v>MATCH</v>
      </c>
      <c r="O1285" s="5" t="str">
        <f>INDEX([1]Employee!$C$2:$C$276,MATCH(B1285,[1]Employee!$A$2:$A$276,0))</f>
        <v>Executive &amp; Corporate</v>
      </c>
    </row>
    <row r="1286" spans="1:15">
      <c r="A1286" s="1" t="s">
        <v>2702</v>
      </c>
      <c r="B1286" s="1" t="s">
        <v>108</v>
      </c>
      <c r="C1286" s="1" t="s">
        <v>2703</v>
      </c>
      <c r="D1286" s="2">
        <v>46086</v>
      </c>
      <c r="E1286" s="2">
        <v>46094</v>
      </c>
      <c r="F1286" s="1" t="s">
        <v>47</v>
      </c>
      <c r="G1286" s="1" t="s">
        <v>6</v>
      </c>
      <c r="H1286" s="1" t="s">
        <v>7</v>
      </c>
      <c r="I1286" s="7">
        <v>321.33999999999997</v>
      </c>
      <c r="J1286" s="1" t="s">
        <v>38</v>
      </c>
      <c r="K1286" s="1"/>
      <c r="L1286" s="1" t="s">
        <v>39</v>
      </c>
      <c r="M1286" s="1" t="str">
        <f>INDEX(MCC_Lookup!$B$2:$B$12,MATCH(G1286,MCC_Lookup!$A$2:$A$12,0))</f>
        <v>Lodging</v>
      </c>
      <c r="N1286" s="1" t="str">
        <f>IF(TRIM(H1286)="","BLANK",IF(PROPER(TRIM(H1286))=TRIM(M1286),"MATCH","MISMATCH"))</f>
        <v>MATCH</v>
      </c>
      <c r="O1286" s="5" t="str">
        <f>INDEX([1]Employee!$C$2:$C$276,MATCH(B1286,[1]Employee!$A$2:$A$276,0))</f>
        <v>Sales &amp; Marketing</v>
      </c>
    </row>
    <row r="1287" spans="1:15">
      <c r="A1287" s="1" t="s">
        <v>2704</v>
      </c>
      <c r="B1287" s="1" t="s">
        <v>108</v>
      </c>
      <c r="C1287" s="1" t="s">
        <v>2705</v>
      </c>
      <c r="D1287" s="2">
        <v>46094</v>
      </c>
      <c r="E1287" s="2">
        <v>46094</v>
      </c>
      <c r="F1287" s="1" t="s">
        <v>61</v>
      </c>
      <c r="G1287" s="1" t="s">
        <v>13</v>
      </c>
      <c r="H1287" s="1" t="s">
        <v>14</v>
      </c>
      <c r="I1287" s="7">
        <v>30.49</v>
      </c>
      <c r="J1287" s="1" t="s">
        <v>38</v>
      </c>
      <c r="K1287" s="1"/>
      <c r="L1287" s="1" t="s">
        <v>39</v>
      </c>
      <c r="M1287" s="1" t="str">
        <f>INDEX(MCC_Lookup!$B$2:$B$12,MATCH(G1287,MCC_Lookup!$A$2:$A$12,0))</f>
        <v>Software</v>
      </c>
      <c r="N1287" s="1" t="str">
        <f>IF(TRIM(H1287)="","BLANK",IF(PROPER(TRIM(H1287))=TRIM(M1287),"MATCH","MISMATCH"))</f>
        <v>MATCH</v>
      </c>
      <c r="O1287" s="5" t="str">
        <f>INDEX([1]Employee!$C$2:$C$276,MATCH(B1287,[1]Employee!$A$2:$A$276,0))</f>
        <v>Sales &amp; Marketing</v>
      </c>
    </row>
    <row r="1288" spans="1:15">
      <c r="A1288" s="1" t="s">
        <v>2706</v>
      </c>
      <c r="B1288" s="1" t="s">
        <v>1051</v>
      </c>
      <c r="C1288" s="1" t="s">
        <v>2707</v>
      </c>
      <c r="D1288" s="2">
        <v>46084</v>
      </c>
      <c r="E1288" s="2">
        <v>46094</v>
      </c>
      <c r="F1288" s="1" t="s">
        <v>56</v>
      </c>
      <c r="G1288" s="1" t="s">
        <v>4</v>
      </c>
      <c r="H1288" s="1" t="s">
        <v>16</v>
      </c>
      <c r="I1288" s="7">
        <v>331.51</v>
      </c>
      <c r="J1288" s="1" t="s">
        <v>38</v>
      </c>
      <c r="K1288" s="1"/>
      <c r="L1288" s="1" t="s">
        <v>39</v>
      </c>
      <c r="M1288" s="1" t="str">
        <f>INDEX(MCC_Lookup!$B$2:$B$12,MATCH(G1288,MCC_Lookup!$A$2:$A$12,0))</f>
        <v>Travel</v>
      </c>
      <c r="N1288" s="1" t="str">
        <f>IF(TRIM(H1288)="","BLANK",IF(PROPER(TRIM(H1288))=TRIM(M1288),"MATCH","MISMATCH"))</f>
        <v>MISMATCH</v>
      </c>
      <c r="O1288" s="5" t="str">
        <f>INDEX([1]Employee!$C$2:$C$276,MATCH(B1288,[1]Employee!$A$2:$A$276,0))</f>
        <v>Finance</v>
      </c>
    </row>
    <row r="1289" spans="1:15">
      <c r="A1289" s="1" t="s">
        <v>2708</v>
      </c>
      <c r="B1289" s="1" t="s">
        <v>661</v>
      </c>
      <c r="C1289" s="1" t="s">
        <v>2709</v>
      </c>
      <c r="D1289" s="2">
        <v>46090</v>
      </c>
      <c r="E1289" s="2">
        <v>46095</v>
      </c>
      <c r="F1289" s="1" t="s">
        <v>65</v>
      </c>
      <c r="G1289" s="1" t="s">
        <v>18</v>
      </c>
      <c r="H1289" s="1"/>
      <c r="I1289" s="7">
        <v>542.16999999999996</v>
      </c>
      <c r="J1289" s="1" t="s">
        <v>38</v>
      </c>
      <c r="K1289" s="1"/>
      <c r="L1289" s="1" t="s">
        <v>39</v>
      </c>
      <c r="M1289" s="1" t="str">
        <f>INDEX(MCC_Lookup!$B$2:$B$12,MATCH(G1289,MCC_Lookup!$A$2:$A$12,0))</f>
        <v>Events</v>
      </c>
      <c r="N1289" s="1" t="str">
        <f>IF(TRIM(H1289)="","BLANK",IF(PROPER(TRIM(H1289))=TRIM(M1289),"MATCH","MISMATCH"))</f>
        <v>BLANK</v>
      </c>
      <c r="O1289" s="5" t="str">
        <f>INDEX([1]Employee!$C$2:$C$276,MATCH(B1289,[1]Employee!$A$2:$A$276,0))</f>
        <v>Sales &amp; Marketing</v>
      </c>
    </row>
    <row r="1290" spans="1:15">
      <c r="A1290" s="1" t="s">
        <v>2710</v>
      </c>
      <c r="B1290" s="1" t="s">
        <v>1509</v>
      </c>
      <c r="C1290" s="1" t="s">
        <v>2711</v>
      </c>
      <c r="D1290" s="2">
        <v>46086</v>
      </c>
      <c r="E1290" s="2">
        <v>46095</v>
      </c>
      <c r="F1290" s="1" t="s">
        <v>305</v>
      </c>
      <c r="G1290" s="1" t="s">
        <v>2</v>
      </c>
      <c r="H1290" s="1" t="s">
        <v>3</v>
      </c>
      <c r="I1290" s="7">
        <v>14.37</v>
      </c>
      <c r="J1290" s="1" t="s">
        <v>38</v>
      </c>
      <c r="K1290" s="1"/>
      <c r="L1290" s="1" t="s">
        <v>39</v>
      </c>
      <c r="M1290" s="1" t="str">
        <f>INDEX(MCC_Lookup!$B$2:$B$12,MATCH(G1290,MCC_Lookup!$A$2:$A$12,0))</f>
        <v>Meals</v>
      </c>
      <c r="N1290" s="1" t="str">
        <f>IF(TRIM(H1290)="","BLANK",IF(PROPER(TRIM(H1290))=TRIM(M1290),"MATCH","MISMATCH"))</f>
        <v>MATCH</v>
      </c>
      <c r="O1290" s="5" t="str">
        <f>INDEX([1]Employee!$C$2:$C$276,MATCH(B1290,[1]Employee!$A$2:$A$276,0))</f>
        <v>Claims</v>
      </c>
    </row>
    <row r="1291" spans="1:15">
      <c r="A1291" s="1" t="s">
        <v>2712</v>
      </c>
      <c r="B1291" s="1" t="s">
        <v>836</v>
      </c>
      <c r="C1291" s="1" t="s">
        <v>2713</v>
      </c>
      <c r="D1291" s="2">
        <v>46091</v>
      </c>
      <c r="E1291" s="2">
        <v>46095</v>
      </c>
      <c r="F1291" s="1" t="s">
        <v>92</v>
      </c>
      <c r="G1291" s="1" t="s">
        <v>10</v>
      </c>
      <c r="H1291" s="1" t="s">
        <v>11</v>
      </c>
      <c r="I1291" s="7">
        <v>40.840000000000003</v>
      </c>
      <c r="J1291" s="1" t="s">
        <v>38</v>
      </c>
      <c r="K1291" s="1"/>
      <c r="L1291" s="1" t="s">
        <v>48</v>
      </c>
      <c r="M1291" s="1" t="str">
        <f>INDEX(MCC_Lookup!$B$2:$B$12,MATCH(G1291,MCC_Lookup!$A$2:$A$12,0))</f>
        <v>Office Supplies</v>
      </c>
      <c r="N1291" s="1" t="str">
        <f>IF(TRIM(H1291)="","BLANK",IF(PROPER(TRIM(H1291))=TRIM(M1291),"MATCH","MISMATCH"))</f>
        <v>MATCH</v>
      </c>
      <c r="O1291" s="5" t="str">
        <f>INDEX([1]Employee!$C$2:$C$276,MATCH(B1291,[1]Employee!$A$2:$A$276,0))</f>
        <v>Sales &amp; Marketing</v>
      </c>
    </row>
    <row r="1292" spans="1:15">
      <c r="A1292" s="1" t="s">
        <v>2714</v>
      </c>
      <c r="B1292" s="1" t="s">
        <v>615</v>
      </c>
      <c r="C1292" s="1"/>
      <c r="D1292" s="2">
        <v>46092</v>
      </c>
      <c r="E1292" s="2">
        <v>46095</v>
      </c>
      <c r="F1292" s="1" t="s">
        <v>52</v>
      </c>
      <c r="G1292" s="1" t="s">
        <v>15</v>
      </c>
      <c r="H1292" s="1" t="s">
        <v>16</v>
      </c>
      <c r="I1292" s="7">
        <v>39.590000000000003</v>
      </c>
      <c r="J1292" s="1" t="s">
        <v>111</v>
      </c>
      <c r="K1292" s="1" t="s">
        <v>229</v>
      </c>
      <c r="L1292" s="1" t="s">
        <v>39</v>
      </c>
      <c r="M1292" s="1" t="str">
        <f>INDEX(MCC_Lookup!$B$2:$B$12,MATCH(G1292,MCC_Lookup!$A$2:$A$12,0))</f>
        <v>Entertainment</v>
      </c>
      <c r="N1292" s="1" t="str">
        <f>IF(TRIM(H1292)="","BLANK",IF(PROPER(TRIM(H1292))=TRIM(M1292),"MATCH","MISMATCH"))</f>
        <v>MATCH</v>
      </c>
      <c r="O1292" s="5" t="str">
        <f>INDEX([1]Employee!$C$2:$C$276,MATCH(B1292,[1]Employee!$A$2:$A$276,0))</f>
        <v>Underwriting</v>
      </c>
    </row>
    <row r="1293" spans="1:15">
      <c r="A1293" s="1" t="s">
        <v>2715</v>
      </c>
      <c r="B1293" s="1" t="s">
        <v>550</v>
      </c>
      <c r="C1293" s="1" t="s">
        <v>2716</v>
      </c>
      <c r="D1293" s="2">
        <v>46094</v>
      </c>
      <c r="E1293" s="2">
        <v>46095</v>
      </c>
      <c r="F1293" s="1" t="s">
        <v>347</v>
      </c>
      <c r="G1293" s="1" t="s">
        <v>8</v>
      </c>
      <c r="H1293" s="1" t="s">
        <v>9</v>
      </c>
      <c r="I1293" s="7">
        <v>30.1</v>
      </c>
      <c r="J1293" s="1" t="s">
        <v>38</v>
      </c>
      <c r="K1293" s="1"/>
      <c r="L1293" s="1" t="s">
        <v>39</v>
      </c>
      <c r="M1293" s="1" t="str">
        <f>INDEX(MCC_Lookup!$B$2:$B$12,MATCH(G1293,MCC_Lookup!$A$2:$A$12,0))</f>
        <v>Transportation</v>
      </c>
      <c r="N1293" s="1" t="str">
        <f>IF(TRIM(H1293)="","BLANK",IF(PROPER(TRIM(H1293))=TRIM(M1293),"MATCH","MISMATCH"))</f>
        <v>MATCH</v>
      </c>
      <c r="O1293" s="5" t="str">
        <f>INDEX([1]Employee!$C$2:$C$276,MATCH(B1293,[1]Employee!$A$2:$A$276,0))</f>
        <v>Sales &amp; Marketing</v>
      </c>
    </row>
    <row r="1294" spans="1:15">
      <c r="A1294" s="1" t="s">
        <v>2717</v>
      </c>
      <c r="B1294" s="1" t="s">
        <v>550</v>
      </c>
      <c r="C1294" s="1" t="s">
        <v>2718</v>
      </c>
      <c r="D1294" s="2">
        <v>46088</v>
      </c>
      <c r="E1294" s="2">
        <v>46095</v>
      </c>
      <c r="F1294" s="1" t="s">
        <v>120</v>
      </c>
      <c r="G1294" s="1" t="s">
        <v>12</v>
      </c>
      <c r="H1294" s="1" t="s">
        <v>11</v>
      </c>
      <c r="I1294" s="7">
        <v>79.56</v>
      </c>
      <c r="J1294" s="1" t="s">
        <v>38</v>
      </c>
      <c r="K1294" s="1"/>
      <c r="L1294" s="1" t="s">
        <v>39</v>
      </c>
      <c r="M1294" s="1" t="str">
        <f>INDEX(MCC_Lookup!$B$2:$B$12,MATCH(G1294,MCC_Lookup!$A$2:$A$12,0))</f>
        <v>Office Supplies</v>
      </c>
      <c r="N1294" s="1" t="str">
        <f>IF(TRIM(H1294)="","BLANK",IF(PROPER(TRIM(H1294))=TRIM(M1294),"MATCH","MISMATCH"))</f>
        <v>MATCH</v>
      </c>
      <c r="O1294" s="5" t="str">
        <f>INDEX([1]Employee!$C$2:$C$276,MATCH(B1294,[1]Employee!$A$2:$A$276,0))</f>
        <v>Sales &amp; Marketing</v>
      </c>
    </row>
    <row r="1295" spans="1:15">
      <c r="A1295" s="1" t="s">
        <v>2719</v>
      </c>
      <c r="B1295" s="1" t="s">
        <v>339</v>
      </c>
      <c r="C1295" s="1" t="s">
        <v>2720</v>
      </c>
      <c r="D1295" s="2">
        <v>46092</v>
      </c>
      <c r="E1295" s="2">
        <v>46095</v>
      </c>
      <c r="F1295" s="1" t="s">
        <v>65</v>
      </c>
      <c r="G1295" s="1" t="s">
        <v>18</v>
      </c>
      <c r="H1295" s="1" t="s">
        <v>19</v>
      </c>
      <c r="I1295" s="7">
        <v>438.89</v>
      </c>
      <c r="J1295" s="1" t="s">
        <v>38</v>
      </c>
      <c r="K1295" s="1"/>
      <c r="L1295" s="1" t="s">
        <v>39</v>
      </c>
      <c r="M1295" s="1" t="str">
        <f>INDEX(MCC_Lookup!$B$2:$B$12,MATCH(G1295,MCC_Lookup!$A$2:$A$12,0))</f>
        <v>Events</v>
      </c>
      <c r="N1295" s="1" t="str">
        <f>IF(TRIM(H1295)="","BLANK",IF(PROPER(TRIM(H1295))=TRIM(M1295),"MATCH","MISMATCH"))</f>
        <v>MATCH</v>
      </c>
      <c r="O1295" s="5" t="str">
        <f>INDEX([1]Employee!$C$2:$C$276,MATCH(B1295,[1]Employee!$A$2:$A$276,0))</f>
        <v>Underwriting</v>
      </c>
    </row>
    <row r="1296" spans="1:15">
      <c r="A1296" s="1" t="s">
        <v>2721</v>
      </c>
      <c r="B1296" s="1" t="s">
        <v>300</v>
      </c>
      <c r="C1296" s="1" t="s">
        <v>2722</v>
      </c>
      <c r="D1296" s="2">
        <v>46087</v>
      </c>
      <c r="E1296" s="2">
        <v>46095</v>
      </c>
      <c r="F1296" s="1" t="s">
        <v>65</v>
      </c>
      <c r="G1296" s="1" t="s">
        <v>18</v>
      </c>
      <c r="H1296" s="1" t="s">
        <v>19</v>
      </c>
      <c r="I1296" s="7">
        <v>282.04000000000002</v>
      </c>
      <c r="J1296" s="1" t="s">
        <v>38</v>
      </c>
      <c r="K1296" s="1"/>
      <c r="L1296" s="1" t="s">
        <v>39</v>
      </c>
      <c r="M1296" s="1" t="str">
        <f>INDEX(MCC_Lookup!$B$2:$B$12,MATCH(G1296,MCC_Lookup!$A$2:$A$12,0))</f>
        <v>Events</v>
      </c>
      <c r="N1296" s="1" t="str">
        <f>IF(TRIM(H1296)="","BLANK",IF(PROPER(TRIM(H1296))=TRIM(M1296),"MATCH","MISMATCH"))</f>
        <v>MATCH</v>
      </c>
      <c r="O1296" s="5" t="str">
        <f>INDEX([1]Employee!$C$2:$C$276,MATCH(B1296,[1]Employee!$A$2:$A$276,0))</f>
        <v>Sales &amp; Marketing</v>
      </c>
    </row>
    <row r="1297" spans="1:15">
      <c r="A1297" s="1" t="s">
        <v>2723</v>
      </c>
      <c r="B1297" s="1" t="s">
        <v>71</v>
      </c>
      <c r="C1297" s="1"/>
      <c r="D1297" s="2">
        <v>46086</v>
      </c>
      <c r="E1297" s="2">
        <v>46095</v>
      </c>
      <c r="F1297" s="1" t="s">
        <v>52</v>
      </c>
      <c r="G1297" s="1" t="s">
        <v>15</v>
      </c>
      <c r="H1297" s="1" t="s">
        <v>16</v>
      </c>
      <c r="I1297" s="7">
        <v>21.88</v>
      </c>
      <c r="J1297" s="1" t="s">
        <v>111</v>
      </c>
      <c r="K1297" s="1" t="s">
        <v>229</v>
      </c>
      <c r="L1297" s="1" t="s">
        <v>39</v>
      </c>
      <c r="M1297" s="1" t="str">
        <f>INDEX(MCC_Lookup!$B$2:$B$12,MATCH(G1297,MCC_Lookup!$A$2:$A$12,0))</f>
        <v>Entertainment</v>
      </c>
      <c r="N1297" s="1" t="str">
        <f>IF(TRIM(H1297)="","BLANK",IF(PROPER(TRIM(H1297))=TRIM(M1297),"MATCH","MISMATCH"))</f>
        <v>MATCH</v>
      </c>
      <c r="O1297" s="5" t="str">
        <f>INDEX([1]Employee!$C$2:$C$276,MATCH(B1297,[1]Employee!$A$2:$A$276,0))</f>
        <v>Sales &amp; Marketing</v>
      </c>
    </row>
    <row r="1298" spans="1:15">
      <c r="A1298" s="1" t="s">
        <v>2724</v>
      </c>
      <c r="B1298" s="1" t="s">
        <v>314</v>
      </c>
      <c r="C1298" s="1" t="s">
        <v>2725</v>
      </c>
      <c r="D1298" s="2">
        <v>46088</v>
      </c>
      <c r="E1298" s="2">
        <v>46095</v>
      </c>
      <c r="F1298" s="1" t="s">
        <v>37</v>
      </c>
      <c r="G1298" s="1" t="s">
        <v>4</v>
      </c>
      <c r="H1298" s="1" t="s">
        <v>57</v>
      </c>
      <c r="I1298" s="7">
        <v>244.76</v>
      </c>
      <c r="J1298" s="1" t="s">
        <v>38</v>
      </c>
      <c r="K1298" s="1"/>
      <c r="L1298" s="1" t="s">
        <v>39</v>
      </c>
      <c r="M1298" s="1" t="str">
        <f>INDEX(MCC_Lookup!$B$2:$B$12,MATCH(G1298,MCC_Lookup!$A$2:$A$12,0))</f>
        <v>Travel</v>
      </c>
      <c r="N1298" s="1" t="str">
        <f>IF(TRIM(H1298)="","BLANK",IF(PROPER(TRIM(H1298))=TRIM(M1298),"MATCH","MISMATCH"))</f>
        <v>MATCH</v>
      </c>
      <c r="O1298" s="5" t="str">
        <f>INDEX([1]Employee!$C$2:$C$276,MATCH(B1298,[1]Employee!$A$2:$A$276,0))</f>
        <v>Sales &amp; Marketing</v>
      </c>
    </row>
    <row r="1299" spans="1:15">
      <c r="A1299" s="1" t="s">
        <v>2726</v>
      </c>
      <c r="B1299" s="1" t="s">
        <v>1824</v>
      </c>
      <c r="C1299" s="1" t="s">
        <v>2727</v>
      </c>
      <c r="D1299" s="2">
        <v>46085</v>
      </c>
      <c r="E1299" s="2">
        <v>46095</v>
      </c>
      <c r="F1299" s="1" t="s">
        <v>52</v>
      </c>
      <c r="G1299" s="1" t="s">
        <v>15</v>
      </c>
      <c r="H1299" s="1" t="s">
        <v>16</v>
      </c>
      <c r="I1299" s="7">
        <v>39.76</v>
      </c>
      <c r="J1299" s="1" t="s">
        <v>38</v>
      </c>
      <c r="K1299" s="1"/>
      <c r="L1299" s="1" t="s">
        <v>39</v>
      </c>
      <c r="M1299" s="1" t="str">
        <f>INDEX(MCC_Lookup!$B$2:$B$12,MATCH(G1299,MCC_Lookup!$A$2:$A$12,0))</f>
        <v>Entertainment</v>
      </c>
      <c r="N1299" s="1" t="str">
        <f>IF(TRIM(H1299)="","BLANK",IF(PROPER(TRIM(H1299))=TRIM(M1299),"MATCH","MISMATCH"))</f>
        <v>MATCH</v>
      </c>
      <c r="O1299" s="5" t="str">
        <f>INDEX([1]Employee!$C$2:$C$276,MATCH(B1299,[1]Employee!$A$2:$A$276,0))</f>
        <v>Claims</v>
      </c>
    </row>
    <row r="1300" spans="1:15">
      <c r="A1300" s="1" t="s">
        <v>2728</v>
      </c>
      <c r="B1300" s="1" t="s">
        <v>883</v>
      </c>
      <c r="C1300" s="1" t="s">
        <v>2729</v>
      </c>
      <c r="D1300" s="2">
        <v>46094</v>
      </c>
      <c r="E1300" s="2">
        <v>46095</v>
      </c>
      <c r="F1300" s="1" t="s">
        <v>201</v>
      </c>
      <c r="G1300" s="1" t="s">
        <v>4</v>
      </c>
      <c r="H1300" s="1" t="s">
        <v>5</v>
      </c>
      <c r="I1300" s="7">
        <v>357.37</v>
      </c>
      <c r="J1300" s="1" t="s">
        <v>38</v>
      </c>
      <c r="K1300" s="1"/>
      <c r="L1300" s="1" t="s">
        <v>48</v>
      </c>
      <c r="M1300" s="1" t="str">
        <f>INDEX(MCC_Lookup!$B$2:$B$12,MATCH(G1300,MCC_Lookup!$A$2:$A$12,0))</f>
        <v>Travel</v>
      </c>
      <c r="N1300" s="1" t="str">
        <f>IF(TRIM(H1300)="","BLANK",IF(PROPER(TRIM(H1300))=TRIM(M1300),"MATCH","MISMATCH"))</f>
        <v>MATCH</v>
      </c>
      <c r="O1300" s="5" t="str">
        <f>INDEX([1]Employee!$C$2:$C$276,MATCH(B1300,[1]Employee!$A$2:$A$276,0))</f>
        <v>Actuarial &amp; Risk</v>
      </c>
    </row>
    <row r="1301" spans="1:15">
      <c r="A1301" s="1" t="s">
        <v>2730</v>
      </c>
      <c r="B1301" s="1" t="s">
        <v>203</v>
      </c>
      <c r="C1301" s="1" t="s">
        <v>2731</v>
      </c>
      <c r="D1301" s="2">
        <v>46091</v>
      </c>
      <c r="E1301" s="2">
        <v>46095</v>
      </c>
      <c r="F1301" s="1" t="s">
        <v>56</v>
      </c>
      <c r="G1301" s="1" t="s">
        <v>4</v>
      </c>
      <c r="H1301" s="1" t="s">
        <v>5</v>
      </c>
      <c r="I1301" s="7">
        <v>385.57</v>
      </c>
      <c r="J1301" s="1" t="s">
        <v>38</v>
      </c>
      <c r="K1301" s="1"/>
      <c r="L1301" s="1" t="s">
        <v>39</v>
      </c>
      <c r="M1301" s="1" t="str">
        <f>INDEX(MCC_Lookup!$B$2:$B$12,MATCH(G1301,MCC_Lookup!$A$2:$A$12,0))</f>
        <v>Travel</v>
      </c>
      <c r="N1301" s="1" t="str">
        <f>IF(TRIM(H1301)="","BLANK",IF(PROPER(TRIM(H1301))=TRIM(M1301),"MATCH","MISMATCH"))</f>
        <v>MATCH</v>
      </c>
      <c r="O1301" s="5" t="str">
        <f>INDEX([1]Employee!$C$2:$C$276,MATCH(B1301,[1]Employee!$A$2:$A$276,0))</f>
        <v>Finance</v>
      </c>
    </row>
    <row r="1302" spans="1:15">
      <c r="A1302" s="1" t="s">
        <v>2732</v>
      </c>
      <c r="B1302" s="1" t="s">
        <v>255</v>
      </c>
      <c r="C1302" s="1" t="s">
        <v>2733</v>
      </c>
      <c r="D1302" s="2">
        <v>46093</v>
      </c>
      <c r="E1302" s="2">
        <v>46095</v>
      </c>
      <c r="F1302" s="1" t="s">
        <v>120</v>
      </c>
      <c r="G1302" s="1" t="s">
        <v>12</v>
      </c>
      <c r="H1302" s="1" t="s">
        <v>11</v>
      </c>
      <c r="I1302" s="7">
        <v>103.59</v>
      </c>
      <c r="J1302" s="1" t="s">
        <v>38</v>
      </c>
      <c r="K1302" s="1"/>
      <c r="L1302" s="1" t="s">
        <v>39</v>
      </c>
      <c r="M1302" s="1" t="str">
        <f>INDEX(MCC_Lookup!$B$2:$B$12,MATCH(G1302,MCC_Lookup!$A$2:$A$12,0))</f>
        <v>Office Supplies</v>
      </c>
      <c r="N1302" s="1" t="str">
        <f>IF(TRIM(H1302)="","BLANK",IF(PROPER(TRIM(H1302))=TRIM(M1302),"MATCH","MISMATCH"))</f>
        <v>MATCH</v>
      </c>
      <c r="O1302" s="5" t="str">
        <f>INDEX([1]Employee!$C$2:$C$276,MATCH(B1302,[1]Employee!$A$2:$A$276,0))</f>
        <v>Claims</v>
      </c>
    </row>
    <row r="1303" spans="1:15">
      <c r="A1303" s="1" t="s">
        <v>2734</v>
      </c>
      <c r="B1303" s="1" t="s">
        <v>264</v>
      </c>
      <c r="C1303" s="1" t="s">
        <v>2735</v>
      </c>
      <c r="D1303" s="2">
        <v>46091</v>
      </c>
      <c r="E1303" s="2">
        <v>46095</v>
      </c>
      <c r="F1303" s="1" t="s">
        <v>109</v>
      </c>
      <c r="G1303" s="1" t="s">
        <v>18</v>
      </c>
      <c r="H1303" s="1" t="s">
        <v>19</v>
      </c>
      <c r="I1303" s="7">
        <v>132.59</v>
      </c>
      <c r="J1303" s="1" t="s">
        <v>38</v>
      </c>
      <c r="K1303" s="1"/>
      <c r="L1303" s="1" t="s">
        <v>39</v>
      </c>
      <c r="M1303" s="1" t="str">
        <f>INDEX(MCC_Lookup!$B$2:$B$12,MATCH(G1303,MCC_Lookup!$A$2:$A$12,0))</f>
        <v>Events</v>
      </c>
      <c r="N1303" s="1" t="str">
        <f>IF(TRIM(H1303)="","BLANK",IF(PROPER(TRIM(H1303))=TRIM(M1303),"MATCH","MISMATCH"))</f>
        <v>MATCH</v>
      </c>
      <c r="O1303" s="5" t="str">
        <f>INDEX([1]Employee!$C$2:$C$276,MATCH(B1303,[1]Employee!$A$2:$A$276,0))</f>
        <v>Finance</v>
      </c>
    </row>
    <row r="1304" spans="1:15">
      <c r="A1304" s="1" t="s">
        <v>2736</v>
      </c>
      <c r="B1304" s="1" t="s">
        <v>179</v>
      </c>
      <c r="C1304" s="1" t="s">
        <v>2737</v>
      </c>
      <c r="D1304" s="2">
        <v>46093</v>
      </c>
      <c r="E1304" s="2">
        <v>46095</v>
      </c>
      <c r="F1304" s="1" t="s">
        <v>124</v>
      </c>
      <c r="G1304" s="1" t="s">
        <v>17</v>
      </c>
      <c r="H1304" s="1" t="s">
        <v>1442</v>
      </c>
      <c r="I1304" s="7">
        <v>144.85</v>
      </c>
      <c r="J1304" s="1" t="s">
        <v>38</v>
      </c>
      <c r="K1304" s="1"/>
      <c r="L1304" s="1" t="s">
        <v>48</v>
      </c>
      <c r="M1304" s="1" t="str">
        <f>INDEX(MCC_Lookup!$B$2:$B$12,MATCH(G1304,MCC_Lookup!$A$2:$A$12,0))</f>
        <v>Entertainment</v>
      </c>
      <c r="N1304" s="1" t="str">
        <f>IF(TRIM(H1304)="","BLANK",IF(PROPER(TRIM(H1304))=TRIM(M1304),"MATCH","MISMATCH"))</f>
        <v>MATCH</v>
      </c>
      <c r="O1304" s="5" t="str">
        <f>INDEX([1]Employee!$C$2:$C$276,MATCH(B1304,[1]Employee!$A$2:$A$276,0))</f>
        <v>Claims</v>
      </c>
    </row>
    <row r="1305" spans="1:15">
      <c r="A1305" s="1" t="s">
        <v>2738</v>
      </c>
      <c r="B1305" s="1" t="s">
        <v>67</v>
      </c>
      <c r="C1305" s="1" t="s">
        <v>2739</v>
      </c>
      <c r="D1305" s="2">
        <v>46091</v>
      </c>
      <c r="E1305" s="2">
        <v>46095</v>
      </c>
      <c r="F1305" s="1" t="s">
        <v>109</v>
      </c>
      <c r="G1305" s="1" t="s">
        <v>18</v>
      </c>
      <c r="H1305" s="1" t="s">
        <v>19</v>
      </c>
      <c r="I1305" s="7">
        <v>166</v>
      </c>
      <c r="J1305" s="1" t="s">
        <v>38</v>
      </c>
      <c r="K1305" s="1"/>
      <c r="L1305" s="1" t="s">
        <v>48</v>
      </c>
      <c r="M1305" s="1" t="str">
        <f>INDEX(MCC_Lookup!$B$2:$B$12,MATCH(G1305,MCC_Lookup!$A$2:$A$12,0))</f>
        <v>Events</v>
      </c>
      <c r="N1305" s="1" t="str">
        <f>IF(TRIM(H1305)="","BLANK",IF(PROPER(TRIM(H1305))=TRIM(M1305),"MATCH","MISMATCH"))</f>
        <v>MATCH</v>
      </c>
      <c r="O1305" s="5" t="str">
        <f>INDEX([1]Employee!$C$2:$C$276,MATCH(B1305,[1]Employee!$A$2:$A$276,0))</f>
        <v>Sales &amp; Marketing</v>
      </c>
    </row>
    <row r="1306" spans="1:15">
      <c r="A1306" s="1" t="s">
        <v>2740</v>
      </c>
      <c r="B1306" s="1" t="s">
        <v>149</v>
      </c>
      <c r="C1306" s="1" t="s">
        <v>2741</v>
      </c>
      <c r="D1306" s="2">
        <v>46095</v>
      </c>
      <c r="E1306" s="2">
        <v>46095</v>
      </c>
      <c r="F1306" s="1" t="s">
        <v>95</v>
      </c>
      <c r="G1306" s="1" t="s">
        <v>6</v>
      </c>
      <c r="H1306" s="1" t="s">
        <v>7</v>
      </c>
      <c r="I1306" s="7">
        <v>233.05</v>
      </c>
      <c r="J1306" s="1" t="s">
        <v>38</v>
      </c>
      <c r="K1306" s="1"/>
      <c r="L1306" s="1" t="s">
        <v>39</v>
      </c>
      <c r="M1306" s="1" t="str">
        <f>INDEX(MCC_Lookup!$B$2:$B$12,MATCH(G1306,MCC_Lookup!$A$2:$A$12,0))</f>
        <v>Lodging</v>
      </c>
      <c r="N1306" s="1" t="str">
        <f>IF(TRIM(H1306)="","BLANK",IF(PROPER(TRIM(H1306))=TRIM(M1306),"MATCH","MISMATCH"))</f>
        <v>MATCH</v>
      </c>
      <c r="O1306" s="5" t="str">
        <f>INDEX([1]Employee!$C$2:$C$276,MATCH(B1306,[1]Employee!$A$2:$A$276,0))</f>
        <v>Sales &amp; Marketing</v>
      </c>
    </row>
    <row r="1307" spans="1:15">
      <c r="A1307" s="1" t="s">
        <v>2742</v>
      </c>
      <c r="B1307" s="1" t="s">
        <v>1399</v>
      </c>
      <c r="C1307" s="1"/>
      <c r="D1307" s="2">
        <v>46094</v>
      </c>
      <c r="E1307" s="2">
        <v>46095</v>
      </c>
      <c r="F1307" s="1" t="s">
        <v>242</v>
      </c>
      <c r="G1307" s="1" t="s">
        <v>13</v>
      </c>
      <c r="H1307" s="1" t="s">
        <v>14</v>
      </c>
      <c r="I1307" s="7">
        <v>18.91</v>
      </c>
      <c r="J1307" s="1" t="s">
        <v>111</v>
      </c>
      <c r="K1307" s="1" t="s">
        <v>229</v>
      </c>
      <c r="L1307" s="1" t="s">
        <v>39</v>
      </c>
      <c r="M1307" s="1" t="str">
        <f>INDEX(MCC_Lookup!$B$2:$B$12,MATCH(G1307,MCC_Lookup!$A$2:$A$12,0))</f>
        <v>Software</v>
      </c>
      <c r="N1307" s="1" t="str">
        <f>IF(TRIM(H1307)="","BLANK",IF(PROPER(TRIM(H1307))=TRIM(M1307),"MATCH","MISMATCH"))</f>
        <v>MATCH</v>
      </c>
      <c r="O1307" s="5" t="str">
        <f>INDEX([1]Employee!$C$2:$C$276,MATCH(B1307,[1]Employee!$A$2:$A$276,0))</f>
        <v>Underwriting</v>
      </c>
    </row>
    <row r="1308" spans="1:15">
      <c r="A1308" s="1" t="s">
        <v>2743</v>
      </c>
      <c r="B1308" s="1" t="s">
        <v>364</v>
      </c>
      <c r="C1308" s="1" t="s">
        <v>2744</v>
      </c>
      <c r="D1308" s="2">
        <v>46095</v>
      </c>
      <c r="E1308" s="2">
        <v>46095</v>
      </c>
      <c r="F1308" s="1" t="s">
        <v>347</v>
      </c>
      <c r="G1308" s="1" t="s">
        <v>8</v>
      </c>
      <c r="H1308" s="1"/>
      <c r="I1308" s="7">
        <v>35.82</v>
      </c>
      <c r="J1308" s="1" t="s">
        <v>38</v>
      </c>
      <c r="K1308" s="1"/>
      <c r="L1308" s="1" t="s">
        <v>39</v>
      </c>
      <c r="M1308" s="1" t="str">
        <f>INDEX(MCC_Lookup!$B$2:$B$12,MATCH(G1308,MCC_Lookup!$A$2:$A$12,0))</f>
        <v>Transportation</v>
      </c>
      <c r="N1308" s="1" t="str">
        <f>IF(TRIM(H1308)="","BLANK",IF(PROPER(TRIM(H1308))=TRIM(M1308),"MATCH","MISMATCH"))</f>
        <v>BLANK</v>
      </c>
      <c r="O1308" s="5" t="str">
        <f>INDEX([1]Employee!$C$2:$C$276,MATCH(B1308,[1]Employee!$A$2:$A$276,0))</f>
        <v>Sales &amp; Marketing</v>
      </c>
    </row>
    <row r="1309" spans="1:15">
      <c r="A1309" s="1" t="s">
        <v>2745</v>
      </c>
      <c r="B1309" s="1" t="s">
        <v>673</v>
      </c>
      <c r="C1309" s="1" t="s">
        <v>2746</v>
      </c>
      <c r="D1309" s="2">
        <v>46093</v>
      </c>
      <c r="E1309" s="2">
        <v>46095</v>
      </c>
      <c r="F1309" s="1" t="s">
        <v>61</v>
      </c>
      <c r="G1309" s="1" t="s">
        <v>13</v>
      </c>
      <c r="H1309" s="1" t="s">
        <v>14</v>
      </c>
      <c r="I1309" s="7">
        <v>44.98</v>
      </c>
      <c r="J1309" s="1" t="s">
        <v>38</v>
      </c>
      <c r="K1309" s="1"/>
      <c r="L1309" s="1" t="s">
        <v>39</v>
      </c>
      <c r="M1309" s="1" t="str">
        <f>INDEX(MCC_Lookup!$B$2:$B$12,MATCH(G1309,MCC_Lookup!$A$2:$A$12,0))</f>
        <v>Software</v>
      </c>
      <c r="N1309" s="1" t="str">
        <f>IF(TRIM(H1309)="","BLANK",IF(PROPER(TRIM(H1309))=TRIM(M1309),"MATCH","MISMATCH"))</f>
        <v>MATCH</v>
      </c>
      <c r="O1309" s="5" t="str">
        <f>INDEX([1]Employee!$C$2:$C$276,MATCH(B1309,[1]Employee!$A$2:$A$276,0))</f>
        <v>HR &amp; Events</v>
      </c>
    </row>
    <row r="1310" spans="1:15">
      <c r="A1310" s="1" t="s">
        <v>2747</v>
      </c>
      <c r="B1310" s="1" t="s">
        <v>122</v>
      </c>
      <c r="C1310" s="1" t="s">
        <v>2748</v>
      </c>
      <c r="D1310" s="2">
        <v>46093</v>
      </c>
      <c r="E1310" s="2">
        <v>46095</v>
      </c>
      <c r="F1310" s="1" t="s">
        <v>92</v>
      </c>
      <c r="G1310" s="1" t="s">
        <v>10</v>
      </c>
      <c r="H1310" s="1" t="s">
        <v>11</v>
      </c>
      <c r="I1310" s="7">
        <v>21.42</v>
      </c>
      <c r="J1310" s="1" t="s">
        <v>38</v>
      </c>
      <c r="K1310" s="1"/>
      <c r="L1310" s="1" t="s">
        <v>39</v>
      </c>
      <c r="M1310" s="1" t="str">
        <f>INDEX(MCC_Lookup!$B$2:$B$12,MATCH(G1310,MCC_Lookup!$A$2:$A$12,0))</f>
        <v>Office Supplies</v>
      </c>
      <c r="N1310" s="1" t="str">
        <f>IF(TRIM(H1310)="","BLANK",IF(PROPER(TRIM(H1310))=TRIM(M1310),"MATCH","MISMATCH"))</f>
        <v>MATCH</v>
      </c>
      <c r="O1310" s="5" t="str">
        <f>INDEX([1]Employee!$C$2:$C$276,MATCH(B1310,[1]Employee!$A$2:$A$276,0))</f>
        <v>Sales &amp; Marketing</v>
      </c>
    </row>
    <row r="1311" spans="1:15">
      <c r="A1311" s="1" t="s">
        <v>2749</v>
      </c>
      <c r="B1311" s="1" t="s">
        <v>152</v>
      </c>
      <c r="C1311" s="1" t="s">
        <v>2750</v>
      </c>
      <c r="D1311" s="2">
        <v>46089</v>
      </c>
      <c r="E1311" s="2">
        <v>46096</v>
      </c>
      <c r="F1311" s="1" t="s">
        <v>259</v>
      </c>
      <c r="G1311" s="1" t="s">
        <v>20</v>
      </c>
      <c r="H1311" s="1" t="s">
        <v>19</v>
      </c>
      <c r="I1311" s="7">
        <v>118.86</v>
      </c>
      <c r="J1311" s="1" t="s">
        <v>38</v>
      </c>
      <c r="K1311" s="1"/>
      <c r="L1311" s="1" t="s">
        <v>39</v>
      </c>
      <c r="M1311" s="1" t="str">
        <f>INDEX(MCC_Lookup!$B$2:$B$12,MATCH(G1311,MCC_Lookup!$A$2:$A$12,0))</f>
        <v>Events</v>
      </c>
      <c r="N1311" s="1" t="str">
        <f>IF(TRIM(H1311)="","BLANK",IF(PROPER(TRIM(H1311))=TRIM(M1311),"MATCH","MISMATCH"))</f>
        <v>MATCH</v>
      </c>
      <c r="O1311" s="5" t="str">
        <f>INDEX([1]Employee!$C$2:$C$276,MATCH(B1311,[1]Employee!$A$2:$A$276,0))</f>
        <v>Sales &amp; Marketing</v>
      </c>
    </row>
    <row r="1312" spans="1:15">
      <c r="A1312" s="1" t="s">
        <v>2751</v>
      </c>
      <c r="B1312" s="1" t="s">
        <v>152</v>
      </c>
      <c r="C1312" s="1" t="s">
        <v>2752</v>
      </c>
      <c r="D1312" s="2">
        <v>46089</v>
      </c>
      <c r="E1312" s="2">
        <v>46096</v>
      </c>
      <c r="F1312" s="1" t="s">
        <v>79</v>
      </c>
      <c r="G1312" s="1" t="s">
        <v>13</v>
      </c>
      <c r="H1312" s="1" t="s">
        <v>14</v>
      </c>
      <c r="I1312" s="7">
        <v>181.73</v>
      </c>
      <c r="J1312" s="1" t="s">
        <v>38</v>
      </c>
      <c r="K1312" s="1"/>
      <c r="L1312" s="1" t="s">
        <v>39</v>
      </c>
      <c r="M1312" s="1" t="str">
        <f>INDEX(MCC_Lookup!$B$2:$B$12,MATCH(G1312,MCC_Lookup!$A$2:$A$12,0))</f>
        <v>Software</v>
      </c>
      <c r="N1312" s="1" t="str">
        <f>IF(TRIM(H1312)="","BLANK",IF(PROPER(TRIM(H1312))=TRIM(M1312),"MATCH","MISMATCH"))</f>
        <v>MATCH</v>
      </c>
      <c r="O1312" s="5" t="str">
        <f>INDEX([1]Employee!$C$2:$C$276,MATCH(B1312,[1]Employee!$A$2:$A$276,0))</f>
        <v>Sales &amp; Marketing</v>
      </c>
    </row>
    <row r="1313" spans="1:15">
      <c r="A1313" s="1" t="s">
        <v>2753</v>
      </c>
      <c r="B1313" s="1" t="s">
        <v>199</v>
      </c>
      <c r="C1313" s="1" t="s">
        <v>2754</v>
      </c>
      <c r="D1313" s="2">
        <v>46090</v>
      </c>
      <c r="E1313" s="2">
        <v>46096</v>
      </c>
      <c r="F1313" s="1" t="s">
        <v>120</v>
      </c>
      <c r="G1313" s="1" t="s">
        <v>12</v>
      </c>
      <c r="H1313" s="1" t="s">
        <v>11</v>
      </c>
      <c r="I1313" s="7">
        <v>203.62</v>
      </c>
      <c r="J1313" s="1" t="s">
        <v>38</v>
      </c>
      <c r="K1313" s="1"/>
      <c r="L1313" s="1" t="s">
        <v>48</v>
      </c>
      <c r="M1313" s="1" t="str">
        <f>INDEX(MCC_Lookup!$B$2:$B$12,MATCH(G1313,MCC_Lookup!$A$2:$A$12,0))</f>
        <v>Office Supplies</v>
      </c>
      <c r="N1313" s="1" t="str">
        <f>IF(TRIM(H1313)="","BLANK",IF(PROPER(TRIM(H1313))=TRIM(M1313),"MATCH","MISMATCH"))</f>
        <v>MATCH</v>
      </c>
      <c r="O1313" s="5" t="str">
        <f>INDEX([1]Employee!$C$2:$C$276,MATCH(B1313,[1]Employee!$A$2:$A$276,0))</f>
        <v>Sales &amp; Marketing</v>
      </c>
    </row>
    <row r="1314" spans="1:15">
      <c r="A1314" s="1" t="s">
        <v>2755</v>
      </c>
      <c r="B1314" s="1" t="s">
        <v>104</v>
      </c>
      <c r="C1314" s="1" t="s">
        <v>2756</v>
      </c>
      <c r="D1314" s="2">
        <v>46092</v>
      </c>
      <c r="E1314" s="2">
        <v>46096</v>
      </c>
      <c r="F1314" s="1" t="s">
        <v>43</v>
      </c>
      <c r="G1314" s="1" t="s">
        <v>2</v>
      </c>
      <c r="H1314" s="1" t="s">
        <v>794</v>
      </c>
      <c r="I1314" s="7">
        <v>9.15</v>
      </c>
      <c r="J1314" s="1" t="s">
        <v>38</v>
      </c>
      <c r="K1314" s="1"/>
      <c r="L1314" s="1" t="s">
        <v>39</v>
      </c>
      <c r="M1314" s="1" t="str">
        <f>INDEX(MCC_Lookup!$B$2:$B$12,MATCH(G1314,MCC_Lookup!$A$2:$A$12,0))</f>
        <v>Meals</v>
      </c>
      <c r="N1314" s="1" t="str">
        <f>IF(TRIM(H1314)="","BLANK",IF(PROPER(TRIM(H1314))=TRIM(M1314),"MATCH","MISMATCH"))</f>
        <v>MATCH</v>
      </c>
      <c r="O1314" s="5" t="str">
        <f>INDEX([1]Employee!$C$2:$C$276,MATCH(B1314,[1]Employee!$A$2:$A$276,0))</f>
        <v>Sales &amp; Marketing</v>
      </c>
    </row>
    <row r="1315" spans="1:15">
      <c r="A1315" s="1" t="s">
        <v>2757</v>
      </c>
      <c r="B1315" s="1" t="s">
        <v>821</v>
      </c>
      <c r="C1315" s="1" t="s">
        <v>2758</v>
      </c>
      <c r="D1315" s="2">
        <v>46096</v>
      </c>
      <c r="E1315" s="2">
        <v>46096</v>
      </c>
      <c r="F1315" s="1" t="s">
        <v>92</v>
      </c>
      <c r="G1315" s="1" t="s">
        <v>10</v>
      </c>
      <c r="H1315" s="1" t="s">
        <v>11</v>
      </c>
      <c r="I1315" s="7">
        <v>17.72</v>
      </c>
      <c r="J1315" s="1" t="s">
        <v>38</v>
      </c>
      <c r="K1315" s="1"/>
      <c r="L1315" s="1" t="s">
        <v>39</v>
      </c>
      <c r="M1315" s="1" t="str">
        <f>INDEX(MCC_Lookup!$B$2:$B$12,MATCH(G1315,MCC_Lookup!$A$2:$A$12,0))</f>
        <v>Office Supplies</v>
      </c>
      <c r="N1315" s="1" t="str">
        <f>IF(TRIM(H1315)="","BLANK",IF(PROPER(TRIM(H1315))=TRIM(M1315),"MATCH","MISMATCH"))</f>
        <v>MATCH</v>
      </c>
      <c r="O1315" s="5" t="str">
        <f>INDEX([1]Employee!$C$2:$C$276,MATCH(B1315,[1]Employee!$A$2:$A$276,0))</f>
        <v>Claims</v>
      </c>
    </row>
    <row r="1316" spans="1:15">
      <c r="A1316" s="1" t="s">
        <v>2759</v>
      </c>
      <c r="B1316" s="1" t="s">
        <v>677</v>
      </c>
      <c r="C1316" s="1" t="s">
        <v>2760</v>
      </c>
      <c r="D1316" s="2">
        <v>46096</v>
      </c>
      <c r="E1316" s="2">
        <v>46096</v>
      </c>
      <c r="F1316" s="1" t="s">
        <v>177</v>
      </c>
      <c r="G1316" s="1" t="s">
        <v>13</v>
      </c>
      <c r="H1316" s="1" t="s">
        <v>14</v>
      </c>
      <c r="I1316" s="7">
        <v>58.74</v>
      </c>
      <c r="J1316" s="1" t="s">
        <v>38</v>
      </c>
      <c r="K1316" s="1"/>
      <c r="L1316" s="1" t="s">
        <v>48</v>
      </c>
      <c r="M1316" s="1" t="str">
        <f>INDEX(MCC_Lookup!$B$2:$B$12,MATCH(G1316,MCC_Lookup!$A$2:$A$12,0))</f>
        <v>Software</v>
      </c>
      <c r="N1316" s="1" t="str">
        <f>IF(TRIM(H1316)="","BLANK",IF(PROPER(TRIM(H1316))=TRIM(M1316),"MATCH","MISMATCH"))</f>
        <v>MATCH</v>
      </c>
      <c r="O1316" s="5" t="str">
        <f>INDEX([1]Employee!$C$2:$C$276,MATCH(B1316,[1]Employee!$A$2:$A$276,0))</f>
        <v>Sales &amp; Marketing</v>
      </c>
    </row>
    <row r="1317" spans="1:15">
      <c r="A1317" s="1" t="s">
        <v>2761</v>
      </c>
      <c r="B1317" s="1" t="s">
        <v>1208</v>
      </c>
      <c r="C1317" s="1"/>
      <c r="D1317" s="2">
        <v>46088</v>
      </c>
      <c r="E1317" s="2">
        <v>46096</v>
      </c>
      <c r="F1317" s="1" t="s">
        <v>124</v>
      </c>
      <c r="G1317" s="1" t="s">
        <v>17</v>
      </c>
      <c r="H1317" s="1" t="s">
        <v>16</v>
      </c>
      <c r="I1317" s="7">
        <v>196.81</v>
      </c>
      <c r="J1317" s="1" t="s">
        <v>38</v>
      </c>
      <c r="K1317" s="1"/>
      <c r="L1317" s="1" t="s">
        <v>39</v>
      </c>
      <c r="M1317" s="1" t="str">
        <f>INDEX(MCC_Lookup!$B$2:$B$12,MATCH(G1317,MCC_Lookup!$A$2:$A$12,0))</f>
        <v>Entertainment</v>
      </c>
      <c r="N1317" s="1" t="str">
        <f>IF(TRIM(H1317)="","BLANK",IF(PROPER(TRIM(H1317))=TRIM(M1317),"MATCH","MISMATCH"))</f>
        <v>MATCH</v>
      </c>
      <c r="O1317" s="5" t="str">
        <f>INDEX([1]Employee!$C$2:$C$276,MATCH(B1317,[1]Employee!$A$2:$A$276,0))</f>
        <v>HR &amp; Events</v>
      </c>
    </row>
    <row r="1318" spans="1:15">
      <c r="A1318" s="1" t="s">
        <v>2762</v>
      </c>
      <c r="B1318" s="1" t="s">
        <v>1208</v>
      </c>
      <c r="C1318" s="1" t="s">
        <v>2763</v>
      </c>
      <c r="D1318" s="2">
        <v>46094</v>
      </c>
      <c r="E1318" s="2">
        <v>46096</v>
      </c>
      <c r="F1318" s="1" t="s">
        <v>47</v>
      </c>
      <c r="G1318" s="1" t="s">
        <v>6</v>
      </c>
      <c r="H1318" s="1" t="s">
        <v>7</v>
      </c>
      <c r="I1318" s="7">
        <v>360.46</v>
      </c>
      <c r="J1318" s="1" t="s">
        <v>38</v>
      </c>
      <c r="K1318" s="1"/>
      <c r="L1318" s="1" t="s">
        <v>39</v>
      </c>
      <c r="M1318" s="1" t="str">
        <f>INDEX(MCC_Lookup!$B$2:$B$12,MATCH(G1318,MCC_Lookup!$A$2:$A$12,0))</f>
        <v>Lodging</v>
      </c>
      <c r="N1318" s="1" t="str">
        <f>IF(TRIM(H1318)="","BLANK",IF(PROPER(TRIM(H1318))=TRIM(M1318),"MATCH","MISMATCH"))</f>
        <v>MATCH</v>
      </c>
      <c r="O1318" s="5" t="str">
        <f>INDEX([1]Employee!$C$2:$C$276,MATCH(B1318,[1]Employee!$A$2:$A$276,0))</f>
        <v>HR &amp; Events</v>
      </c>
    </row>
    <row r="1319" spans="1:15">
      <c r="A1319" s="1" t="s">
        <v>2764</v>
      </c>
      <c r="B1319" s="1" t="s">
        <v>59</v>
      </c>
      <c r="C1319" s="1" t="s">
        <v>2765</v>
      </c>
      <c r="D1319" s="2">
        <v>46086</v>
      </c>
      <c r="E1319" s="2">
        <v>46096</v>
      </c>
      <c r="F1319" s="1" t="s">
        <v>95</v>
      </c>
      <c r="G1319" s="1" t="s">
        <v>6</v>
      </c>
      <c r="H1319" s="1" t="s">
        <v>7</v>
      </c>
      <c r="I1319" s="7">
        <v>206.26</v>
      </c>
      <c r="J1319" s="1" t="s">
        <v>38</v>
      </c>
      <c r="K1319" s="1"/>
      <c r="L1319" s="1" t="s">
        <v>39</v>
      </c>
      <c r="M1319" s="1" t="str">
        <f>INDEX(MCC_Lookup!$B$2:$B$12,MATCH(G1319,MCC_Lookup!$A$2:$A$12,0))</f>
        <v>Lodging</v>
      </c>
      <c r="N1319" s="1" t="str">
        <f>IF(TRIM(H1319)="","BLANK",IF(PROPER(TRIM(H1319))=TRIM(M1319),"MATCH","MISMATCH"))</f>
        <v>MATCH</v>
      </c>
      <c r="O1319" s="5" t="str">
        <f>INDEX([1]Employee!$C$2:$C$276,MATCH(B1319,[1]Employee!$A$2:$A$276,0))</f>
        <v>Sales &amp; Marketing</v>
      </c>
    </row>
    <row r="1320" spans="1:15">
      <c r="A1320" s="1" t="s">
        <v>2766</v>
      </c>
      <c r="B1320" s="1" t="s">
        <v>407</v>
      </c>
      <c r="C1320" s="1" t="s">
        <v>2767</v>
      </c>
      <c r="D1320" s="2">
        <v>46091</v>
      </c>
      <c r="E1320" s="2">
        <v>46096</v>
      </c>
      <c r="F1320" s="1" t="s">
        <v>69</v>
      </c>
      <c r="G1320" s="1" t="s">
        <v>8</v>
      </c>
      <c r="H1320" s="1" t="s">
        <v>9</v>
      </c>
      <c r="I1320" s="7">
        <v>41.67</v>
      </c>
      <c r="J1320" s="1" t="s">
        <v>38</v>
      </c>
      <c r="K1320" s="1"/>
      <c r="L1320" s="1" t="s">
        <v>39</v>
      </c>
      <c r="M1320" s="1" t="str">
        <f>INDEX(MCC_Lookup!$B$2:$B$12,MATCH(G1320,MCC_Lookup!$A$2:$A$12,0))</f>
        <v>Transportation</v>
      </c>
      <c r="N1320" s="1" t="str">
        <f>IF(TRIM(H1320)="","BLANK",IF(PROPER(TRIM(H1320))=TRIM(M1320),"MATCH","MISMATCH"))</f>
        <v>MATCH</v>
      </c>
      <c r="O1320" s="5" t="str">
        <f>INDEX([1]Employee!$C$2:$C$276,MATCH(B1320,[1]Employee!$A$2:$A$276,0))</f>
        <v>Executive &amp; Corporate</v>
      </c>
    </row>
    <row r="1321" spans="1:15">
      <c r="A1321" s="1" t="s">
        <v>2768</v>
      </c>
      <c r="B1321" s="1" t="s">
        <v>1188</v>
      </c>
      <c r="C1321" s="1" t="s">
        <v>2769</v>
      </c>
      <c r="D1321" s="2">
        <v>46095</v>
      </c>
      <c r="E1321" s="2">
        <v>46096</v>
      </c>
      <c r="F1321" s="1" t="s">
        <v>173</v>
      </c>
      <c r="G1321" s="1" t="s">
        <v>2</v>
      </c>
      <c r="H1321" s="1" t="s">
        <v>794</v>
      </c>
      <c r="I1321" s="7">
        <v>52.37</v>
      </c>
      <c r="J1321" s="1" t="s">
        <v>38</v>
      </c>
      <c r="K1321" s="1"/>
      <c r="L1321" s="1" t="s">
        <v>39</v>
      </c>
      <c r="M1321" s="1" t="str">
        <f>INDEX(MCC_Lookup!$B$2:$B$12,MATCH(G1321,MCC_Lookup!$A$2:$A$12,0))</f>
        <v>Meals</v>
      </c>
      <c r="N1321" s="1" t="str">
        <f>IF(TRIM(H1321)="","BLANK",IF(PROPER(TRIM(H1321))=TRIM(M1321),"MATCH","MISMATCH"))</f>
        <v>MATCH</v>
      </c>
      <c r="O1321" s="5" t="str">
        <f>INDEX([1]Employee!$C$2:$C$276,MATCH(B1321,[1]Employee!$A$2:$A$276,0))</f>
        <v>Executive &amp; Corporate</v>
      </c>
    </row>
    <row r="1322" spans="1:15">
      <c r="A1322" s="1" t="s">
        <v>2770</v>
      </c>
      <c r="B1322" s="1" t="s">
        <v>129</v>
      </c>
      <c r="C1322" s="1" t="s">
        <v>2771</v>
      </c>
      <c r="D1322" s="2">
        <v>46089</v>
      </c>
      <c r="E1322" s="2">
        <v>46096</v>
      </c>
      <c r="F1322" s="1" t="s">
        <v>347</v>
      </c>
      <c r="G1322" s="1" t="s">
        <v>8</v>
      </c>
      <c r="H1322" s="1" t="s">
        <v>9</v>
      </c>
      <c r="I1322" s="7">
        <v>39.700000000000003</v>
      </c>
      <c r="J1322" s="1" t="s">
        <v>38</v>
      </c>
      <c r="K1322" s="1"/>
      <c r="L1322" s="1" t="s">
        <v>39</v>
      </c>
      <c r="M1322" s="1" t="str">
        <f>INDEX(MCC_Lookup!$B$2:$B$12,MATCH(G1322,MCC_Lookup!$A$2:$A$12,0))</f>
        <v>Transportation</v>
      </c>
      <c r="N1322" s="1" t="str">
        <f>IF(TRIM(H1322)="","BLANK",IF(PROPER(TRIM(H1322))=TRIM(M1322),"MATCH","MISMATCH"))</f>
        <v>MATCH</v>
      </c>
      <c r="O1322" s="5" t="str">
        <f>INDEX([1]Employee!$C$2:$C$276,MATCH(B1322,[1]Employee!$A$2:$A$276,0))</f>
        <v>Sales &amp; Marketing</v>
      </c>
    </row>
    <row r="1323" spans="1:15">
      <c r="A1323" s="1" t="s">
        <v>2772</v>
      </c>
      <c r="B1323" s="1" t="s">
        <v>67</v>
      </c>
      <c r="C1323" s="1" t="s">
        <v>2773</v>
      </c>
      <c r="D1323" s="2">
        <v>46093</v>
      </c>
      <c r="E1323" s="2">
        <v>46096</v>
      </c>
      <c r="F1323" s="1" t="s">
        <v>124</v>
      </c>
      <c r="G1323" s="1" t="s">
        <v>17</v>
      </c>
      <c r="H1323" s="1" t="s">
        <v>16</v>
      </c>
      <c r="I1323" s="7">
        <v>228.5</v>
      </c>
      <c r="J1323" s="1" t="s">
        <v>38</v>
      </c>
      <c r="K1323" s="1"/>
      <c r="L1323" s="1" t="s">
        <v>39</v>
      </c>
      <c r="M1323" s="1" t="str">
        <f>INDEX(MCC_Lookup!$B$2:$B$12,MATCH(G1323,MCC_Lookup!$A$2:$A$12,0))</f>
        <v>Entertainment</v>
      </c>
      <c r="N1323" s="1" t="str">
        <f>IF(TRIM(H1323)="","BLANK",IF(PROPER(TRIM(H1323))=TRIM(M1323),"MATCH","MISMATCH"))</f>
        <v>MATCH</v>
      </c>
      <c r="O1323" s="5" t="str">
        <f>INDEX([1]Employee!$C$2:$C$276,MATCH(B1323,[1]Employee!$A$2:$A$276,0))</f>
        <v>Sales &amp; Marketing</v>
      </c>
    </row>
    <row r="1324" spans="1:15">
      <c r="A1324" s="1" t="s">
        <v>2774</v>
      </c>
      <c r="B1324" s="1" t="s">
        <v>71</v>
      </c>
      <c r="C1324" s="1" t="s">
        <v>2775</v>
      </c>
      <c r="D1324" s="2">
        <v>46094</v>
      </c>
      <c r="E1324" s="2">
        <v>46096</v>
      </c>
      <c r="F1324" s="1" t="s">
        <v>173</v>
      </c>
      <c r="G1324" s="1" t="s">
        <v>2</v>
      </c>
      <c r="H1324" s="1" t="s">
        <v>3</v>
      </c>
      <c r="I1324" s="7">
        <v>54.55</v>
      </c>
      <c r="J1324" s="1" t="s">
        <v>38</v>
      </c>
      <c r="K1324" s="1"/>
      <c r="L1324" s="1" t="s">
        <v>39</v>
      </c>
      <c r="M1324" s="1" t="str">
        <f>INDEX(MCC_Lookup!$B$2:$B$12,MATCH(G1324,MCC_Lookup!$A$2:$A$12,0))</f>
        <v>Meals</v>
      </c>
      <c r="N1324" s="1" t="str">
        <f>IF(TRIM(H1324)="","BLANK",IF(PROPER(TRIM(H1324))=TRIM(M1324),"MATCH","MISMATCH"))</f>
        <v>MATCH</v>
      </c>
      <c r="O1324" s="5" t="str">
        <f>INDEX([1]Employee!$C$2:$C$276,MATCH(B1324,[1]Employee!$A$2:$A$276,0))</f>
        <v>Sales &amp; Marketing</v>
      </c>
    </row>
    <row r="1325" spans="1:15">
      <c r="A1325" s="1" t="s">
        <v>2776</v>
      </c>
      <c r="B1325" s="1" t="s">
        <v>50</v>
      </c>
      <c r="C1325" s="1" t="s">
        <v>2777</v>
      </c>
      <c r="D1325" s="2">
        <v>46090</v>
      </c>
      <c r="E1325" s="2">
        <v>46096</v>
      </c>
      <c r="F1325" s="1" t="s">
        <v>65</v>
      </c>
      <c r="G1325" s="1" t="s">
        <v>18</v>
      </c>
      <c r="H1325" s="1" t="s">
        <v>19</v>
      </c>
      <c r="I1325" s="7">
        <v>176.47</v>
      </c>
      <c r="J1325" s="1" t="s">
        <v>38</v>
      </c>
      <c r="K1325" s="1"/>
      <c r="L1325" s="1" t="s">
        <v>48</v>
      </c>
      <c r="M1325" s="1" t="str">
        <f>INDEX(MCC_Lookup!$B$2:$B$12,MATCH(G1325,MCC_Lookup!$A$2:$A$12,0))</f>
        <v>Events</v>
      </c>
      <c r="N1325" s="1" t="str">
        <f>IF(TRIM(H1325)="","BLANK",IF(PROPER(TRIM(H1325))=TRIM(M1325),"MATCH","MISMATCH"))</f>
        <v>MATCH</v>
      </c>
      <c r="O1325" s="5" t="str">
        <f>INDEX([1]Employee!$C$2:$C$276,MATCH(B1325,[1]Employee!$A$2:$A$276,0))</f>
        <v>Sales &amp; Marketing</v>
      </c>
    </row>
    <row r="1326" spans="1:15">
      <c r="A1326" s="1" t="s">
        <v>2778</v>
      </c>
      <c r="B1326" s="1" t="s">
        <v>207</v>
      </c>
      <c r="C1326" s="1" t="s">
        <v>2779</v>
      </c>
      <c r="D1326" s="2">
        <v>46087</v>
      </c>
      <c r="E1326" s="2">
        <v>46096</v>
      </c>
      <c r="F1326" s="1" t="s">
        <v>347</v>
      </c>
      <c r="G1326" s="1" t="s">
        <v>8</v>
      </c>
      <c r="H1326" s="1"/>
      <c r="I1326" s="7">
        <v>44.53</v>
      </c>
      <c r="J1326" s="1" t="s">
        <v>38</v>
      </c>
      <c r="K1326" s="1"/>
      <c r="L1326" s="1" t="s">
        <v>39</v>
      </c>
      <c r="M1326" s="1" t="str">
        <f>INDEX(MCC_Lookup!$B$2:$B$12,MATCH(G1326,MCC_Lookup!$A$2:$A$12,0))</f>
        <v>Transportation</v>
      </c>
      <c r="N1326" s="1" t="str">
        <f>IF(TRIM(H1326)="","BLANK",IF(PROPER(TRIM(H1326))=TRIM(M1326),"MATCH","MISMATCH"))</f>
        <v>BLANK</v>
      </c>
      <c r="O1326" s="5" t="str">
        <f>INDEX([1]Employee!$C$2:$C$276,MATCH(B1326,[1]Employee!$A$2:$A$276,0))</f>
        <v>Claims</v>
      </c>
    </row>
    <row r="1327" spans="1:15">
      <c r="A1327" s="1" t="s">
        <v>2780</v>
      </c>
      <c r="B1327" s="1" t="s">
        <v>1427</v>
      </c>
      <c r="C1327" s="1" t="s">
        <v>2781</v>
      </c>
      <c r="D1327" s="2">
        <v>46092</v>
      </c>
      <c r="E1327" s="2">
        <v>46097</v>
      </c>
      <c r="F1327" s="1" t="s">
        <v>47</v>
      </c>
      <c r="G1327" s="1" t="s">
        <v>6</v>
      </c>
      <c r="H1327" s="1" t="s">
        <v>7</v>
      </c>
      <c r="I1327" s="7">
        <v>206.39</v>
      </c>
      <c r="J1327" s="1" t="s">
        <v>38</v>
      </c>
      <c r="K1327" s="1"/>
      <c r="L1327" s="1" t="s">
        <v>39</v>
      </c>
      <c r="M1327" s="1" t="str">
        <f>INDEX(MCC_Lookup!$B$2:$B$12,MATCH(G1327,MCC_Lookup!$A$2:$A$12,0))</f>
        <v>Lodging</v>
      </c>
      <c r="N1327" s="1" t="str">
        <f>IF(TRIM(H1327)="","BLANK",IF(PROPER(TRIM(H1327))=TRIM(M1327),"MATCH","MISMATCH"))</f>
        <v>MATCH</v>
      </c>
      <c r="O1327" s="5" t="str">
        <f>INDEX([1]Employee!$C$2:$C$276,MATCH(B1327,[1]Employee!$A$2:$A$276,0))</f>
        <v>Finance</v>
      </c>
    </row>
    <row r="1328" spans="1:15">
      <c r="A1328" s="1" t="s">
        <v>2782</v>
      </c>
      <c r="B1328" s="1" t="s">
        <v>303</v>
      </c>
      <c r="C1328" s="1" t="s">
        <v>2783</v>
      </c>
      <c r="D1328" s="2">
        <v>46092</v>
      </c>
      <c r="E1328" s="2">
        <v>46097</v>
      </c>
      <c r="F1328" s="1" t="s">
        <v>47</v>
      </c>
      <c r="G1328" s="1" t="s">
        <v>6</v>
      </c>
      <c r="H1328" s="1" t="s">
        <v>7</v>
      </c>
      <c r="I1328" s="7">
        <v>340.01</v>
      </c>
      <c r="J1328" s="1" t="s">
        <v>38</v>
      </c>
      <c r="K1328" s="1"/>
      <c r="L1328" s="1" t="s">
        <v>39</v>
      </c>
      <c r="M1328" s="1" t="str">
        <f>INDEX(MCC_Lookup!$B$2:$B$12,MATCH(G1328,MCC_Lookup!$A$2:$A$12,0))</f>
        <v>Lodging</v>
      </c>
      <c r="N1328" s="1" t="str">
        <f>IF(TRIM(H1328)="","BLANK",IF(PROPER(TRIM(H1328))=TRIM(M1328),"MATCH","MISMATCH"))</f>
        <v>MATCH</v>
      </c>
      <c r="O1328" s="5" t="str">
        <f>INDEX([1]Employee!$C$2:$C$276,MATCH(B1328,[1]Employee!$A$2:$A$276,0))</f>
        <v>Sales &amp; Marketing</v>
      </c>
    </row>
    <row r="1329" spans="1:15">
      <c r="A1329" s="1" t="s">
        <v>2784</v>
      </c>
      <c r="B1329" s="1" t="s">
        <v>550</v>
      </c>
      <c r="C1329" s="1" t="s">
        <v>2785</v>
      </c>
      <c r="D1329" s="2">
        <v>46089</v>
      </c>
      <c r="E1329" s="2">
        <v>46097</v>
      </c>
      <c r="F1329" s="1" t="s">
        <v>43</v>
      </c>
      <c r="G1329" s="1" t="s">
        <v>2</v>
      </c>
      <c r="H1329" s="1" t="s">
        <v>3</v>
      </c>
      <c r="I1329" s="7">
        <v>15.49</v>
      </c>
      <c r="J1329" s="1" t="s">
        <v>38</v>
      </c>
      <c r="K1329" s="1"/>
      <c r="L1329" s="1" t="s">
        <v>39</v>
      </c>
      <c r="M1329" s="1" t="str">
        <f>INDEX(MCC_Lookup!$B$2:$B$12,MATCH(G1329,MCC_Lookup!$A$2:$A$12,0))</f>
        <v>Meals</v>
      </c>
      <c r="N1329" s="1" t="str">
        <f>IF(TRIM(H1329)="","BLANK",IF(PROPER(TRIM(H1329))=TRIM(M1329),"MATCH","MISMATCH"))</f>
        <v>MATCH</v>
      </c>
      <c r="O1329" s="5" t="str">
        <f>INDEX([1]Employee!$C$2:$C$276,MATCH(B1329,[1]Employee!$A$2:$A$276,0))</f>
        <v>Sales &amp; Marketing</v>
      </c>
    </row>
    <row r="1330" spans="1:15">
      <c r="A1330" s="1" t="s">
        <v>2786</v>
      </c>
      <c r="B1330" s="1" t="s">
        <v>317</v>
      </c>
      <c r="C1330" s="1" t="s">
        <v>2787</v>
      </c>
      <c r="D1330" s="2">
        <v>46092</v>
      </c>
      <c r="E1330" s="2">
        <v>46097</v>
      </c>
      <c r="F1330" s="1" t="s">
        <v>72</v>
      </c>
      <c r="G1330" s="1" t="s">
        <v>8</v>
      </c>
      <c r="H1330" s="1" t="s">
        <v>9</v>
      </c>
      <c r="I1330" s="7">
        <v>13.53</v>
      </c>
      <c r="J1330" s="1" t="s">
        <v>38</v>
      </c>
      <c r="K1330" s="1"/>
      <c r="L1330" s="1" t="s">
        <v>39</v>
      </c>
      <c r="M1330" s="1" t="str">
        <f>INDEX(MCC_Lookup!$B$2:$B$12,MATCH(G1330,MCC_Lookup!$A$2:$A$12,0))</f>
        <v>Transportation</v>
      </c>
      <c r="N1330" s="1" t="str">
        <f>IF(TRIM(H1330)="","BLANK",IF(PROPER(TRIM(H1330))=TRIM(M1330),"MATCH","MISMATCH"))</f>
        <v>MATCH</v>
      </c>
      <c r="O1330" s="5" t="str">
        <f>INDEX([1]Employee!$C$2:$C$276,MATCH(B1330,[1]Employee!$A$2:$A$276,0))</f>
        <v>Sales &amp; Marketing</v>
      </c>
    </row>
    <row r="1331" spans="1:15">
      <c r="A1331" s="1" t="s">
        <v>2788</v>
      </c>
      <c r="B1331" s="1" t="s">
        <v>190</v>
      </c>
      <c r="C1331" s="1" t="s">
        <v>2789</v>
      </c>
      <c r="D1331" s="2">
        <v>46088</v>
      </c>
      <c r="E1331" s="2">
        <v>46097</v>
      </c>
      <c r="F1331" s="1" t="s">
        <v>124</v>
      </c>
      <c r="G1331" s="1" t="s">
        <v>17</v>
      </c>
      <c r="H1331" s="1" t="s">
        <v>16</v>
      </c>
      <c r="I1331" s="7">
        <v>130.4</v>
      </c>
      <c r="J1331" s="1" t="s">
        <v>38</v>
      </c>
      <c r="K1331" s="1"/>
      <c r="L1331" s="1" t="s">
        <v>39</v>
      </c>
      <c r="M1331" s="1" t="str">
        <f>INDEX(MCC_Lookup!$B$2:$B$12,MATCH(G1331,MCC_Lookup!$A$2:$A$12,0))</f>
        <v>Entertainment</v>
      </c>
      <c r="N1331" s="1" t="str">
        <f>IF(TRIM(H1331)="","BLANK",IF(PROPER(TRIM(H1331))=TRIM(M1331),"MATCH","MISMATCH"))</f>
        <v>MATCH</v>
      </c>
      <c r="O1331" s="5" t="str">
        <f>INDEX([1]Employee!$C$2:$C$276,MATCH(B1331,[1]Employee!$A$2:$A$276,0))</f>
        <v>Sales &amp; Marketing</v>
      </c>
    </row>
    <row r="1332" spans="1:15">
      <c r="A1332" s="1" t="s">
        <v>2790</v>
      </c>
      <c r="B1332" s="1" t="s">
        <v>199</v>
      </c>
      <c r="C1332" s="1"/>
      <c r="D1332" s="2">
        <v>46092</v>
      </c>
      <c r="E1332" s="2">
        <v>46097</v>
      </c>
      <c r="F1332" s="1" t="s">
        <v>56</v>
      </c>
      <c r="G1332" s="1" t="s">
        <v>4</v>
      </c>
      <c r="H1332" s="1" t="s">
        <v>5</v>
      </c>
      <c r="I1332" s="7">
        <v>558.63</v>
      </c>
      <c r="J1332" s="1" t="s">
        <v>111</v>
      </c>
      <c r="K1332" s="1" t="s">
        <v>229</v>
      </c>
      <c r="L1332" s="1" t="s">
        <v>39</v>
      </c>
      <c r="M1332" s="1" t="str">
        <f>INDEX(MCC_Lookup!$B$2:$B$12,MATCH(G1332,MCC_Lookup!$A$2:$A$12,0))</f>
        <v>Travel</v>
      </c>
      <c r="N1332" s="1" t="str">
        <f>IF(TRIM(H1332)="","BLANK",IF(PROPER(TRIM(H1332))=TRIM(M1332),"MATCH","MISMATCH"))</f>
        <v>MATCH</v>
      </c>
      <c r="O1332" s="5" t="str">
        <f>INDEX([1]Employee!$C$2:$C$276,MATCH(B1332,[1]Employee!$A$2:$A$276,0))</f>
        <v>Sales &amp; Marketing</v>
      </c>
    </row>
    <row r="1333" spans="1:15">
      <c r="A1333" s="1" t="s">
        <v>2791</v>
      </c>
      <c r="B1333" s="1" t="s">
        <v>1650</v>
      </c>
      <c r="C1333" s="1" t="s">
        <v>2792</v>
      </c>
      <c r="D1333" s="2">
        <v>46097</v>
      </c>
      <c r="E1333" s="2">
        <v>46097</v>
      </c>
      <c r="F1333" s="1" t="s">
        <v>201</v>
      </c>
      <c r="G1333" s="1" t="s">
        <v>4</v>
      </c>
      <c r="H1333" s="1" t="s">
        <v>5</v>
      </c>
      <c r="I1333" s="7">
        <v>528.64</v>
      </c>
      <c r="J1333" s="1" t="s">
        <v>38</v>
      </c>
      <c r="K1333" s="1"/>
      <c r="L1333" s="1" t="s">
        <v>39</v>
      </c>
      <c r="M1333" s="1" t="str">
        <f>INDEX(MCC_Lookup!$B$2:$B$12,MATCH(G1333,MCC_Lookup!$A$2:$A$12,0))</f>
        <v>Travel</v>
      </c>
      <c r="N1333" s="1" t="str">
        <f>IF(TRIM(H1333)="","BLANK",IF(PROPER(TRIM(H1333))=TRIM(M1333),"MATCH","MISMATCH"))</f>
        <v>MATCH</v>
      </c>
      <c r="O1333" s="5" t="str">
        <f>INDEX([1]Employee!$C$2:$C$276,MATCH(B1333,[1]Employee!$A$2:$A$276,0))</f>
        <v>HR &amp; Events</v>
      </c>
    </row>
    <row r="1334" spans="1:15">
      <c r="A1334" s="1" t="s">
        <v>2793</v>
      </c>
      <c r="B1334" s="1" t="s">
        <v>426</v>
      </c>
      <c r="C1334" s="1" t="s">
        <v>2794</v>
      </c>
      <c r="D1334" s="2">
        <v>46091</v>
      </c>
      <c r="E1334" s="2">
        <v>46097</v>
      </c>
      <c r="F1334" s="1" t="s">
        <v>92</v>
      </c>
      <c r="G1334" s="1" t="s">
        <v>10</v>
      </c>
      <c r="H1334" s="1" t="s">
        <v>11</v>
      </c>
      <c r="I1334" s="7">
        <v>43.11</v>
      </c>
      <c r="J1334" s="1" t="s">
        <v>38</v>
      </c>
      <c r="K1334" s="1"/>
      <c r="L1334" s="1" t="s">
        <v>39</v>
      </c>
      <c r="M1334" s="1" t="str">
        <f>INDEX(MCC_Lookup!$B$2:$B$12,MATCH(G1334,MCC_Lookup!$A$2:$A$12,0))</f>
        <v>Office Supplies</v>
      </c>
      <c r="N1334" s="1" t="str">
        <f>IF(TRIM(H1334)="","BLANK",IF(PROPER(TRIM(H1334))=TRIM(M1334),"MATCH","MISMATCH"))</f>
        <v>MATCH</v>
      </c>
      <c r="O1334" s="5" t="str">
        <f>INDEX([1]Employee!$C$2:$C$276,MATCH(B1334,[1]Employee!$A$2:$A$276,0))</f>
        <v>Sales &amp; Marketing</v>
      </c>
    </row>
    <row r="1335" spans="1:15">
      <c r="A1335" s="1" t="s">
        <v>2795</v>
      </c>
      <c r="B1335" s="1" t="s">
        <v>810</v>
      </c>
      <c r="C1335" s="1" t="s">
        <v>2796</v>
      </c>
      <c r="D1335" s="2">
        <v>46095</v>
      </c>
      <c r="E1335" s="2">
        <v>46097</v>
      </c>
      <c r="F1335" s="1" t="s">
        <v>305</v>
      </c>
      <c r="G1335" s="1" t="s">
        <v>2</v>
      </c>
      <c r="H1335" s="1" t="s">
        <v>3</v>
      </c>
      <c r="I1335" s="7">
        <v>15.89</v>
      </c>
      <c r="J1335" s="1" t="s">
        <v>38</v>
      </c>
      <c r="K1335" s="1"/>
      <c r="L1335" s="1" t="s">
        <v>39</v>
      </c>
      <c r="M1335" s="1" t="str">
        <f>INDEX(MCC_Lookup!$B$2:$B$12,MATCH(G1335,MCC_Lookup!$A$2:$A$12,0))</f>
        <v>Meals</v>
      </c>
      <c r="N1335" s="1" t="str">
        <f>IF(TRIM(H1335)="","BLANK",IF(PROPER(TRIM(H1335))=TRIM(M1335),"MATCH","MISMATCH"))</f>
        <v>MATCH</v>
      </c>
      <c r="O1335" s="5" t="str">
        <f>INDEX([1]Employee!$C$2:$C$276,MATCH(B1335,[1]Employee!$A$2:$A$276,0))</f>
        <v>Sales &amp; Marketing</v>
      </c>
    </row>
    <row r="1336" spans="1:15">
      <c r="A1336" s="1" t="s">
        <v>2797</v>
      </c>
      <c r="B1336" s="1" t="s">
        <v>772</v>
      </c>
      <c r="C1336" s="1" t="s">
        <v>2798</v>
      </c>
      <c r="D1336" s="2">
        <v>46087</v>
      </c>
      <c r="E1336" s="2">
        <v>46097</v>
      </c>
      <c r="F1336" s="1" t="s">
        <v>124</v>
      </c>
      <c r="G1336" s="1" t="s">
        <v>17</v>
      </c>
      <c r="H1336" s="1" t="s">
        <v>16</v>
      </c>
      <c r="I1336" s="7">
        <v>166.5</v>
      </c>
      <c r="J1336" s="1" t="s">
        <v>38</v>
      </c>
      <c r="K1336" s="1"/>
      <c r="L1336" s="1" t="s">
        <v>48</v>
      </c>
      <c r="M1336" s="1" t="str">
        <f>INDEX(MCC_Lookup!$B$2:$B$12,MATCH(G1336,MCC_Lookup!$A$2:$A$12,0))</f>
        <v>Entertainment</v>
      </c>
      <c r="N1336" s="1" t="str">
        <f>IF(TRIM(H1336)="","BLANK",IF(PROPER(TRIM(H1336))=TRIM(M1336),"MATCH","MISMATCH"))</f>
        <v>MATCH</v>
      </c>
      <c r="O1336" s="5" t="str">
        <f>INDEX([1]Employee!$C$2:$C$276,MATCH(B1336,[1]Employee!$A$2:$A$276,0))</f>
        <v>Underwriting</v>
      </c>
    </row>
    <row r="1337" spans="1:15">
      <c r="A1337" s="1" t="s">
        <v>2799</v>
      </c>
      <c r="B1337" s="1" t="s">
        <v>1061</v>
      </c>
      <c r="C1337" s="1" t="s">
        <v>2800</v>
      </c>
      <c r="D1337" s="2">
        <v>46097</v>
      </c>
      <c r="E1337" s="2">
        <v>46097</v>
      </c>
      <c r="F1337" s="1" t="s">
        <v>177</v>
      </c>
      <c r="G1337" s="1" t="s">
        <v>13</v>
      </c>
      <c r="H1337" s="1" t="s">
        <v>14</v>
      </c>
      <c r="I1337" s="7">
        <v>45.76</v>
      </c>
      <c r="J1337" s="1" t="s">
        <v>38</v>
      </c>
      <c r="K1337" s="1"/>
      <c r="L1337" s="1" t="s">
        <v>39</v>
      </c>
      <c r="M1337" s="1" t="str">
        <f>INDEX(MCC_Lookup!$B$2:$B$12,MATCH(G1337,MCC_Lookup!$A$2:$A$12,0))</f>
        <v>Software</v>
      </c>
      <c r="N1337" s="1" t="str">
        <f>IF(TRIM(H1337)="","BLANK",IF(PROPER(TRIM(H1337))=TRIM(M1337),"MATCH","MISMATCH"))</f>
        <v>MATCH</v>
      </c>
      <c r="O1337" s="5" t="str">
        <f>INDEX([1]Employee!$C$2:$C$276,MATCH(B1337,[1]Employee!$A$2:$A$276,0))</f>
        <v>Claims</v>
      </c>
    </row>
    <row r="1338" spans="1:15">
      <c r="A1338" s="1" t="s">
        <v>2801</v>
      </c>
      <c r="B1338" s="1" t="s">
        <v>1509</v>
      </c>
      <c r="C1338" s="1" t="s">
        <v>2802</v>
      </c>
      <c r="D1338" s="2">
        <v>46096</v>
      </c>
      <c r="E1338" s="2">
        <v>46097</v>
      </c>
      <c r="F1338" s="1" t="s">
        <v>99</v>
      </c>
      <c r="G1338" s="1" t="s">
        <v>2</v>
      </c>
      <c r="H1338" s="1" t="s">
        <v>3</v>
      </c>
      <c r="I1338" s="7">
        <v>131.08000000000001</v>
      </c>
      <c r="J1338" s="1" t="s">
        <v>38</v>
      </c>
      <c r="K1338" s="1"/>
      <c r="L1338" s="1" t="s">
        <v>48</v>
      </c>
      <c r="M1338" s="1" t="str">
        <f>INDEX(MCC_Lookup!$B$2:$B$12,MATCH(G1338,MCC_Lookup!$A$2:$A$12,0))</f>
        <v>Meals</v>
      </c>
      <c r="N1338" s="1" t="str">
        <f>IF(TRIM(H1338)="","BLANK",IF(PROPER(TRIM(H1338))=TRIM(M1338),"MATCH","MISMATCH"))</f>
        <v>MATCH</v>
      </c>
      <c r="O1338" s="5" t="str">
        <f>INDEX([1]Employee!$C$2:$C$276,MATCH(B1338,[1]Employee!$A$2:$A$276,0))</f>
        <v>Claims</v>
      </c>
    </row>
    <row r="1339" spans="1:15">
      <c r="A1339" s="1" t="s">
        <v>2803</v>
      </c>
      <c r="B1339" s="1" t="s">
        <v>908</v>
      </c>
      <c r="C1339" s="1" t="s">
        <v>2804</v>
      </c>
      <c r="D1339" s="2">
        <v>46088</v>
      </c>
      <c r="E1339" s="2">
        <v>46097</v>
      </c>
      <c r="F1339" s="1" t="s">
        <v>109</v>
      </c>
      <c r="G1339" s="1" t="s">
        <v>18</v>
      </c>
      <c r="H1339" s="1"/>
      <c r="I1339" s="7">
        <v>235.58</v>
      </c>
      <c r="J1339" s="1" t="s">
        <v>38</v>
      </c>
      <c r="K1339" s="1"/>
      <c r="L1339" s="1" t="s">
        <v>39</v>
      </c>
      <c r="M1339" s="1" t="str">
        <f>INDEX(MCC_Lookup!$B$2:$B$12,MATCH(G1339,MCC_Lookup!$A$2:$A$12,0))</f>
        <v>Events</v>
      </c>
      <c r="N1339" s="1" t="str">
        <f>IF(TRIM(H1339)="","BLANK",IF(PROPER(TRIM(H1339))=TRIM(M1339),"MATCH","MISMATCH"))</f>
        <v>BLANK</v>
      </c>
      <c r="O1339" s="5" t="str">
        <f>INDEX([1]Employee!$C$2:$C$276,MATCH(B1339,[1]Employee!$A$2:$A$276,0))</f>
        <v>Claims</v>
      </c>
    </row>
    <row r="1340" spans="1:15">
      <c r="A1340" s="1" t="s">
        <v>2805</v>
      </c>
      <c r="B1340" s="1" t="s">
        <v>712</v>
      </c>
      <c r="C1340" s="1" t="s">
        <v>2806</v>
      </c>
      <c r="D1340" s="2">
        <v>46088</v>
      </c>
      <c r="E1340" s="2">
        <v>46097</v>
      </c>
      <c r="F1340" s="1" t="s">
        <v>201</v>
      </c>
      <c r="G1340" s="1" t="s">
        <v>4</v>
      </c>
      <c r="H1340" s="1" t="s">
        <v>5</v>
      </c>
      <c r="I1340" s="7">
        <v>674.43</v>
      </c>
      <c r="J1340" s="1" t="s">
        <v>38</v>
      </c>
      <c r="K1340" s="1"/>
      <c r="L1340" s="1" t="s">
        <v>39</v>
      </c>
      <c r="M1340" s="1" t="str">
        <f>INDEX(MCC_Lookup!$B$2:$B$12,MATCH(G1340,MCC_Lookup!$A$2:$A$12,0))</f>
        <v>Travel</v>
      </c>
      <c r="N1340" s="1" t="str">
        <f>IF(TRIM(H1340)="","BLANK",IF(PROPER(TRIM(H1340))=TRIM(M1340),"MATCH","MISMATCH"))</f>
        <v>MATCH</v>
      </c>
      <c r="O1340" s="5" t="str">
        <f>INDEX([1]Employee!$C$2:$C$276,MATCH(B1340,[1]Employee!$A$2:$A$276,0))</f>
        <v>Underwriting</v>
      </c>
    </row>
    <row r="1341" spans="1:15">
      <c r="A1341" s="1" t="s">
        <v>2807</v>
      </c>
      <c r="B1341" s="1" t="s">
        <v>387</v>
      </c>
      <c r="C1341" s="1" t="s">
        <v>2808</v>
      </c>
      <c r="D1341" s="2">
        <v>46094</v>
      </c>
      <c r="E1341" s="2">
        <v>46097</v>
      </c>
      <c r="F1341" s="1" t="s">
        <v>65</v>
      </c>
      <c r="G1341" s="1" t="s">
        <v>18</v>
      </c>
      <c r="H1341" s="1" t="s">
        <v>19</v>
      </c>
      <c r="I1341" s="7">
        <v>286.32</v>
      </c>
      <c r="J1341" s="1" t="s">
        <v>38</v>
      </c>
      <c r="K1341" s="1"/>
      <c r="L1341" s="1" t="s">
        <v>48</v>
      </c>
      <c r="M1341" s="1" t="str">
        <f>INDEX(MCC_Lookup!$B$2:$B$12,MATCH(G1341,MCC_Lookup!$A$2:$A$12,0))</f>
        <v>Events</v>
      </c>
      <c r="N1341" s="1" t="str">
        <f>IF(TRIM(H1341)="","BLANK",IF(PROPER(TRIM(H1341))=TRIM(M1341),"MATCH","MISMATCH"))</f>
        <v>MATCH</v>
      </c>
      <c r="O1341" s="5" t="str">
        <f>INDEX([1]Employee!$C$2:$C$276,MATCH(B1341,[1]Employee!$A$2:$A$276,0))</f>
        <v>IT &amp; Platform Engineering</v>
      </c>
    </row>
    <row r="1342" spans="1:15">
      <c r="A1342" s="1" t="s">
        <v>2809</v>
      </c>
      <c r="B1342" s="1" t="s">
        <v>373</v>
      </c>
      <c r="C1342" s="1" t="s">
        <v>2810</v>
      </c>
      <c r="D1342" s="2">
        <v>46091</v>
      </c>
      <c r="E1342" s="2">
        <v>46097</v>
      </c>
      <c r="F1342" s="1" t="s">
        <v>347</v>
      </c>
      <c r="G1342" s="1" t="s">
        <v>8</v>
      </c>
      <c r="H1342" s="1" t="s">
        <v>9</v>
      </c>
      <c r="I1342" s="7">
        <v>37.43</v>
      </c>
      <c r="J1342" s="1" t="s">
        <v>38</v>
      </c>
      <c r="K1342" s="1"/>
      <c r="L1342" s="1" t="s">
        <v>48</v>
      </c>
      <c r="M1342" s="1" t="str">
        <f>INDEX(MCC_Lookup!$B$2:$B$12,MATCH(G1342,MCC_Lookup!$A$2:$A$12,0))</f>
        <v>Transportation</v>
      </c>
      <c r="N1342" s="1" t="str">
        <f>IF(TRIM(H1342)="","BLANK",IF(PROPER(TRIM(H1342))=TRIM(M1342),"MATCH","MISMATCH"))</f>
        <v>MATCH</v>
      </c>
      <c r="O1342" s="5" t="str">
        <f>INDEX([1]Employee!$C$2:$C$276,MATCH(B1342,[1]Employee!$A$2:$A$276,0))</f>
        <v>Sales &amp; Marketing</v>
      </c>
    </row>
    <row r="1343" spans="1:15">
      <c r="A1343" s="1" t="s">
        <v>2811</v>
      </c>
      <c r="B1343" s="1" t="s">
        <v>2812</v>
      </c>
      <c r="C1343" s="1" t="s">
        <v>2813</v>
      </c>
      <c r="D1343" s="2">
        <v>46090</v>
      </c>
      <c r="E1343" s="2">
        <v>46097</v>
      </c>
      <c r="F1343" s="1" t="s">
        <v>201</v>
      </c>
      <c r="G1343" s="1" t="s">
        <v>4</v>
      </c>
      <c r="H1343" s="1" t="s">
        <v>5</v>
      </c>
      <c r="I1343" s="7">
        <v>532.25</v>
      </c>
      <c r="J1343" s="1" t="s">
        <v>38</v>
      </c>
      <c r="K1343" s="1"/>
      <c r="L1343" s="1" t="s">
        <v>39</v>
      </c>
      <c r="M1343" s="1" t="str">
        <f>INDEX(MCC_Lookup!$B$2:$B$12,MATCH(G1343,MCC_Lookup!$A$2:$A$12,0))</f>
        <v>Travel</v>
      </c>
      <c r="N1343" s="1" t="str">
        <f>IF(TRIM(H1343)="","BLANK",IF(PROPER(TRIM(H1343))=TRIM(M1343),"MATCH","MISMATCH"))</f>
        <v>MATCH</v>
      </c>
      <c r="O1343" s="5" t="str">
        <f>INDEX([1]Employee!$C$2:$C$276,MATCH(B1343,[1]Employee!$A$2:$A$276,0))</f>
        <v>Customer Support</v>
      </c>
    </row>
    <row r="1344" spans="1:15">
      <c r="A1344" s="1" t="s">
        <v>2814</v>
      </c>
      <c r="B1344" s="1" t="s">
        <v>379</v>
      </c>
      <c r="C1344" s="1" t="s">
        <v>2815</v>
      </c>
      <c r="D1344" s="2">
        <v>46089</v>
      </c>
      <c r="E1344" s="2">
        <v>46097</v>
      </c>
      <c r="F1344" s="1" t="s">
        <v>242</v>
      </c>
      <c r="G1344" s="1" t="s">
        <v>13</v>
      </c>
      <c r="H1344" s="1" t="s">
        <v>14</v>
      </c>
      <c r="I1344" s="7">
        <v>33.229999999999997</v>
      </c>
      <c r="J1344" s="1" t="s">
        <v>38</v>
      </c>
      <c r="K1344" s="1"/>
      <c r="L1344" s="1" t="s">
        <v>39</v>
      </c>
      <c r="M1344" s="1" t="str">
        <f>INDEX(MCC_Lookup!$B$2:$B$12,MATCH(G1344,MCC_Lookup!$A$2:$A$12,0))</f>
        <v>Software</v>
      </c>
      <c r="N1344" s="1" t="str">
        <f>IF(TRIM(H1344)="","BLANK",IF(PROPER(TRIM(H1344))=TRIM(M1344),"MATCH","MISMATCH"))</f>
        <v>MATCH</v>
      </c>
      <c r="O1344" s="5" t="str">
        <f>INDEX([1]Employee!$C$2:$C$276,MATCH(B1344,[1]Employee!$A$2:$A$276,0))</f>
        <v>Sales &amp; Marketing</v>
      </c>
    </row>
    <row r="1345" spans="1:15">
      <c r="A1345" s="1" t="s">
        <v>2816</v>
      </c>
      <c r="B1345" s="1" t="s">
        <v>314</v>
      </c>
      <c r="C1345" s="1" t="s">
        <v>2817</v>
      </c>
      <c r="D1345" s="2">
        <v>46091</v>
      </c>
      <c r="E1345" s="2">
        <v>46097</v>
      </c>
      <c r="F1345" s="1" t="s">
        <v>43</v>
      </c>
      <c r="G1345" s="1" t="s">
        <v>2</v>
      </c>
      <c r="H1345" s="1" t="s">
        <v>3</v>
      </c>
      <c r="I1345" s="7">
        <v>14.48</v>
      </c>
      <c r="J1345" s="1" t="s">
        <v>38</v>
      </c>
      <c r="K1345" s="1"/>
      <c r="L1345" s="1" t="s">
        <v>39</v>
      </c>
      <c r="M1345" s="1" t="str">
        <f>INDEX(MCC_Lookup!$B$2:$B$12,MATCH(G1345,MCC_Lookup!$A$2:$A$12,0))</f>
        <v>Meals</v>
      </c>
      <c r="N1345" s="1" t="str">
        <f>IF(TRIM(H1345)="","BLANK",IF(PROPER(TRIM(H1345))=TRIM(M1345),"MATCH","MISMATCH"))</f>
        <v>MATCH</v>
      </c>
      <c r="O1345" s="5" t="str">
        <f>INDEX([1]Employee!$C$2:$C$276,MATCH(B1345,[1]Employee!$A$2:$A$276,0))</f>
        <v>Sales &amp; Marketing</v>
      </c>
    </row>
    <row r="1346" spans="1:15">
      <c r="A1346" s="1" t="s">
        <v>2818</v>
      </c>
      <c r="B1346" s="1" t="s">
        <v>469</v>
      </c>
      <c r="C1346" s="1"/>
      <c r="D1346" s="2">
        <v>46094</v>
      </c>
      <c r="E1346" s="2">
        <v>46097</v>
      </c>
      <c r="F1346" s="1" t="s">
        <v>106</v>
      </c>
      <c r="G1346" s="1" t="s">
        <v>13</v>
      </c>
      <c r="H1346" s="1" t="s">
        <v>14</v>
      </c>
      <c r="I1346" s="7">
        <v>78.42</v>
      </c>
      <c r="J1346" s="1" t="s">
        <v>111</v>
      </c>
      <c r="K1346" s="1" t="s">
        <v>127</v>
      </c>
      <c r="L1346" s="1" t="s">
        <v>39</v>
      </c>
      <c r="M1346" s="1" t="str">
        <f>INDEX(MCC_Lookup!$B$2:$B$12,MATCH(G1346,MCC_Lookup!$A$2:$A$12,0))</f>
        <v>Software</v>
      </c>
      <c r="N1346" s="1" t="str">
        <f>IF(TRIM(H1346)="","BLANK",IF(PROPER(TRIM(H1346))=TRIM(M1346),"MATCH","MISMATCH"))</f>
        <v>MATCH</v>
      </c>
      <c r="O1346" s="5" t="str">
        <f>INDEX([1]Employee!$C$2:$C$276,MATCH(B1346,[1]Employee!$A$2:$A$276,0))</f>
        <v>Sales &amp; Marketing</v>
      </c>
    </row>
    <row r="1347" spans="1:15">
      <c r="A1347" s="1" t="s">
        <v>2819</v>
      </c>
      <c r="B1347" s="1" t="s">
        <v>50</v>
      </c>
      <c r="C1347" s="1" t="s">
        <v>2820</v>
      </c>
      <c r="D1347" s="2">
        <v>46090</v>
      </c>
      <c r="E1347" s="2">
        <v>46097</v>
      </c>
      <c r="F1347" s="1" t="s">
        <v>43</v>
      </c>
      <c r="G1347" s="1" t="s">
        <v>2</v>
      </c>
      <c r="H1347" s="1" t="s">
        <v>3</v>
      </c>
      <c r="I1347" s="7">
        <v>24.17</v>
      </c>
      <c r="J1347" s="1" t="s">
        <v>38</v>
      </c>
      <c r="K1347" s="1"/>
      <c r="L1347" s="1" t="s">
        <v>39</v>
      </c>
      <c r="M1347" s="1" t="str">
        <f>INDEX(MCC_Lookup!$B$2:$B$12,MATCH(G1347,MCC_Lookup!$A$2:$A$12,0))</f>
        <v>Meals</v>
      </c>
      <c r="N1347" s="1" t="str">
        <f>IF(TRIM(H1347)="","BLANK",IF(PROPER(TRIM(H1347))=TRIM(M1347),"MATCH","MISMATCH"))</f>
        <v>MATCH</v>
      </c>
      <c r="O1347" s="5" t="str">
        <f>INDEX([1]Employee!$C$2:$C$276,MATCH(B1347,[1]Employee!$A$2:$A$276,0))</f>
        <v>Sales &amp; Marketing</v>
      </c>
    </row>
    <row r="1348" spans="1:15">
      <c r="A1348" s="1" t="s">
        <v>2821</v>
      </c>
      <c r="B1348" s="1" t="s">
        <v>300</v>
      </c>
      <c r="C1348" s="1" t="s">
        <v>2822</v>
      </c>
      <c r="D1348" s="2">
        <v>46096</v>
      </c>
      <c r="E1348" s="2">
        <v>46098</v>
      </c>
      <c r="F1348" s="1" t="s">
        <v>177</v>
      </c>
      <c r="G1348" s="1" t="s">
        <v>13</v>
      </c>
      <c r="H1348" s="1" t="s">
        <v>14</v>
      </c>
      <c r="I1348" s="7">
        <v>40.130000000000003</v>
      </c>
      <c r="J1348" s="1" t="s">
        <v>38</v>
      </c>
      <c r="K1348" s="1"/>
      <c r="L1348" s="1" t="s">
        <v>39</v>
      </c>
      <c r="M1348" s="1" t="str">
        <f>INDEX(MCC_Lookup!$B$2:$B$12,MATCH(G1348,MCC_Lookup!$A$2:$A$12,0))</f>
        <v>Software</v>
      </c>
      <c r="N1348" s="1" t="str">
        <f>IF(TRIM(H1348)="","BLANK",IF(PROPER(TRIM(H1348))=TRIM(M1348),"MATCH","MISMATCH"))</f>
        <v>MATCH</v>
      </c>
      <c r="O1348" s="5" t="str">
        <f>INDEX([1]Employee!$C$2:$C$276,MATCH(B1348,[1]Employee!$A$2:$A$276,0))</f>
        <v>Sales &amp; Marketing</v>
      </c>
    </row>
    <row r="1349" spans="1:15">
      <c r="A1349" s="1" t="s">
        <v>2823</v>
      </c>
      <c r="B1349" s="1" t="s">
        <v>2824</v>
      </c>
      <c r="C1349" s="1" t="s">
        <v>2825</v>
      </c>
      <c r="D1349" s="2">
        <v>46093</v>
      </c>
      <c r="E1349" s="2">
        <v>46098</v>
      </c>
      <c r="F1349" s="1" t="s">
        <v>120</v>
      </c>
      <c r="G1349" s="1" t="s">
        <v>12</v>
      </c>
      <c r="H1349" s="1" t="s">
        <v>11</v>
      </c>
      <c r="I1349" s="7">
        <v>413.83</v>
      </c>
      <c r="J1349" s="1" t="s">
        <v>38</v>
      </c>
      <c r="K1349" s="1"/>
      <c r="L1349" s="1" t="s">
        <v>39</v>
      </c>
      <c r="M1349" s="1" t="str">
        <f>INDEX(MCC_Lookup!$B$2:$B$12,MATCH(G1349,MCC_Lookup!$A$2:$A$12,0))</f>
        <v>Office Supplies</v>
      </c>
      <c r="N1349" s="1" t="str">
        <f>IF(TRIM(H1349)="","BLANK",IF(PROPER(TRIM(H1349))=TRIM(M1349),"MATCH","MISMATCH"))</f>
        <v>MATCH</v>
      </c>
      <c r="O1349" s="5" t="str">
        <f>INDEX([1]Employee!$C$2:$C$276,MATCH(B1349,[1]Employee!$A$2:$A$276,0))</f>
        <v>Finance</v>
      </c>
    </row>
    <row r="1350" spans="1:15">
      <c r="A1350" s="1" t="s">
        <v>2826</v>
      </c>
      <c r="B1350" s="1" t="s">
        <v>558</v>
      </c>
      <c r="C1350" s="1" t="s">
        <v>2827</v>
      </c>
      <c r="D1350" s="2">
        <v>46098</v>
      </c>
      <c r="E1350" s="2">
        <v>46098</v>
      </c>
      <c r="F1350" s="1" t="s">
        <v>347</v>
      </c>
      <c r="G1350" s="1" t="s">
        <v>8</v>
      </c>
      <c r="H1350" s="1" t="s">
        <v>9</v>
      </c>
      <c r="I1350" s="7">
        <v>24.54</v>
      </c>
      <c r="J1350" s="1" t="s">
        <v>38</v>
      </c>
      <c r="K1350" s="1"/>
      <c r="L1350" s="1" t="s">
        <v>48</v>
      </c>
      <c r="M1350" s="1" t="str">
        <f>INDEX(MCC_Lookup!$B$2:$B$12,MATCH(G1350,MCC_Lookup!$A$2:$A$12,0))</f>
        <v>Transportation</v>
      </c>
      <c r="N1350" s="1" t="str">
        <f>IF(TRIM(H1350)="","BLANK",IF(PROPER(TRIM(H1350))=TRIM(M1350),"MATCH","MISMATCH"))</f>
        <v>MATCH</v>
      </c>
      <c r="O1350" s="5" t="str">
        <f>INDEX([1]Employee!$C$2:$C$276,MATCH(B1350,[1]Employee!$A$2:$A$276,0))</f>
        <v>Claims</v>
      </c>
    </row>
    <row r="1351" spans="1:15">
      <c r="A1351" s="1" t="s">
        <v>2828</v>
      </c>
      <c r="B1351" s="1" t="s">
        <v>789</v>
      </c>
      <c r="C1351" s="1" t="s">
        <v>2829</v>
      </c>
      <c r="D1351" s="2">
        <v>46094</v>
      </c>
      <c r="E1351" s="2">
        <v>46098</v>
      </c>
      <c r="F1351" s="1" t="s">
        <v>106</v>
      </c>
      <c r="G1351" s="1" t="s">
        <v>13</v>
      </c>
      <c r="H1351" s="1" t="s">
        <v>14</v>
      </c>
      <c r="I1351" s="7">
        <v>70.260000000000005</v>
      </c>
      <c r="J1351" s="1" t="s">
        <v>38</v>
      </c>
      <c r="K1351" s="1"/>
      <c r="L1351" s="1" t="s">
        <v>39</v>
      </c>
      <c r="M1351" s="1" t="str">
        <f>INDEX(MCC_Lookup!$B$2:$B$12,MATCH(G1351,MCC_Lookup!$A$2:$A$12,0))</f>
        <v>Software</v>
      </c>
      <c r="N1351" s="1" t="str">
        <f>IF(TRIM(H1351)="","BLANK",IF(PROPER(TRIM(H1351))=TRIM(M1351),"MATCH","MISMATCH"))</f>
        <v>MATCH</v>
      </c>
      <c r="O1351" s="5" t="str">
        <f>INDEX([1]Employee!$C$2:$C$276,MATCH(B1351,[1]Employee!$A$2:$A$276,0))</f>
        <v>Actuarial &amp; Risk</v>
      </c>
    </row>
    <row r="1352" spans="1:15">
      <c r="A1352" s="1" t="s">
        <v>2830</v>
      </c>
      <c r="B1352" s="1" t="s">
        <v>54</v>
      </c>
      <c r="C1352" s="1" t="s">
        <v>2831</v>
      </c>
      <c r="D1352" s="2">
        <v>46091</v>
      </c>
      <c r="E1352" s="2">
        <v>46098</v>
      </c>
      <c r="F1352" s="1" t="s">
        <v>37</v>
      </c>
      <c r="G1352" s="1" t="s">
        <v>4</v>
      </c>
      <c r="H1352" s="1" t="s">
        <v>5</v>
      </c>
      <c r="I1352" s="7">
        <v>396.02</v>
      </c>
      <c r="J1352" s="1" t="s">
        <v>38</v>
      </c>
      <c r="K1352" s="1"/>
      <c r="L1352" s="1" t="s">
        <v>39</v>
      </c>
      <c r="M1352" s="1" t="str">
        <f>INDEX(MCC_Lookup!$B$2:$B$12,MATCH(G1352,MCC_Lookup!$A$2:$A$12,0))</f>
        <v>Travel</v>
      </c>
      <c r="N1352" s="1" t="str">
        <f>IF(TRIM(H1352)="","BLANK",IF(PROPER(TRIM(H1352))=TRIM(M1352),"MATCH","MISMATCH"))</f>
        <v>MATCH</v>
      </c>
      <c r="O1352" s="5" t="str">
        <f>INDEX([1]Employee!$C$2:$C$276,MATCH(B1352,[1]Employee!$A$2:$A$276,0))</f>
        <v>Sales &amp; Marketing</v>
      </c>
    </row>
    <row r="1353" spans="1:15">
      <c r="A1353" s="1" t="s">
        <v>2832</v>
      </c>
      <c r="B1353" s="1" t="s">
        <v>231</v>
      </c>
      <c r="C1353" s="1" t="s">
        <v>2833</v>
      </c>
      <c r="D1353" s="2">
        <v>46096</v>
      </c>
      <c r="E1353" s="2">
        <v>46098</v>
      </c>
      <c r="F1353" s="1" t="s">
        <v>65</v>
      </c>
      <c r="G1353" s="1" t="s">
        <v>18</v>
      </c>
      <c r="H1353" s="1" t="s">
        <v>19</v>
      </c>
      <c r="I1353" s="7">
        <v>79.42</v>
      </c>
      <c r="J1353" s="1" t="s">
        <v>38</v>
      </c>
      <c r="K1353" s="1"/>
      <c r="L1353" s="1" t="s">
        <v>39</v>
      </c>
      <c r="M1353" s="1" t="str">
        <f>INDEX(MCC_Lookup!$B$2:$B$12,MATCH(G1353,MCC_Lookup!$A$2:$A$12,0))</f>
        <v>Events</v>
      </c>
      <c r="N1353" s="1" t="str">
        <f>IF(TRIM(H1353)="","BLANK",IF(PROPER(TRIM(H1353))=TRIM(M1353),"MATCH","MISMATCH"))</f>
        <v>MATCH</v>
      </c>
      <c r="O1353" s="5" t="str">
        <f>INDEX([1]Employee!$C$2:$C$276,MATCH(B1353,[1]Employee!$A$2:$A$276,0))</f>
        <v>Finance</v>
      </c>
    </row>
    <row r="1354" spans="1:15">
      <c r="A1354" s="1" t="s">
        <v>2834</v>
      </c>
      <c r="B1354" s="1" t="s">
        <v>738</v>
      </c>
      <c r="C1354" s="1" t="s">
        <v>2835</v>
      </c>
      <c r="D1354" s="2">
        <v>46093</v>
      </c>
      <c r="E1354" s="2">
        <v>46098</v>
      </c>
      <c r="F1354" s="1" t="s">
        <v>52</v>
      </c>
      <c r="G1354" s="1" t="s">
        <v>15</v>
      </c>
      <c r="H1354" s="1" t="s">
        <v>16</v>
      </c>
      <c r="I1354" s="7">
        <v>30.9</v>
      </c>
      <c r="J1354" s="1" t="s">
        <v>38</v>
      </c>
      <c r="K1354" s="1"/>
      <c r="L1354" s="1" t="s">
        <v>39</v>
      </c>
      <c r="M1354" s="1" t="str">
        <f>INDEX(MCC_Lookup!$B$2:$B$12,MATCH(G1354,MCC_Lookup!$A$2:$A$12,0))</f>
        <v>Entertainment</v>
      </c>
      <c r="N1354" s="1" t="str">
        <f>IF(TRIM(H1354)="","BLANK",IF(PROPER(TRIM(H1354))=TRIM(M1354),"MATCH","MISMATCH"))</f>
        <v>MATCH</v>
      </c>
      <c r="O1354" s="5" t="str">
        <f>INDEX([1]Employee!$C$2:$C$276,MATCH(B1354,[1]Employee!$A$2:$A$276,0))</f>
        <v>Sales &amp; Marketing</v>
      </c>
    </row>
    <row r="1355" spans="1:15">
      <c r="A1355" s="1" t="s">
        <v>2836</v>
      </c>
      <c r="B1355" s="1" t="s">
        <v>738</v>
      </c>
      <c r="C1355" s="1" t="s">
        <v>2837</v>
      </c>
      <c r="D1355" s="2">
        <v>46096</v>
      </c>
      <c r="E1355" s="2">
        <v>46098</v>
      </c>
      <c r="F1355" s="1" t="s">
        <v>69</v>
      </c>
      <c r="G1355" s="1" t="s">
        <v>8</v>
      </c>
      <c r="H1355" s="1" t="s">
        <v>9</v>
      </c>
      <c r="I1355" s="7">
        <v>45.2</v>
      </c>
      <c r="J1355" s="1" t="s">
        <v>38</v>
      </c>
      <c r="K1355" s="1"/>
      <c r="L1355" s="1" t="s">
        <v>39</v>
      </c>
      <c r="M1355" s="1" t="str">
        <f>INDEX(MCC_Lookup!$B$2:$B$12,MATCH(G1355,MCC_Lookup!$A$2:$A$12,0))</f>
        <v>Transportation</v>
      </c>
      <c r="N1355" s="1" t="str">
        <f>IF(TRIM(H1355)="","BLANK",IF(PROPER(TRIM(H1355))=TRIM(M1355),"MATCH","MISMATCH"))</f>
        <v>MATCH</v>
      </c>
      <c r="O1355" s="5" t="str">
        <f>INDEX([1]Employee!$C$2:$C$276,MATCH(B1355,[1]Employee!$A$2:$A$276,0))</f>
        <v>Sales &amp; Marketing</v>
      </c>
    </row>
    <row r="1356" spans="1:15">
      <c r="A1356" s="1" t="s">
        <v>2838</v>
      </c>
      <c r="B1356" s="1" t="s">
        <v>472</v>
      </c>
      <c r="C1356" s="1" t="s">
        <v>2839</v>
      </c>
      <c r="D1356" s="2">
        <v>46090</v>
      </c>
      <c r="E1356" s="2">
        <v>46098</v>
      </c>
      <c r="F1356" s="1" t="s">
        <v>347</v>
      </c>
      <c r="G1356" s="1" t="s">
        <v>8</v>
      </c>
      <c r="H1356" s="1" t="s">
        <v>343</v>
      </c>
      <c r="I1356" s="7">
        <v>25.64</v>
      </c>
      <c r="J1356" s="1" t="s">
        <v>38</v>
      </c>
      <c r="K1356" s="1"/>
      <c r="L1356" s="1" t="s">
        <v>39</v>
      </c>
      <c r="M1356" s="1" t="str">
        <f>INDEX(MCC_Lookup!$B$2:$B$12,MATCH(G1356,MCC_Lookup!$A$2:$A$12,0))</f>
        <v>Transportation</v>
      </c>
      <c r="N1356" s="1" t="str">
        <f>IF(TRIM(H1356)="","BLANK",IF(PROPER(TRIM(H1356))=TRIM(M1356),"MATCH","MISMATCH"))</f>
        <v>MATCH</v>
      </c>
      <c r="O1356" s="5" t="str">
        <f>INDEX([1]Employee!$C$2:$C$276,MATCH(B1356,[1]Employee!$A$2:$A$276,0))</f>
        <v>Sales &amp; Marketing</v>
      </c>
    </row>
    <row r="1357" spans="1:15">
      <c r="A1357" s="1" t="s">
        <v>2840</v>
      </c>
      <c r="B1357" s="1" t="s">
        <v>597</v>
      </c>
      <c r="C1357" s="1"/>
      <c r="D1357" s="2">
        <v>46088</v>
      </c>
      <c r="E1357" s="2">
        <v>46098</v>
      </c>
      <c r="F1357" s="1" t="s">
        <v>347</v>
      </c>
      <c r="G1357" s="1" t="s">
        <v>8</v>
      </c>
      <c r="H1357" s="1" t="s">
        <v>494</v>
      </c>
      <c r="I1357" s="7">
        <v>26.99</v>
      </c>
      <c r="J1357" s="1" t="s">
        <v>111</v>
      </c>
      <c r="K1357" s="1" t="s">
        <v>112</v>
      </c>
      <c r="L1357" s="1" t="s">
        <v>39</v>
      </c>
      <c r="M1357" s="1" t="str">
        <f>INDEX(MCC_Lookup!$B$2:$B$12,MATCH(G1357,MCC_Lookup!$A$2:$A$12,0))</f>
        <v>Transportation</v>
      </c>
      <c r="N1357" s="1" t="str">
        <f>IF(TRIM(H1357)="","BLANK",IF(PROPER(TRIM(H1357))=TRIM(M1357),"MATCH","MISMATCH"))</f>
        <v>MATCH</v>
      </c>
      <c r="O1357" s="5" t="str">
        <f>INDEX([1]Employee!$C$2:$C$276,MATCH(B1357,[1]Employee!$A$2:$A$276,0))</f>
        <v>Sales &amp; Marketing</v>
      </c>
    </row>
    <row r="1358" spans="1:15">
      <c r="A1358" s="1" t="s">
        <v>2841</v>
      </c>
      <c r="B1358" s="1" t="s">
        <v>595</v>
      </c>
      <c r="C1358" s="1" t="s">
        <v>2842</v>
      </c>
      <c r="D1358" s="2">
        <v>46090</v>
      </c>
      <c r="E1358" s="2">
        <v>46098</v>
      </c>
      <c r="F1358" s="1" t="s">
        <v>72</v>
      </c>
      <c r="G1358" s="1" t="s">
        <v>8</v>
      </c>
      <c r="H1358" s="1" t="s">
        <v>9</v>
      </c>
      <c r="I1358" s="7">
        <v>27.49</v>
      </c>
      <c r="J1358" s="1" t="s">
        <v>38</v>
      </c>
      <c r="K1358" s="1"/>
      <c r="L1358" s="1" t="s">
        <v>39</v>
      </c>
      <c r="M1358" s="1" t="str">
        <f>INDEX(MCC_Lookup!$B$2:$B$12,MATCH(G1358,MCC_Lookup!$A$2:$A$12,0))</f>
        <v>Transportation</v>
      </c>
      <c r="N1358" s="1" t="str">
        <f>IF(TRIM(H1358)="","BLANK",IF(PROPER(TRIM(H1358))=TRIM(M1358),"MATCH","MISMATCH"))</f>
        <v>MATCH</v>
      </c>
      <c r="O1358" s="5" t="str">
        <f>INDEX([1]Employee!$C$2:$C$276,MATCH(B1358,[1]Employee!$A$2:$A$276,0))</f>
        <v>Executive &amp; Corporate</v>
      </c>
    </row>
    <row r="1359" spans="1:15">
      <c r="A1359" s="1" t="s">
        <v>2843</v>
      </c>
      <c r="B1359" s="1" t="s">
        <v>1637</v>
      </c>
      <c r="C1359" s="1" t="s">
        <v>2844</v>
      </c>
      <c r="D1359" s="2">
        <v>46092</v>
      </c>
      <c r="E1359" s="2">
        <v>46098</v>
      </c>
      <c r="F1359" s="1" t="s">
        <v>79</v>
      </c>
      <c r="G1359" s="1" t="s">
        <v>13</v>
      </c>
      <c r="H1359" s="1" t="s">
        <v>14</v>
      </c>
      <c r="I1359" s="7">
        <v>123.34</v>
      </c>
      <c r="J1359" s="1" t="s">
        <v>38</v>
      </c>
      <c r="K1359" s="1"/>
      <c r="L1359" s="1" t="s">
        <v>39</v>
      </c>
      <c r="M1359" s="1" t="str">
        <f>INDEX(MCC_Lookup!$B$2:$B$12,MATCH(G1359,MCC_Lookup!$A$2:$A$12,0))</f>
        <v>Software</v>
      </c>
      <c r="N1359" s="1" t="str">
        <f>IF(TRIM(H1359)="","BLANK",IF(PROPER(TRIM(H1359))=TRIM(M1359),"MATCH","MISMATCH"))</f>
        <v>MATCH</v>
      </c>
      <c r="O1359" s="5" t="str">
        <f>INDEX([1]Employee!$C$2:$C$276,MATCH(B1359,[1]Employee!$A$2:$A$276,0))</f>
        <v>Underwriting</v>
      </c>
    </row>
    <row r="1360" spans="1:15">
      <c r="A1360" s="1" t="s">
        <v>2845</v>
      </c>
      <c r="B1360" s="1" t="s">
        <v>199</v>
      </c>
      <c r="C1360" s="1" t="s">
        <v>2846</v>
      </c>
      <c r="D1360" s="2">
        <v>46097</v>
      </c>
      <c r="E1360" s="2">
        <v>46098</v>
      </c>
      <c r="F1360" s="1" t="s">
        <v>65</v>
      </c>
      <c r="G1360" s="1" t="s">
        <v>18</v>
      </c>
      <c r="H1360" s="1" t="s">
        <v>19</v>
      </c>
      <c r="I1360" s="7">
        <v>439.41</v>
      </c>
      <c r="J1360" s="1" t="s">
        <v>38</v>
      </c>
      <c r="K1360" s="1"/>
      <c r="L1360" s="1" t="s">
        <v>48</v>
      </c>
      <c r="M1360" s="1" t="str">
        <f>INDEX(MCC_Lookup!$B$2:$B$12,MATCH(G1360,MCC_Lookup!$A$2:$A$12,0))</f>
        <v>Events</v>
      </c>
      <c r="N1360" s="1" t="str">
        <f>IF(TRIM(H1360)="","BLANK",IF(PROPER(TRIM(H1360))=TRIM(M1360),"MATCH","MISMATCH"))</f>
        <v>MATCH</v>
      </c>
      <c r="O1360" s="5" t="str">
        <f>INDEX([1]Employee!$C$2:$C$276,MATCH(B1360,[1]Employee!$A$2:$A$276,0))</f>
        <v>Sales &amp; Marketing</v>
      </c>
    </row>
    <row r="1361" spans="1:15">
      <c r="A1361" s="1" t="s">
        <v>2847</v>
      </c>
      <c r="B1361" s="1" t="s">
        <v>317</v>
      </c>
      <c r="C1361" s="1" t="s">
        <v>2848</v>
      </c>
      <c r="D1361" s="2">
        <v>46097</v>
      </c>
      <c r="E1361" s="2">
        <v>46098</v>
      </c>
      <c r="F1361" s="1" t="s">
        <v>120</v>
      </c>
      <c r="G1361" s="1" t="s">
        <v>12</v>
      </c>
      <c r="H1361" s="1" t="s">
        <v>11</v>
      </c>
      <c r="I1361" s="7">
        <v>213.13</v>
      </c>
      <c r="J1361" s="1" t="s">
        <v>38</v>
      </c>
      <c r="K1361" s="1"/>
      <c r="L1361" s="1" t="s">
        <v>39</v>
      </c>
      <c r="M1361" s="1" t="str">
        <f>INDEX(MCC_Lookup!$B$2:$B$12,MATCH(G1361,MCC_Lookup!$A$2:$A$12,0))</f>
        <v>Office Supplies</v>
      </c>
      <c r="N1361" s="1" t="str">
        <f>IF(TRIM(H1361)="","BLANK",IF(PROPER(TRIM(H1361))=TRIM(M1361),"MATCH","MISMATCH"))</f>
        <v>MATCH</v>
      </c>
      <c r="O1361" s="5" t="str">
        <f>INDEX([1]Employee!$C$2:$C$276,MATCH(B1361,[1]Employee!$A$2:$A$276,0))</f>
        <v>Sales &amp; Marketing</v>
      </c>
    </row>
    <row r="1362" spans="1:15">
      <c r="A1362" s="1" t="s">
        <v>2849</v>
      </c>
      <c r="B1362" s="1" t="s">
        <v>244</v>
      </c>
      <c r="C1362" s="1" t="s">
        <v>2850</v>
      </c>
      <c r="D1362" s="2">
        <v>46088</v>
      </c>
      <c r="E1362" s="2">
        <v>46098</v>
      </c>
      <c r="F1362" s="1" t="s">
        <v>83</v>
      </c>
      <c r="G1362" s="1" t="s">
        <v>2</v>
      </c>
      <c r="H1362" s="1" t="s">
        <v>3</v>
      </c>
      <c r="I1362" s="7">
        <v>14.55</v>
      </c>
      <c r="J1362" s="1" t="s">
        <v>38</v>
      </c>
      <c r="K1362" s="1"/>
      <c r="L1362" s="1" t="s">
        <v>39</v>
      </c>
      <c r="M1362" s="1" t="str">
        <f>INDEX(MCC_Lookup!$B$2:$B$12,MATCH(G1362,MCC_Lookup!$A$2:$A$12,0))</f>
        <v>Meals</v>
      </c>
      <c r="N1362" s="1" t="str">
        <f>IF(TRIM(H1362)="","BLANK",IF(PROPER(TRIM(H1362))=TRIM(M1362),"MATCH","MISMATCH"))</f>
        <v>MATCH</v>
      </c>
      <c r="O1362" s="5" t="str">
        <f>INDEX([1]Employee!$C$2:$C$276,MATCH(B1362,[1]Employee!$A$2:$A$276,0))</f>
        <v>Sales &amp; Marketing</v>
      </c>
    </row>
    <row r="1363" spans="1:15">
      <c r="A1363" s="1" t="s">
        <v>2851</v>
      </c>
      <c r="B1363" s="1" t="s">
        <v>382</v>
      </c>
      <c r="C1363" s="1" t="s">
        <v>2852</v>
      </c>
      <c r="D1363" s="2">
        <v>46095</v>
      </c>
      <c r="E1363" s="2">
        <v>46099</v>
      </c>
      <c r="F1363" s="1" t="s">
        <v>242</v>
      </c>
      <c r="G1363" s="1" t="s">
        <v>13</v>
      </c>
      <c r="H1363" s="1" t="s">
        <v>14</v>
      </c>
      <c r="I1363" s="7">
        <v>56.09</v>
      </c>
      <c r="J1363" s="1" t="s">
        <v>38</v>
      </c>
      <c r="K1363" s="1"/>
      <c r="L1363" s="1" t="s">
        <v>39</v>
      </c>
      <c r="M1363" s="1" t="str">
        <f>INDEX(MCC_Lookup!$B$2:$B$12,MATCH(G1363,MCC_Lookup!$A$2:$A$12,0))</f>
        <v>Software</v>
      </c>
      <c r="N1363" s="1" t="str">
        <f>IF(TRIM(H1363)="","BLANK",IF(PROPER(TRIM(H1363))=TRIM(M1363),"MATCH","MISMATCH"))</f>
        <v>MATCH</v>
      </c>
      <c r="O1363" s="5" t="str">
        <f>INDEX([1]Employee!$C$2:$C$276,MATCH(B1363,[1]Employee!$A$2:$A$276,0))</f>
        <v>Sales &amp; Marketing</v>
      </c>
    </row>
    <row r="1364" spans="1:15">
      <c r="A1364" s="1" t="s">
        <v>2853</v>
      </c>
      <c r="B1364" s="1" t="s">
        <v>1302</v>
      </c>
      <c r="C1364" s="1" t="s">
        <v>2854</v>
      </c>
      <c r="D1364" s="2">
        <v>46095</v>
      </c>
      <c r="E1364" s="2">
        <v>46099</v>
      </c>
      <c r="F1364" s="1" t="s">
        <v>37</v>
      </c>
      <c r="G1364" s="1" t="s">
        <v>4</v>
      </c>
      <c r="H1364" s="1" t="s">
        <v>5</v>
      </c>
      <c r="I1364" s="7">
        <v>374.21</v>
      </c>
      <c r="J1364" s="1" t="s">
        <v>38</v>
      </c>
      <c r="K1364" s="1"/>
      <c r="L1364" s="1" t="s">
        <v>39</v>
      </c>
      <c r="M1364" s="1" t="str">
        <f>INDEX(MCC_Lookup!$B$2:$B$12,MATCH(G1364,MCC_Lookup!$A$2:$A$12,0))</f>
        <v>Travel</v>
      </c>
      <c r="N1364" s="1" t="str">
        <f>IF(TRIM(H1364)="","BLANK",IF(PROPER(TRIM(H1364))=TRIM(M1364),"MATCH","MISMATCH"))</f>
        <v>MATCH</v>
      </c>
      <c r="O1364" s="5" t="str">
        <f>INDEX([1]Employee!$C$2:$C$276,MATCH(B1364,[1]Employee!$A$2:$A$276,0))</f>
        <v>HR &amp; Events</v>
      </c>
    </row>
    <row r="1365" spans="1:15">
      <c r="A1365" s="1" t="s">
        <v>2855</v>
      </c>
      <c r="B1365" s="1" t="s">
        <v>643</v>
      </c>
      <c r="C1365" s="1"/>
      <c r="D1365" s="2">
        <v>46099</v>
      </c>
      <c r="E1365" s="2">
        <v>46099</v>
      </c>
      <c r="F1365" s="1" t="s">
        <v>259</v>
      </c>
      <c r="G1365" s="1" t="s">
        <v>20</v>
      </c>
      <c r="H1365" s="1" t="s">
        <v>16</v>
      </c>
      <c r="I1365" s="7">
        <v>530.91999999999996</v>
      </c>
      <c r="J1365" s="1" t="s">
        <v>111</v>
      </c>
      <c r="K1365" s="1" t="s">
        <v>161</v>
      </c>
      <c r="L1365" s="1" t="s">
        <v>39</v>
      </c>
      <c r="M1365" s="1" t="str">
        <f>INDEX(MCC_Lookup!$B$2:$B$12,MATCH(G1365,MCC_Lookup!$A$2:$A$12,0))</f>
        <v>Events</v>
      </c>
      <c r="N1365" s="1" t="str">
        <f>IF(TRIM(H1365)="","BLANK",IF(PROPER(TRIM(H1365))=TRIM(M1365),"MATCH","MISMATCH"))</f>
        <v>MISMATCH</v>
      </c>
      <c r="O1365" s="5" t="str">
        <f>INDEX([1]Employee!$C$2:$C$276,MATCH(B1365,[1]Employee!$A$2:$A$276,0))</f>
        <v>Sales &amp; Marketing</v>
      </c>
    </row>
    <row r="1366" spans="1:15">
      <c r="A1366" s="1" t="s">
        <v>2856</v>
      </c>
      <c r="B1366" s="1" t="s">
        <v>267</v>
      </c>
      <c r="C1366" s="1"/>
      <c r="D1366" s="2">
        <v>46097</v>
      </c>
      <c r="E1366" s="2">
        <v>46099</v>
      </c>
      <c r="F1366" s="1" t="s">
        <v>109</v>
      </c>
      <c r="G1366" s="1" t="s">
        <v>18</v>
      </c>
      <c r="H1366" s="1" t="s">
        <v>19</v>
      </c>
      <c r="I1366" s="7">
        <v>148.82</v>
      </c>
      <c r="J1366" s="1" t="s">
        <v>38</v>
      </c>
      <c r="K1366" s="1"/>
      <c r="L1366" s="1" t="s">
        <v>48</v>
      </c>
      <c r="M1366" s="1" t="str">
        <f>INDEX(MCC_Lookup!$B$2:$B$12,MATCH(G1366,MCC_Lookup!$A$2:$A$12,0))</f>
        <v>Events</v>
      </c>
      <c r="N1366" s="1" t="str">
        <f>IF(TRIM(H1366)="","BLANK",IF(PROPER(TRIM(H1366))=TRIM(M1366),"MATCH","MISMATCH"))</f>
        <v>MATCH</v>
      </c>
      <c r="O1366" s="5" t="str">
        <f>INDEX([1]Employee!$C$2:$C$276,MATCH(B1366,[1]Employee!$A$2:$A$276,0))</f>
        <v>Claims</v>
      </c>
    </row>
    <row r="1367" spans="1:15">
      <c r="A1367" s="1" t="s">
        <v>2857</v>
      </c>
      <c r="B1367" s="1" t="s">
        <v>836</v>
      </c>
      <c r="C1367" s="1" t="s">
        <v>2858</v>
      </c>
      <c r="D1367" s="2">
        <v>46093</v>
      </c>
      <c r="E1367" s="2">
        <v>46099</v>
      </c>
      <c r="F1367" s="1" t="s">
        <v>109</v>
      </c>
      <c r="G1367" s="1" t="s">
        <v>18</v>
      </c>
      <c r="H1367" s="1"/>
      <c r="I1367" s="7">
        <v>166.57</v>
      </c>
      <c r="J1367" s="1" t="s">
        <v>38</v>
      </c>
      <c r="K1367" s="1"/>
      <c r="L1367" s="1" t="s">
        <v>39</v>
      </c>
      <c r="M1367" s="1" t="str">
        <f>INDEX(MCC_Lookup!$B$2:$B$12,MATCH(G1367,MCC_Lookup!$A$2:$A$12,0))</f>
        <v>Events</v>
      </c>
      <c r="N1367" s="1" t="str">
        <f>IF(TRIM(H1367)="","BLANK",IF(PROPER(TRIM(H1367))=TRIM(M1367),"MATCH","MISMATCH"))</f>
        <v>BLANK</v>
      </c>
      <c r="O1367" s="5" t="str">
        <f>INDEX([1]Employee!$C$2:$C$276,MATCH(B1367,[1]Employee!$A$2:$A$276,0))</f>
        <v>Sales &amp; Marketing</v>
      </c>
    </row>
    <row r="1368" spans="1:15">
      <c r="A1368" s="1" t="s">
        <v>2859</v>
      </c>
      <c r="B1368" s="1" t="s">
        <v>469</v>
      </c>
      <c r="C1368" s="1"/>
      <c r="D1368" s="2">
        <v>46098</v>
      </c>
      <c r="E1368" s="2">
        <v>46099</v>
      </c>
      <c r="F1368" s="1" t="s">
        <v>83</v>
      </c>
      <c r="G1368" s="1" t="s">
        <v>2</v>
      </c>
      <c r="H1368" s="1" t="s">
        <v>3</v>
      </c>
      <c r="I1368" s="7">
        <v>18.09</v>
      </c>
      <c r="J1368" s="1" t="s">
        <v>111</v>
      </c>
      <c r="K1368" s="1" t="s">
        <v>127</v>
      </c>
      <c r="L1368" s="1" t="s">
        <v>39</v>
      </c>
      <c r="M1368" s="1" t="str">
        <f>INDEX(MCC_Lookup!$B$2:$B$12,MATCH(G1368,MCC_Lookup!$A$2:$A$12,0))</f>
        <v>Meals</v>
      </c>
      <c r="N1368" s="1" t="str">
        <f>IF(TRIM(H1368)="","BLANK",IF(PROPER(TRIM(H1368))=TRIM(M1368),"MATCH","MISMATCH"))</f>
        <v>MATCH</v>
      </c>
      <c r="O1368" s="5" t="str">
        <f>INDEX([1]Employee!$C$2:$C$276,MATCH(B1368,[1]Employee!$A$2:$A$276,0))</f>
        <v>Sales &amp; Marketing</v>
      </c>
    </row>
    <row r="1369" spans="1:15">
      <c r="A1369" s="1" t="s">
        <v>2860</v>
      </c>
      <c r="B1369" s="1" t="s">
        <v>244</v>
      </c>
      <c r="C1369" s="1" t="s">
        <v>2861</v>
      </c>
      <c r="D1369" s="2">
        <v>46099</v>
      </c>
      <c r="E1369" s="2">
        <v>46099</v>
      </c>
      <c r="F1369" s="1" t="s">
        <v>37</v>
      </c>
      <c r="G1369" s="1" t="s">
        <v>4</v>
      </c>
      <c r="H1369" s="1" t="s">
        <v>5</v>
      </c>
      <c r="I1369" s="7">
        <v>141.61000000000001</v>
      </c>
      <c r="J1369" s="1" t="s">
        <v>38</v>
      </c>
      <c r="K1369" s="1"/>
      <c r="L1369" s="1" t="s">
        <v>39</v>
      </c>
      <c r="M1369" s="1" t="str">
        <f>INDEX(MCC_Lookup!$B$2:$B$12,MATCH(G1369,MCC_Lookup!$A$2:$A$12,0))</f>
        <v>Travel</v>
      </c>
      <c r="N1369" s="1" t="str">
        <f>IF(TRIM(H1369)="","BLANK",IF(PROPER(TRIM(H1369))=TRIM(M1369),"MATCH","MISMATCH"))</f>
        <v>MATCH</v>
      </c>
      <c r="O1369" s="5" t="str">
        <f>INDEX([1]Employee!$C$2:$C$276,MATCH(B1369,[1]Employee!$A$2:$A$276,0))</f>
        <v>Sales &amp; Marketing</v>
      </c>
    </row>
    <row r="1370" spans="1:15">
      <c r="A1370" s="1" t="s">
        <v>2862</v>
      </c>
      <c r="B1370" s="1" t="s">
        <v>506</v>
      </c>
      <c r="C1370" s="1" t="s">
        <v>2863</v>
      </c>
      <c r="D1370" s="2">
        <v>46091</v>
      </c>
      <c r="E1370" s="2">
        <v>46099</v>
      </c>
      <c r="F1370" s="1" t="s">
        <v>83</v>
      </c>
      <c r="G1370" s="1" t="s">
        <v>2</v>
      </c>
      <c r="H1370" s="1" t="s">
        <v>3</v>
      </c>
      <c r="I1370" s="7">
        <v>12.55</v>
      </c>
      <c r="J1370" s="1" t="s">
        <v>38</v>
      </c>
      <c r="K1370" s="1"/>
      <c r="L1370" s="1" t="s">
        <v>39</v>
      </c>
      <c r="M1370" s="1" t="str">
        <f>INDEX(MCC_Lookup!$B$2:$B$12,MATCH(G1370,MCC_Lookup!$A$2:$A$12,0))</f>
        <v>Meals</v>
      </c>
      <c r="N1370" s="1" t="str">
        <f>IF(TRIM(H1370)="","BLANK",IF(PROPER(TRIM(H1370))=TRIM(M1370),"MATCH","MISMATCH"))</f>
        <v>MATCH</v>
      </c>
      <c r="O1370" s="5" t="str">
        <f>INDEX([1]Employee!$C$2:$C$276,MATCH(B1370,[1]Employee!$A$2:$A$276,0))</f>
        <v>Executive &amp; Corporate</v>
      </c>
    </row>
    <row r="1371" spans="1:15">
      <c r="A1371" s="1" t="s">
        <v>2864</v>
      </c>
      <c r="B1371" s="1" t="s">
        <v>185</v>
      </c>
      <c r="C1371" s="1"/>
      <c r="D1371" s="2">
        <v>46098</v>
      </c>
      <c r="E1371" s="2">
        <v>46099</v>
      </c>
      <c r="F1371" s="1" t="s">
        <v>347</v>
      </c>
      <c r="G1371" s="1" t="s">
        <v>8</v>
      </c>
      <c r="H1371" s="1" t="s">
        <v>9</v>
      </c>
      <c r="I1371" s="7">
        <v>57.6</v>
      </c>
      <c r="J1371" s="1" t="s">
        <v>111</v>
      </c>
      <c r="K1371" s="1" t="s">
        <v>161</v>
      </c>
      <c r="L1371" s="1" t="s">
        <v>39</v>
      </c>
      <c r="M1371" s="1" t="str">
        <f>INDEX(MCC_Lookup!$B$2:$B$12,MATCH(G1371,MCC_Lookup!$A$2:$A$12,0))</f>
        <v>Transportation</v>
      </c>
      <c r="N1371" s="1" t="str">
        <f>IF(TRIM(H1371)="","BLANK",IF(PROPER(TRIM(H1371))=TRIM(M1371),"MATCH","MISMATCH"))</f>
        <v>MATCH</v>
      </c>
      <c r="O1371" s="5" t="str">
        <f>INDEX([1]Employee!$C$2:$C$276,MATCH(B1371,[1]Employee!$A$2:$A$276,0))</f>
        <v>Underwriting</v>
      </c>
    </row>
    <row r="1372" spans="1:15">
      <c r="A1372" s="1" t="s">
        <v>2865</v>
      </c>
      <c r="B1372" s="1" t="s">
        <v>67</v>
      </c>
      <c r="C1372" s="1" t="s">
        <v>2866</v>
      </c>
      <c r="D1372" s="2">
        <v>46090</v>
      </c>
      <c r="E1372" s="2">
        <v>46099</v>
      </c>
      <c r="F1372" s="1" t="s">
        <v>173</v>
      </c>
      <c r="G1372" s="1" t="s">
        <v>2</v>
      </c>
      <c r="H1372" s="1"/>
      <c r="I1372" s="7">
        <v>75.75</v>
      </c>
      <c r="J1372" s="1" t="s">
        <v>38</v>
      </c>
      <c r="K1372" s="1"/>
      <c r="L1372" s="1" t="s">
        <v>48</v>
      </c>
      <c r="M1372" s="1" t="str">
        <f>INDEX(MCC_Lookup!$B$2:$B$12,MATCH(G1372,MCC_Lookup!$A$2:$A$12,0))</f>
        <v>Meals</v>
      </c>
      <c r="N1372" s="1" t="str">
        <f>IF(TRIM(H1372)="","BLANK",IF(PROPER(TRIM(H1372))=TRIM(M1372),"MATCH","MISMATCH"))</f>
        <v>BLANK</v>
      </c>
      <c r="O1372" s="5" t="str">
        <f>INDEX([1]Employee!$C$2:$C$276,MATCH(B1372,[1]Employee!$A$2:$A$276,0))</f>
        <v>Sales &amp; Marketing</v>
      </c>
    </row>
    <row r="1373" spans="1:15">
      <c r="A1373" s="1" t="s">
        <v>2867</v>
      </c>
      <c r="B1373" s="1" t="s">
        <v>550</v>
      </c>
      <c r="C1373" s="1" t="s">
        <v>2868</v>
      </c>
      <c r="D1373" s="2">
        <v>46099</v>
      </c>
      <c r="E1373" s="2">
        <v>46099</v>
      </c>
      <c r="F1373" s="1" t="s">
        <v>37</v>
      </c>
      <c r="G1373" s="1" t="s">
        <v>4</v>
      </c>
      <c r="H1373" s="1" t="s">
        <v>57</v>
      </c>
      <c r="I1373" s="7">
        <v>298.47000000000003</v>
      </c>
      <c r="J1373" s="1" t="s">
        <v>38</v>
      </c>
      <c r="K1373" s="1"/>
      <c r="L1373" s="1" t="s">
        <v>39</v>
      </c>
      <c r="M1373" s="1" t="str">
        <f>INDEX(MCC_Lookup!$B$2:$B$12,MATCH(G1373,MCC_Lookup!$A$2:$A$12,0))</f>
        <v>Travel</v>
      </c>
      <c r="N1373" s="1" t="str">
        <f>IF(TRIM(H1373)="","BLANK",IF(PROPER(TRIM(H1373))=TRIM(M1373),"MATCH","MISMATCH"))</f>
        <v>MATCH</v>
      </c>
      <c r="O1373" s="5" t="str">
        <f>INDEX([1]Employee!$C$2:$C$276,MATCH(B1373,[1]Employee!$A$2:$A$276,0))</f>
        <v>Sales &amp; Marketing</v>
      </c>
    </row>
    <row r="1374" spans="1:15">
      <c r="A1374" s="1" t="s">
        <v>2869</v>
      </c>
      <c r="B1374" s="1" t="s">
        <v>667</v>
      </c>
      <c r="C1374" s="1" t="s">
        <v>2870</v>
      </c>
      <c r="D1374" s="2">
        <v>46096</v>
      </c>
      <c r="E1374" s="2">
        <v>46099</v>
      </c>
      <c r="F1374" s="1" t="s">
        <v>120</v>
      </c>
      <c r="G1374" s="1" t="s">
        <v>12</v>
      </c>
      <c r="H1374" s="1" t="s">
        <v>7</v>
      </c>
      <c r="I1374" s="7">
        <v>36.840000000000003</v>
      </c>
      <c r="J1374" s="1" t="s">
        <v>38</v>
      </c>
      <c r="K1374" s="1"/>
      <c r="L1374" s="1" t="s">
        <v>39</v>
      </c>
      <c r="M1374" s="1" t="str">
        <f>INDEX(MCC_Lookup!$B$2:$B$12,MATCH(G1374,MCC_Lookup!$A$2:$A$12,0))</f>
        <v>Office Supplies</v>
      </c>
      <c r="N1374" s="1" t="str">
        <f>IF(TRIM(H1374)="","BLANK",IF(PROPER(TRIM(H1374))=TRIM(M1374),"MATCH","MISMATCH"))</f>
        <v>MISMATCH</v>
      </c>
      <c r="O1374" s="5" t="str">
        <f>INDEX([1]Employee!$C$2:$C$276,MATCH(B1374,[1]Employee!$A$2:$A$276,0))</f>
        <v>Sales &amp; Marketing</v>
      </c>
    </row>
    <row r="1375" spans="1:15">
      <c r="A1375" s="1" t="s">
        <v>2871</v>
      </c>
      <c r="B1375" s="1" t="s">
        <v>41</v>
      </c>
      <c r="C1375" s="1" t="s">
        <v>2872</v>
      </c>
      <c r="D1375" s="2">
        <v>46098</v>
      </c>
      <c r="E1375" s="2">
        <v>46099</v>
      </c>
      <c r="F1375" s="1" t="s">
        <v>79</v>
      </c>
      <c r="G1375" s="1" t="s">
        <v>13</v>
      </c>
      <c r="H1375" s="1"/>
      <c r="I1375" s="7">
        <v>148.41999999999999</v>
      </c>
      <c r="J1375" s="1" t="s">
        <v>38</v>
      </c>
      <c r="K1375" s="1"/>
      <c r="L1375" s="1" t="s">
        <v>48</v>
      </c>
      <c r="M1375" s="1" t="str">
        <f>INDEX(MCC_Lookup!$B$2:$B$12,MATCH(G1375,MCC_Lookup!$A$2:$A$12,0))</f>
        <v>Software</v>
      </c>
      <c r="N1375" s="1" t="str">
        <f>IF(TRIM(H1375)="","BLANK",IF(PROPER(TRIM(H1375))=TRIM(M1375),"MATCH","MISMATCH"))</f>
        <v>BLANK</v>
      </c>
      <c r="O1375" s="5" t="str">
        <f>INDEX([1]Employee!$C$2:$C$276,MATCH(B1375,[1]Employee!$A$2:$A$276,0))</f>
        <v>Sales &amp; Marketing</v>
      </c>
    </row>
    <row r="1376" spans="1:15">
      <c r="A1376" s="1" t="s">
        <v>2873</v>
      </c>
      <c r="B1376" s="1" t="s">
        <v>81</v>
      </c>
      <c r="C1376" s="1"/>
      <c r="D1376" s="2">
        <v>46091</v>
      </c>
      <c r="E1376" s="2">
        <v>46099</v>
      </c>
      <c r="F1376" s="1" t="s">
        <v>106</v>
      </c>
      <c r="G1376" s="1" t="s">
        <v>13</v>
      </c>
      <c r="H1376" s="1" t="s">
        <v>419</v>
      </c>
      <c r="I1376" s="7">
        <v>188.42</v>
      </c>
      <c r="J1376" s="1" t="s">
        <v>111</v>
      </c>
      <c r="K1376" s="1" t="s">
        <v>161</v>
      </c>
      <c r="L1376" s="1" t="s">
        <v>39</v>
      </c>
      <c r="M1376" s="1" t="str">
        <f>INDEX(MCC_Lookup!$B$2:$B$12,MATCH(G1376,MCC_Lookup!$A$2:$A$12,0))</f>
        <v>Software</v>
      </c>
      <c r="N1376" s="1" t="str">
        <f>IF(TRIM(H1376)="","BLANK",IF(PROPER(TRIM(H1376))=TRIM(M1376),"MATCH","MISMATCH"))</f>
        <v>MATCH</v>
      </c>
      <c r="O1376" s="5" t="str">
        <f>INDEX([1]Employee!$C$2:$C$276,MATCH(B1376,[1]Employee!$A$2:$A$276,0))</f>
        <v>Sales &amp; Marketing</v>
      </c>
    </row>
    <row r="1377" spans="1:15">
      <c r="A1377" s="1" t="s">
        <v>2874</v>
      </c>
      <c r="B1377" s="1" t="s">
        <v>81</v>
      </c>
      <c r="C1377" s="1" t="s">
        <v>2875</v>
      </c>
      <c r="D1377" s="2">
        <v>46091</v>
      </c>
      <c r="E1377" s="2">
        <v>46099</v>
      </c>
      <c r="F1377" s="1" t="s">
        <v>109</v>
      </c>
      <c r="G1377" s="1" t="s">
        <v>18</v>
      </c>
      <c r="H1377" s="1"/>
      <c r="I1377" s="7">
        <v>108.17</v>
      </c>
      <c r="J1377" s="1" t="s">
        <v>38</v>
      </c>
      <c r="K1377" s="1"/>
      <c r="L1377" s="1" t="s">
        <v>39</v>
      </c>
      <c r="M1377" s="1" t="str">
        <f>INDEX(MCC_Lookup!$B$2:$B$12,MATCH(G1377,MCC_Lookup!$A$2:$A$12,0))</f>
        <v>Events</v>
      </c>
      <c r="N1377" s="1" t="str">
        <f>IF(TRIM(H1377)="","BLANK",IF(PROPER(TRIM(H1377))=TRIM(M1377),"MATCH","MISMATCH"))</f>
        <v>BLANK</v>
      </c>
      <c r="O1377" s="5" t="str">
        <f>INDEX([1]Employee!$C$2:$C$276,MATCH(B1377,[1]Employee!$A$2:$A$276,0))</f>
        <v>Sales &amp; Marketing</v>
      </c>
    </row>
    <row r="1378" spans="1:15">
      <c r="A1378" s="1" t="s">
        <v>2876</v>
      </c>
      <c r="B1378" s="1" t="s">
        <v>2877</v>
      </c>
      <c r="C1378" s="1" t="s">
        <v>2878</v>
      </c>
      <c r="D1378" s="2">
        <v>46092</v>
      </c>
      <c r="E1378" s="2">
        <v>46100</v>
      </c>
      <c r="F1378" s="1" t="s">
        <v>43</v>
      </c>
      <c r="G1378" s="1" t="s">
        <v>2</v>
      </c>
      <c r="H1378" s="1" t="s">
        <v>3</v>
      </c>
      <c r="I1378" s="7">
        <v>15.18</v>
      </c>
      <c r="J1378" s="1" t="s">
        <v>38</v>
      </c>
      <c r="K1378" s="1"/>
      <c r="L1378" s="1" t="s">
        <v>39</v>
      </c>
      <c r="M1378" s="1" t="str">
        <f>INDEX(MCC_Lookup!$B$2:$B$12,MATCH(G1378,MCC_Lookup!$A$2:$A$12,0))</f>
        <v>Meals</v>
      </c>
      <c r="N1378" s="1" t="str">
        <f>IF(TRIM(H1378)="","BLANK",IF(PROPER(TRIM(H1378))=TRIM(M1378),"MATCH","MISMATCH"))</f>
        <v>MATCH</v>
      </c>
      <c r="O1378" s="5" t="str">
        <f>INDEX([1]Employee!$C$2:$C$276,MATCH(B1378,[1]Employee!$A$2:$A$276,0))</f>
        <v>Actuarial &amp; Risk</v>
      </c>
    </row>
    <row r="1379" spans="1:15">
      <c r="A1379" s="1" t="s">
        <v>2879</v>
      </c>
      <c r="B1379" s="1" t="s">
        <v>50</v>
      </c>
      <c r="C1379" s="1" t="s">
        <v>2880</v>
      </c>
      <c r="D1379" s="2">
        <v>46094</v>
      </c>
      <c r="E1379" s="2">
        <v>46100</v>
      </c>
      <c r="F1379" s="1" t="s">
        <v>56</v>
      </c>
      <c r="G1379" s="1" t="s">
        <v>4</v>
      </c>
      <c r="H1379" s="1" t="s">
        <v>5</v>
      </c>
      <c r="I1379" s="7">
        <v>389.77</v>
      </c>
      <c r="J1379" s="1" t="s">
        <v>38</v>
      </c>
      <c r="K1379" s="1"/>
      <c r="L1379" s="1" t="s">
        <v>39</v>
      </c>
      <c r="M1379" s="1" t="str">
        <f>INDEX(MCC_Lookup!$B$2:$B$12,MATCH(G1379,MCC_Lookup!$A$2:$A$12,0))</f>
        <v>Travel</v>
      </c>
      <c r="N1379" s="1" t="str">
        <f>IF(TRIM(H1379)="","BLANK",IF(PROPER(TRIM(H1379))=TRIM(M1379),"MATCH","MISMATCH"))</f>
        <v>MATCH</v>
      </c>
      <c r="O1379" s="5" t="str">
        <f>INDEX([1]Employee!$C$2:$C$276,MATCH(B1379,[1]Employee!$A$2:$A$276,0))</f>
        <v>Sales &amp; Marketing</v>
      </c>
    </row>
    <row r="1380" spans="1:15">
      <c r="A1380" s="1" t="s">
        <v>2881</v>
      </c>
      <c r="B1380" s="1" t="s">
        <v>1632</v>
      </c>
      <c r="C1380" s="1" t="s">
        <v>2882</v>
      </c>
      <c r="D1380" s="2">
        <v>46098</v>
      </c>
      <c r="E1380" s="2">
        <v>46100</v>
      </c>
      <c r="F1380" s="1" t="s">
        <v>69</v>
      </c>
      <c r="G1380" s="1" t="s">
        <v>8</v>
      </c>
      <c r="H1380" s="1" t="s">
        <v>343</v>
      </c>
      <c r="I1380" s="7">
        <v>15.69</v>
      </c>
      <c r="J1380" s="1" t="s">
        <v>38</v>
      </c>
      <c r="K1380" s="1"/>
      <c r="L1380" s="1" t="s">
        <v>48</v>
      </c>
      <c r="M1380" s="1" t="str">
        <f>INDEX(MCC_Lookup!$B$2:$B$12,MATCH(G1380,MCC_Lookup!$A$2:$A$12,0))</f>
        <v>Transportation</v>
      </c>
      <c r="N1380" s="1" t="str">
        <f>IF(TRIM(H1380)="","BLANK",IF(PROPER(TRIM(H1380))=TRIM(M1380),"MATCH","MISMATCH"))</f>
        <v>MATCH</v>
      </c>
      <c r="O1380" s="5" t="str">
        <f>INDEX([1]Employee!$C$2:$C$276,MATCH(B1380,[1]Employee!$A$2:$A$276,0))</f>
        <v>HR &amp; Events</v>
      </c>
    </row>
    <row r="1381" spans="1:15">
      <c r="A1381" s="1" t="s">
        <v>2883</v>
      </c>
      <c r="B1381" s="1" t="s">
        <v>216</v>
      </c>
      <c r="C1381" s="1" t="s">
        <v>2884</v>
      </c>
      <c r="D1381" s="2">
        <v>46098</v>
      </c>
      <c r="E1381" s="2">
        <v>46100</v>
      </c>
      <c r="F1381" s="1" t="s">
        <v>69</v>
      </c>
      <c r="G1381" s="1" t="s">
        <v>8</v>
      </c>
      <c r="H1381" s="1" t="s">
        <v>9</v>
      </c>
      <c r="I1381" s="7">
        <v>18.54</v>
      </c>
      <c r="J1381" s="1" t="s">
        <v>38</v>
      </c>
      <c r="K1381" s="1"/>
      <c r="L1381" s="1" t="s">
        <v>39</v>
      </c>
      <c r="M1381" s="1" t="str">
        <f>INDEX(MCC_Lookup!$B$2:$B$12,MATCH(G1381,MCC_Lookup!$A$2:$A$12,0))</f>
        <v>Transportation</v>
      </c>
      <c r="N1381" s="1" t="str">
        <f>IF(TRIM(H1381)="","BLANK",IF(PROPER(TRIM(H1381))=TRIM(M1381),"MATCH","MISMATCH"))</f>
        <v>MATCH</v>
      </c>
      <c r="O1381" s="5" t="str">
        <f>INDEX([1]Employee!$C$2:$C$276,MATCH(B1381,[1]Employee!$A$2:$A$276,0))</f>
        <v>Sales &amp; Marketing</v>
      </c>
    </row>
    <row r="1382" spans="1:15">
      <c r="A1382" s="1" t="s">
        <v>2885</v>
      </c>
      <c r="B1382" s="1" t="s">
        <v>677</v>
      </c>
      <c r="C1382" s="1" t="s">
        <v>2886</v>
      </c>
      <c r="D1382" s="2">
        <v>46096</v>
      </c>
      <c r="E1382" s="2">
        <v>46100</v>
      </c>
      <c r="F1382" s="1" t="s">
        <v>823</v>
      </c>
      <c r="G1382" s="1" t="s">
        <v>4</v>
      </c>
      <c r="H1382" s="1" t="s">
        <v>5</v>
      </c>
      <c r="I1382" s="7">
        <v>341.71</v>
      </c>
      <c r="J1382" s="1" t="s">
        <v>38</v>
      </c>
      <c r="K1382" s="1"/>
      <c r="L1382" s="1" t="s">
        <v>48</v>
      </c>
      <c r="M1382" s="1" t="str">
        <f>INDEX(MCC_Lookup!$B$2:$B$12,MATCH(G1382,MCC_Lookup!$A$2:$A$12,0))</f>
        <v>Travel</v>
      </c>
      <c r="N1382" s="1" t="str">
        <f>IF(TRIM(H1382)="","BLANK",IF(PROPER(TRIM(H1382))=TRIM(M1382),"MATCH","MISMATCH"))</f>
        <v>MATCH</v>
      </c>
      <c r="O1382" s="5" t="str">
        <f>INDEX([1]Employee!$C$2:$C$276,MATCH(B1382,[1]Employee!$A$2:$A$276,0))</f>
        <v>Sales &amp; Marketing</v>
      </c>
    </row>
    <row r="1383" spans="1:15">
      <c r="A1383" s="1" t="s">
        <v>2887</v>
      </c>
      <c r="B1383" s="1" t="s">
        <v>908</v>
      </c>
      <c r="C1383" s="1"/>
      <c r="D1383" s="2">
        <v>46094</v>
      </c>
      <c r="E1383" s="2">
        <v>46100</v>
      </c>
      <c r="F1383" s="1" t="s">
        <v>106</v>
      </c>
      <c r="G1383" s="1" t="s">
        <v>13</v>
      </c>
      <c r="H1383" s="1" t="s">
        <v>14</v>
      </c>
      <c r="I1383" s="7">
        <v>220.89</v>
      </c>
      <c r="J1383" s="1" t="s">
        <v>38</v>
      </c>
      <c r="K1383" s="1"/>
      <c r="L1383" s="1" t="s">
        <v>39</v>
      </c>
      <c r="M1383" s="1" t="str">
        <f>INDEX(MCC_Lookup!$B$2:$B$12,MATCH(G1383,MCC_Lookup!$A$2:$A$12,0))</f>
        <v>Software</v>
      </c>
      <c r="N1383" s="1" t="str">
        <f>IF(TRIM(H1383)="","BLANK",IF(PROPER(TRIM(H1383))=TRIM(M1383),"MATCH","MISMATCH"))</f>
        <v>MATCH</v>
      </c>
      <c r="O1383" s="5" t="str">
        <f>INDEX([1]Employee!$C$2:$C$276,MATCH(B1383,[1]Employee!$A$2:$A$276,0))</f>
        <v>Claims</v>
      </c>
    </row>
    <row r="1384" spans="1:15">
      <c r="A1384" s="1" t="s">
        <v>2888</v>
      </c>
      <c r="B1384" s="1" t="s">
        <v>640</v>
      </c>
      <c r="C1384" s="1" t="s">
        <v>2889</v>
      </c>
      <c r="D1384" s="2">
        <v>46093</v>
      </c>
      <c r="E1384" s="2">
        <v>46100</v>
      </c>
      <c r="F1384" s="1" t="s">
        <v>95</v>
      </c>
      <c r="G1384" s="1" t="s">
        <v>6</v>
      </c>
      <c r="H1384" s="1" t="s">
        <v>7</v>
      </c>
      <c r="I1384" s="7">
        <v>208.93</v>
      </c>
      <c r="J1384" s="1" t="s">
        <v>38</v>
      </c>
      <c r="K1384" s="1"/>
      <c r="L1384" s="1" t="s">
        <v>39</v>
      </c>
      <c r="M1384" s="1" t="str">
        <f>INDEX(MCC_Lookup!$B$2:$B$12,MATCH(G1384,MCC_Lookup!$A$2:$A$12,0))</f>
        <v>Lodging</v>
      </c>
      <c r="N1384" s="1" t="str">
        <f>IF(TRIM(H1384)="","BLANK",IF(PROPER(TRIM(H1384))=TRIM(M1384),"MATCH","MISMATCH"))</f>
        <v>MATCH</v>
      </c>
      <c r="O1384" s="5" t="str">
        <f>INDEX([1]Employee!$C$2:$C$276,MATCH(B1384,[1]Employee!$A$2:$A$276,0))</f>
        <v>Underwriting</v>
      </c>
    </row>
    <row r="1385" spans="1:15">
      <c r="A1385" s="1" t="s">
        <v>2890</v>
      </c>
      <c r="B1385" s="1" t="s">
        <v>349</v>
      </c>
      <c r="C1385" s="1"/>
      <c r="D1385" s="2">
        <v>46100</v>
      </c>
      <c r="E1385" s="2">
        <v>46100</v>
      </c>
      <c r="F1385" s="1" t="s">
        <v>201</v>
      </c>
      <c r="G1385" s="1" t="s">
        <v>4</v>
      </c>
      <c r="H1385" s="1" t="s">
        <v>5</v>
      </c>
      <c r="I1385" s="7">
        <v>580.41999999999996</v>
      </c>
      <c r="J1385" s="1" t="s">
        <v>38</v>
      </c>
      <c r="K1385" s="1"/>
      <c r="L1385" s="1" t="s">
        <v>39</v>
      </c>
      <c r="M1385" s="1" t="str">
        <f>INDEX(MCC_Lookup!$B$2:$B$12,MATCH(G1385,MCC_Lookup!$A$2:$A$12,0))</f>
        <v>Travel</v>
      </c>
      <c r="N1385" s="1" t="str">
        <f>IF(TRIM(H1385)="","BLANK",IF(PROPER(TRIM(H1385))=TRIM(M1385),"MATCH","MISMATCH"))</f>
        <v>MATCH</v>
      </c>
      <c r="O1385" s="5" t="str">
        <f>INDEX([1]Employee!$C$2:$C$276,MATCH(B1385,[1]Employee!$A$2:$A$276,0))</f>
        <v>Sales &amp; Marketing</v>
      </c>
    </row>
    <row r="1386" spans="1:15">
      <c r="A1386" s="1" t="s">
        <v>2891</v>
      </c>
      <c r="B1386" s="1" t="s">
        <v>1188</v>
      </c>
      <c r="C1386" s="1"/>
      <c r="D1386" s="2">
        <v>46099</v>
      </c>
      <c r="E1386" s="2">
        <v>46100</v>
      </c>
      <c r="F1386" s="1" t="s">
        <v>79</v>
      </c>
      <c r="G1386" s="1" t="s">
        <v>13</v>
      </c>
      <c r="H1386" s="1" t="s">
        <v>14</v>
      </c>
      <c r="I1386" s="7">
        <v>106.6</v>
      </c>
      <c r="J1386" s="1" t="s">
        <v>111</v>
      </c>
      <c r="K1386" s="1" t="s">
        <v>112</v>
      </c>
      <c r="L1386" s="1" t="s">
        <v>39</v>
      </c>
      <c r="M1386" s="1" t="str">
        <f>INDEX(MCC_Lookup!$B$2:$B$12,MATCH(G1386,MCC_Lookup!$A$2:$A$12,0))</f>
        <v>Software</v>
      </c>
      <c r="N1386" s="1" t="str">
        <f>IF(TRIM(H1386)="","BLANK",IF(PROPER(TRIM(H1386))=TRIM(M1386),"MATCH","MISMATCH"))</f>
        <v>MATCH</v>
      </c>
      <c r="O1386" s="5" t="str">
        <f>INDEX([1]Employee!$C$2:$C$276,MATCH(B1386,[1]Employee!$A$2:$A$276,0))</f>
        <v>Executive &amp; Corporate</v>
      </c>
    </row>
    <row r="1387" spans="1:15">
      <c r="A1387" s="1" t="s">
        <v>2892</v>
      </c>
      <c r="B1387" s="1" t="s">
        <v>1061</v>
      </c>
      <c r="C1387" s="1" t="s">
        <v>2893</v>
      </c>
      <c r="D1387" s="2">
        <v>46093</v>
      </c>
      <c r="E1387" s="2">
        <v>46100</v>
      </c>
      <c r="F1387" s="1" t="s">
        <v>92</v>
      </c>
      <c r="G1387" s="1" t="s">
        <v>10</v>
      </c>
      <c r="H1387" s="1" t="s">
        <v>11</v>
      </c>
      <c r="I1387" s="7">
        <v>87.83</v>
      </c>
      <c r="J1387" s="1" t="s">
        <v>38</v>
      </c>
      <c r="K1387" s="1"/>
      <c r="L1387" s="1" t="s">
        <v>39</v>
      </c>
      <c r="M1387" s="1" t="str">
        <f>INDEX(MCC_Lookup!$B$2:$B$12,MATCH(G1387,MCC_Lookup!$A$2:$A$12,0))</f>
        <v>Office Supplies</v>
      </c>
      <c r="N1387" s="1" t="str">
        <f>IF(TRIM(H1387)="","BLANK",IF(PROPER(TRIM(H1387))=TRIM(M1387),"MATCH","MISMATCH"))</f>
        <v>MATCH</v>
      </c>
      <c r="O1387" s="5" t="str">
        <f>INDEX([1]Employee!$C$2:$C$276,MATCH(B1387,[1]Employee!$A$2:$A$276,0))</f>
        <v>Claims</v>
      </c>
    </row>
    <row r="1388" spans="1:15">
      <c r="A1388" s="1" t="s">
        <v>2894</v>
      </c>
      <c r="B1388" s="1" t="s">
        <v>550</v>
      </c>
      <c r="C1388" s="1" t="s">
        <v>2895</v>
      </c>
      <c r="D1388" s="2">
        <v>46096</v>
      </c>
      <c r="E1388" s="2">
        <v>46100</v>
      </c>
      <c r="F1388" s="1" t="s">
        <v>120</v>
      </c>
      <c r="G1388" s="1" t="s">
        <v>12</v>
      </c>
      <c r="H1388" s="1" t="s">
        <v>11</v>
      </c>
      <c r="I1388" s="7">
        <v>291.54000000000002</v>
      </c>
      <c r="J1388" s="1" t="s">
        <v>38</v>
      </c>
      <c r="K1388" s="1"/>
      <c r="L1388" s="1" t="s">
        <v>48</v>
      </c>
      <c r="M1388" s="1" t="str">
        <f>INDEX(MCC_Lookup!$B$2:$B$12,MATCH(G1388,MCC_Lookup!$A$2:$A$12,0))</f>
        <v>Office Supplies</v>
      </c>
      <c r="N1388" s="1" t="str">
        <f>IF(TRIM(H1388)="","BLANK",IF(PROPER(TRIM(H1388))=TRIM(M1388),"MATCH","MISMATCH"))</f>
        <v>MATCH</v>
      </c>
      <c r="O1388" s="5" t="str">
        <f>INDEX([1]Employee!$C$2:$C$276,MATCH(B1388,[1]Employee!$A$2:$A$276,0))</f>
        <v>Sales &amp; Marketing</v>
      </c>
    </row>
    <row r="1389" spans="1:15">
      <c r="A1389" s="1" t="s">
        <v>2896</v>
      </c>
      <c r="B1389" s="1" t="s">
        <v>512</v>
      </c>
      <c r="C1389" s="1" t="s">
        <v>2897</v>
      </c>
      <c r="D1389" s="2">
        <v>46093</v>
      </c>
      <c r="E1389" s="2">
        <v>46100</v>
      </c>
      <c r="F1389" s="1" t="s">
        <v>106</v>
      </c>
      <c r="G1389" s="1" t="s">
        <v>13</v>
      </c>
      <c r="H1389" s="1" t="s">
        <v>14</v>
      </c>
      <c r="I1389" s="7">
        <v>130.25</v>
      </c>
      <c r="J1389" s="1" t="s">
        <v>38</v>
      </c>
      <c r="K1389" s="1"/>
      <c r="L1389" s="1" t="s">
        <v>39</v>
      </c>
      <c r="M1389" s="1" t="str">
        <f>INDEX(MCC_Lookup!$B$2:$B$12,MATCH(G1389,MCC_Lookup!$A$2:$A$12,0))</f>
        <v>Software</v>
      </c>
      <c r="N1389" s="1" t="str">
        <f>IF(TRIM(H1389)="","BLANK",IF(PROPER(TRIM(H1389))=TRIM(M1389),"MATCH","MISMATCH"))</f>
        <v>MATCH</v>
      </c>
      <c r="O1389" s="5" t="str">
        <f>INDEX([1]Employee!$C$2:$C$276,MATCH(B1389,[1]Employee!$A$2:$A$276,0))</f>
        <v>Sales &amp; Marketing</v>
      </c>
    </row>
    <row r="1390" spans="1:15">
      <c r="A1390" s="1" t="s">
        <v>2898</v>
      </c>
      <c r="B1390" s="1" t="s">
        <v>244</v>
      </c>
      <c r="C1390" s="1"/>
      <c r="D1390" s="2">
        <v>46095</v>
      </c>
      <c r="E1390" s="2">
        <v>46100</v>
      </c>
      <c r="F1390" s="1" t="s">
        <v>76</v>
      </c>
      <c r="G1390" s="1" t="s">
        <v>13</v>
      </c>
      <c r="H1390" s="1" t="s">
        <v>14</v>
      </c>
      <c r="I1390" s="7">
        <v>361.51</v>
      </c>
      <c r="J1390" s="1" t="s">
        <v>38</v>
      </c>
      <c r="K1390" s="1"/>
      <c r="L1390" s="1" t="s">
        <v>39</v>
      </c>
      <c r="M1390" s="1" t="str">
        <f>INDEX(MCC_Lookup!$B$2:$B$12,MATCH(G1390,MCC_Lookup!$A$2:$A$12,0))</f>
        <v>Software</v>
      </c>
      <c r="N1390" s="1" t="str">
        <f>IF(TRIM(H1390)="","BLANK",IF(PROPER(TRIM(H1390))=TRIM(M1390),"MATCH","MISMATCH"))</f>
        <v>MATCH</v>
      </c>
      <c r="O1390" s="5" t="str">
        <f>INDEX([1]Employee!$C$2:$C$276,MATCH(B1390,[1]Employee!$A$2:$A$276,0))</f>
        <v>Sales &amp; Marketing</v>
      </c>
    </row>
    <row r="1391" spans="1:15">
      <c r="A1391" s="1" t="s">
        <v>2899</v>
      </c>
      <c r="B1391" s="1" t="s">
        <v>732</v>
      </c>
      <c r="C1391" s="1" t="s">
        <v>2900</v>
      </c>
      <c r="D1391" s="2">
        <v>46097</v>
      </c>
      <c r="E1391" s="2">
        <v>46100</v>
      </c>
      <c r="F1391" s="1" t="s">
        <v>99</v>
      </c>
      <c r="G1391" s="1" t="s">
        <v>2</v>
      </c>
      <c r="H1391" s="1" t="s">
        <v>138</v>
      </c>
      <c r="I1391" s="7">
        <v>40.549999999999997</v>
      </c>
      <c r="J1391" s="1" t="s">
        <v>38</v>
      </c>
      <c r="K1391" s="1"/>
      <c r="L1391" s="1" t="s">
        <v>48</v>
      </c>
      <c r="M1391" s="1" t="str">
        <f>INDEX(MCC_Lookup!$B$2:$B$12,MATCH(G1391,MCC_Lookup!$A$2:$A$12,0))</f>
        <v>Meals</v>
      </c>
      <c r="N1391" s="1" t="str">
        <f>IF(TRIM(H1391)="","BLANK",IF(PROPER(TRIM(H1391))=TRIM(M1391),"MATCH","MISMATCH"))</f>
        <v>MATCH</v>
      </c>
      <c r="O1391" s="5" t="str">
        <f>INDEX([1]Employee!$C$2:$C$276,MATCH(B1391,[1]Employee!$A$2:$A$276,0))</f>
        <v>Underwriting</v>
      </c>
    </row>
    <row r="1392" spans="1:15">
      <c r="A1392" s="1" t="s">
        <v>2901</v>
      </c>
      <c r="B1392" s="1" t="s">
        <v>2902</v>
      </c>
      <c r="C1392" s="1" t="s">
        <v>2903</v>
      </c>
      <c r="D1392" s="2">
        <v>46090</v>
      </c>
      <c r="E1392" s="2">
        <v>46100</v>
      </c>
      <c r="F1392" s="1" t="s">
        <v>160</v>
      </c>
      <c r="G1392" s="1" t="s">
        <v>6</v>
      </c>
      <c r="H1392" s="1" t="s">
        <v>9</v>
      </c>
      <c r="I1392" s="7">
        <v>251.46</v>
      </c>
      <c r="J1392" s="1" t="s">
        <v>38</v>
      </c>
      <c r="K1392" s="1"/>
      <c r="L1392" s="1" t="s">
        <v>39</v>
      </c>
      <c r="M1392" s="1" t="str">
        <f>INDEX(MCC_Lookup!$B$2:$B$12,MATCH(G1392,MCC_Lookup!$A$2:$A$12,0))</f>
        <v>Lodging</v>
      </c>
      <c r="N1392" s="1" t="str">
        <f>IF(TRIM(H1392)="","BLANK",IF(PROPER(TRIM(H1392))=TRIM(M1392),"MATCH","MISMATCH"))</f>
        <v>MISMATCH</v>
      </c>
      <c r="O1392" s="5" t="str">
        <f>INDEX([1]Employee!$C$2:$C$276,MATCH(B1392,[1]Employee!$A$2:$A$276,0))</f>
        <v>Underwriting</v>
      </c>
    </row>
    <row r="1393" spans="1:15">
      <c r="A1393" s="1" t="s">
        <v>2904</v>
      </c>
      <c r="B1393" s="1" t="s">
        <v>317</v>
      </c>
      <c r="C1393" s="1" t="s">
        <v>2905</v>
      </c>
      <c r="D1393" s="2">
        <v>46091</v>
      </c>
      <c r="E1393" s="2">
        <v>46100</v>
      </c>
      <c r="F1393" s="1" t="s">
        <v>106</v>
      </c>
      <c r="G1393" s="1" t="s">
        <v>13</v>
      </c>
      <c r="H1393" s="1" t="s">
        <v>14</v>
      </c>
      <c r="I1393" s="7">
        <v>200.99</v>
      </c>
      <c r="J1393" s="1" t="s">
        <v>38</v>
      </c>
      <c r="K1393" s="1"/>
      <c r="L1393" s="1" t="s">
        <v>39</v>
      </c>
      <c r="M1393" s="1" t="str">
        <f>INDEX(MCC_Lookup!$B$2:$B$12,MATCH(G1393,MCC_Lookup!$A$2:$A$12,0))</f>
        <v>Software</v>
      </c>
      <c r="N1393" s="1" t="str">
        <f>IF(TRIM(H1393)="","BLANK",IF(PROPER(TRIM(H1393))=TRIM(M1393),"MATCH","MISMATCH"))</f>
        <v>MATCH</v>
      </c>
      <c r="O1393" s="5" t="str">
        <f>INDEX([1]Employee!$C$2:$C$276,MATCH(B1393,[1]Employee!$A$2:$A$276,0))</f>
        <v>Sales &amp; Marketing</v>
      </c>
    </row>
    <row r="1394" spans="1:15">
      <c r="A1394" s="1" t="s">
        <v>2906</v>
      </c>
      <c r="B1394" s="1" t="s">
        <v>328</v>
      </c>
      <c r="C1394" s="1" t="s">
        <v>2907</v>
      </c>
      <c r="D1394" s="2">
        <v>46097</v>
      </c>
      <c r="E1394" s="2">
        <v>46100</v>
      </c>
      <c r="F1394" s="1" t="s">
        <v>92</v>
      </c>
      <c r="G1394" s="1" t="s">
        <v>10</v>
      </c>
      <c r="H1394" s="1" t="s">
        <v>295</v>
      </c>
      <c r="I1394" s="7">
        <v>68.81</v>
      </c>
      <c r="J1394" s="1" t="s">
        <v>38</v>
      </c>
      <c r="K1394" s="1"/>
      <c r="L1394" s="1" t="s">
        <v>39</v>
      </c>
      <c r="M1394" s="1" t="str">
        <f>INDEX(MCC_Lookup!$B$2:$B$12,MATCH(G1394,MCC_Lookup!$A$2:$A$12,0))</f>
        <v>Office Supplies</v>
      </c>
      <c r="N1394" s="1" t="str">
        <f>IF(TRIM(H1394)="","BLANK",IF(PROPER(TRIM(H1394))=TRIM(M1394),"MATCH","MISMATCH"))</f>
        <v>MATCH</v>
      </c>
      <c r="O1394" s="5" t="str">
        <f>INDEX([1]Employee!$C$2:$C$276,MATCH(B1394,[1]Employee!$A$2:$A$276,0))</f>
        <v>Underwriting</v>
      </c>
    </row>
    <row r="1395" spans="1:15">
      <c r="A1395" s="1" t="s">
        <v>2908</v>
      </c>
      <c r="B1395" s="1" t="s">
        <v>667</v>
      </c>
      <c r="C1395" s="1" t="s">
        <v>2909</v>
      </c>
      <c r="D1395" s="2">
        <v>46096</v>
      </c>
      <c r="E1395" s="2">
        <v>46100</v>
      </c>
      <c r="F1395" s="1" t="s">
        <v>124</v>
      </c>
      <c r="G1395" s="1" t="s">
        <v>17</v>
      </c>
      <c r="H1395" s="1" t="s">
        <v>16</v>
      </c>
      <c r="I1395" s="7">
        <v>216.71</v>
      </c>
      <c r="J1395" s="1" t="s">
        <v>38</v>
      </c>
      <c r="K1395" s="1"/>
      <c r="L1395" s="1" t="s">
        <v>48</v>
      </c>
      <c r="M1395" s="1" t="str">
        <f>INDEX(MCC_Lookup!$B$2:$B$12,MATCH(G1395,MCC_Lookup!$A$2:$A$12,0))</f>
        <v>Entertainment</v>
      </c>
      <c r="N1395" s="1" t="str">
        <f>IF(TRIM(H1395)="","BLANK",IF(PROPER(TRIM(H1395))=TRIM(M1395),"MATCH","MISMATCH"))</f>
        <v>MATCH</v>
      </c>
      <c r="O1395" s="5" t="str">
        <f>INDEX([1]Employee!$C$2:$C$276,MATCH(B1395,[1]Employee!$A$2:$A$276,0))</f>
        <v>Sales &amp; Marketing</v>
      </c>
    </row>
    <row r="1396" spans="1:15">
      <c r="A1396" s="1" t="s">
        <v>2910</v>
      </c>
      <c r="B1396" s="1" t="s">
        <v>240</v>
      </c>
      <c r="C1396" s="1" t="s">
        <v>2911</v>
      </c>
      <c r="D1396" s="2">
        <v>46098</v>
      </c>
      <c r="E1396" s="2">
        <v>46100</v>
      </c>
      <c r="F1396" s="1" t="s">
        <v>124</v>
      </c>
      <c r="G1396" s="1" t="s">
        <v>17</v>
      </c>
      <c r="H1396" s="1" t="s">
        <v>16</v>
      </c>
      <c r="I1396" s="7">
        <v>163.89</v>
      </c>
      <c r="J1396" s="1" t="s">
        <v>38</v>
      </c>
      <c r="K1396" s="1"/>
      <c r="L1396" s="1" t="s">
        <v>39</v>
      </c>
      <c r="M1396" s="1" t="str">
        <f>INDEX(MCC_Lookup!$B$2:$B$12,MATCH(G1396,MCC_Lookup!$A$2:$A$12,0))</f>
        <v>Entertainment</v>
      </c>
      <c r="N1396" s="1" t="str">
        <f>IF(TRIM(H1396)="","BLANK",IF(PROPER(TRIM(H1396))=TRIM(M1396),"MATCH","MISMATCH"))</f>
        <v>MATCH</v>
      </c>
      <c r="O1396" s="5" t="str">
        <f>INDEX([1]Employee!$C$2:$C$276,MATCH(B1396,[1]Employee!$A$2:$A$276,0))</f>
        <v>Claims</v>
      </c>
    </row>
    <row r="1397" spans="1:15">
      <c r="A1397" s="1" t="s">
        <v>2912</v>
      </c>
      <c r="B1397" s="1" t="s">
        <v>250</v>
      </c>
      <c r="C1397" s="1" t="s">
        <v>2913</v>
      </c>
      <c r="D1397" s="2">
        <v>46092</v>
      </c>
      <c r="E1397" s="2">
        <v>46100</v>
      </c>
      <c r="F1397" s="1" t="s">
        <v>116</v>
      </c>
      <c r="G1397" s="1" t="s">
        <v>2</v>
      </c>
      <c r="H1397" s="1" t="s">
        <v>3</v>
      </c>
      <c r="I1397" s="7">
        <v>11.76</v>
      </c>
      <c r="J1397" s="1" t="s">
        <v>38</v>
      </c>
      <c r="K1397" s="1"/>
      <c r="L1397" s="1" t="s">
        <v>39</v>
      </c>
      <c r="M1397" s="1" t="str">
        <f>INDEX(MCC_Lookup!$B$2:$B$12,MATCH(G1397,MCC_Lookup!$A$2:$A$12,0))</f>
        <v>Meals</v>
      </c>
      <c r="N1397" s="1" t="str">
        <f>IF(TRIM(H1397)="","BLANK",IF(PROPER(TRIM(H1397))=TRIM(M1397),"MATCH","MISMATCH"))</f>
        <v>MATCH</v>
      </c>
      <c r="O1397" s="5" t="str">
        <f>INDEX([1]Employee!$C$2:$C$276,MATCH(B1397,[1]Employee!$A$2:$A$276,0))</f>
        <v>Sales &amp; Marketing</v>
      </c>
    </row>
    <row r="1398" spans="1:15">
      <c r="A1398" s="1" t="s">
        <v>2914</v>
      </c>
      <c r="B1398" s="1" t="s">
        <v>71</v>
      </c>
      <c r="C1398" s="1" t="s">
        <v>2915</v>
      </c>
      <c r="D1398" s="2">
        <v>46096</v>
      </c>
      <c r="E1398" s="2">
        <v>46100</v>
      </c>
      <c r="F1398" s="1" t="s">
        <v>1466</v>
      </c>
      <c r="G1398" s="1" t="s">
        <v>17</v>
      </c>
      <c r="H1398" s="1" t="s">
        <v>403</v>
      </c>
      <c r="I1398" s="7">
        <v>186.5</v>
      </c>
      <c r="J1398" s="1" t="s">
        <v>38</v>
      </c>
      <c r="K1398" s="1"/>
      <c r="L1398" s="1" t="s">
        <v>39</v>
      </c>
      <c r="M1398" s="1" t="str">
        <f>INDEX(MCC_Lookup!$B$2:$B$12,MATCH(G1398,MCC_Lookup!$A$2:$A$12,0))</f>
        <v>Entertainment</v>
      </c>
      <c r="N1398" s="1" t="str">
        <f>IF(TRIM(H1398)="","BLANK",IF(PROPER(TRIM(H1398))=TRIM(M1398),"MATCH","MISMATCH"))</f>
        <v>MATCH</v>
      </c>
      <c r="O1398" s="5" t="str">
        <f>INDEX([1]Employee!$C$2:$C$276,MATCH(B1398,[1]Employee!$A$2:$A$276,0))</f>
        <v>Sales &amp; Marketing</v>
      </c>
    </row>
    <row r="1399" spans="1:15">
      <c r="A1399" s="1" t="s">
        <v>2916</v>
      </c>
      <c r="B1399" s="1" t="s">
        <v>373</v>
      </c>
      <c r="C1399" s="1" t="s">
        <v>2917</v>
      </c>
      <c r="D1399" s="2">
        <v>46094</v>
      </c>
      <c r="E1399" s="2">
        <v>46100</v>
      </c>
      <c r="F1399" s="1" t="s">
        <v>173</v>
      </c>
      <c r="G1399" s="1" t="s">
        <v>2</v>
      </c>
      <c r="H1399" s="1" t="s">
        <v>3</v>
      </c>
      <c r="I1399" s="7">
        <v>33.799999999999997</v>
      </c>
      <c r="J1399" s="1" t="s">
        <v>38</v>
      </c>
      <c r="K1399" s="1"/>
      <c r="L1399" s="1" t="s">
        <v>39</v>
      </c>
      <c r="M1399" s="1" t="str">
        <f>INDEX(MCC_Lookup!$B$2:$B$12,MATCH(G1399,MCC_Lookup!$A$2:$A$12,0))</f>
        <v>Meals</v>
      </c>
      <c r="N1399" s="1" t="str">
        <f>IF(TRIM(H1399)="","BLANK",IF(PROPER(TRIM(H1399))=TRIM(M1399),"MATCH","MISMATCH"))</f>
        <v>MATCH</v>
      </c>
      <c r="O1399" s="5" t="str">
        <f>INDEX([1]Employee!$C$2:$C$276,MATCH(B1399,[1]Employee!$A$2:$A$276,0))</f>
        <v>Sales &amp; Marketing</v>
      </c>
    </row>
    <row r="1400" spans="1:15">
      <c r="A1400" s="1" t="s">
        <v>2918</v>
      </c>
      <c r="B1400" s="1" t="s">
        <v>1170</v>
      </c>
      <c r="C1400" s="1" t="s">
        <v>2919</v>
      </c>
      <c r="D1400" s="2">
        <v>46099</v>
      </c>
      <c r="E1400" s="2">
        <v>46100</v>
      </c>
      <c r="F1400" s="1" t="s">
        <v>69</v>
      </c>
      <c r="G1400" s="1" t="s">
        <v>8</v>
      </c>
      <c r="H1400" s="1" t="s">
        <v>9</v>
      </c>
      <c r="I1400" s="7">
        <v>50.6</v>
      </c>
      <c r="J1400" s="1" t="s">
        <v>38</v>
      </c>
      <c r="K1400" s="1"/>
      <c r="L1400" s="1" t="s">
        <v>39</v>
      </c>
      <c r="M1400" s="1" t="str">
        <f>INDEX(MCC_Lookup!$B$2:$B$12,MATCH(G1400,MCC_Lookup!$A$2:$A$12,0))</f>
        <v>Transportation</v>
      </c>
      <c r="N1400" s="1" t="str">
        <f>IF(TRIM(H1400)="","BLANK",IF(PROPER(TRIM(H1400))=TRIM(M1400),"MATCH","MISMATCH"))</f>
        <v>MATCH</v>
      </c>
      <c r="O1400" s="5" t="str">
        <f>INDEX([1]Employee!$C$2:$C$276,MATCH(B1400,[1]Employee!$A$2:$A$276,0))</f>
        <v>Finance</v>
      </c>
    </row>
    <row r="1401" spans="1:15">
      <c r="A1401" s="1" t="s">
        <v>2920</v>
      </c>
      <c r="B1401" s="1" t="s">
        <v>407</v>
      </c>
      <c r="C1401" s="1" t="s">
        <v>2921</v>
      </c>
      <c r="D1401" s="2">
        <v>46092</v>
      </c>
      <c r="E1401" s="2">
        <v>46100</v>
      </c>
      <c r="F1401" s="1" t="s">
        <v>47</v>
      </c>
      <c r="G1401" s="1" t="s">
        <v>6</v>
      </c>
      <c r="H1401" s="1" t="s">
        <v>726</v>
      </c>
      <c r="I1401" s="7">
        <v>388.85</v>
      </c>
      <c r="J1401" s="1" t="s">
        <v>38</v>
      </c>
      <c r="K1401" s="1"/>
      <c r="L1401" s="1" t="s">
        <v>39</v>
      </c>
      <c r="M1401" s="1" t="str">
        <f>INDEX(MCC_Lookup!$B$2:$B$12,MATCH(G1401,MCC_Lookup!$A$2:$A$12,0))</f>
        <v>Lodging</v>
      </c>
      <c r="N1401" s="1" t="str">
        <f>IF(TRIM(H1401)="","BLANK",IF(PROPER(TRIM(H1401))=TRIM(M1401),"MATCH","MISMATCH"))</f>
        <v>MATCH</v>
      </c>
      <c r="O1401" s="5" t="str">
        <f>INDEX([1]Employee!$C$2:$C$276,MATCH(B1401,[1]Employee!$A$2:$A$276,0))</f>
        <v>Executive &amp; Corporate</v>
      </c>
    </row>
    <row r="1402" spans="1:15">
      <c r="A1402" s="1" t="s">
        <v>2922</v>
      </c>
      <c r="B1402" s="1" t="s">
        <v>499</v>
      </c>
      <c r="C1402" s="1" t="s">
        <v>2923</v>
      </c>
      <c r="D1402" s="2">
        <v>46100</v>
      </c>
      <c r="E1402" s="2">
        <v>46100</v>
      </c>
      <c r="F1402" s="1" t="s">
        <v>72</v>
      </c>
      <c r="G1402" s="1" t="s">
        <v>8</v>
      </c>
      <c r="H1402" s="1" t="s">
        <v>9</v>
      </c>
      <c r="I1402" s="7">
        <v>54.19</v>
      </c>
      <c r="J1402" s="1" t="s">
        <v>38</v>
      </c>
      <c r="K1402" s="1"/>
      <c r="L1402" s="1" t="s">
        <v>39</v>
      </c>
      <c r="M1402" s="1" t="str">
        <f>INDEX(MCC_Lookup!$B$2:$B$12,MATCH(G1402,MCC_Lookup!$A$2:$A$12,0))</f>
        <v>Transportation</v>
      </c>
      <c r="N1402" s="1" t="str">
        <f>IF(TRIM(H1402)="","BLANK",IF(PROPER(TRIM(H1402))=TRIM(M1402),"MATCH","MISMATCH"))</f>
        <v>MATCH</v>
      </c>
      <c r="O1402" s="5" t="str">
        <f>INDEX([1]Employee!$C$2:$C$276,MATCH(B1402,[1]Employee!$A$2:$A$276,0))</f>
        <v>Sales &amp; Marketing</v>
      </c>
    </row>
    <row r="1403" spans="1:15">
      <c r="A1403" s="1" t="s">
        <v>2924</v>
      </c>
      <c r="B1403" s="1" t="s">
        <v>2925</v>
      </c>
      <c r="C1403" s="1" t="s">
        <v>2926</v>
      </c>
      <c r="D1403" s="2">
        <v>46098</v>
      </c>
      <c r="E1403" s="2">
        <v>46100</v>
      </c>
      <c r="F1403" s="1" t="s">
        <v>242</v>
      </c>
      <c r="G1403" s="1" t="s">
        <v>13</v>
      </c>
      <c r="H1403" s="1" t="s">
        <v>14</v>
      </c>
      <c r="I1403" s="7">
        <v>29.84</v>
      </c>
      <c r="J1403" s="1" t="s">
        <v>38</v>
      </c>
      <c r="K1403" s="1"/>
      <c r="L1403" s="1" t="s">
        <v>48</v>
      </c>
      <c r="M1403" s="1" t="str">
        <f>INDEX(MCC_Lookup!$B$2:$B$12,MATCH(G1403,MCC_Lookup!$A$2:$A$12,0))</f>
        <v>Software</v>
      </c>
      <c r="N1403" s="1" t="str">
        <f>IF(TRIM(H1403)="","BLANK",IF(PROPER(TRIM(H1403))=TRIM(M1403),"MATCH","MISMATCH"))</f>
        <v>MATCH</v>
      </c>
      <c r="O1403" s="5" t="str">
        <f>INDEX([1]Employee!$C$2:$C$276,MATCH(B1403,[1]Employee!$A$2:$A$276,0))</f>
        <v>Actuarial &amp; Risk</v>
      </c>
    </row>
    <row r="1404" spans="1:15">
      <c r="A1404" s="1" t="s">
        <v>2927</v>
      </c>
      <c r="B1404" s="1" t="s">
        <v>433</v>
      </c>
      <c r="C1404" s="1" t="s">
        <v>2928</v>
      </c>
      <c r="D1404" s="2">
        <v>46091</v>
      </c>
      <c r="E1404" s="2">
        <v>46100</v>
      </c>
      <c r="F1404" s="1" t="s">
        <v>177</v>
      </c>
      <c r="G1404" s="1" t="s">
        <v>13</v>
      </c>
      <c r="H1404" s="1" t="s">
        <v>14</v>
      </c>
      <c r="I1404" s="7">
        <v>68.81</v>
      </c>
      <c r="J1404" s="1" t="s">
        <v>38</v>
      </c>
      <c r="K1404" s="1"/>
      <c r="L1404" s="1" t="s">
        <v>39</v>
      </c>
      <c r="M1404" s="1" t="str">
        <f>INDEX(MCC_Lookup!$B$2:$B$12,MATCH(G1404,MCC_Lookup!$A$2:$A$12,0))</f>
        <v>Software</v>
      </c>
      <c r="N1404" s="1" t="str">
        <f>IF(TRIM(H1404)="","BLANK",IF(PROPER(TRIM(H1404))=TRIM(M1404),"MATCH","MISMATCH"))</f>
        <v>MATCH</v>
      </c>
      <c r="O1404" s="5" t="str">
        <f>INDEX([1]Employee!$C$2:$C$276,MATCH(B1404,[1]Employee!$A$2:$A$276,0))</f>
        <v>Sales &amp; Marketing</v>
      </c>
    </row>
    <row r="1405" spans="1:15">
      <c r="A1405" s="1" t="s">
        <v>2929</v>
      </c>
      <c r="B1405" s="1" t="s">
        <v>185</v>
      </c>
      <c r="C1405" s="1" t="s">
        <v>2930</v>
      </c>
      <c r="D1405" s="2">
        <v>46099</v>
      </c>
      <c r="E1405" s="2">
        <v>46101</v>
      </c>
      <c r="F1405" s="1" t="s">
        <v>305</v>
      </c>
      <c r="G1405" s="1" t="s">
        <v>2</v>
      </c>
      <c r="H1405" s="1" t="s">
        <v>3</v>
      </c>
      <c r="I1405" s="7">
        <v>14.93</v>
      </c>
      <c r="J1405" s="1" t="s">
        <v>38</v>
      </c>
      <c r="K1405" s="1"/>
      <c r="L1405" s="1" t="s">
        <v>48</v>
      </c>
      <c r="M1405" s="1" t="str">
        <f>INDEX(MCC_Lookup!$B$2:$B$12,MATCH(G1405,MCC_Lookup!$A$2:$A$12,0))</f>
        <v>Meals</v>
      </c>
      <c r="N1405" s="1" t="str">
        <f>IF(TRIM(H1405)="","BLANK",IF(PROPER(TRIM(H1405))=TRIM(M1405),"MATCH","MISMATCH"))</f>
        <v>MATCH</v>
      </c>
      <c r="O1405" s="5" t="str">
        <f>INDEX([1]Employee!$C$2:$C$276,MATCH(B1405,[1]Employee!$A$2:$A$276,0))</f>
        <v>Underwriting</v>
      </c>
    </row>
    <row r="1406" spans="1:15">
      <c r="A1406" s="1" t="s">
        <v>2931</v>
      </c>
      <c r="B1406" s="1" t="s">
        <v>196</v>
      </c>
      <c r="C1406" s="1" t="s">
        <v>2932</v>
      </c>
      <c r="D1406" s="2">
        <v>46092</v>
      </c>
      <c r="E1406" s="2">
        <v>46101</v>
      </c>
      <c r="F1406" s="1" t="s">
        <v>95</v>
      </c>
      <c r="G1406" s="1" t="s">
        <v>6</v>
      </c>
      <c r="H1406" s="1" t="s">
        <v>7</v>
      </c>
      <c r="I1406" s="7">
        <v>254.7</v>
      </c>
      <c r="J1406" s="1" t="s">
        <v>38</v>
      </c>
      <c r="K1406" s="1"/>
      <c r="L1406" s="1" t="s">
        <v>39</v>
      </c>
      <c r="M1406" s="1" t="str">
        <f>INDEX(MCC_Lookup!$B$2:$B$12,MATCH(G1406,MCC_Lookup!$A$2:$A$12,0))</f>
        <v>Lodging</v>
      </c>
      <c r="N1406" s="1" t="str">
        <f>IF(TRIM(H1406)="","BLANK",IF(PROPER(TRIM(H1406))=TRIM(M1406),"MATCH","MISMATCH"))</f>
        <v>MATCH</v>
      </c>
      <c r="O1406" s="5" t="str">
        <f>INDEX([1]Employee!$C$2:$C$276,MATCH(B1406,[1]Employee!$A$2:$A$276,0))</f>
        <v>Sales &amp; Marketing</v>
      </c>
    </row>
    <row r="1407" spans="1:15">
      <c r="A1407" s="1" t="s">
        <v>2933</v>
      </c>
      <c r="B1407" s="1" t="s">
        <v>216</v>
      </c>
      <c r="C1407" s="1" t="s">
        <v>2934</v>
      </c>
      <c r="D1407" s="2">
        <v>46092</v>
      </c>
      <c r="E1407" s="2">
        <v>46101</v>
      </c>
      <c r="F1407" s="1" t="s">
        <v>47</v>
      </c>
      <c r="G1407" s="1" t="s">
        <v>6</v>
      </c>
      <c r="H1407" s="1" t="s">
        <v>7</v>
      </c>
      <c r="I1407" s="7">
        <v>215.17</v>
      </c>
      <c r="J1407" s="1" t="s">
        <v>38</v>
      </c>
      <c r="K1407" s="1"/>
      <c r="L1407" s="1" t="s">
        <v>39</v>
      </c>
      <c r="M1407" s="1" t="str">
        <f>INDEX(MCC_Lookup!$B$2:$B$12,MATCH(G1407,MCC_Lookup!$A$2:$A$12,0))</f>
        <v>Lodging</v>
      </c>
      <c r="N1407" s="1" t="str">
        <f>IF(TRIM(H1407)="","BLANK",IF(PROPER(TRIM(H1407))=TRIM(M1407),"MATCH","MISMATCH"))</f>
        <v>MATCH</v>
      </c>
      <c r="O1407" s="5" t="str">
        <f>INDEX([1]Employee!$C$2:$C$276,MATCH(B1407,[1]Employee!$A$2:$A$276,0))</f>
        <v>Sales &amp; Marketing</v>
      </c>
    </row>
    <row r="1408" spans="1:15">
      <c r="A1408" s="1" t="s">
        <v>2935</v>
      </c>
      <c r="B1408" s="1" t="s">
        <v>413</v>
      </c>
      <c r="C1408" s="1" t="s">
        <v>2936</v>
      </c>
      <c r="D1408" s="2">
        <v>46092</v>
      </c>
      <c r="E1408" s="2">
        <v>46101</v>
      </c>
      <c r="F1408" s="1" t="s">
        <v>116</v>
      </c>
      <c r="G1408" s="1" t="s">
        <v>2</v>
      </c>
      <c r="H1408" s="1" t="s">
        <v>3</v>
      </c>
      <c r="I1408" s="7">
        <v>12.52</v>
      </c>
      <c r="J1408" s="1" t="s">
        <v>38</v>
      </c>
      <c r="K1408" s="1"/>
      <c r="L1408" s="1" t="s">
        <v>39</v>
      </c>
      <c r="M1408" s="1" t="str">
        <f>INDEX(MCC_Lookup!$B$2:$B$12,MATCH(G1408,MCC_Lookup!$A$2:$A$12,0))</f>
        <v>Meals</v>
      </c>
      <c r="N1408" s="1" t="str">
        <f>IF(TRIM(H1408)="","BLANK",IF(PROPER(TRIM(H1408))=TRIM(M1408),"MATCH","MISMATCH"))</f>
        <v>MATCH</v>
      </c>
      <c r="O1408" s="5" t="str">
        <f>INDEX([1]Employee!$C$2:$C$276,MATCH(B1408,[1]Employee!$A$2:$A$276,0))</f>
        <v>Claims</v>
      </c>
    </row>
    <row r="1409" spans="1:15">
      <c r="A1409" s="1" t="s">
        <v>2937</v>
      </c>
      <c r="B1409" s="1" t="s">
        <v>542</v>
      </c>
      <c r="C1409" s="1" t="s">
        <v>2938</v>
      </c>
      <c r="D1409" s="2">
        <v>46097</v>
      </c>
      <c r="E1409" s="2">
        <v>46101</v>
      </c>
      <c r="F1409" s="1" t="s">
        <v>56</v>
      </c>
      <c r="G1409" s="1" t="s">
        <v>4</v>
      </c>
      <c r="H1409" s="1" t="s">
        <v>5</v>
      </c>
      <c r="I1409" s="7">
        <v>540.08000000000004</v>
      </c>
      <c r="J1409" s="1" t="s">
        <v>38</v>
      </c>
      <c r="K1409" s="1"/>
      <c r="L1409" s="1" t="s">
        <v>39</v>
      </c>
      <c r="M1409" s="1" t="str">
        <f>INDEX(MCC_Lookup!$B$2:$B$12,MATCH(G1409,MCC_Lookup!$A$2:$A$12,0))</f>
        <v>Travel</v>
      </c>
      <c r="N1409" s="1" t="str">
        <f>IF(TRIM(H1409)="","BLANK",IF(PROPER(TRIM(H1409))=TRIM(M1409),"MATCH","MISMATCH"))</f>
        <v>MATCH</v>
      </c>
      <c r="O1409" s="5" t="str">
        <f>INDEX([1]Employee!$C$2:$C$276,MATCH(B1409,[1]Employee!$A$2:$A$276,0))</f>
        <v>Underwriting</v>
      </c>
    </row>
    <row r="1410" spans="1:15">
      <c r="A1410" s="1" t="s">
        <v>2939</v>
      </c>
      <c r="B1410" s="1" t="s">
        <v>469</v>
      </c>
      <c r="C1410" s="1"/>
      <c r="D1410" s="2">
        <v>46099</v>
      </c>
      <c r="E1410" s="2">
        <v>46101</v>
      </c>
      <c r="F1410" s="1" t="s">
        <v>52</v>
      </c>
      <c r="G1410" s="1" t="s">
        <v>15</v>
      </c>
      <c r="H1410" s="1" t="s">
        <v>16</v>
      </c>
      <c r="I1410" s="7">
        <v>50.29</v>
      </c>
      <c r="J1410" s="1" t="s">
        <v>111</v>
      </c>
      <c r="K1410" s="1" t="s">
        <v>127</v>
      </c>
      <c r="L1410" s="1" t="s">
        <v>39</v>
      </c>
      <c r="M1410" s="1" t="str">
        <f>INDEX(MCC_Lookup!$B$2:$B$12,MATCH(G1410,MCC_Lookup!$A$2:$A$12,0))</f>
        <v>Entertainment</v>
      </c>
      <c r="N1410" s="1" t="str">
        <f>IF(TRIM(H1410)="","BLANK",IF(PROPER(TRIM(H1410))=TRIM(M1410),"MATCH","MISMATCH"))</f>
        <v>MATCH</v>
      </c>
      <c r="O1410" s="5" t="str">
        <f>INDEX([1]Employee!$C$2:$C$276,MATCH(B1410,[1]Employee!$A$2:$A$276,0))</f>
        <v>Sales &amp; Marketing</v>
      </c>
    </row>
    <row r="1411" spans="1:15">
      <c r="A1411" s="1" t="s">
        <v>2940</v>
      </c>
      <c r="B1411" s="1" t="s">
        <v>648</v>
      </c>
      <c r="C1411" s="1" t="s">
        <v>2941</v>
      </c>
      <c r="D1411" s="2">
        <v>46097</v>
      </c>
      <c r="E1411" s="2">
        <v>46101</v>
      </c>
      <c r="F1411" s="1" t="s">
        <v>305</v>
      </c>
      <c r="G1411" s="1" t="s">
        <v>2</v>
      </c>
      <c r="H1411" s="1" t="s">
        <v>9</v>
      </c>
      <c r="I1411" s="7">
        <v>13.61</v>
      </c>
      <c r="J1411" s="1" t="s">
        <v>38</v>
      </c>
      <c r="K1411" s="1"/>
      <c r="L1411" s="1" t="s">
        <v>39</v>
      </c>
      <c r="M1411" s="1" t="str">
        <f>INDEX(MCC_Lookup!$B$2:$B$12,MATCH(G1411,MCC_Lookup!$A$2:$A$12,0))</f>
        <v>Meals</v>
      </c>
      <c r="N1411" s="1" t="str">
        <f>IF(TRIM(H1411)="","BLANK",IF(PROPER(TRIM(H1411))=TRIM(M1411),"MATCH","MISMATCH"))</f>
        <v>MISMATCH</v>
      </c>
      <c r="O1411" s="5" t="str">
        <f>INDEX([1]Employee!$C$2:$C$276,MATCH(B1411,[1]Employee!$A$2:$A$276,0))</f>
        <v>Sales &amp; Marketing</v>
      </c>
    </row>
    <row r="1412" spans="1:15">
      <c r="A1412" s="1" t="s">
        <v>2942</v>
      </c>
      <c r="B1412" s="1" t="s">
        <v>297</v>
      </c>
      <c r="C1412" s="1" t="s">
        <v>2943</v>
      </c>
      <c r="D1412" s="2">
        <v>46097</v>
      </c>
      <c r="E1412" s="2">
        <v>46101</v>
      </c>
      <c r="F1412" s="1" t="s">
        <v>362</v>
      </c>
      <c r="G1412" s="1" t="s">
        <v>2</v>
      </c>
      <c r="H1412" s="1" t="s">
        <v>3</v>
      </c>
      <c r="I1412" s="7">
        <v>101.2</v>
      </c>
      <c r="J1412" s="1" t="s">
        <v>38</v>
      </c>
      <c r="K1412" s="1"/>
      <c r="L1412" s="1" t="s">
        <v>39</v>
      </c>
      <c r="M1412" s="1" t="str">
        <f>INDEX(MCC_Lookup!$B$2:$B$12,MATCH(G1412,MCC_Lookup!$A$2:$A$12,0))</f>
        <v>Meals</v>
      </c>
      <c r="N1412" s="1" t="str">
        <f>IF(TRIM(H1412)="","BLANK",IF(PROPER(TRIM(H1412))=TRIM(M1412),"MATCH","MISMATCH"))</f>
        <v>MATCH</v>
      </c>
      <c r="O1412" s="5" t="str">
        <f>INDEX([1]Employee!$C$2:$C$276,MATCH(B1412,[1]Employee!$A$2:$A$276,0))</f>
        <v>Underwriting</v>
      </c>
    </row>
    <row r="1413" spans="1:15">
      <c r="A1413" s="1" t="s">
        <v>2944</v>
      </c>
      <c r="B1413" s="1" t="s">
        <v>190</v>
      </c>
      <c r="C1413" s="1" t="s">
        <v>2945</v>
      </c>
      <c r="D1413" s="2">
        <v>46094</v>
      </c>
      <c r="E1413" s="2">
        <v>46101</v>
      </c>
      <c r="F1413" s="1" t="s">
        <v>259</v>
      </c>
      <c r="G1413" s="1" t="s">
        <v>20</v>
      </c>
      <c r="H1413" s="1" t="s">
        <v>19</v>
      </c>
      <c r="I1413" s="7">
        <v>231.38</v>
      </c>
      <c r="J1413" s="1" t="s">
        <v>38</v>
      </c>
      <c r="K1413" s="1"/>
      <c r="L1413" s="1" t="s">
        <v>39</v>
      </c>
      <c r="M1413" s="1" t="str">
        <f>INDEX(MCC_Lookup!$B$2:$B$12,MATCH(G1413,MCC_Lookup!$A$2:$A$12,0))</f>
        <v>Events</v>
      </c>
      <c r="N1413" s="1" t="str">
        <f>IF(TRIM(H1413)="","BLANK",IF(PROPER(TRIM(H1413))=TRIM(M1413),"MATCH","MISMATCH"))</f>
        <v>MATCH</v>
      </c>
      <c r="O1413" s="5" t="str">
        <f>INDEX([1]Employee!$C$2:$C$276,MATCH(B1413,[1]Employee!$A$2:$A$276,0))</f>
        <v>Sales &amp; Marketing</v>
      </c>
    </row>
    <row r="1414" spans="1:15">
      <c r="A1414" s="1" t="s">
        <v>2946</v>
      </c>
      <c r="B1414" s="1" t="s">
        <v>667</v>
      </c>
      <c r="C1414" s="1" t="s">
        <v>2947</v>
      </c>
      <c r="D1414" s="2">
        <v>46093</v>
      </c>
      <c r="E1414" s="2">
        <v>46101</v>
      </c>
      <c r="F1414" s="1" t="s">
        <v>99</v>
      </c>
      <c r="G1414" s="1" t="s">
        <v>2</v>
      </c>
      <c r="H1414" s="1" t="s">
        <v>3</v>
      </c>
      <c r="I1414" s="7">
        <v>111.55</v>
      </c>
      <c r="J1414" s="1" t="s">
        <v>38</v>
      </c>
      <c r="K1414" s="1"/>
      <c r="L1414" s="1" t="s">
        <v>39</v>
      </c>
      <c r="M1414" s="1" t="str">
        <f>INDEX(MCC_Lookup!$B$2:$B$12,MATCH(G1414,MCC_Lookup!$A$2:$A$12,0))</f>
        <v>Meals</v>
      </c>
      <c r="N1414" s="1" t="str">
        <f>IF(TRIM(H1414)="","BLANK",IF(PROPER(TRIM(H1414))=TRIM(M1414),"MATCH","MISMATCH"))</f>
        <v>MATCH</v>
      </c>
      <c r="O1414" s="5" t="str">
        <f>INDEX([1]Employee!$C$2:$C$276,MATCH(B1414,[1]Employee!$A$2:$A$276,0))</f>
        <v>Sales &amp; Marketing</v>
      </c>
    </row>
    <row r="1415" spans="1:15">
      <c r="A1415" s="1" t="s">
        <v>2948</v>
      </c>
      <c r="B1415" s="1" t="s">
        <v>63</v>
      </c>
      <c r="C1415" s="1" t="s">
        <v>2949</v>
      </c>
      <c r="D1415" s="2">
        <v>46094</v>
      </c>
      <c r="E1415" s="2">
        <v>46101</v>
      </c>
      <c r="F1415" s="1" t="s">
        <v>120</v>
      </c>
      <c r="G1415" s="1" t="s">
        <v>12</v>
      </c>
      <c r="H1415" s="1" t="s">
        <v>11</v>
      </c>
      <c r="I1415" s="7">
        <v>452.88</v>
      </c>
      <c r="J1415" s="1" t="s">
        <v>38</v>
      </c>
      <c r="K1415" s="1"/>
      <c r="L1415" s="1" t="s">
        <v>39</v>
      </c>
      <c r="M1415" s="1" t="str">
        <f>INDEX(MCC_Lookup!$B$2:$B$12,MATCH(G1415,MCC_Lookup!$A$2:$A$12,0))</f>
        <v>Office Supplies</v>
      </c>
      <c r="N1415" s="1" t="str">
        <f>IF(TRIM(H1415)="","BLANK",IF(PROPER(TRIM(H1415))=TRIM(M1415),"MATCH","MISMATCH"))</f>
        <v>MATCH</v>
      </c>
      <c r="O1415" s="5" t="str">
        <f>INDEX([1]Employee!$C$2:$C$276,MATCH(B1415,[1]Employee!$A$2:$A$276,0))</f>
        <v>Sales &amp; Marketing</v>
      </c>
    </row>
    <row r="1416" spans="1:15">
      <c r="A1416" s="1" t="s">
        <v>2950</v>
      </c>
      <c r="B1416" s="1" t="s">
        <v>475</v>
      </c>
      <c r="C1416" s="1" t="s">
        <v>2951</v>
      </c>
      <c r="D1416" s="2">
        <v>46098</v>
      </c>
      <c r="E1416" s="2">
        <v>46101</v>
      </c>
      <c r="F1416" s="1" t="s">
        <v>37</v>
      </c>
      <c r="G1416" s="1" t="s">
        <v>4</v>
      </c>
      <c r="H1416" s="1" t="s">
        <v>5</v>
      </c>
      <c r="I1416" s="7">
        <v>243.01</v>
      </c>
      <c r="J1416" s="1" t="s">
        <v>38</v>
      </c>
      <c r="K1416" s="1"/>
      <c r="L1416" s="1" t="s">
        <v>39</v>
      </c>
      <c r="M1416" s="1" t="str">
        <f>INDEX(MCC_Lookup!$B$2:$B$12,MATCH(G1416,MCC_Lookup!$A$2:$A$12,0))</f>
        <v>Travel</v>
      </c>
      <c r="N1416" s="1" t="str">
        <f>IF(TRIM(H1416)="","BLANK",IF(PROPER(TRIM(H1416))=TRIM(M1416),"MATCH","MISMATCH"))</f>
        <v>MATCH</v>
      </c>
      <c r="O1416" s="5" t="str">
        <f>INDEX([1]Employee!$C$2:$C$276,MATCH(B1416,[1]Employee!$A$2:$A$276,0))</f>
        <v>Sales &amp; Marketing</v>
      </c>
    </row>
    <row r="1417" spans="1:15">
      <c r="A1417" s="1" t="s">
        <v>2952</v>
      </c>
      <c r="B1417" s="1" t="s">
        <v>732</v>
      </c>
      <c r="C1417" s="1" t="s">
        <v>2953</v>
      </c>
      <c r="D1417" s="2">
        <v>46097</v>
      </c>
      <c r="E1417" s="2">
        <v>46101</v>
      </c>
      <c r="F1417" s="1" t="s">
        <v>120</v>
      </c>
      <c r="G1417" s="1" t="s">
        <v>12</v>
      </c>
      <c r="H1417" s="1" t="s">
        <v>11</v>
      </c>
      <c r="I1417" s="7">
        <v>440.76</v>
      </c>
      <c r="J1417" s="1" t="s">
        <v>38</v>
      </c>
      <c r="K1417" s="1"/>
      <c r="L1417" s="1" t="s">
        <v>39</v>
      </c>
      <c r="M1417" s="1" t="str">
        <f>INDEX(MCC_Lookup!$B$2:$B$12,MATCH(G1417,MCC_Lookup!$A$2:$A$12,0))</f>
        <v>Office Supplies</v>
      </c>
      <c r="N1417" s="1" t="str">
        <f>IF(TRIM(H1417)="","BLANK",IF(PROPER(TRIM(H1417))=TRIM(M1417),"MATCH","MISMATCH"))</f>
        <v>MATCH</v>
      </c>
      <c r="O1417" s="5" t="str">
        <f>INDEX([1]Employee!$C$2:$C$276,MATCH(B1417,[1]Employee!$A$2:$A$276,0))</f>
        <v>Underwriting</v>
      </c>
    </row>
    <row r="1418" spans="1:15">
      <c r="A1418" s="1" t="s">
        <v>2954</v>
      </c>
      <c r="B1418" s="1" t="s">
        <v>732</v>
      </c>
      <c r="C1418" s="1" t="s">
        <v>2955</v>
      </c>
      <c r="D1418" s="2">
        <v>46099</v>
      </c>
      <c r="E1418" s="2">
        <v>46101</v>
      </c>
      <c r="F1418" s="1" t="s">
        <v>347</v>
      </c>
      <c r="G1418" s="1" t="s">
        <v>8</v>
      </c>
      <c r="H1418" s="1" t="s">
        <v>9</v>
      </c>
      <c r="I1418" s="7">
        <v>31.83</v>
      </c>
      <c r="J1418" s="1" t="s">
        <v>38</v>
      </c>
      <c r="K1418" s="1"/>
      <c r="L1418" s="1" t="s">
        <v>39</v>
      </c>
      <c r="M1418" s="1" t="str">
        <f>INDEX(MCC_Lookup!$B$2:$B$12,MATCH(G1418,MCC_Lookup!$A$2:$A$12,0))</f>
        <v>Transportation</v>
      </c>
      <c r="N1418" s="1" t="str">
        <f>IF(TRIM(H1418)="","BLANK",IF(PROPER(TRIM(H1418))=TRIM(M1418),"MATCH","MISMATCH"))</f>
        <v>MATCH</v>
      </c>
      <c r="O1418" s="5" t="str">
        <f>INDEX([1]Employee!$C$2:$C$276,MATCH(B1418,[1]Employee!$A$2:$A$276,0))</f>
        <v>Underwriting</v>
      </c>
    </row>
    <row r="1419" spans="1:15">
      <c r="A1419" s="1" t="s">
        <v>2956</v>
      </c>
      <c r="B1419" s="1" t="s">
        <v>453</v>
      </c>
      <c r="C1419" s="1" t="s">
        <v>2957</v>
      </c>
      <c r="D1419" s="2">
        <v>46096</v>
      </c>
      <c r="E1419" s="2">
        <v>46101</v>
      </c>
      <c r="F1419" s="1" t="s">
        <v>47</v>
      </c>
      <c r="G1419" s="1" t="s">
        <v>6</v>
      </c>
      <c r="H1419" s="1" t="s">
        <v>7</v>
      </c>
      <c r="I1419" s="7">
        <v>351.16</v>
      </c>
      <c r="J1419" s="1" t="s">
        <v>38</v>
      </c>
      <c r="K1419" s="1"/>
      <c r="L1419" s="1" t="s">
        <v>39</v>
      </c>
      <c r="M1419" s="1" t="str">
        <f>INDEX(MCC_Lookup!$B$2:$B$12,MATCH(G1419,MCC_Lookup!$A$2:$A$12,0))</f>
        <v>Lodging</v>
      </c>
      <c r="N1419" s="1" t="str">
        <f>IF(TRIM(H1419)="","BLANK",IF(PROPER(TRIM(H1419))=TRIM(M1419),"MATCH","MISMATCH"))</f>
        <v>MATCH</v>
      </c>
      <c r="O1419" s="5" t="str">
        <f>INDEX([1]Employee!$C$2:$C$276,MATCH(B1419,[1]Employee!$A$2:$A$276,0))</f>
        <v>IT &amp; Platform Engineering</v>
      </c>
    </row>
    <row r="1420" spans="1:15">
      <c r="A1420" s="1" t="s">
        <v>2958</v>
      </c>
      <c r="B1420" s="1" t="s">
        <v>524</v>
      </c>
      <c r="C1420" s="1" t="s">
        <v>2959</v>
      </c>
      <c r="D1420" s="2">
        <v>46093</v>
      </c>
      <c r="E1420" s="2">
        <v>46101</v>
      </c>
      <c r="F1420" s="1" t="s">
        <v>124</v>
      </c>
      <c r="G1420" s="1" t="s">
        <v>17</v>
      </c>
      <c r="H1420" s="1" t="s">
        <v>16</v>
      </c>
      <c r="I1420" s="7">
        <v>162.1</v>
      </c>
      <c r="J1420" s="1" t="s">
        <v>38</v>
      </c>
      <c r="K1420" s="1"/>
      <c r="L1420" s="1" t="s">
        <v>39</v>
      </c>
      <c r="M1420" s="1" t="str">
        <f>INDEX(MCC_Lookup!$B$2:$B$12,MATCH(G1420,MCC_Lookup!$A$2:$A$12,0))</f>
        <v>Entertainment</v>
      </c>
      <c r="N1420" s="1" t="str">
        <f>IF(TRIM(H1420)="","BLANK",IF(PROPER(TRIM(H1420))=TRIM(M1420),"MATCH","MISMATCH"))</f>
        <v>MATCH</v>
      </c>
      <c r="O1420" s="5" t="str">
        <f>INDEX([1]Employee!$C$2:$C$276,MATCH(B1420,[1]Employee!$A$2:$A$276,0))</f>
        <v>Claims</v>
      </c>
    </row>
    <row r="1421" spans="1:15">
      <c r="A1421" s="1" t="s">
        <v>2960</v>
      </c>
      <c r="B1421" s="1" t="s">
        <v>836</v>
      </c>
      <c r="C1421" s="1" t="s">
        <v>2961</v>
      </c>
      <c r="D1421" s="2">
        <v>46099</v>
      </c>
      <c r="E1421" s="2">
        <v>46101</v>
      </c>
      <c r="F1421" s="1" t="s">
        <v>347</v>
      </c>
      <c r="G1421" s="1" t="s">
        <v>8</v>
      </c>
      <c r="H1421" s="1" t="s">
        <v>9</v>
      </c>
      <c r="I1421" s="7">
        <v>37.01</v>
      </c>
      <c r="J1421" s="1" t="s">
        <v>38</v>
      </c>
      <c r="K1421" s="1"/>
      <c r="L1421" s="1" t="s">
        <v>39</v>
      </c>
      <c r="M1421" s="1" t="str">
        <f>INDEX(MCC_Lookup!$B$2:$B$12,MATCH(G1421,MCC_Lookup!$A$2:$A$12,0))</f>
        <v>Transportation</v>
      </c>
      <c r="N1421" s="1" t="str">
        <f>IF(TRIM(H1421)="","BLANK",IF(PROPER(TRIM(H1421))=TRIM(M1421),"MATCH","MISMATCH"))</f>
        <v>MATCH</v>
      </c>
      <c r="O1421" s="5" t="str">
        <f>INDEX([1]Employee!$C$2:$C$276,MATCH(B1421,[1]Employee!$A$2:$A$276,0))</f>
        <v>Sales &amp; Marketing</v>
      </c>
    </row>
    <row r="1422" spans="1:15">
      <c r="A1422" s="1" t="s">
        <v>2962</v>
      </c>
      <c r="B1422" s="1" t="s">
        <v>597</v>
      </c>
      <c r="C1422" s="1" t="s">
        <v>2963</v>
      </c>
      <c r="D1422" s="2">
        <v>46099</v>
      </c>
      <c r="E1422" s="2">
        <v>46101</v>
      </c>
      <c r="F1422" s="1" t="s">
        <v>69</v>
      </c>
      <c r="G1422" s="1" t="s">
        <v>8</v>
      </c>
      <c r="H1422" s="1" t="s">
        <v>9</v>
      </c>
      <c r="I1422" s="7">
        <v>15.54</v>
      </c>
      <c r="J1422" s="1" t="s">
        <v>38</v>
      </c>
      <c r="K1422" s="1"/>
      <c r="L1422" s="1" t="s">
        <v>39</v>
      </c>
      <c r="M1422" s="1" t="str">
        <f>INDEX(MCC_Lookup!$B$2:$B$12,MATCH(G1422,MCC_Lookup!$A$2:$A$12,0))</f>
        <v>Transportation</v>
      </c>
      <c r="N1422" s="1" t="str">
        <f>IF(TRIM(H1422)="","BLANK",IF(PROPER(TRIM(H1422))=TRIM(M1422),"MATCH","MISMATCH"))</f>
        <v>MATCH</v>
      </c>
      <c r="O1422" s="5" t="str">
        <f>INDEX([1]Employee!$C$2:$C$276,MATCH(B1422,[1]Employee!$A$2:$A$276,0))</f>
        <v>Sales &amp; Marketing</v>
      </c>
    </row>
    <row r="1423" spans="1:15">
      <c r="A1423" s="1" t="s">
        <v>2964</v>
      </c>
      <c r="B1423" s="1" t="s">
        <v>108</v>
      </c>
      <c r="C1423" s="1" t="s">
        <v>2965</v>
      </c>
      <c r="D1423" s="2">
        <v>46099</v>
      </c>
      <c r="E1423" s="2">
        <v>46101</v>
      </c>
      <c r="F1423" s="1" t="s">
        <v>242</v>
      </c>
      <c r="G1423" s="1" t="s">
        <v>13</v>
      </c>
      <c r="H1423" s="1" t="s">
        <v>14</v>
      </c>
      <c r="I1423" s="7">
        <v>23.39</v>
      </c>
      <c r="J1423" s="1" t="s">
        <v>38</v>
      </c>
      <c r="K1423" s="1"/>
      <c r="L1423" s="1" t="s">
        <v>39</v>
      </c>
      <c r="M1423" s="1" t="str">
        <f>INDEX(MCC_Lookup!$B$2:$B$12,MATCH(G1423,MCC_Lookup!$A$2:$A$12,0))</f>
        <v>Software</v>
      </c>
      <c r="N1423" s="1" t="str">
        <f>IF(TRIM(H1423)="","BLANK",IF(PROPER(TRIM(H1423))=TRIM(M1423),"MATCH","MISMATCH"))</f>
        <v>MATCH</v>
      </c>
      <c r="O1423" s="5" t="str">
        <f>INDEX([1]Employee!$C$2:$C$276,MATCH(B1423,[1]Employee!$A$2:$A$276,0))</f>
        <v>Sales &amp; Marketing</v>
      </c>
    </row>
    <row r="1424" spans="1:15">
      <c r="A1424" s="1" t="s">
        <v>2966</v>
      </c>
      <c r="B1424" s="1" t="s">
        <v>59</v>
      </c>
      <c r="C1424" s="1"/>
      <c r="D1424" s="2">
        <v>46092</v>
      </c>
      <c r="E1424" s="2">
        <v>46101</v>
      </c>
      <c r="F1424" s="1" t="s">
        <v>65</v>
      </c>
      <c r="G1424" s="1" t="s">
        <v>18</v>
      </c>
      <c r="H1424" s="1" t="s">
        <v>19</v>
      </c>
      <c r="I1424" s="7">
        <v>521.91999999999996</v>
      </c>
      <c r="J1424" s="1" t="s">
        <v>111</v>
      </c>
      <c r="K1424" s="1" t="s">
        <v>229</v>
      </c>
      <c r="L1424" s="1" t="s">
        <v>39</v>
      </c>
      <c r="M1424" s="1" t="str">
        <f>INDEX(MCC_Lookup!$B$2:$B$12,MATCH(G1424,MCC_Lookup!$A$2:$A$12,0))</f>
        <v>Events</v>
      </c>
      <c r="N1424" s="1" t="str">
        <f>IF(TRIM(H1424)="","BLANK",IF(PROPER(TRIM(H1424))=TRIM(M1424),"MATCH","MISMATCH"))</f>
        <v>MATCH</v>
      </c>
      <c r="O1424" s="5" t="str">
        <f>INDEX([1]Employee!$C$2:$C$276,MATCH(B1424,[1]Employee!$A$2:$A$276,0))</f>
        <v>Sales &amp; Marketing</v>
      </c>
    </row>
    <row r="1425" spans="1:15">
      <c r="A1425" s="1" t="s">
        <v>2967</v>
      </c>
      <c r="B1425" s="1" t="s">
        <v>846</v>
      </c>
      <c r="C1425" s="1" t="s">
        <v>2968</v>
      </c>
      <c r="D1425" s="2">
        <v>46097</v>
      </c>
      <c r="E1425" s="2">
        <v>46101</v>
      </c>
      <c r="F1425" s="1" t="s">
        <v>83</v>
      </c>
      <c r="G1425" s="1" t="s">
        <v>2</v>
      </c>
      <c r="H1425" s="1" t="s">
        <v>3</v>
      </c>
      <c r="I1425" s="7">
        <v>14.14</v>
      </c>
      <c r="J1425" s="1" t="s">
        <v>38</v>
      </c>
      <c r="K1425" s="1"/>
      <c r="L1425" s="1" t="s">
        <v>39</v>
      </c>
      <c r="M1425" s="1" t="str">
        <f>INDEX(MCC_Lookup!$B$2:$B$12,MATCH(G1425,MCC_Lookup!$A$2:$A$12,0))</f>
        <v>Meals</v>
      </c>
      <c r="N1425" s="1" t="str">
        <f>IF(TRIM(H1425)="","BLANK",IF(PROPER(TRIM(H1425))=TRIM(M1425),"MATCH","MISMATCH"))</f>
        <v>MATCH</v>
      </c>
      <c r="O1425" s="5" t="str">
        <f>INDEX([1]Employee!$C$2:$C$276,MATCH(B1425,[1]Employee!$A$2:$A$276,0))</f>
        <v>Sales &amp; Marketing</v>
      </c>
    </row>
    <row r="1426" spans="1:15">
      <c r="A1426" s="1" t="s">
        <v>2969</v>
      </c>
      <c r="B1426" s="1" t="s">
        <v>373</v>
      </c>
      <c r="C1426" s="1"/>
      <c r="D1426" s="2">
        <v>46100</v>
      </c>
      <c r="E1426" s="2">
        <v>46101</v>
      </c>
      <c r="F1426" s="1" t="s">
        <v>106</v>
      </c>
      <c r="G1426" s="1" t="s">
        <v>13</v>
      </c>
      <c r="H1426" s="1" t="s">
        <v>192</v>
      </c>
      <c r="I1426" s="7">
        <v>156.86000000000001</v>
      </c>
      <c r="J1426" s="1" t="s">
        <v>111</v>
      </c>
      <c r="K1426" s="1" t="s">
        <v>229</v>
      </c>
      <c r="L1426" s="1" t="s">
        <v>39</v>
      </c>
      <c r="M1426" s="1" t="str">
        <f>INDEX(MCC_Lookup!$B$2:$B$12,MATCH(G1426,MCC_Lookup!$A$2:$A$12,0))</f>
        <v>Software</v>
      </c>
      <c r="N1426" s="1" t="str">
        <f>IF(TRIM(H1426)="","BLANK",IF(PROPER(TRIM(H1426))=TRIM(M1426),"MATCH","MISMATCH"))</f>
        <v>MATCH</v>
      </c>
      <c r="O1426" s="5" t="str">
        <f>INDEX([1]Employee!$C$2:$C$276,MATCH(B1426,[1]Employee!$A$2:$A$276,0))</f>
        <v>Sales &amp; Marketing</v>
      </c>
    </row>
    <row r="1427" spans="1:15">
      <c r="A1427" s="1" t="s">
        <v>2970</v>
      </c>
      <c r="B1427" s="1" t="s">
        <v>643</v>
      </c>
      <c r="C1427" s="1" t="s">
        <v>2971</v>
      </c>
      <c r="D1427" s="2">
        <v>46098</v>
      </c>
      <c r="E1427" s="2">
        <v>46101</v>
      </c>
      <c r="F1427" s="1" t="s">
        <v>79</v>
      </c>
      <c r="G1427" s="1" t="s">
        <v>13</v>
      </c>
      <c r="H1427" s="1" t="s">
        <v>14</v>
      </c>
      <c r="I1427" s="7">
        <v>157.35</v>
      </c>
      <c r="J1427" s="1" t="s">
        <v>38</v>
      </c>
      <c r="K1427" s="1"/>
      <c r="L1427" s="1" t="s">
        <v>39</v>
      </c>
      <c r="M1427" s="1" t="str">
        <f>INDEX(MCC_Lookup!$B$2:$B$12,MATCH(G1427,MCC_Lookup!$A$2:$A$12,0))</f>
        <v>Software</v>
      </c>
      <c r="N1427" s="1" t="str">
        <f>IF(TRIM(H1427)="","BLANK",IF(PROPER(TRIM(H1427))=TRIM(M1427),"MATCH","MISMATCH"))</f>
        <v>MATCH</v>
      </c>
      <c r="O1427" s="5" t="str">
        <f>INDEX([1]Employee!$C$2:$C$276,MATCH(B1427,[1]Employee!$A$2:$A$276,0))</f>
        <v>Sales &amp; Marketing</v>
      </c>
    </row>
    <row r="1428" spans="1:15">
      <c r="A1428" s="1" t="s">
        <v>2972</v>
      </c>
      <c r="B1428" s="1" t="s">
        <v>1399</v>
      </c>
      <c r="C1428" s="1" t="s">
        <v>2973</v>
      </c>
      <c r="D1428" s="2">
        <v>46096</v>
      </c>
      <c r="E1428" s="2">
        <v>46101</v>
      </c>
      <c r="F1428" s="1" t="s">
        <v>61</v>
      </c>
      <c r="G1428" s="1" t="s">
        <v>13</v>
      </c>
      <c r="H1428" s="1" t="s">
        <v>14</v>
      </c>
      <c r="I1428" s="7">
        <v>61.14</v>
      </c>
      <c r="J1428" s="1" t="s">
        <v>38</v>
      </c>
      <c r="K1428" s="1"/>
      <c r="L1428" s="1" t="s">
        <v>39</v>
      </c>
      <c r="M1428" s="1" t="str">
        <f>INDEX(MCC_Lookup!$B$2:$B$12,MATCH(G1428,MCC_Lookup!$A$2:$A$12,0))</f>
        <v>Software</v>
      </c>
      <c r="N1428" s="1" t="str">
        <f>IF(TRIM(H1428)="","BLANK",IF(PROPER(TRIM(H1428))=TRIM(M1428),"MATCH","MISMATCH"))</f>
        <v>MATCH</v>
      </c>
      <c r="O1428" s="5" t="str">
        <f>INDEX([1]Employee!$C$2:$C$276,MATCH(B1428,[1]Employee!$A$2:$A$276,0))</f>
        <v>Underwriting</v>
      </c>
    </row>
    <row r="1429" spans="1:15">
      <c r="A1429" s="1" t="s">
        <v>2974</v>
      </c>
      <c r="B1429" s="1" t="s">
        <v>631</v>
      </c>
      <c r="C1429" s="1" t="s">
        <v>2975</v>
      </c>
      <c r="D1429" s="2">
        <v>46092</v>
      </c>
      <c r="E1429" s="2">
        <v>46101</v>
      </c>
      <c r="F1429" s="1" t="s">
        <v>177</v>
      </c>
      <c r="G1429" s="1" t="s">
        <v>13</v>
      </c>
      <c r="H1429" s="1" t="s">
        <v>14</v>
      </c>
      <c r="I1429" s="7">
        <v>17.88</v>
      </c>
      <c r="J1429" s="1" t="s">
        <v>38</v>
      </c>
      <c r="K1429" s="1"/>
      <c r="L1429" s="1" t="s">
        <v>39</v>
      </c>
      <c r="M1429" s="1" t="str">
        <f>INDEX(MCC_Lookup!$B$2:$B$12,MATCH(G1429,MCC_Lookup!$A$2:$A$12,0))</f>
        <v>Software</v>
      </c>
      <c r="N1429" s="1" t="str">
        <f>IF(TRIM(H1429)="","BLANK",IF(PROPER(TRIM(H1429))=TRIM(M1429),"MATCH","MISMATCH"))</f>
        <v>MATCH</v>
      </c>
      <c r="O1429" s="5" t="str">
        <f>INDEX([1]Employee!$C$2:$C$276,MATCH(B1429,[1]Employee!$A$2:$A$276,0))</f>
        <v>Claims</v>
      </c>
    </row>
    <row r="1430" spans="1:15">
      <c r="A1430" s="1" t="s">
        <v>2976</v>
      </c>
      <c r="B1430" s="1" t="s">
        <v>1488</v>
      </c>
      <c r="C1430" s="1" t="s">
        <v>2977</v>
      </c>
      <c r="D1430" s="2">
        <v>46100</v>
      </c>
      <c r="E1430" s="2">
        <v>46101</v>
      </c>
      <c r="F1430" s="1" t="s">
        <v>95</v>
      </c>
      <c r="G1430" s="1" t="s">
        <v>6</v>
      </c>
      <c r="H1430" s="1" t="s">
        <v>7</v>
      </c>
      <c r="I1430" s="7">
        <v>354.8</v>
      </c>
      <c r="J1430" s="1" t="s">
        <v>38</v>
      </c>
      <c r="K1430" s="1"/>
      <c r="L1430" s="1" t="s">
        <v>39</v>
      </c>
      <c r="M1430" s="1" t="str">
        <f>INDEX(MCC_Lookup!$B$2:$B$12,MATCH(G1430,MCC_Lookup!$A$2:$A$12,0))</f>
        <v>Lodging</v>
      </c>
      <c r="N1430" s="1" t="str">
        <f>IF(TRIM(H1430)="","BLANK",IF(PROPER(TRIM(H1430))=TRIM(M1430),"MATCH","MISMATCH"))</f>
        <v>MATCH</v>
      </c>
      <c r="O1430" s="5" t="str">
        <f>INDEX([1]Employee!$C$2:$C$276,MATCH(B1430,[1]Employee!$A$2:$A$276,0))</f>
        <v>Claims</v>
      </c>
    </row>
    <row r="1431" spans="1:15">
      <c r="A1431" s="1" t="s">
        <v>2978</v>
      </c>
      <c r="B1431" s="1" t="s">
        <v>1642</v>
      </c>
      <c r="C1431" s="1" t="s">
        <v>2979</v>
      </c>
      <c r="D1431" s="2">
        <v>46098</v>
      </c>
      <c r="E1431" s="2">
        <v>46101</v>
      </c>
      <c r="F1431" s="1" t="s">
        <v>69</v>
      </c>
      <c r="G1431" s="1" t="s">
        <v>8</v>
      </c>
      <c r="H1431" s="1" t="s">
        <v>343</v>
      </c>
      <c r="I1431" s="7">
        <v>46.09</v>
      </c>
      <c r="J1431" s="1" t="s">
        <v>38</v>
      </c>
      <c r="K1431" s="1"/>
      <c r="L1431" s="1" t="s">
        <v>39</v>
      </c>
      <c r="M1431" s="1" t="str">
        <f>INDEX(MCC_Lookup!$B$2:$B$12,MATCH(G1431,MCC_Lookup!$A$2:$A$12,0))</f>
        <v>Transportation</v>
      </c>
      <c r="N1431" s="1" t="str">
        <f>IF(TRIM(H1431)="","BLANK",IF(PROPER(TRIM(H1431))=TRIM(M1431),"MATCH","MISMATCH"))</f>
        <v>MATCH</v>
      </c>
      <c r="O1431" s="5" t="str">
        <f>INDEX([1]Employee!$C$2:$C$276,MATCH(B1431,[1]Employee!$A$2:$A$276,0))</f>
        <v>Underwriting</v>
      </c>
    </row>
    <row r="1432" spans="1:15">
      <c r="A1432" s="1" t="s">
        <v>2980</v>
      </c>
      <c r="B1432" s="1" t="s">
        <v>2981</v>
      </c>
      <c r="C1432" s="1" t="s">
        <v>2982</v>
      </c>
      <c r="D1432" s="2">
        <v>46092</v>
      </c>
      <c r="E1432" s="2">
        <v>46102</v>
      </c>
      <c r="F1432" s="1" t="s">
        <v>76</v>
      </c>
      <c r="G1432" s="1" t="s">
        <v>13</v>
      </c>
      <c r="H1432" s="1" t="s">
        <v>470</v>
      </c>
      <c r="I1432" s="7">
        <v>421.02</v>
      </c>
      <c r="J1432" s="1" t="s">
        <v>38</v>
      </c>
      <c r="K1432" s="1"/>
      <c r="L1432" s="1" t="s">
        <v>39</v>
      </c>
      <c r="M1432" s="1" t="str">
        <f>INDEX(MCC_Lookup!$B$2:$B$12,MATCH(G1432,MCC_Lookup!$A$2:$A$12,0))</f>
        <v>Software</v>
      </c>
      <c r="N1432" s="1" t="str">
        <f>IF(TRIM(H1432)="","BLANK",IF(PROPER(TRIM(H1432))=TRIM(M1432),"MATCH","MISMATCH"))</f>
        <v>MATCH</v>
      </c>
      <c r="O1432" s="5" t="str">
        <f>INDEX([1]Employee!$C$2:$C$276,MATCH(B1432,[1]Employee!$A$2:$A$276,0))</f>
        <v>IT &amp; Platform Engineering</v>
      </c>
    </row>
    <row r="1433" spans="1:15">
      <c r="A1433" s="1" t="s">
        <v>2983</v>
      </c>
      <c r="B1433" s="1" t="s">
        <v>772</v>
      </c>
      <c r="C1433" s="1" t="s">
        <v>2984</v>
      </c>
      <c r="D1433" s="2">
        <v>46102</v>
      </c>
      <c r="E1433" s="2">
        <v>46102</v>
      </c>
      <c r="F1433" s="1" t="s">
        <v>124</v>
      </c>
      <c r="G1433" s="1" t="s">
        <v>17</v>
      </c>
      <c r="H1433" s="1" t="s">
        <v>16</v>
      </c>
      <c r="I1433" s="7">
        <v>147.28</v>
      </c>
      <c r="J1433" s="1" t="s">
        <v>38</v>
      </c>
      <c r="K1433" s="1"/>
      <c r="L1433" s="1" t="s">
        <v>39</v>
      </c>
      <c r="M1433" s="1" t="str">
        <f>INDEX(MCC_Lookup!$B$2:$B$12,MATCH(G1433,MCC_Lookup!$A$2:$A$12,0))</f>
        <v>Entertainment</v>
      </c>
      <c r="N1433" s="1" t="str">
        <f>IF(TRIM(H1433)="","BLANK",IF(PROPER(TRIM(H1433))=TRIM(M1433),"MATCH","MISMATCH"))</f>
        <v>MATCH</v>
      </c>
      <c r="O1433" s="5" t="str">
        <f>INDEX([1]Employee!$C$2:$C$276,MATCH(B1433,[1]Employee!$A$2:$A$276,0))</f>
        <v>Underwriting</v>
      </c>
    </row>
    <row r="1434" spans="1:15">
      <c r="A1434" s="1" t="s">
        <v>2985</v>
      </c>
      <c r="B1434" s="1" t="s">
        <v>67</v>
      </c>
      <c r="C1434" s="1" t="s">
        <v>2986</v>
      </c>
      <c r="D1434" s="2">
        <v>46098</v>
      </c>
      <c r="E1434" s="2">
        <v>46102</v>
      </c>
      <c r="F1434" s="1" t="s">
        <v>76</v>
      </c>
      <c r="G1434" s="1" t="s">
        <v>13</v>
      </c>
      <c r="H1434" s="1" t="s">
        <v>14</v>
      </c>
      <c r="I1434" s="7">
        <v>446.49</v>
      </c>
      <c r="J1434" s="1" t="s">
        <v>38</v>
      </c>
      <c r="K1434" s="1"/>
      <c r="L1434" s="1" t="s">
        <v>39</v>
      </c>
      <c r="M1434" s="1" t="str">
        <f>INDEX(MCC_Lookup!$B$2:$B$12,MATCH(G1434,MCC_Lookup!$A$2:$A$12,0))</f>
        <v>Software</v>
      </c>
      <c r="N1434" s="1" t="str">
        <f>IF(TRIM(H1434)="","BLANK",IF(PROPER(TRIM(H1434))=TRIM(M1434),"MATCH","MISMATCH"))</f>
        <v>MATCH</v>
      </c>
      <c r="O1434" s="5" t="str">
        <f>INDEX([1]Employee!$C$2:$C$276,MATCH(B1434,[1]Employee!$A$2:$A$276,0))</f>
        <v>Sales &amp; Marketing</v>
      </c>
    </row>
    <row r="1435" spans="1:15">
      <c r="A1435" s="1" t="s">
        <v>2987</v>
      </c>
      <c r="B1435" s="1" t="s">
        <v>133</v>
      </c>
      <c r="C1435" s="1"/>
      <c r="D1435" s="2">
        <v>46096</v>
      </c>
      <c r="E1435" s="2">
        <v>46102</v>
      </c>
      <c r="F1435" s="1" t="s">
        <v>106</v>
      </c>
      <c r="G1435" s="1" t="s">
        <v>13</v>
      </c>
      <c r="H1435" s="1" t="s">
        <v>14</v>
      </c>
      <c r="I1435" s="7">
        <v>129.99</v>
      </c>
      <c r="J1435" s="1" t="s">
        <v>111</v>
      </c>
      <c r="K1435" s="1" t="s">
        <v>229</v>
      </c>
      <c r="L1435" s="1" t="s">
        <v>39</v>
      </c>
      <c r="M1435" s="1" t="str">
        <f>INDEX(MCC_Lookup!$B$2:$B$12,MATCH(G1435,MCC_Lookup!$A$2:$A$12,0))</f>
        <v>Software</v>
      </c>
      <c r="N1435" s="1" t="str">
        <f>IF(TRIM(H1435)="","BLANK",IF(PROPER(TRIM(H1435))=TRIM(M1435),"MATCH","MISMATCH"))</f>
        <v>MATCH</v>
      </c>
      <c r="O1435" s="5" t="str">
        <f>INDEX([1]Employee!$C$2:$C$276,MATCH(B1435,[1]Employee!$A$2:$A$276,0))</f>
        <v>Finance</v>
      </c>
    </row>
    <row r="1436" spans="1:15">
      <c r="A1436" s="1" t="s">
        <v>2988</v>
      </c>
      <c r="B1436" s="1" t="s">
        <v>108</v>
      </c>
      <c r="C1436" s="1"/>
      <c r="D1436" s="2">
        <v>46097</v>
      </c>
      <c r="E1436" s="2">
        <v>46102</v>
      </c>
      <c r="F1436" s="1" t="s">
        <v>79</v>
      </c>
      <c r="G1436" s="1" t="s">
        <v>13</v>
      </c>
      <c r="H1436" s="1" t="s">
        <v>14</v>
      </c>
      <c r="I1436" s="7">
        <v>204.07</v>
      </c>
      <c r="J1436" s="1" t="s">
        <v>38</v>
      </c>
      <c r="K1436" s="1"/>
      <c r="L1436" s="1" t="s">
        <v>39</v>
      </c>
      <c r="M1436" s="1" t="str">
        <f>INDEX(MCC_Lookup!$B$2:$B$12,MATCH(G1436,MCC_Lookup!$A$2:$A$12,0))</f>
        <v>Software</v>
      </c>
      <c r="N1436" s="1" t="str">
        <f>IF(TRIM(H1436)="","BLANK",IF(PROPER(TRIM(H1436))=TRIM(M1436),"MATCH","MISMATCH"))</f>
        <v>MATCH</v>
      </c>
      <c r="O1436" s="5" t="str">
        <f>INDEX([1]Employee!$C$2:$C$276,MATCH(B1436,[1]Employee!$A$2:$A$276,0))</f>
        <v>Sales &amp; Marketing</v>
      </c>
    </row>
    <row r="1437" spans="1:15">
      <c r="A1437" s="1" t="s">
        <v>2989</v>
      </c>
      <c r="B1437" s="1" t="s">
        <v>595</v>
      </c>
      <c r="C1437" s="1" t="s">
        <v>2990</v>
      </c>
      <c r="D1437" s="2">
        <v>46100</v>
      </c>
      <c r="E1437" s="2">
        <v>46102</v>
      </c>
      <c r="F1437" s="1" t="s">
        <v>69</v>
      </c>
      <c r="G1437" s="1" t="s">
        <v>8</v>
      </c>
      <c r="H1437" s="1" t="s">
        <v>343</v>
      </c>
      <c r="I1437" s="7">
        <v>14.94</v>
      </c>
      <c r="J1437" s="1" t="s">
        <v>38</v>
      </c>
      <c r="K1437" s="1"/>
      <c r="L1437" s="1" t="s">
        <v>39</v>
      </c>
      <c r="M1437" s="1" t="str">
        <f>INDEX(MCC_Lookup!$B$2:$B$12,MATCH(G1437,MCC_Lookup!$A$2:$A$12,0))</f>
        <v>Transportation</v>
      </c>
      <c r="N1437" s="1" t="str">
        <f>IF(TRIM(H1437)="","BLANK",IF(PROPER(TRIM(H1437))=TRIM(M1437),"MATCH","MISMATCH"))</f>
        <v>MATCH</v>
      </c>
      <c r="O1437" s="5" t="str">
        <f>INDEX([1]Employee!$C$2:$C$276,MATCH(B1437,[1]Employee!$A$2:$A$276,0))</f>
        <v>Executive &amp; Corporate</v>
      </c>
    </row>
    <row r="1438" spans="1:15">
      <c r="A1438" s="1" t="s">
        <v>2991</v>
      </c>
      <c r="B1438" s="1" t="s">
        <v>373</v>
      </c>
      <c r="C1438" s="1" t="s">
        <v>2992</v>
      </c>
      <c r="D1438" s="2">
        <v>46092</v>
      </c>
      <c r="E1438" s="2">
        <v>46102</v>
      </c>
      <c r="F1438" s="1" t="s">
        <v>120</v>
      </c>
      <c r="G1438" s="1" t="s">
        <v>12</v>
      </c>
      <c r="H1438" s="1"/>
      <c r="I1438" s="7">
        <v>308.13</v>
      </c>
      <c r="J1438" s="1" t="s">
        <v>38</v>
      </c>
      <c r="K1438" s="1"/>
      <c r="L1438" s="1" t="s">
        <v>48</v>
      </c>
      <c r="M1438" s="1" t="str">
        <f>INDEX(MCC_Lookup!$B$2:$B$12,MATCH(G1438,MCC_Lookup!$A$2:$A$12,0))</f>
        <v>Office Supplies</v>
      </c>
      <c r="N1438" s="1" t="str">
        <f>IF(TRIM(H1438)="","BLANK",IF(PROPER(TRIM(H1438))=TRIM(M1438),"MATCH","MISMATCH"))</f>
        <v>BLANK</v>
      </c>
      <c r="O1438" s="5" t="str">
        <f>INDEX([1]Employee!$C$2:$C$276,MATCH(B1438,[1]Employee!$A$2:$A$276,0))</f>
        <v>Sales &amp; Marketing</v>
      </c>
    </row>
    <row r="1439" spans="1:15">
      <c r="A1439" s="1" t="s">
        <v>2993</v>
      </c>
      <c r="B1439" s="1" t="s">
        <v>54</v>
      </c>
      <c r="C1439" s="1"/>
      <c r="D1439" s="2">
        <v>46095</v>
      </c>
      <c r="E1439" s="2">
        <v>46102</v>
      </c>
      <c r="F1439" s="1" t="s">
        <v>116</v>
      </c>
      <c r="G1439" s="1" t="s">
        <v>2</v>
      </c>
      <c r="H1439" s="1"/>
      <c r="I1439" s="7">
        <v>17.190000000000001</v>
      </c>
      <c r="J1439" s="1" t="s">
        <v>38</v>
      </c>
      <c r="K1439" s="1"/>
      <c r="L1439" s="1" t="s">
        <v>39</v>
      </c>
      <c r="M1439" s="1" t="str">
        <f>INDEX(MCC_Lookup!$B$2:$B$12,MATCH(G1439,MCC_Lookup!$A$2:$A$12,0))</f>
        <v>Meals</v>
      </c>
      <c r="N1439" s="1" t="str">
        <f>IF(TRIM(H1439)="","BLANK",IF(PROPER(TRIM(H1439))=TRIM(M1439),"MATCH","MISMATCH"))</f>
        <v>BLANK</v>
      </c>
      <c r="O1439" s="5" t="str">
        <f>INDEX([1]Employee!$C$2:$C$276,MATCH(B1439,[1]Employee!$A$2:$A$276,0))</f>
        <v>Sales &amp; Marketing</v>
      </c>
    </row>
    <row r="1440" spans="1:15">
      <c r="A1440" s="1" t="s">
        <v>2994</v>
      </c>
      <c r="B1440" s="1" t="s">
        <v>1509</v>
      </c>
      <c r="C1440" s="1" t="s">
        <v>2995</v>
      </c>
      <c r="D1440" s="2">
        <v>46101</v>
      </c>
      <c r="E1440" s="2">
        <v>46102</v>
      </c>
      <c r="F1440" s="1" t="s">
        <v>201</v>
      </c>
      <c r="G1440" s="1" t="s">
        <v>4</v>
      </c>
      <c r="H1440" s="1" t="s">
        <v>5</v>
      </c>
      <c r="I1440" s="7">
        <v>539.26</v>
      </c>
      <c r="J1440" s="1" t="s">
        <v>38</v>
      </c>
      <c r="K1440" s="1"/>
      <c r="L1440" s="1" t="s">
        <v>39</v>
      </c>
      <c r="M1440" s="1" t="str">
        <f>INDEX(MCC_Lookup!$B$2:$B$12,MATCH(G1440,MCC_Lookup!$A$2:$A$12,0))</f>
        <v>Travel</v>
      </c>
      <c r="N1440" s="1" t="str">
        <f>IF(TRIM(H1440)="","BLANK",IF(PROPER(TRIM(H1440))=TRIM(M1440),"MATCH","MISMATCH"))</f>
        <v>MATCH</v>
      </c>
      <c r="O1440" s="5" t="str">
        <f>INDEX([1]Employee!$C$2:$C$276,MATCH(B1440,[1]Employee!$A$2:$A$276,0))</f>
        <v>Claims</v>
      </c>
    </row>
    <row r="1441" spans="1:15">
      <c r="A1441" s="1" t="s">
        <v>2996</v>
      </c>
      <c r="B1441" s="1" t="s">
        <v>2997</v>
      </c>
      <c r="C1441" s="1" t="s">
        <v>2998</v>
      </c>
      <c r="D1441" s="2">
        <v>46100</v>
      </c>
      <c r="E1441" s="2">
        <v>46102</v>
      </c>
      <c r="F1441" s="1" t="s">
        <v>65</v>
      </c>
      <c r="G1441" s="1" t="s">
        <v>18</v>
      </c>
      <c r="H1441" s="1" t="s">
        <v>19</v>
      </c>
      <c r="I1441" s="7">
        <v>541.58000000000004</v>
      </c>
      <c r="J1441" s="1" t="s">
        <v>38</v>
      </c>
      <c r="K1441" s="1"/>
      <c r="L1441" s="1" t="s">
        <v>39</v>
      </c>
      <c r="M1441" s="1" t="str">
        <f>INDEX(MCC_Lookup!$B$2:$B$12,MATCH(G1441,MCC_Lookup!$A$2:$A$12,0))</f>
        <v>Events</v>
      </c>
      <c r="N1441" s="1" t="str">
        <f>IF(TRIM(H1441)="","BLANK",IF(PROPER(TRIM(H1441))=TRIM(M1441),"MATCH","MISMATCH"))</f>
        <v>MATCH</v>
      </c>
      <c r="O1441" s="5" t="str">
        <f>INDEX([1]Employee!$C$2:$C$276,MATCH(B1441,[1]Employee!$A$2:$A$276,0))</f>
        <v>Finance</v>
      </c>
    </row>
    <row r="1442" spans="1:15">
      <c r="A1442" s="1" t="s">
        <v>2999</v>
      </c>
      <c r="B1442" s="1" t="s">
        <v>2902</v>
      </c>
      <c r="C1442" s="1" t="s">
        <v>3000</v>
      </c>
      <c r="D1442" s="2">
        <v>46100</v>
      </c>
      <c r="E1442" s="2">
        <v>46102</v>
      </c>
      <c r="F1442" s="1" t="s">
        <v>95</v>
      </c>
      <c r="G1442" s="1" t="s">
        <v>6</v>
      </c>
      <c r="H1442" s="1" t="s">
        <v>7</v>
      </c>
      <c r="I1442" s="7">
        <v>388.47</v>
      </c>
      <c r="J1442" s="1" t="s">
        <v>38</v>
      </c>
      <c r="K1442" s="1"/>
      <c r="L1442" s="1" t="s">
        <v>39</v>
      </c>
      <c r="M1442" s="1" t="str">
        <f>INDEX(MCC_Lookup!$B$2:$B$12,MATCH(G1442,MCC_Lookup!$A$2:$A$12,0))</f>
        <v>Lodging</v>
      </c>
      <c r="N1442" s="1" t="str">
        <f>IF(TRIM(H1442)="","BLANK",IF(PROPER(TRIM(H1442))=TRIM(M1442),"MATCH","MISMATCH"))</f>
        <v>MATCH</v>
      </c>
      <c r="O1442" s="5" t="str">
        <f>INDEX([1]Employee!$C$2:$C$276,MATCH(B1442,[1]Employee!$A$2:$A$276,0))</f>
        <v>Underwriting</v>
      </c>
    </row>
    <row r="1443" spans="1:15">
      <c r="A1443" s="1" t="s">
        <v>3001</v>
      </c>
      <c r="B1443" s="1" t="s">
        <v>472</v>
      </c>
      <c r="C1443" s="1"/>
      <c r="D1443" s="2">
        <v>46100</v>
      </c>
      <c r="E1443" s="2">
        <v>46102</v>
      </c>
      <c r="F1443" s="1" t="s">
        <v>47</v>
      </c>
      <c r="G1443" s="1" t="s">
        <v>6</v>
      </c>
      <c r="H1443" s="1" t="s">
        <v>7</v>
      </c>
      <c r="I1443" s="7">
        <v>297.12</v>
      </c>
      <c r="J1443" s="1" t="s">
        <v>111</v>
      </c>
      <c r="K1443" s="1" t="s">
        <v>161</v>
      </c>
      <c r="L1443" s="1" t="s">
        <v>48</v>
      </c>
      <c r="M1443" s="1" t="str">
        <f>INDEX(MCC_Lookup!$B$2:$B$12,MATCH(G1443,MCC_Lookup!$A$2:$A$12,0))</f>
        <v>Lodging</v>
      </c>
      <c r="N1443" s="1" t="str">
        <f>IF(TRIM(H1443)="","BLANK",IF(PROPER(TRIM(H1443))=TRIM(M1443),"MATCH","MISMATCH"))</f>
        <v>MATCH</v>
      </c>
      <c r="O1443" s="5" t="str">
        <f>INDEX([1]Employee!$C$2:$C$276,MATCH(B1443,[1]Employee!$A$2:$A$276,0))</f>
        <v>Sales &amp; Marketing</v>
      </c>
    </row>
    <row r="1444" spans="1:15">
      <c r="A1444" s="1" t="s">
        <v>3002</v>
      </c>
      <c r="B1444" s="1" t="s">
        <v>815</v>
      </c>
      <c r="C1444" s="1" t="s">
        <v>3003</v>
      </c>
      <c r="D1444" s="2">
        <v>46099</v>
      </c>
      <c r="E1444" s="2">
        <v>46102</v>
      </c>
      <c r="F1444" s="1" t="s">
        <v>56</v>
      </c>
      <c r="G1444" s="1" t="s">
        <v>4</v>
      </c>
      <c r="H1444" s="1" t="s">
        <v>5</v>
      </c>
      <c r="I1444" s="7">
        <v>342.64</v>
      </c>
      <c r="J1444" s="1" t="s">
        <v>38</v>
      </c>
      <c r="K1444" s="1"/>
      <c r="L1444" s="1" t="s">
        <v>39</v>
      </c>
      <c r="M1444" s="1" t="str">
        <f>INDEX(MCC_Lookup!$B$2:$B$12,MATCH(G1444,MCC_Lookup!$A$2:$A$12,0))</f>
        <v>Travel</v>
      </c>
      <c r="N1444" s="1" t="str">
        <f>IF(TRIM(H1444)="","BLANK",IF(PROPER(TRIM(H1444))=TRIM(M1444),"MATCH","MISMATCH"))</f>
        <v>MATCH</v>
      </c>
      <c r="O1444" s="5" t="str">
        <f>INDEX([1]Employee!$C$2:$C$276,MATCH(B1444,[1]Employee!$A$2:$A$276,0))</f>
        <v>Claims</v>
      </c>
    </row>
    <row r="1445" spans="1:15">
      <c r="A1445" s="1" t="s">
        <v>3004</v>
      </c>
      <c r="B1445" s="1" t="s">
        <v>821</v>
      </c>
      <c r="C1445" s="1"/>
      <c r="D1445" s="2">
        <v>46101</v>
      </c>
      <c r="E1445" s="2">
        <v>46102</v>
      </c>
      <c r="F1445" s="1" t="s">
        <v>52</v>
      </c>
      <c r="G1445" s="1" t="s">
        <v>15</v>
      </c>
      <c r="H1445" s="1" t="s">
        <v>16</v>
      </c>
      <c r="I1445" s="7">
        <v>44.46</v>
      </c>
      <c r="J1445" s="1" t="s">
        <v>38</v>
      </c>
      <c r="K1445" s="1"/>
      <c r="L1445" s="1" t="s">
        <v>39</v>
      </c>
      <c r="M1445" s="1" t="str">
        <f>INDEX(MCC_Lookup!$B$2:$B$12,MATCH(G1445,MCC_Lookup!$A$2:$A$12,0))</f>
        <v>Entertainment</v>
      </c>
      <c r="N1445" s="1" t="str">
        <f>IF(TRIM(H1445)="","BLANK",IF(PROPER(TRIM(H1445))=TRIM(M1445),"MATCH","MISMATCH"))</f>
        <v>MATCH</v>
      </c>
      <c r="O1445" s="5" t="str">
        <f>INDEX([1]Employee!$C$2:$C$276,MATCH(B1445,[1]Employee!$A$2:$A$276,0))</f>
        <v>Claims</v>
      </c>
    </row>
    <row r="1446" spans="1:15">
      <c r="A1446" s="1" t="s">
        <v>3005</v>
      </c>
      <c r="B1446" s="1" t="s">
        <v>325</v>
      </c>
      <c r="C1446" s="1"/>
      <c r="D1446" s="2">
        <v>46096</v>
      </c>
      <c r="E1446" s="2">
        <v>46102</v>
      </c>
      <c r="F1446" s="1" t="s">
        <v>76</v>
      </c>
      <c r="G1446" s="1" t="s">
        <v>13</v>
      </c>
      <c r="H1446" s="1" t="s">
        <v>14</v>
      </c>
      <c r="I1446" s="7">
        <v>555.55999999999995</v>
      </c>
      <c r="J1446" s="1" t="s">
        <v>38</v>
      </c>
      <c r="K1446" s="1"/>
      <c r="L1446" s="1" t="s">
        <v>39</v>
      </c>
      <c r="M1446" s="1" t="str">
        <f>INDEX(MCC_Lookup!$B$2:$B$12,MATCH(G1446,MCC_Lookup!$A$2:$A$12,0))</f>
        <v>Software</v>
      </c>
      <c r="N1446" s="1" t="str">
        <f>IF(TRIM(H1446)="","BLANK",IF(PROPER(TRIM(H1446))=TRIM(M1446),"MATCH","MISMATCH"))</f>
        <v>MATCH</v>
      </c>
      <c r="O1446" s="5" t="str">
        <f>INDEX([1]Employee!$C$2:$C$276,MATCH(B1446,[1]Employee!$A$2:$A$276,0))</f>
        <v>Sales &amp; Marketing</v>
      </c>
    </row>
    <row r="1447" spans="1:15">
      <c r="A1447" s="1" t="s">
        <v>3006</v>
      </c>
      <c r="B1447" s="1" t="s">
        <v>71</v>
      </c>
      <c r="C1447" s="1" t="s">
        <v>3007</v>
      </c>
      <c r="D1447" s="2">
        <v>46099</v>
      </c>
      <c r="E1447" s="2">
        <v>46102</v>
      </c>
      <c r="F1447" s="1" t="s">
        <v>92</v>
      </c>
      <c r="G1447" s="1" t="s">
        <v>10</v>
      </c>
      <c r="H1447" s="1" t="s">
        <v>11</v>
      </c>
      <c r="I1447" s="7">
        <v>92.48</v>
      </c>
      <c r="J1447" s="1" t="s">
        <v>38</v>
      </c>
      <c r="K1447" s="1"/>
      <c r="L1447" s="1" t="s">
        <v>39</v>
      </c>
      <c r="M1447" s="1" t="str">
        <f>INDEX(MCC_Lookup!$B$2:$B$12,MATCH(G1447,MCC_Lookup!$A$2:$A$12,0))</f>
        <v>Office Supplies</v>
      </c>
      <c r="N1447" s="1" t="str">
        <f>IF(TRIM(H1447)="","BLANK",IF(PROPER(TRIM(H1447))=TRIM(M1447),"MATCH","MISMATCH"))</f>
        <v>MATCH</v>
      </c>
      <c r="O1447" s="5" t="str">
        <f>INDEX([1]Employee!$C$2:$C$276,MATCH(B1447,[1]Employee!$A$2:$A$276,0))</f>
        <v>Sales &amp; Marketing</v>
      </c>
    </row>
    <row r="1448" spans="1:15">
      <c r="A1448" s="1" t="s">
        <v>3008</v>
      </c>
      <c r="B1448" s="1" t="s">
        <v>87</v>
      </c>
      <c r="C1448" s="1"/>
      <c r="D1448" s="2">
        <v>46097</v>
      </c>
      <c r="E1448" s="2">
        <v>46102</v>
      </c>
      <c r="F1448" s="1" t="s">
        <v>3009</v>
      </c>
      <c r="G1448" s="1" t="s">
        <v>4</v>
      </c>
      <c r="H1448" s="1" t="s">
        <v>714</v>
      </c>
      <c r="I1448" s="7">
        <v>466.1</v>
      </c>
      <c r="J1448" s="1" t="s">
        <v>111</v>
      </c>
      <c r="K1448" s="1" t="s">
        <v>229</v>
      </c>
      <c r="L1448" s="1" t="s">
        <v>39</v>
      </c>
      <c r="M1448" s="1" t="str">
        <f>INDEX(MCC_Lookup!$B$2:$B$12,MATCH(G1448,MCC_Lookup!$A$2:$A$12,0))</f>
        <v>Travel</v>
      </c>
      <c r="N1448" s="1" t="str">
        <f>IF(TRIM(H1448)="","BLANK",IF(PROPER(TRIM(H1448))=TRIM(M1448),"MATCH","MISMATCH"))</f>
        <v>MATCH</v>
      </c>
      <c r="O1448" s="5" t="str">
        <f>INDEX([1]Employee!$C$2:$C$276,MATCH(B1448,[1]Employee!$A$2:$A$276,0))</f>
        <v>HR &amp; Events</v>
      </c>
    </row>
    <row r="1449" spans="1:15">
      <c r="A1449" s="1" t="s">
        <v>3010</v>
      </c>
      <c r="B1449" s="1" t="s">
        <v>194</v>
      </c>
      <c r="C1449" s="1" t="s">
        <v>3011</v>
      </c>
      <c r="D1449" s="2">
        <v>46102</v>
      </c>
      <c r="E1449" s="2">
        <v>46102</v>
      </c>
      <c r="F1449" s="1" t="s">
        <v>201</v>
      </c>
      <c r="G1449" s="1" t="s">
        <v>4</v>
      </c>
      <c r="H1449" s="1" t="s">
        <v>5</v>
      </c>
      <c r="I1449" s="7">
        <v>250.9</v>
      </c>
      <c r="J1449" s="1" t="s">
        <v>38</v>
      </c>
      <c r="K1449" s="1"/>
      <c r="L1449" s="1" t="s">
        <v>39</v>
      </c>
      <c r="M1449" s="1" t="str">
        <f>INDEX(MCC_Lookup!$B$2:$B$12,MATCH(G1449,MCC_Lookup!$A$2:$A$12,0))</f>
        <v>Travel</v>
      </c>
      <c r="N1449" s="1" t="str">
        <f>IF(TRIM(H1449)="","BLANK",IF(PROPER(TRIM(H1449))=TRIM(M1449),"MATCH","MISMATCH"))</f>
        <v>MATCH</v>
      </c>
      <c r="O1449" s="5" t="str">
        <f>INDEX([1]Employee!$C$2:$C$276,MATCH(B1449,[1]Employee!$A$2:$A$276,0))</f>
        <v>Claims</v>
      </c>
    </row>
    <row r="1450" spans="1:15">
      <c r="A1450" s="1" t="s">
        <v>3012</v>
      </c>
      <c r="B1450" s="1" t="s">
        <v>1552</v>
      </c>
      <c r="C1450" s="1" t="s">
        <v>3013</v>
      </c>
      <c r="D1450" s="2">
        <v>46098</v>
      </c>
      <c r="E1450" s="2">
        <v>46103</v>
      </c>
      <c r="F1450" s="1" t="s">
        <v>65</v>
      </c>
      <c r="G1450" s="1" t="s">
        <v>18</v>
      </c>
      <c r="H1450" s="1" t="s">
        <v>19</v>
      </c>
      <c r="I1450" s="7">
        <v>474.25</v>
      </c>
      <c r="J1450" s="1" t="s">
        <v>38</v>
      </c>
      <c r="K1450" s="1"/>
      <c r="L1450" s="1" t="s">
        <v>39</v>
      </c>
      <c r="M1450" s="1" t="str">
        <f>INDEX(MCC_Lookup!$B$2:$B$12,MATCH(G1450,MCC_Lookup!$A$2:$A$12,0))</f>
        <v>Events</v>
      </c>
      <c r="N1450" s="1" t="str">
        <f>IF(TRIM(H1450)="","BLANK",IF(PROPER(TRIM(H1450))=TRIM(M1450),"MATCH","MISMATCH"))</f>
        <v>MATCH</v>
      </c>
      <c r="O1450" s="5" t="str">
        <f>INDEX([1]Employee!$C$2:$C$276,MATCH(B1450,[1]Employee!$A$2:$A$276,0))</f>
        <v>Underwriting</v>
      </c>
    </row>
    <row r="1451" spans="1:15">
      <c r="A1451" s="1" t="s">
        <v>3014</v>
      </c>
      <c r="B1451" s="1" t="s">
        <v>407</v>
      </c>
      <c r="C1451" s="1" t="s">
        <v>3015</v>
      </c>
      <c r="D1451" s="2">
        <v>46099</v>
      </c>
      <c r="E1451" s="2">
        <v>46103</v>
      </c>
      <c r="F1451" s="1" t="s">
        <v>120</v>
      </c>
      <c r="G1451" s="1" t="s">
        <v>12</v>
      </c>
      <c r="H1451" s="1" t="s">
        <v>14</v>
      </c>
      <c r="I1451" s="7">
        <v>413.68</v>
      </c>
      <c r="J1451" s="1" t="s">
        <v>38</v>
      </c>
      <c r="K1451" s="1"/>
      <c r="L1451" s="1" t="s">
        <v>48</v>
      </c>
      <c r="M1451" s="1" t="str">
        <f>INDEX(MCC_Lookup!$B$2:$B$12,MATCH(G1451,MCC_Lookup!$A$2:$A$12,0))</f>
        <v>Office Supplies</v>
      </c>
      <c r="N1451" s="1" t="str">
        <f>IF(TRIM(H1451)="","BLANK",IF(PROPER(TRIM(H1451))=TRIM(M1451),"MATCH","MISMATCH"))</f>
        <v>MISMATCH</v>
      </c>
      <c r="O1451" s="5" t="str">
        <f>INDEX([1]Employee!$C$2:$C$276,MATCH(B1451,[1]Employee!$A$2:$A$276,0))</f>
        <v>Executive &amp; Corporate</v>
      </c>
    </row>
    <row r="1452" spans="1:15">
      <c r="A1452" s="1" t="s">
        <v>3016</v>
      </c>
      <c r="B1452" s="1" t="s">
        <v>314</v>
      </c>
      <c r="C1452" s="1" t="s">
        <v>3017</v>
      </c>
      <c r="D1452" s="2">
        <v>46098</v>
      </c>
      <c r="E1452" s="2">
        <v>46103</v>
      </c>
      <c r="F1452" s="1" t="s">
        <v>124</v>
      </c>
      <c r="G1452" s="1" t="s">
        <v>17</v>
      </c>
      <c r="H1452" s="1" t="s">
        <v>16</v>
      </c>
      <c r="I1452" s="7">
        <v>227.52</v>
      </c>
      <c r="J1452" s="1" t="s">
        <v>38</v>
      </c>
      <c r="K1452" s="1"/>
      <c r="L1452" s="1" t="s">
        <v>39</v>
      </c>
      <c r="M1452" s="1" t="str">
        <f>INDEX(MCC_Lookup!$B$2:$B$12,MATCH(G1452,MCC_Lookup!$A$2:$A$12,0))</f>
        <v>Entertainment</v>
      </c>
      <c r="N1452" s="1" t="str">
        <f>IF(TRIM(H1452)="","BLANK",IF(PROPER(TRIM(H1452))=TRIM(M1452),"MATCH","MISMATCH"))</f>
        <v>MATCH</v>
      </c>
      <c r="O1452" s="5" t="str">
        <f>INDEX([1]Employee!$C$2:$C$276,MATCH(B1452,[1]Employee!$A$2:$A$276,0))</f>
        <v>Sales &amp; Marketing</v>
      </c>
    </row>
    <row r="1453" spans="1:15">
      <c r="A1453" s="1" t="s">
        <v>3018</v>
      </c>
      <c r="B1453" s="1" t="s">
        <v>2333</v>
      </c>
      <c r="C1453" s="1" t="s">
        <v>3019</v>
      </c>
      <c r="D1453" s="2">
        <v>46102</v>
      </c>
      <c r="E1453" s="2">
        <v>46103</v>
      </c>
      <c r="F1453" s="1" t="s">
        <v>76</v>
      </c>
      <c r="G1453" s="1" t="s">
        <v>13</v>
      </c>
      <c r="H1453" s="1" t="s">
        <v>14</v>
      </c>
      <c r="I1453" s="7">
        <v>325.81</v>
      </c>
      <c r="J1453" s="1" t="s">
        <v>38</v>
      </c>
      <c r="K1453" s="1"/>
      <c r="L1453" s="1" t="s">
        <v>39</v>
      </c>
      <c r="M1453" s="1" t="str">
        <f>INDEX(MCC_Lookup!$B$2:$B$12,MATCH(G1453,MCC_Lookup!$A$2:$A$12,0))</f>
        <v>Software</v>
      </c>
      <c r="N1453" s="1" t="str">
        <f>IF(TRIM(H1453)="","BLANK",IF(PROPER(TRIM(H1453))=TRIM(M1453),"MATCH","MISMATCH"))</f>
        <v>MATCH</v>
      </c>
      <c r="O1453" s="5" t="str">
        <f>INDEX([1]Employee!$C$2:$C$276,MATCH(B1453,[1]Employee!$A$2:$A$276,0))</f>
        <v>HR &amp; Events</v>
      </c>
    </row>
    <row r="1454" spans="1:15">
      <c r="A1454" s="1" t="s">
        <v>3020</v>
      </c>
      <c r="B1454" s="1" t="s">
        <v>185</v>
      </c>
      <c r="C1454" s="1"/>
      <c r="D1454" s="2">
        <v>46102</v>
      </c>
      <c r="E1454" s="2">
        <v>46103</v>
      </c>
      <c r="F1454" s="1" t="s">
        <v>52</v>
      </c>
      <c r="G1454" s="1" t="s">
        <v>15</v>
      </c>
      <c r="H1454" s="1" t="s">
        <v>690</v>
      </c>
      <c r="I1454" s="7">
        <v>58.26</v>
      </c>
      <c r="J1454" s="1" t="s">
        <v>111</v>
      </c>
      <c r="K1454" s="1" t="s">
        <v>112</v>
      </c>
      <c r="L1454" s="1" t="s">
        <v>39</v>
      </c>
      <c r="M1454" s="1" t="str">
        <f>INDEX(MCC_Lookup!$B$2:$B$12,MATCH(G1454,MCC_Lookup!$A$2:$A$12,0))</f>
        <v>Entertainment</v>
      </c>
      <c r="N1454" s="1" t="str">
        <f>IF(TRIM(H1454)="","BLANK",IF(PROPER(TRIM(H1454))=TRIM(M1454),"MATCH","MISMATCH"))</f>
        <v>MATCH</v>
      </c>
      <c r="O1454" s="5" t="str">
        <f>INDEX([1]Employee!$C$2:$C$276,MATCH(B1454,[1]Employee!$A$2:$A$276,0))</f>
        <v>Underwriting</v>
      </c>
    </row>
    <row r="1455" spans="1:15">
      <c r="A1455" s="1" t="s">
        <v>3021</v>
      </c>
      <c r="B1455" s="1" t="s">
        <v>623</v>
      </c>
      <c r="C1455" s="1" t="s">
        <v>3022</v>
      </c>
      <c r="D1455" s="2">
        <v>46098</v>
      </c>
      <c r="E1455" s="2">
        <v>46103</v>
      </c>
      <c r="F1455" s="1" t="s">
        <v>173</v>
      </c>
      <c r="G1455" s="1" t="s">
        <v>2</v>
      </c>
      <c r="H1455" s="1" t="s">
        <v>138</v>
      </c>
      <c r="I1455" s="7">
        <v>59.64</v>
      </c>
      <c r="J1455" s="1" t="s">
        <v>38</v>
      </c>
      <c r="K1455" s="1"/>
      <c r="L1455" s="1" t="s">
        <v>39</v>
      </c>
      <c r="M1455" s="1" t="str">
        <f>INDEX(MCC_Lookup!$B$2:$B$12,MATCH(G1455,MCC_Lookup!$A$2:$A$12,0))</f>
        <v>Meals</v>
      </c>
      <c r="N1455" s="1" t="str">
        <f>IF(TRIM(H1455)="","BLANK",IF(PROPER(TRIM(H1455))=TRIM(M1455),"MATCH","MISMATCH"))</f>
        <v>MATCH</v>
      </c>
      <c r="O1455" s="5" t="str">
        <f>INDEX([1]Employee!$C$2:$C$276,MATCH(B1455,[1]Employee!$A$2:$A$276,0))</f>
        <v>Underwriting</v>
      </c>
    </row>
    <row r="1456" spans="1:15">
      <c r="A1456" s="1" t="s">
        <v>3023</v>
      </c>
      <c r="B1456" s="1" t="s">
        <v>550</v>
      </c>
      <c r="C1456" s="1" t="s">
        <v>3024</v>
      </c>
      <c r="D1456" s="2">
        <v>46099</v>
      </c>
      <c r="E1456" s="2">
        <v>46103</v>
      </c>
      <c r="F1456" s="1" t="s">
        <v>160</v>
      </c>
      <c r="G1456" s="1" t="s">
        <v>6</v>
      </c>
      <c r="H1456" s="1" t="s">
        <v>7</v>
      </c>
      <c r="I1456" s="7">
        <v>307.79000000000002</v>
      </c>
      <c r="J1456" s="1" t="s">
        <v>38</v>
      </c>
      <c r="K1456" s="1"/>
      <c r="L1456" s="1" t="s">
        <v>39</v>
      </c>
      <c r="M1456" s="1" t="str">
        <f>INDEX(MCC_Lookup!$B$2:$B$12,MATCH(G1456,MCC_Lookup!$A$2:$A$12,0))</f>
        <v>Lodging</v>
      </c>
      <c r="N1456" s="1" t="str">
        <f>IF(TRIM(H1456)="","BLANK",IF(PROPER(TRIM(H1456))=TRIM(M1456),"MATCH","MISMATCH"))</f>
        <v>MATCH</v>
      </c>
      <c r="O1456" s="5" t="str">
        <f>INDEX([1]Employee!$C$2:$C$276,MATCH(B1456,[1]Employee!$A$2:$A$276,0))</f>
        <v>Sales &amp; Marketing</v>
      </c>
    </row>
    <row r="1457" spans="1:15">
      <c r="A1457" s="1" t="s">
        <v>3025</v>
      </c>
      <c r="B1457" s="1" t="s">
        <v>631</v>
      </c>
      <c r="C1457" s="1" t="s">
        <v>3026</v>
      </c>
      <c r="D1457" s="2">
        <v>46095</v>
      </c>
      <c r="E1457" s="2">
        <v>46103</v>
      </c>
      <c r="F1457" s="1" t="s">
        <v>201</v>
      </c>
      <c r="G1457" s="1" t="s">
        <v>4</v>
      </c>
      <c r="H1457" s="1" t="s">
        <v>5</v>
      </c>
      <c r="I1457" s="7">
        <v>490.88</v>
      </c>
      <c r="J1457" s="1" t="s">
        <v>38</v>
      </c>
      <c r="K1457" s="1"/>
      <c r="L1457" s="1" t="s">
        <v>48</v>
      </c>
      <c r="M1457" s="1" t="str">
        <f>INDEX(MCC_Lookup!$B$2:$B$12,MATCH(G1457,MCC_Lookup!$A$2:$A$12,0))</f>
        <v>Travel</v>
      </c>
      <c r="N1457" s="1" t="str">
        <f>IF(TRIM(H1457)="","BLANK",IF(PROPER(TRIM(H1457))=TRIM(M1457),"MATCH","MISMATCH"))</f>
        <v>MATCH</v>
      </c>
      <c r="O1457" s="5" t="str">
        <f>INDEX([1]Employee!$C$2:$C$276,MATCH(B1457,[1]Employee!$A$2:$A$276,0))</f>
        <v>Claims</v>
      </c>
    </row>
    <row r="1458" spans="1:15">
      <c r="A1458" s="1" t="s">
        <v>3027</v>
      </c>
      <c r="B1458" s="1" t="s">
        <v>969</v>
      </c>
      <c r="C1458" s="1" t="s">
        <v>3028</v>
      </c>
      <c r="D1458" s="2">
        <v>46103</v>
      </c>
      <c r="E1458" s="2">
        <v>46103</v>
      </c>
      <c r="F1458" s="1" t="s">
        <v>56</v>
      </c>
      <c r="G1458" s="1" t="s">
        <v>4</v>
      </c>
      <c r="H1458" s="1" t="s">
        <v>5</v>
      </c>
      <c r="I1458" s="7">
        <v>282.93</v>
      </c>
      <c r="J1458" s="1" t="s">
        <v>38</v>
      </c>
      <c r="K1458" s="1"/>
      <c r="L1458" s="1" t="s">
        <v>39</v>
      </c>
      <c r="M1458" s="1" t="str">
        <f>INDEX(MCC_Lookup!$B$2:$B$12,MATCH(G1458,MCC_Lookup!$A$2:$A$12,0))</f>
        <v>Travel</v>
      </c>
      <c r="N1458" s="1" t="str">
        <f>IF(TRIM(H1458)="","BLANK",IF(PROPER(TRIM(H1458))=TRIM(M1458),"MATCH","MISMATCH"))</f>
        <v>MATCH</v>
      </c>
      <c r="O1458" s="5" t="str">
        <f>INDEX([1]Employee!$C$2:$C$276,MATCH(B1458,[1]Employee!$A$2:$A$276,0))</f>
        <v>HR &amp; Events</v>
      </c>
    </row>
    <row r="1459" spans="1:15">
      <c r="A1459" s="1" t="s">
        <v>3029</v>
      </c>
      <c r="B1459" s="1" t="s">
        <v>821</v>
      </c>
      <c r="C1459" s="1" t="s">
        <v>3030</v>
      </c>
      <c r="D1459" s="2">
        <v>46102</v>
      </c>
      <c r="E1459" s="2">
        <v>46103</v>
      </c>
      <c r="F1459" s="1" t="s">
        <v>43</v>
      </c>
      <c r="G1459" s="1" t="s">
        <v>2</v>
      </c>
      <c r="H1459" s="1" t="s">
        <v>3</v>
      </c>
      <c r="I1459" s="7">
        <v>15.75</v>
      </c>
      <c r="J1459" s="1" t="s">
        <v>38</v>
      </c>
      <c r="K1459" s="1"/>
      <c r="L1459" s="1" t="s">
        <v>39</v>
      </c>
      <c r="M1459" s="1" t="str">
        <f>INDEX(MCC_Lookup!$B$2:$B$12,MATCH(G1459,MCC_Lookup!$A$2:$A$12,0))</f>
        <v>Meals</v>
      </c>
      <c r="N1459" s="1" t="str">
        <f>IF(TRIM(H1459)="","BLANK",IF(PROPER(TRIM(H1459))=TRIM(M1459),"MATCH","MISMATCH"))</f>
        <v>MATCH</v>
      </c>
      <c r="O1459" s="5" t="str">
        <f>INDEX([1]Employee!$C$2:$C$276,MATCH(B1459,[1]Employee!$A$2:$A$276,0))</f>
        <v>Claims</v>
      </c>
    </row>
    <row r="1460" spans="1:15">
      <c r="A1460" s="1" t="s">
        <v>3031</v>
      </c>
      <c r="B1460" s="1" t="s">
        <v>54</v>
      </c>
      <c r="C1460" s="1"/>
      <c r="D1460" s="2">
        <v>46096</v>
      </c>
      <c r="E1460" s="2">
        <v>46103</v>
      </c>
      <c r="F1460" s="1" t="s">
        <v>2319</v>
      </c>
      <c r="G1460" s="1" t="s">
        <v>15</v>
      </c>
      <c r="H1460" s="1" t="s">
        <v>16</v>
      </c>
      <c r="I1460" s="7">
        <v>38.29</v>
      </c>
      <c r="J1460" s="1" t="s">
        <v>111</v>
      </c>
      <c r="K1460" s="1" t="s">
        <v>229</v>
      </c>
      <c r="L1460" s="1" t="s">
        <v>39</v>
      </c>
      <c r="M1460" s="1" t="str">
        <f>INDEX(MCC_Lookup!$B$2:$B$12,MATCH(G1460,MCC_Lookup!$A$2:$A$12,0))</f>
        <v>Entertainment</v>
      </c>
      <c r="N1460" s="1" t="str">
        <f>IF(TRIM(H1460)="","BLANK",IF(PROPER(TRIM(H1460))=TRIM(M1460),"MATCH","MISMATCH"))</f>
        <v>MATCH</v>
      </c>
      <c r="O1460" s="5" t="str">
        <f>INDEX([1]Employee!$C$2:$C$276,MATCH(B1460,[1]Employee!$A$2:$A$276,0))</f>
        <v>Sales &amp; Marketing</v>
      </c>
    </row>
    <row r="1461" spans="1:15">
      <c r="A1461" s="1" t="s">
        <v>3032</v>
      </c>
      <c r="B1461" s="1" t="s">
        <v>63</v>
      </c>
      <c r="C1461" s="1" t="s">
        <v>3033</v>
      </c>
      <c r="D1461" s="2">
        <v>46102</v>
      </c>
      <c r="E1461" s="2">
        <v>46103</v>
      </c>
      <c r="F1461" s="1" t="s">
        <v>83</v>
      </c>
      <c r="G1461" s="1" t="s">
        <v>2</v>
      </c>
      <c r="H1461" s="1" t="s">
        <v>3</v>
      </c>
      <c r="I1461" s="7">
        <v>9.8000000000000007</v>
      </c>
      <c r="J1461" s="1" t="s">
        <v>38</v>
      </c>
      <c r="K1461" s="1"/>
      <c r="L1461" s="1" t="s">
        <v>39</v>
      </c>
      <c r="M1461" s="1" t="str">
        <f>INDEX(MCC_Lookup!$B$2:$B$12,MATCH(G1461,MCC_Lookup!$A$2:$A$12,0))</f>
        <v>Meals</v>
      </c>
      <c r="N1461" s="1" t="str">
        <f>IF(TRIM(H1461)="","BLANK",IF(PROPER(TRIM(H1461))=TRIM(M1461),"MATCH","MISMATCH"))</f>
        <v>MATCH</v>
      </c>
      <c r="O1461" s="5" t="str">
        <f>INDEX([1]Employee!$C$2:$C$276,MATCH(B1461,[1]Employee!$A$2:$A$276,0))</f>
        <v>Sales &amp; Marketing</v>
      </c>
    </row>
    <row r="1462" spans="1:15">
      <c r="A1462" s="1" t="s">
        <v>3034</v>
      </c>
      <c r="B1462" s="1" t="s">
        <v>352</v>
      </c>
      <c r="C1462" s="1" t="s">
        <v>3035</v>
      </c>
      <c r="D1462" s="2">
        <v>46101</v>
      </c>
      <c r="E1462" s="2">
        <v>46103</v>
      </c>
      <c r="F1462" s="1" t="s">
        <v>37</v>
      </c>
      <c r="G1462" s="1" t="s">
        <v>4</v>
      </c>
      <c r="H1462" s="1" t="s">
        <v>5</v>
      </c>
      <c r="I1462" s="7">
        <v>306.29000000000002</v>
      </c>
      <c r="J1462" s="1" t="s">
        <v>38</v>
      </c>
      <c r="K1462" s="1"/>
      <c r="L1462" s="1" t="s">
        <v>39</v>
      </c>
      <c r="M1462" s="1" t="str">
        <f>INDEX(MCC_Lookup!$B$2:$B$12,MATCH(G1462,MCC_Lookup!$A$2:$A$12,0))</f>
        <v>Travel</v>
      </c>
      <c r="N1462" s="1" t="str">
        <f>IF(TRIM(H1462)="","BLANK",IF(PROPER(TRIM(H1462))=TRIM(M1462),"MATCH","MISMATCH"))</f>
        <v>MATCH</v>
      </c>
      <c r="O1462" s="5" t="str">
        <f>INDEX([1]Employee!$C$2:$C$276,MATCH(B1462,[1]Employee!$A$2:$A$276,0))</f>
        <v>Sales &amp; Marketing</v>
      </c>
    </row>
    <row r="1463" spans="1:15">
      <c r="A1463" s="1" t="s">
        <v>3036</v>
      </c>
      <c r="B1463" s="1" t="s">
        <v>373</v>
      </c>
      <c r="C1463" s="1" t="s">
        <v>3037</v>
      </c>
      <c r="D1463" s="2">
        <v>46097</v>
      </c>
      <c r="E1463" s="2">
        <v>46103</v>
      </c>
      <c r="F1463" s="1" t="s">
        <v>177</v>
      </c>
      <c r="G1463" s="1" t="s">
        <v>13</v>
      </c>
      <c r="H1463" s="1" t="s">
        <v>14</v>
      </c>
      <c r="I1463" s="7">
        <v>26.69</v>
      </c>
      <c r="J1463" s="1" t="s">
        <v>38</v>
      </c>
      <c r="K1463" s="1"/>
      <c r="L1463" s="1" t="s">
        <v>39</v>
      </c>
      <c r="M1463" s="1" t="str">
        <f>INDEX(MCC_Lookup!$B$2:$B$12,MATCH(G1463,MCC_Lookup!$A$2:$A$12,0))</f>
        <v>Software</v>
      </c>
      <c r="N1463" s="1" t="str">
        <f>IF(TRIM(H1463)="","BLANK",IF(PROPER(TRIM(H1463))=TRIM(M1463),"MATCH","MISMATCH"))</f>
        <v>MATCH</v>
      </c>
      <c r="O1463" s="5" t="str">
        <f>INDEX([1]Employee!$C$2:$C$276,MATCH(B1463,[1]Employee!$A$2:$A$276,0))</f>
        <v>Sales &amp; Marketing</v>
      </c>
    </row>
    <row r="1464" spans="1:15">
      <c r="A1464" s="1" t="s">
        <v>3038</v>
      </c>
      <c r="B1464" s="1" t="s">
        <v>931</v>
      </c>
      <c r="C1464" s="1" t="s">
        <v>3039</v>
      </c>
      <c r="D1464" s="2">
        <v>46099</v>
      </c>
      <c r="E1464" s="2">
        <v>46103</v>
      </c>
      <c r="F1464" s="1" t="s">
        <v>65</v>
      </c>
      <c r="G1464" s="1" t="s">
        <v>18</v>
      </c>
      <c r="H1464" s="1"/>
      <c r="I1464" s="7">
        <v>408.01</v>
      </c>
      <c r="J1464" s="1" t="s">
        <v>38</v>
      </c>
      <c r="K1464" s="1"/>
      <c r="L1464" s="1" t="s">
        <v>39</v>
      </c>
      <c r="M1464" s="1" t="str">
        <f>INDEX(MCC_Lookup!$B$2:$B$12,MATCH(G1464,MCC_Lookup!$A$2:$A$12,0))</f>
        <v>Events</v>
      </c>
      <c r="N1464" s="1" t="str">
        <f>IF(TRIM(H1464)="","BLANK",IF(PROPER(TRIM(H1464))=TRIM(M1464),"MATCH","MISMATCH"))</f>
        <v>BLANK</v>
      </c>
      <c r="O1464" s="5" t="str">
        <f>INDEX([1]Employee!$C$2:$C$276,MATCH(B1464,[1]Employee!$A$2:$A$276,0))</f>
        <v>Finance</v>
      </c>
    </row>
    <row r="1465" spans="1:15">
      <c r="A1465" s="1" t="s">
        <v>3040</v>
      </c>
      <c r="B1465" s="1" t="s">
        <v>603</v>
      </c>
      <c r="C1465" s="1" t="s">
        <v>3041</v>
      </c>
      <c r="D1465" s="2">
        <v>46101</v>
      </c>
      <c r="E1465" s="2">
        <v>46103</v>
      </c>
      <c r="F1465" s="1" t="s">
        <v>259</v>
      </c>
      <c r="G1465" s="1" t="s">
        <v>20</v>
      </c>
      <c r="H1465" s="1" t="s">
        <v>19</v>
      </c>
      <c r="I1465" s="7">
        <v>191.19</v>
      </c>
      <c r="J1465" s="1" t="s">
        <v>38</v>
      </c>
      <c r="K1465" s="1"/>
      <c r="L1465" s="1" t="s">
        <v>39</v>
      </c>
      <c r="M1465" s="1" t="str">
        <f>INDEX(MCC_Lookup!$B$2:$B$12,MATCH(G1465,MCC_Lookup!$A$2:$A$12,0))</f>
        <v>Events</v>
      </c>
      <c r="N1465" s="1" t="str">
        <f>IF(TRIM(H1465)="","BLANK",IF(PROPER(TRIM(H1465))=TRIM(M1465),"MATCH","MISMATCH"))</f>
        <v>MATCH</v>
      </c>
      <c r="O1465" s="5" t="str">
        <f>INDEX([1]Employee!$C$2:$C$276,MATCH(B1465,[1]Employee!$A$2:$A$276,0))</f>
        <v>Underwriting</v>
      </c>
    </row>
    <row r="1466" spans="1:15">
      <c r="A1466" s="1" t="s">
        <v>3042</v>
      </c>
      <c r="B1466" s="1" t="s">
        <v>792</v>
      </c>
      <c r="C1466" s="1" t="s">
        <v>3043</v>
      </c>
      <c r="D1466" s="2">
        <v>46103</v>
      </c>
      <c r="E1466" s="2">
        <v>46103</v>
      </c>
      <c r="F1466" s="1" t="s">
        <v>69</v>
      </c>
      <c r="G1466" s="1" t="s">
        <v>8</v>
      </c>
      <c r="H1466" s="1" t="s">
        <v>9</v>
      </c>
      <c r="I1466" s="7">
        <v>25.59</v>
      </c>
      <c r="J1466" s="1" t="s">
        <v>38</v>
      </c>
      <c r="K1466" s="1"/>
      <c r="L1466" s="1" t="s">
        <v>39</v>
      </c>
      <c r="M1466" s="1" t="str">
        <f>INDEX(MCC_Lookup!$B$2:$B$12,MATCH(G1466,MCC_Lookup!$A$2:$A$12,0))</f>
        <v>Transportation</v>
      </c>
      <c r="N1466" s="1" t="str">
        <f>IF(TRIM(H1466)="","BLANK",IF(PROPER(TRIM(H1466))=TRIM(M1466),"MATCH","MISMATCH"))</f>
        <v>MATCH</v>
      </c>
      <c r="O1466" s="5" t="str">
        <f>INDEX([1]Employee!$C$2:$C$276,MATCH(B1466,[1]Employee!$A$2:$A$276,0))</f>
        <v>Underwriting</v>
      </c>
    </row>
    <row r="1467" spans="1:15">
      <c r="A1467" s="1" t="s">
        <v>3044</v>
      </c>
      <c r="B1467" s="1" t="s">
        <v>81</v>
      </c>
      <c r="C1467" s="1" t="s">
        <v>3045</v>
      </c>
      <c r="D1467" s="2">
        <v>46100</v>
      </c>
      <c r="E1467" s="2">
        <v>46103</v>
      </c>
      <c r="F1467" s="1" t="s">
        <v>72</v>
      </c>
      <c r="G1467" s="1" t="s">
        <v>8</v>
      </c>
      <c r="H1467" s="1" t="s">
        <v>9</v>
      </c>
      <c r="I1467" s="7">
        <v>49.74</v>
      </c>
      <c r="J1467" s="1" t="s">
        <v>38</v>
      </c>
      <c r="K1467" s="1"/>
      <c r="L1467" s="1" t="s">
        <v>39</v>
      </c>
      <c r="M1467" s="1" t="str">
        <f>INDEX(MCC_Lookup!$B$2:$B$12,MATCH(G1467,MCC_Lookup!$A$2:$A$12,0))</f>
        <v>Transportation</v>
      </c>
      <c r="N1467" s="1" t="str">
        <f>IF(TRIM(H1467)="","BLANK",IF(PROPER(TRIM(H1467))=TRIM(M1467),"MATCH","MISMATCH"))</f>
        <v>MATCH</v>
      </c>
      <c r="O1467" s="5" t="str">
        <f>INDEX([1]Employee!$C$2:$C$276,MATCH(B1467,[1]Employee!$A$2:$A$276,0))</f>
        <v>Sales &amp; Marketing</v>
      </c>
    </row>
    <row r="1468" spans="1:15">
      <c r="A1468" s="1" t="s">
        <v>3046</v>
      </c>
      <c r="B1468" s="1" t="s">
        <v>3047</v>
      </c>
      <c r="C1468" s="1" t="s">
        <v>3048</v>
      </c>
      <c r="D1468" s="2">
        <v>46097</v>
      </c>
      <c r="E1468" s="2">
        <v>46103</v>
      </c>
      <c r="F1468" s="1" t="s">
        <v>347</v>
      </c>
      <c r="G1468" s="1" t="s">
        <v>8</v>
      </c>
      <c r="H1468" s="1" t="s">
        <v>9</v>
      </c>
      <c r="I1468" s="7">
        <v>27.16</v>
      </c>
      <c r="J1468" s="1" t="s">
        <v>38</v>
      </c>
      <c r="K1468" s="1"/>
      <c r="L1468" s="1" t="s">
        <v>39</v>
      </c>
      <c r="M1468" s="1" t="str">
        <f>INDEX(MCC_Lookup!$B$2:$B$12,MATCH(G1468,MCC_Lookup!$A$2:$A$12,0))</f>
        <v>Transportation</v>
      </c>
      <c r="N1468" s="1" t="str">
        <f>IF(TRIM(H1468)="","BLANK",IF(PROPER(TRIM(H1468))=TRIM(M1468),"MATCH","MISMATCH"))</f>
        <v>MATCH</v>
      </c>
      <c r="O1468" s="5" t="str">
        <f>INDEX([1]Employee!$C$2:$C$276,MATCH(B1468,[1]Employee!$A$2:$A$276,0))</f>
        <v>Finance</v>
      </c>
    </row>
    <row r="1469" spans="1:15">
      <c r="A1469" s="1" t="s">
        <v>3049</v>
      </c>
      <c r="B1469" s="1" t="s">
        <v>527</v>
      </c>
      <c r="C1469" s="1" t="s">
        <v>3050</v>
      </c>
      <c r="D1469" s="2">
        <v>46103</v>
      </c>
      <c r="E1469" s="2">
        <v>46104</v>
      </c>
      <c r="F1469" s="1" t="s">
        <v>92</v>
      </c>
      <c r="G1469" s="1" t="s">
        <v>10</v>
      </c>
      <c r="H1469" s="1" t="s">
        <v>295</v>
      </c>
      <c r="I1469" s="7">
        <v>26.04</v>
      </c>
      <c r="J1469" s="1" t="s">
        <v>38</v>
      </c>
      <c r="K1469" s="1"/>
      <c r="L1469" s="1" t="s">
        <v>39</v>
      </c>
      <c r="M1469" s="1" t="str">
        <f>INDEX(MCC_Lookup!$B$2:$B$12,MATCH(G1469,MCC_Lookup!$A$2:$A$12,0))</f>
        <v>Office Supplies</v>
      </c>
      <c r="N1469" s="1" t="str">
        <f>IF(TRIM(H1469)="","BLANK",IF(PROPER(TRIM(H1469))=TRIM(M1469),"MATCH","MISMATCH"))</f>
        <v>MATCH</v>
      </c>
      <c r="O1469" s="5" t="str">
        <f>INDEX([1]Employee!$C$2:$C$276,MATCH(B1469,[1]Employee!$A$2:$A$276,0))</f>
        <v>Customer Support</v>
      </c>
    </row>
    <row r="1470" spans="1:15">
      <c r="A1470" s="1" t="s">
        <v>3051</v>
      </c>
      <c r="B1470" s="1" t="s">
        <v>1051</v>
      </c>
      <c r="C1470" s="1"/>
      <c r="D1470" s="2">
        <v>46100</v>
      </c>
      <c r="E1470" s="2">
        <v>46104</v>
      </c>
      <c r="F1470" s="1" t="s">
        <v>259</v>
      </c>
      <c r="G1470" s="1" t="s">
        <v>20</v>
      </c>
      <c r="H1470" s="1" t="s">
        <v>312</v>
      </c>
      <c r="I1470" s="7">
        <v>296.14999999999998</v>
      </c>
      <c r="J1470" s="1" t="s">
        <v>38</v>
      </c>
      <c r="K1470" s="1"/>
      <c r="L1470" s="1" t="s">
        <v>39</v>
      </c>
      <c r="M1470" s="1" t="str">
        <f>INDEX(MCC_Lookup!$B$2:$B$12,MATCH(G1470,MCC_Lookup!$A$2:$A$12,0))</f>
        <v>Events</v>
      </c>
      <c r="N1470" s="1" t="str">
        <f>IF(TRIM(H1470)="","BLANK",IF(PROPER(TRIM(H1470))=TRIM(M1470),"MATCH","MISMATCH"))</f>
        <v>MATCH</v>
      </c>
      <c r="O1470" s="5" t="str">
        <f>INDEX([1]Employee!$C$2:$C$276,MATCH(B1470,[1]Employee!$A$2:$A$276,0))</f>
        <v>Finance</v>
      </c>
    </row>
    <row r="1471" spans="1:15">
      <c r="A1471" s="1" t="s">
        <v>3052</v>
      </c>
      <c r="B1471" s="1" t="s">
        <v>2925</v>
      </c>
      <c r="C1471" s="1" t="s">
        <v>3053</v>
      </c>
      <c r="D1471" s="2">
        <v>46095</v>
      </c>
      <c r="E1471" s="2">
        <v>46104</v>
      </c>
      <c r="F1471" s="1" t="s">
        <v>61</v>
      </c>
      <c r="G1471" s="1" t="s">
        <v>13</v>
      </c>
      <c r="H1471" s="1" t="s">
        <v>192</v>
      </c>
      <c r="I1471" s="7">
        <v>56</v>
      </c>
      <c r="J1471" s="1" t="s">
        <v>38</v>
      </c>
      <c r="K1471" s="1"/>
      <c r="L1471" s="1" t="s">
        <v>48</v>
      </c>
      <c r="M1471" s="1" t="str">
        <f>INDEX(MCC_Lookup!$B$2:$B$12,MATCH(G1471,MCC_Lookup!$A$2:$A$12,0))</f>
        <v>Software</v>
      </c>
      <c r="N1471" s="1" t="str">
        <f>IF(TRIM(H1471)="","BLANK",IF(PROPER(TRIM(H1471))=TRIM(M1471),"MATCH","MISMATCH"))</f>
        <v>MATCH</v>
      </c>
      <c r="O1471" s="5" t="str">
        <f>INDEX([1]Employee!$C$2:$C$276,MATCH(B1471,[1]Employee!$A$2:$A$276,0))</f>
        <v>Actuarial &amp; Risk</v>
      </c>
    </row>
    <row r="1472" spans="1:15">
      <c r="A1472" s="1" t="s">
        <v>3054</v>
      </c>
      <c r="B1472" s="1" t="s">
        <v>947</v>
      </c>
      <c r="C1472" s="1"/>
      <c r="D1472" s="2">
        <v>46103</v>
      </c>
      <c r="E1472" s="2">
        <v>46104</v>
      </c>
      <c r="F1472" s="1" t="s">
        <v>99</v>
      </c>
      <c r="G1472" s="1" t="s">
        <v>2</v>
      </c>
      <c r="H1472" s="1" t="s">
        <v>154</v>
      </c>
      <c r="I1472" s="7">
        <v>99.46</v>
      </c>
      <c r="J1472" s="1" t="s">
        <v>111</v>
      </c>
      <c r="K1472" s="1" t="s">
        <v>229</v>
      </c>
      <c r="L1472" s="1" t="s">
        <v>48</v>
      </c>
      <c r="M1472" s="1" t="str">
        <f>INDEX(MCC_Lookup!$B$2:$B$12,MATCH(G1472,MCC_Lookup!$A$2:$A$12,0))</f>
        <v>Meals</v>
      </c>
      <c r="N1472" s="1" t="str">
        <f>IF(TRIM(H1472)="","BLANK",IF(PROPER(TRIM(H1472))=TRIM(M1472),"MATCH","MISMATCH"))</f>
        <v>MATCH</v>
      </c>
      <c r="O1472" s="5" t="str">
        <f>INDEX([1]Employee!$C$2:$C$276,MATCH(B1472,[1]Employee!$A$2:$A$276,0))</f>
        <v>Sales &amp; Marketing</v>
      </c>
    </row>
    <row r="1473" spans="1:15">
      <c r="A1473" s="1" t="s">
        <v>3055</v>
      </c>
      <c r="B1473" s="1" t="s">
        <v>63</v>
      </c>
      <c r="C1473" s="1" t="s">
        <v>3056</v>
      </c>
      <c r="D1473" s="2">
        <v>46098</v>
      </c>
      <c r="E1473" s="2">
        <v>46104</v>
      </c>
      <c r="F1473" s="1" t="s">
        <v>56</v>
      </c>
      <c r="G1473" s="1" t="s">
        <v>4</v>
      </c>
      <c r="H1473" s="1" t="s">
        <v>269</v>
      </c>
      <c r="I1473" s="7">
        <v>539.94000000000005</v>
      </c>
      <c r="J1473" s="1" t="s">
        <v>38</v>
      </c>
      <c r="K1473" s="1"/>
      <c r="L1473" s="1" t="s">
        <v>39</v>
      </c>
      <c r="M1473" s="1" t="str">
        <f>INDEX(MCC_Lookup!$B$2:$B$12,MATCH(G1473,MCC_Lookup!$A$2:$A$12,0))</f>
        <v>Travel</v>
      </c>
      <c r="N1473" s="1" t="str">
        <f>IF(TRIM(H1473)="","BLANK",IF(PROPER(TRIM(H1473))=TRIM(M1473),"MATCH","MISMATCH"))</f>
        <v>MISMATCH</v>
      </c>
      <c r="O1473" s="5" t="str">
        <f>INDEX([1]Employee!$C$2:$C$276,MATCH(B1473,[1]Employee!$A$2:$A$276,0))</f>
        <v>Sales &amp; Marketing</v>
      </c>
    </row>
    <row r="1474" spans="1:15">
      <c r="A1474" s="1" t="s">
        <v>3057</v>
      </c>
      <c r="B1474" s="1" t="s">
        <v>240</v>
      </c>
      <c r="C1474" s="1"/>
      <c r="D1474" s="2">
        <v>46103</v>
      </c>
      <c r="E1474" s="2">
        <v>46104</v>
      </c>
      <c r="F1474" s="1" t="s">
        <v>92</v>
      </c>
      <c r="G1474" s="1" t="s">
        <v>10</v>
      </c>
      <c r="H1474" s="1" t="s">
        <v>11</v>
      </c>
      <c r="I1474" s="7">
        <v>119.5</v>
      </c>
      <c r="J1474" s="1" t="s">
        <v>111</v>
      </c>
      <c r="K1474" s="1" t="s">
        <v>112</v>
      </c>
      <c r="L1474" s="1" t="s">
        <v>39</v>
      </c>
      <c r="M1474" s="1" t="str">
        <f>INDEX(MCC_Lookup!$B$2:$B$12,MATCH(G1474,MCC_Lookup!$A$2:$A$12,0))</f>
        <v>Office Supplies</v>
      </c>
      <c r="N1474" s="1" t="str">
        <f>IF(TRIM(H1474)="","BLANK",IF(PROPER(TRIM(H1474))=TRIM(M1474),"MATCH","MISMATCH"))</f>
        <v>MATCH</v>
      </c>
      <c r="O1474" s="5" t="str">
        <f>INDEX([1]Employee!$C$2:$C$276,MATCH(B1474,[1]Employee!$A$2:$A$276,0))</f>
        <v>Claims</v>
      </c>
    </row>
    <row r="1475" spans="1:15">
      <c r="A1475" s="1" t="s">
        <v>3058</v>
      </c>
      <c r="B1475" s="1" t="s">
        <v>542</v>
      </c>
      <c r="C1475" s="1" t="s">
        <v>3059</v>
      </c>
      <c r="D1475" s="2">
        <v>46100</v>
      </c>
      <c r="E1475" s="2">
        <v>46104</v>
      </c>
      <c r="F1475" s="1" t="s">
        <v>72</v>
      </c>
      <c r="G1475" s="1" t="s">
        <v>8</v>
      </c>
      <c r="H1475" s="1" t="s">
        <v>9</v>
      </c>
      <c r="I1475" s="7">
        <v>51.36</v>
      </c>
      <c r="J1475" s="1" t="s">
        <v>38</v>
      </c>
      <c r="K1475" s="1"/>
      <c r="L1475" s="1" t="s">
        <v>39</v>
      </c>
      <c r="M1475" s="1" t="str">
        <f>INDEX(MCC_Lookup!$B$2:$B$12,MATCH(G1475,MCC_Lookup!$A$2:$A$12,0))</f>
        <v>Transportation</v>
      </c>
      <c r="N1475" s="1" t="str">
        <f>IF(TRIM(H1475)="","BLANK",IF(PROPER(TRIM(H1475))=TRIM(M1475),"MATCH","MISMATCH"))</f>
        <v>MATCH</v>
      </c>
      <c r="O1475" s="5" t="str">
        <f>INDEX([1]Employee!$C$2:$C$276,MATCH(B1475,[1]Employee!$A$2:$A$276,0))</f>
        <v>Underwriting</v>
      </c>
    </row>
    <row r="1476" spans="1:15">
      <c r="A1476" s="1" t="s">
        <v>3060</v>
      </c>
      <c r="B1476" s="1" t="s">
        <v>706</v>
      </c>
      <c r="C1476" s="1"/>
      <c r="D1476" s="2">
        <v>46095</v>
      </c>
      <c r="E1476" s="2">
        <v>46104</v>
      </c>
      <c r="F1476" s="1" t="s">
        <v>305</v>
      </c>
      <c r="G1476" s="1" t="s">
        <v>2</v>
      </c>
      <c r="H1476" s="1" t="s">
        <v>3</v>
      </c>
      <c r="I1476" s="7">
        <v>5.94</v>
      </c>
      <c r="J1476" s="1" t="s">
        <v>38</v>
      </c>
      <c r="K1476" s="1"/>
      <c r="L1476" s="1" t="s">
        <v>39</v>
      </c>
      <c r="M1476" s="1" t="str">
        <f>INDEX(MCC_Lookup!$B$2:$B$12,MATCH(G1476,MCC_Lookup!$A$2:$A$12,0))</f>
        <v>Meals</v>
      </c>
      <c r="N1476" s="1" t="str">
        <f>IF(TRIM(H1476)="","BLANK",IF(PROPER(TRIM(H1476))=TRIM(M1476),"MATCH","MISMATCH"))</f>
        <v>MATCH</v>
      </c>
      <c r="O1476" s="5" t="str">
        <f>INDEX([1]Employee!$C$2:$C$276,MATCH(B1476,[1]Employee!$A$2:$A$276,0))</f>
        <v>Underwriting</v>
      </c>
    </row>
    <row r="1477" spans="1:15">
      <c r="A1477" s="1" t="s">
        <v>3061</v>
      </c>
      <c r="B1477" s="1" t="s">
        <v>1302</v>
      </c>
      <c r="C1477" s="1" t="s">
        <v>3062</v>
      </c>
      <c r="D1477" s="2">
        <v>46097</v>
      </c>
      <c r="E1477" s="2">
        <v>46104</v>
      </c>
      <c r="F1477" s="1" t="s">
        <v>47</v>
      </c>
      <c r="G1477" s="1" t="s">
        <v>6</v>
      </c>
      <c r="H1477" s="1" t="s">
        <v>7</v>
      </c>
      <c r="I1477" s="7">
        <v>224.59</v>
      </c>
      <c r="J1477" s="1" t="s">
        <v>38</v>
      </c>
      <c r="K1477" s="1"/>
      <c r="L1477" s="1" t="s">
        <v>39</v>
      </c>
      <c r="M1477" s="1" t="str">
        <f>INDEX(MCC_Lookup!$B$2:$B$12,MATCH(G1477,MCC_Lookup!$A$2:$A$12,0))</f>
        <v>Lodging</v>
      </c>
      <c r="N1477" s="1" t="str">
        <f>IF(TRIM(H1477)="","BLANK",IF(PROPER(TRIM(H1477))=TRIM(M1477),"MATCH","MISMATCH"))</f>
        <v>MATCH</v>
      </c>
      <c r="O1477" s="5" t="str">
        <f>INDEX([1]Employee!$C$2:$C$276,MATCH(B1477,[1]Employee!$A$2:$A$276,0))</f>
        <v>HR &amp; Events</v>
      </c>
    </row>
    <row r="1478" spans="1:15">
      <c r="A1478" s="1" t="s">
        <v>3063</v>
      </c>
      <c r="B1478" s="1" t="s">
        <v>122</v>
      </c>
      <c r="C1478" s="1" t="s">
        <v>3064</v>
      </c>
      <c r="D1478" s="2">
        <v>46101</v>
      </c>
      <c r="E1478" s="2">
        <v>46104</v>
      </c>
      <c r="F1478" s="1" t="s">
        <v>76</v>
      </c>
      <c r="G1478" s="1" t="s">
        <v>13</v>
      </c>
      <c r="H1478" s="1" t="s">
        <v>14</v>
      </c>
      <c r="I1478" s="7">
        <v>401.09</v>
      </c>
      <c r="J1478" s="1" t="s">
        <v>38</v>
      </c>
      <c r="K1478" s="1"/>
      <c r="L1478" s="1" t="s">
        <v>39</v>
      </c>
      <c r="M1478" s="1" t="str">
        <f>INDEX(MCC_Lookup!$B$2:$B$12,MATCH(G1478,MCC_Lookup!$A$2:$A$12,0))</f>
        <v>Software</v>
      </c>
      <c r="N1478" s="1" t="str">
        <f>IF(TRIM(H1478)="","BLANK",IF(PROPER(TRIM(H1478))=TRIM(M1478),"MATCH","MISMATCH"))</f>
        <v>MATCH</v>
      </c>
      <c r="O1478" s="5" t="str">
        <f>INDEX([1]Employee!$C$2:$C$276,MATCH(B1478,[1]Employee!$A$2:$A$276,0))</f>
        <v>Sales &amp; Marketing</v>
      </c>
    </row>
    <row r="1479" spans="1:15">
      <c r="A1479" s="1" t="s">
        <v>3065</v>
      </c>
      <c r="B1479" s="1" t="s">
        <v>194</v>
      </c>
      <c r="C1479" s="1"/>
      <c r="D1479" s="2">
        <v>46098</v>
      </c>
      <c r="E1479" s="2">
        <v>46104</v>
      </c>
      <c r="F1479" s="1" t="s">
        <v>79</v>
      </c>
      <c r="G1479" s="1" t="s">
        <v>13</v>
      </c>
      <c r="H1479" s="1" t="s">
        <v>14</v>
      </c>
      <c r="I1479" s="7">
        <v>176.66</v>
      </c>
      <c r="J1479" s="1" t="s">
        <v>38</v>
      </c>
      <c r="K1479" s="1"/>
      <c r="L1479" s="1" t="s">
        <v>39</v>
      </c>
      <c r="M1479" s="1" t="str">
        <f>INDEX(MCC_Lookup!$B$2:$B$12,MATCH(G1479,MCC_Lookup!$A$2:$A$12,0))</f>
        <v>Software</v>
      </c>
      <c r="N1479" s="1" t="str">
        <f>IF(TRIM(H1479)="","BLANK",IF(PROPER(TRIM(H1479))=TRIM(M1479),"MATCH","MISMATCH"))</f>
        <v>MATCH</v>
      </c>
      <c r="O1479" s="5" t="str">
        <f>INDEX([1]Employee!$C$2:$C$276,MATCH(B1479,[1]Employee!$A$2:$A$276,0))</f>
        <v>Claims</v>
      </c>
    </row>
    <row r="1480" spans="1:15">
      <c r="A1480" s="1" t="s">
        <v>3066</v>
      </c>
      <c r="B1480" s="1" t="s">
        <v>2090</v>
      </c>
      <c r="C1480" s="1" t="s">
        <v>3067</v>
      </c>
      <c r="D1480" s="2">
        <v>46101</v>
      </c>
      <c r="E1480" s="2">
        <v>46104</v>
      </c>
      <c r="F1480" s="1" t="s">
        <v>177</v>
      </c>
      <c r="G1480" s="1" t="s">
        <v>13</v>
      </c>
      <c r="H1480" s="1" t="s">
        <v>5</v>
      </c>
      <c r="I1480" s="7">
        <v>15.09</v>
      </c>
      <c r="J1480" s="1" t="s">
        <v>38</v>
      </c>
      <c r="K1480" s="1"/>
      <c r="L1480" s="1" t="s">
        <v>39</v>
      </c>
      <c r="M1480" s="1" t="str">
        <f>INDEX(MCC_Lookup!$B$2:$B$12,MATCH(G1480,MCC_Lookup!$A$2:$A$12,0))</f>
        <v>Software</v>
      </c>
      <c r="N1480" s="1" t="str">
        <f>IF(TRIM(H1480)="","BLANK",IF(PROPER(TRIM(H1480))=TRIM(M1480),"MATCH","MISMATCH"))</f>
        <v>MISMATCH</v>
      </c>
      <c r="O1480" s="5" t="str">
        <f>INDEX([1]Employee!$C$2:$C$276,MATCH(B1480,[1]Employee!$A$2:$A$276,0))</f>
        <v>Underwriting</v>
      </c>
    </row>
    <row r="1481" spans="1:15">
      <c r="A1481" s="1" t="s">
        <v>3068</v>
      </c>
      <c r="B1481" s="1" t="s">
        <v>382</v>
      </c>
      <c r="C1481" s="1" t="s">
        <v>3069</v>
      </c>
      <c r="D1481" s="2">
        <v>46095</v>
      </c>
      <c r="E1481" s="2">
        <v>46104</v>
      </c>
      <c r="F1481" s="1" t="s">
        <v>69</v>
      </c>
      <c r="G1481" s="1" t="s">
        <v>8</v>
      </c>
      <c r="H1481" s="1"/>
      <c r="I1481" s="7">
        <v>36.35</v>
      </c>
      <c r="J1481" s="1" t="s">
        <v>38</v>
      </c>
      <c r="K1481" s="1"/>
      <c r="L1481" s="1" t="s">
        <v>39</v>
      </c>
      <c r="M1481" s="1" t="str">
        <f>INDEX(MCC_Lookup!$B$2:$B$12,MATCH(G1481,MCC_Lookup!$A$2:$A$12,0))</f>
        <v>Transportation</v>
      </c>
      <c r="N1481" s="1" t="str">
        <f>IF(TRIM(H1481)="","BLANK",IF(PROPER(TRIM(H1481))=TRIM(M1481),"MATCH","MISMATCH"))</f>
        <v>BLANK</v>
      </c>
      <c r="O1481" s="5" t="str">
        <f>INDEX([1]Employee!$C$2:$C$276,MATCH(B1481,[1]Employee!$A$2:$A$276,0))</f>
        <v>Sales &amp; Marketing</v>
      </c>
    </row>
    <row r="1482" spans="1:15">
      <c r="A1482" s="1" t="s">
        <v>3070</v>
      </c>
      <c r="B1482" s="1" t="s">
        <v>3071</v>
      </c>
      <c r="C1482" s="1" t="s">
        <v>3072</v>
      </c>
      <c r="D1482" s="2">
        <v>46098</v>
      </c>
      <c r="E1482" s="2">
        <v>46104</v>
      </c>
      <c r="F1482" s="1" t="s">
        <v>2059</v>
      </c>
      <c r="G1482" s="1" t="s">
        <v>13</v>
      </c>
      <c r="H1482" s="1" t="s">
        <v>14</v>
      </c>
      <c r="I1482" s="7">
        <v>111.94</v>
      </c>
      <c r="J1482" s="1" t="s">
        <v>38</v>
      </c>
      <c r="K1482" s="1"/>
      <c r="L1482" s="1" t="s">
        <v>39</v>
      </c>
      <c r="M1482" s="1" t="str">
        <f>INDEX(MCC_Lookup!$B$2:$B$12,MATCH(G1482,MCC_Lookup!$A$2:$A$12,0))</f>
        <v>Software</v>
      </c>
      <c r="N1482" s="1" t="str">
        <f>IF(TRIM(H1482)="","BLANK",IF(PROPER(TRIM(H1482))=TRIM(M1482),"MATCH","MISMATCH"))</f>
        <v>MATCH</v>
      </c>
      <c r="O1482" s="5" t="str">
        <f>INDEX([1]Employee!$C$2:$C$276,MATCH(B1482,[1]Employee!$A$2:$A$276,0))</f>
        <v>Customer Support</v>
      </c>
    </row>
    <row r="1483" spans="1:15">
      <c r="A1483" s="1" t="s">
        <v>3073</v>
      </c>
      <c r="B1483" s="1" t="s">
        <v>3074</v>
      </c>
      <c r="C1483" s="1" t="s">
        <v>3075</v>
      </c>
      <c r="D1483" s="2">
        <v>46098</v>
      </c>
      <c r="E1483" s="2">
        <v>46104</v>
      </c>
      <c r="F1483" s="1" t="s">
        <v>72</v>
      </c>
      <c r="G1483" s="1" t="s">
        <v>8</v>
      </c>
      <c r="H1483" s="1" t="s">
        <v>9</v>
      </c>
      <c r="I1483" s="7">
        <v>41.28</v>
      </c>
      <c r="J1483" s="1" t="s">
        <v>38</v>
      </c>
      <c r="K1483" s="1"/>
      <c r="L1483" s="1" t="s">
        <v>39</v>
      </c>
      <c r="M1483" s="1" t="str">
        <f>INDEX(MCC_Lookup!$B$2:$B$12,MATCH(G1483,MCC_Lookup!$A$2:$A$12,0))</f>
        <v>Transportation</v>
      </c>
      <c r="N1483" s="1" t="str">
        <f>IF(TRIM(H1483)="","BLANK",IF(PROPER(TRIM(H1483))=TRIM(M1483),"MATCH","MISMATCH"))</f>
        <v>MATCH</v>
      </c>
      <c r="O1483" s="5" t="str">
        <f>INDEX([1]Employee!$C$2:$C$276,MATCH(B1483,[1]Employee!$A$2:$A$276,0))</f>
        <v>Finance</v>
      </c>
    </row>
    <row r="1484" spans="1:15">
      <c r="A1484" s="1" t="s">
        <v>3076</v>
      </c>
      <c r="B1484" s="1" t="s">
        <v>547</v>
      </c>
      <c r="C1484" s="1" t="s">
        <v>3077</v>
      </c>
      <c r="D1484" s="2">
        <v>46097</v>
      </c>
      <c r="E1484" s="2">
        <v>46104</v>
      </c>
      <c r="F1484" s="1" t="s">
        <v>242</v>
      </c>
      <c r="G1484" s="1" t="s">
        <v>13</v>
      </c>
      <c r="H1484" s="1" t="s">
        <v>14</v>
      </c>
      <c r="I1484" s="7">
        <v>34.630000000000003</v>
      </c>
      <c r="J1484" s="1" t="s">
        <v>38</v>
      </c>
      <c r="K1484" s="1"/>
      <c r="L1484" s="1" t="s">
        <v>39</v>
      </c>
      <c r="M1484" s="1" t="str">
        <f>INDEX(MCC_Lookup!$B$2:$B$12,MATCH(G1484,MCC_Lookup!$A$2:$A$12,0))</f>
        <v>Software</v>
      </c>
      <c r="N1484" s="1" t="str">
        <f>IF(TRIM(H1484)="","BLANK",IF(PROPER(TRIM(H1484))=TRIM(M1484),"MATCH","MISMATCH"))</f>
        <v>MATCH</v>
      </c>
      <c r="O1484" s="5" t="str">
        <f>INDEX([1]Employee!$C$2:$C$276,MATCH(B1484,[1]Employee!$A$2:$A$276,0))</f>
        <v>Sales &amp; Marketing</v>
      </c>
    </row>
    <row r="1485" spans="1:15">
      <c r="A1485" s="1" t="s">
        <v>3078</v>
      </c>
      <c r="B1485" s="1" t="s">
        <v>182</v>
      </c>
      <c r="C1485" s="1" t="s">
        <v>3079</v>
      </c>
      <c r="D1485" s="2">
        <v>46102</v>
      </c>
      <c r="E1485" s="2">
        <v>46105</v>
      </c>
      <c r="F1485" s="1" t="s">
        <v>173</v>
      </c>
      <c r="G1485" s="1" t="s">
        <v>2</v>
      </c>
      <c r="H1485" s="1" t="s">
        <v>3</v>
      </c>
      <c r="I1485" s="7">
        <v>77.569999999999993</v>
      </c>
      <c r="J1485" s="1" t="s">
        <v>38</v>
      </c>
      <c r="K1485" s="1"/>
      <c r="L1485" s="1" t="s">
        <v>39</v>
      </c>
      <c r="M1485" s="1" t="str">
        <f>INDEX(MCC_Lookup!$B$2:$B$12,MATCH(G1485,MCC_Lookup!$A$2:$A$12,0))</f>
        <v>Meals</v>
      </c>
      <c r="N1485" s="1" t="str">
        <f>IF(TRIM(H1485)="","BLANK",IF(PROPER(TRIM(H1485))=TRIM(M1485),"MATCH","MISMATCH"))</f>
        <v>MATCH</v>
      </c>
      <c r="O1485" s="5" t="str">
        <f>INDEX([1]Employee!$C$2:$C$276,MATCH(B1485,[1]Employee!$A$2:$A$276,0))</f>
        <v>Sales &amp; Marketing</v>
      </c>
    </row>
    <row r="1486" spans="1:15">
      <c r="A1486" s="1" t="s">
        <v>3080</v>
      </c>
      <c r="B1486" s="1" t="s">
        <v>314</v>
      </c>
      <c r="C1486" s="1" t="s">
        <v>3081</v>
      </c>
      <c r="D1486" s="2">
        <v>46103</v>
      </c>
      <c r="E1486" s="2">
        <v>46105</v>
      </c>
      <c r="F1486" s="1" t="s">
        <v>106</v>
      </c>
      <c r="G1486" s="1" t="s">
        <v>13</v>
      </c>
      <c r="H1486" s="1"/>
      <c r="I1486" s="7">
        <v>58.78</v>
      </c>
      <c r="J1486" s="1" t="s">
        <v>38</v>
      </c>
      <c r="K1486" s="1"/>
      <c r="L1486" s="1" t="s">
        <v>39</v>
      </c>
      <c r="M1486" s="1" t="str">
        <f>INDEX(MCC_Lookup!$B$2:$B$12,MATCH(G1486,MCC_Lookup!$A$2:$A$12,0))</f>
        <v>Software</v>
      </c>
      <c r="N1486" s="1" t="str">
        <f>IF(TRIM(H1486)="","BLANK",IF(PROPER(TRIM(H1486))=TRIM(M1486),"MATCH","MISMATCH"))</f>
        <v>BLANK</v>
      </c>
      <c r="O1486" s="5" t="str">
        <f>INDEX([1]Employee!$C$2:$C$276,MATCH(B1486,[1]Employee!$A$2:$A$276,0))</f>
        <v>Sales &amp; Marketing</v>
      </c>
    </row>
    <row r="1487" spans="1:15">
      <c r="A1487" s="1" t="s">
        <v>3082</v>
      </c>
      <c r="B1487" s="1" t="s">
        <v>379</v>
      </c>
      <c r="C1487" s="1" t="s">
        <v>3083</v>
      </c>
      <c r="D1487" s="2">
        <v>46096</v>
      </c>
      <c r="E1487" s="2">
        <v>46105</v>
      </c>
      <c r="F1487" s="1" t="s">
        <v>173</v>
      </c>
      <c r="G1487" s="1" t="s">
        <v>2</v>
      </c>
      <c r="H1487" s="1" t="s">
        <v>3</v>
      </c>
      <c r="I1487" s="7">
        <v>30.86</v>
      </c>
      <c r="J1487" s="1" t="s">
        <v>38</v>
      </c>
      <c r="K1487" s="1"/>
      <c r="L1487" s="1" t="s">
        <v>39</v>
      </c>
      <c r="M1487" s="1" t="str">
        <f>INDEX(MCC_Lookup!$B$2:$B$12,MATCH(G1487,MCC_Lookup!$A$2:$A$12,0))</f>
        <v>Meals</v>
      </c>
      <c r="N1487" s="1" t="str">
        <f>IF(TRIM(H1487)="","BLANK",IF(PROPER(TRIM(H1487))=TRIM(M1487),"MATCH","MISMATCH"))</f>
        <v>MATCH</v>
      </c>
      <c r="O1487" s="5" t="str">
        <f>INDEX([1]Employee!$C$2:$C$276,MATCH(B1487,[1]Employee!$A$2:$A$276,0))</f>
        <v>Sales &amp; Marketing</v>
      </c>
    </row>
    <row r="1488" spans="1:15">
      <c r="A1488" s="1" t="s">
        <v>3084</v>
      </c>
      <c r="B1488" s="1" t="s">
        <v>2598</v>
      </c>
      <c r="C1488" s="1" t="s">
        <v>3085</v>
      </c>
      <c r="D1488" s="2">
        <v>46104</v>
      </c>
      <c r="E1488" s="2">
        <v>46105</v>
      </c>
      <c r="F1488" s="1" t="s">
        <v>43</v>
      </c>
      <c r="G1488" s="1" t="s">
        <v>2</v>
      </c>
      <c r="H1488" s="1" t="s">
        <v>3</v>
      </c>
      <c r="I1488" s="7">
        <v>24.33</v>
      </c>
      <c r="J1488" s="1" t="s">
        <v>38</v>
      </c>
      <c r="K1488" s="1"/>
      <c r="L1488" s="1" t="s">
        <v>39</v>
      </c>
      <c r="M1488" s="1" t="str">
        <f>INDEX(MCC_Lookup!$B$2:$B$12,MATCH(G1488,MCC_Lookup!$A$2:$A$12,0))</f>
        <v>Meals</v>
      </c>
      <c r="N1488" s="1" t="str">
        <f>IF(TRIM(H1488)="","BLANK",IF(PROPER(TRIM(H1488))=TRIM(M1488),"MATCH","MISMATCH"))</f>
        <v>MATCH</v>
      </c>
      <c r="O1488" s="5" t="str">
        <f>INDEX([1]Employee!$C$2:$C$276,MATCH(B1488,[1]Employee!$A$2:$A$276,0))</f>
        <v>Underwriting</v>
      </c>
    </row>
    <row r="1489" spans="1:15">
      <c r="A1489" s="1" t="s">
        <v>3086</v>
      </c>
      <c r="B1489" s="1" t="s">
        <v>81</v>
      </c>
      <c r="C1489" s="1" t="s">
        <v>3087</v>
      </c>
      <c r="D1489" s="2">
        <v>46104</v>
      </c>
      <c r="E1489" s="2">
        <v>46105</v>
      </c>
      <c r="F1489" s="1" t="s">
        <v>242</v>
      </c>
      <c r="G1489" s="1" t="s">
        <v>13</v>
      </c>
      <c r="H1489" s="1" t="s">
        <v>14</v>
      </c>
      <c r="I1489" s="7">
        <v>39.32</v>
      </c>
      <c r="J1489" s="1" t="s">
        <v>38</v>
      </c>
      <c r="K1489" s="1"/>
      <c r="L1489" s="1" t="s">
        <v>39</v>
      </c>
      <c r="M1489" s="1" t="str">
        <f>INDEX(MCC_Lookup!$B$2:$B$12,MATCH(G1489,MCC_Lookup!$A$2:$A$12,0))</f>
        <v>Software</v>
      </c>
      <c r="N1489" s="1" t="str">
        <f>IF(TRIM(H1489)="","BLANK",IF(PROPER(TRIM(H1489))=TRIM(M1489),"MATCH","MISMATCH"))</f>
        <v>MATCH</v>
      </c>
      <c r="O1489" s="5" t="str">
        <f>INDEX([1]Employee!$C$2:$C$276,MATCH(B1489,[1]Employee!$A$2:$A$276,0))</f>
        <v>Sales &amp; Marketing</v>
      </c>
    </row>
    <row r="1490" spans="1:15">
      <c r="A1490" s="1" t="s">
        <v>3088</v>
      </c>
      <c r="B1490" s="1" t="s">
        <v>185</v>
      </c>
      <c r="C1490" s="1" t="s">
        <v>3089</v>
      </c>
      <c r="D1490" s="2">
        <v>46104</v>
      </c>
      <c r="E1490" s="2">
        <v>46105</v>
      </c>
      <c r="F1490" s="1" t="s">
        <v>56</v>
      </c>
      <c r="G1490" s="1" t="s">
        <v>4</v>
      </c>
      <c r="H1490" s="1" t="s">
        <v>57</v>
      </c>
      <c r="I1490" s="7">
        <v>382.11</v>
      </c>
      <c r="J1490" s="1" t="s">
        <v>38</v>
      </c>
      <c r="K1490" s="1"/>
      <c r="L1490" s="1" t="s">
        <v>39</v>
      </c>
      <c r="M1490" s="1" t="str">
        <f>INDEX(MCC_Lookup!$B$2:$B$12,MATCH(G1490,MCC_Lookup!$A$2:$A$12,0))</f>
        <v>Travel</v>
      </c>
      <c r="N1490" s="1" t="str">
        <f>IF(TRIM(H1490)="","BLANK",IF(PROPER(TRIM(H1490))=TRIM(M1490),"MATCH","MISMATCH"))</f>
        <v>MATCH</v>
      </c>
      <c r="O1490" s="5" t="str">
        <f>INDEX([1]Employee!$C$2:$C$276,MATCH(B1490,[1]Employee!$A$2:$A$276,0))</f>
        <v>Underwriting</v>
      </c>
    </row>
    <row r="1491" spans="1:15">
      <c r="A1491" s="1" t="s">
        <v>3090</v>
      </c>
      <c r="B1491" s="1" t="s">
        <v>1496</v>
      </c>
      <c r="C1491" s="1" t="s">
        <v>3091</v>
      </c>
      <c r="D1491" s="2">
        <v>46098</v>
      </c>
      <c r="E1491" s="2">
        <v>46105</v>
      </c>
      <c r="F1491" s="1" t="s">
        <v>160</v>
      </c>
      <c r="G1491" s="1" t="s">
        <v>6</v>
      </c>
      <c r="H1491" s="1" t="s">
        <v>7</v>
      </c>
      <c r="I1491" s="7">
        <v>211.84</v>
      </c>
      <c r="J1491" s="1" t="s">
        <v>38</v>
      </c>
      <c r="K1491" s="1"/>
      <c r="L1491" s="1" t="s">
        <v>39</v>
      </c>
      <c r="M1491" s="1" t="str">
        <f>INDEX(MCC_Lookup!$B$2:$B$12,MATCH(G1491,MCC_Lookup!$A$2:$A$12,0))</f>
        <v>Lodging</v>
      </c>
      <c r="N1491" s="1" t="str">
        <f>IF(TRIM(H1491)="","BLANK",IF(PROPER(TRIM(H1491))=TRIM(M1491),"MATCH","MISMATCH"))</f>
        <v>MATCH</v>
      </c>
      <c r="O1491" s="5" t="str">
        <f>INDEX([1]Employee!$C$2:$C$276,MATCH(B1491,[1]Employee!$A$2:$A$276,0))</f>
        <v>Underwriting</v>
      </c>
    </row>
    <row r="1492" spans="1:15">
      <c r="A1492" s="1" t="s">
        <v>3092</v>
      </c>
      <c r="B1492" s="1" t="s">
        <v>349</v>
      </c>
      <c r="C1492" s="1" t="s">
        <v>3093</v>
      </c>
      <c r="D1492" s="2">
        <v>46105</v>
      </c>
      <c r="E1492" s="2">
        <v>46105</v>
      </c>
      <c r="F1492" s="1" t="s">
        <v>177</v>
      </c>
      <c r="G1492" s="1" t="s">
        <v>13</v>
      </c>
      <c r="H1492" s="1" t="s">
        <v>14</v>
      </c>
      <c r="I1492" s="7">
        <v>40.71</v>
      </c>
      <c r="J1492" s="1" t="s">
        <v>38</v>
      </c>
      <c r="K1492" s="1"/>
      <c r="L1492" s="1" t="s">
        <v>39</v>
      </c>
      <c r="M1492" s="1" t="str">
        <f>INDEX(MCC_Lookup!$B$2:$B$12,MATCH(G1492,MCC_Lookup!$A$2:$A$12,0))</f>
        <v>Software</v>
      </c>
      <c r="N1492" s="1" t="str">
        <f>IF(TRIM(H1492)="","BLANK",IF(PROPER(TRIM(H1492))=TRIM(M1492),"MATCH","MISMATCH"))</f>
        <v>MATCH</v>
      </c>
      <c r="O1492" s="5" t="str">
        <f>INDEX([1]Employee!$C$2:$C$276,MATCH(B1492,[1]Employee!$A$2:$A$276,0))</f>
        <v>Sales &amp; Marketing</v>
      </c>
    </row>
    <row r="1493" spans="1:15">
      <c r="A1493" s="1" t="s">
        <v>3094</v>
      </c>
      <c r="B1493" s="1" t="s">
        <v>1107</v>
      </c>
      <c r="C1493" s="1" t="s">
        <v>3095</v>
      </c>
      <c r="D1493" s="2">
        <v>46103</v>
      </c>
      <c r="E1493" s="2">
        <v>46105</v>
      </c>
      <c r="F1493" s="1" t="s">
        <v>52</v>
      </c>
      <c r="G1493" s="1" t="s">
        <v>15</v>
      </c>
      <c r="H1493" s="1" t="s">
        <v>16</v>
      </c>
      <c r="I1493" s="7">
        <v>40.01</v>
      </c>
      <c r="J1493" s="1" t="s">
        <v>38</v>
      </c>
      <c r="K1493" s="1"/>
      <c r="L1493" s="1" t="s">
        <v>39</v>
      </c>
      <c r="M1493" s="1" t="str">
        <f>INDEX(MCC_Lookup!$B$2:$B$12,MATCH(G1493,MCC_Lookup!$A$2:$A$12,0))</f>
        <v>Entertainment</v>
      </c>
      <c r="N1493" s="1" t="str">
        <f>IF(TRIM(H1493)="","BLANK",IF(PROPER(TRIM(H1493))=TRIM(M1493),"MATCH","MISMATCH"))</f>
        <v>MATCH</v>
      </c>
      <c r="O1493" s="5" t="str">
        <f>INDEX([1]Employee!$C$2:$C$276,MATCH(B1493,[1]Employee!$A$2:$A$276,0))</f>
        <v>Claims</v>
      </c>
    </row>
    <row r="1494" spans="1:15">
      <c r="A1494" s="1" t="s">
        <v>3096</v>
      </c>
      <c r="B1494" s="1" t="s">
        <v>133</v>
      </c>
      <c r="C1494" s="1"/>
      <c r="D1494" s="2">
        <v>46095</v>
      </c>
      <c r="E1494" s="2">
        <v>46105</v>
      </c>
      <c r="F1494" s="1" t="s">
        <v>61</v>
      </c>
      <c r="G1494" s="1" t="s">
        <v>13</v>
      </c>
      <c r="H1494" s="1" t="s">
        <v>14</v>
      </c>
      <c r="I1494" s="7">
        <v>71.02</v>
      </c>
      <c r="J1494" s="1" t="s">
        <v>38</v>
      </c>
      <c r="K1494" s="1"/>
      <c r="L1494" s="1" t="s">
        <v>39</v>
      </c>
      <c r="M1494" s="1" t="str">
        <f>INDEX(MCC_Lookup!$B$2:$B$12,MATCH(G1494,MCC_Lookup!$A$2:$A$12,0))</f>
        <v>Software</v>
      </c>
      <c r="N1494" s="1" t="str">
        <f>IF(TRIM(H1494)="","BLANK",IF(PROPER(TRIM(H1494))=TRIM(M1494),"MATCH","MISMATCH"))</f>
        <v>MATCH</v>
      </c>
      <c r="O1494" s="5" t="str">
        <f>INDEX([1]Employee!$C$2:$C$276,MATCH(B1494,[1]Employee!$A$2:$A$276,0))</f>
        <v>Finance</v>
      </c>
    </row>
    <row r="1495" spans="1:15">
      <c r="A1495" s="1" t="s">
        <v>3097</v>
      </c>
      <c r="B1495" s="1" t="s">
        <v>190</v>
      </c>
      <c r="C1495" s="1" t="s">
        <v>3098</v>
      </c>
      <c r="D1495" s="2">
        <v>46103</v>
      </c>
      <c r="E1495" s="2">
        <v>46105</v>
      </c>
      <c r="F1495" s="1" t="s">
        <v>242</v>
      </c>
      <c r="G1495" s="1" t="s">
        <v>13</v>
      </c>
      <c r="H1495" s="1" t="s">
        <v>470</v>
      </c>
      <c r="I1495" s="7">
        <v>59.18</v>
      </c>
      <c r="J1495" s="1" t="s">
        <v>38</v>
      </c>
      <c r="K1495" s="1"/>
      <c r="L1495" s="1" t="s">
        <v>39</v>
      </c>
      <c r="M1495" s="1" t="str">
        <f>INDEX(MCC_Lookup!$B$2:$B$12,MATCH(G1495,MCC_Lookup!$A$2:$A$12,0))</f>
        <v>Software</v>
      </c>
      <c r="N1495" s="1" t="str">
        <f>IF(TRIM(H1495)="","BLANK",IF(PROPER(TRIM(H1495))=TRIM(M1495),"MATCH","MISMATCH"))</f>
        <v>MATCH</v>
      </c>
      <c r="O1495" s="5" t="str">
        <f>INDEX([1]Employee!$C$2:$C$276,MATCH(B1495,[1]Employee!$A$2:$A$276,0))</f>
        <v>Sales &amp; Marketing</v>
      </c>
    </row>
    <row r="1496" spans="1:15">
      <c r="A1496" s="1" t="s">
        <v>3099</v>
      </c>
      <c r="B1496" s="1" t="s">
        <v>373</v>
      </c>
      <c r="C1496" s="1" t="s">
        <v>3100</v>
      </c>
      <c r="D1496" s="2">
        <v>46095</v>
      </c>
      <c r="E1496" s="2">
        <v>46105</v>
      </c>
      <c r="F1496" s="1" t="s">
        <v>201</v>
      </c>
      <c r="G1496" s="1" t="s">
        <v>4</v>
      </c>
      <c r="H1496" s="1" t="s">
        <v>5</v>
      </c>
      <c r="I1496" s="7">
        <v>517.36</v>
      </c>
      <c r="J1496" s="1" t="s">
        <v>38</v>
      </c>
      <c r="K1496" s="1"/>
      <c r="L1496" s="1" t="s">
        <v>39</v>
      </c>
      <c r="M1496" s="1" t="str">
        <f>INDEX(MCC_Lookup!$B$2:$B$12,MATCH(G1496,MCC_Lookup!$A$2:$A$12,0))</f>
        <v>Travel</v>
      </c>
      <c r="N1496" s="1" t="str">
        <f>IF(TRIM(H1496)="","BLANK",IF(PROPER(TRIM(H1496))=TRIM(M1496),"MATCH","MISMATCH"))</f>
        <v>MATCH</v>
      </c>
      <c r="O1496" s="5" t="str">
        <f>INDEX([1]Employee!$C$2:$C$276,MATCH(B1496,[1]Employee!$A$2:$A$276,0))</f>
        <v>Sales &amp; Marketing</v>
      </c>
    </row>
    <row r="1497" spans="1:15">
      <c r="A1497" s="1" t="s">
        <v>3101</v>
      </c>
      <c r="B1497" s="1" t="s">
        <v>1814</v>
      </c>
      <c r="C1497" s="1" t="s">
        <v>3102</v>
      </c>
      <c r="D1497" s="2">
        <v>46105</v>
      </c>
      <c r="E1497" s="2">
        <v>46105</v>
      </c>
      <c r="F1497" s="1" t="s">
        <v>1362</v>
      </c>
      <c r="G1497" s="1" t="s">
        <v>6</v>
      </c>
      <c r="H1497" s="1" t="s">
        <v>7</v>
      </c>
      <c r="I1497" s="7">
        <v>189.32</v>
      </c>
      <c r="J1497" s="1" t="s">
        <v>38</v>
      </c>
      <c r="K1497" s="1"/>
      <c r="L1497" s="1" t="s">
        <v>39</v>
      </c>
      <c r="M1497" s="1" t="str">
        <f>INDEX(MCC_Lookup!$B$2:$B$12,MATCH(G1497,MCC_Lookup!$A$2:$A$12,0))</f>
        <v>Lodging</v>
      </c>
      <c r="N1497" s="1" t="str">
        <f>IF(TRIM(H1497)="","BLANK",IF(PROPER(TRIM(H1497))=TRIM(M1497),"MATCH","MISMATCH"))</f>
        <v>MATCH</v>
      </c>
      <c r="O1497" s="5" t="str">
        <f>INDEX([1]Employee!$C$2:$C$276,MATCH(B1497,[1]Employee!$A$2:$A$276,0))</f>
        <v>Underwriting</v>
      </c>
    </row>
    <row r="1498" spans="1:15">
      <c r="A1498" s="1" t="s">
        <v>3103</v>
      </c>
      <c r="B1498" s="1" t="s">
        <v>547</v>
      </c>
      <c r="C1498" s="1" t="s">
        <v>3104</v>
      </c>
      <c r="D1498" s="2">
        <v>46097</v>
      </c>
      <c r="E1498" s="2">
        <v>46105</v>
      </c>
      <c r="F1498" s="1" t="s">
        <v>116</v>
      </c>
      <c r="G1498" s="1" t="s">
        <v>2</v>
      </c>
      <c r="H1498" s="1" t="s">
        <v>3</v>
      </c>
      <c r="I1498" s="7">
        <v>16.48</v>
      </c>
      <c r="J1498" s="1" t="s">
        <v>38</v>
      </c>
      <c r="K1498" s="1"/>
      <c r="L1498" s="1" t="s">
        <v>39</v>
      </c>
      <c r="M1498" s="1" t="str">
        <f>INDEX(MCC_Lookup!$B$2:$B$12,MATCH(G1498,MCC_Lookup!$A$2:$A$12,0))</f>
        <v>Meals</v>
      </c>
      <c r="N1498" s="1" t="str">
        <f>IF(TRIM(H1498)="","BLANK",IF(PROPER(TRIM(H1498))=TRIM(M1498),"MATCH","MISMATCH"))</f>
        <v>MATCH</v>
      </c>
      <c r="O1498" s="5" t="str">
        <f>INDEX([1]Employee!$C$2:$C$276,MATCH(B1498,[1]Employee!$A$2:$A$276,0))</f>
        <v>Sales &amp; Marketing</v>
      </c>
    </row>
    <row r="1499" spans="1:15">
      <c r="A1499" s="1" t="s">
        <v>3105</v>
      </c>
      <c r="B1499" s="1" t="s">
        <v>547</v>
      </c>
      <c r="C1499" s="1"/>
      <c r="D1499" s="2">
        <v>46101</v>
      </c>
      <c r="E1499" s="2">
        <v>46105</v>
      </c>
      <c r="F1499" s="1" t="s">
        <v>233</v>
      </c>
      <c r="G1499" s="1" t="s">
        <v>2</v>
      </c>
      <c r="H1499" s="1" t="s">
        <v>3</v>
      </c>
      <c r="I1499" s="7">
        <v>10.41</v>
      </c>
      <c r="J1499" s="1" t="s">
        <v>38</v>
      </c>
      <c r="K1499" s="1"/>
      <c r="L1499" s="1" t="s">
        <v>39</v>
      </c>
      <c r="M1499" s="1" t="str">
        <f>INDEX(MCC_Lookup!$B$2:$B$12,MATCH(G1499,MCC_Lookup!$A$2:$A$12,0))</f>
        <v>Meals</v>
      </c>
      <c r="N1499" s="1" t="str">
        <f>IF(TRIM(H1499)="","BLANK",IF(PROPER(TRIM(H1499))=TRIM(M1499),"MATCH","MISMATCH"))</f>
        <v>MATCH</v>
      </c>
      <c r="O1499" s="5" t="str">
        <f>INDEX([1]Employee!$C$2:$C$276,MATCH(B1499,[1]Employee!$A$2:$A$276,0))</f>
        <v>Sales &amp; Marketing</v>
      </c>
    </row>
    <row r="1500" spans="1:15">
      <c r="A1500" s="1" t="s">
        <v>3106</v>
      </c>
      <c r="B1500" s="1" t="s">
        <v>156</v>
      </c>
      <c r="C1500" s="1" t="s">
        <v>3107</v>
      </c>
      <c r="D1500" s="2">
        <v>46101</v>
      </c>
      <c r="E1500" s="2">
        <v>46105</v>
      </c>
      <c r="F1500" s="1" t="s">
        <v>160</v>
      </c>
      <c r="G1500" s="1" t="s">
        <v>6</v>
      </c>
      <c r="H1500" s="1" t="s">
        <v>228</v>
      </c>
      <c r="I1500" s="7">
        <v>420.94</v>
      </c>
      <c r="J1500" s="1" t="s">
        <v>38</v>
      </c>
      <c r="K1500" s="1"/>
      <c r="L1500" s="1" t="s">
        <v>39</v>
      </c>
      <c r="M1500" s="1" t="str">
        <f>INDEX(MCC_Lookup!$B$2:$B$12,MATCH(G1500,MCC_Lookup!$A$2:$A$12,0))</f>
        <v>Lodging</v>
      </c>
      <c r="N1500" s="1" t="str">
        <f>IF(TRIM(H1500)="","BLANK",IF(PROPER(TRIM(H1500))=TRIM(M1500),"MATCH","MISMATCH"))</f>
        <v>MATCH</v>
      </c>
      <c r="O1500" s="5" t="str">
        <f>INDEX([1]Employee!$C$2:$C$276,MATCH(B1500,[1]Employee!$A$2:$A$276,0))</f>
        <v>Sales &amp; Marketing</v>
      </c>
    </row>
    <row r="1501" spans="1:15">
      <c r="A1501" s="1" t="s">
        <v>3108</v>
      </c>
      <c r="B1501" s="1" t="s">
        <v>156</v>
      </c>
      <c r="C1501" s="1" t="s">
        <v>3109</v>
      </c>
      <c r="D1501" s="2">
        <v>46098</v>
      </c>
      <c r="E1501" s="2">
        <v>46105</v>
      </c>
      <c r="F1501" s="1" t="s">
        <v>69</v>
      </c>
      <c r="G1501" s="1" t="s">
        <v>8</v>
      </c>
      <c r="H1501" s="1" t="s">
        <v>9</v>
      </c>
      <c r="I1501" s="7">
        <v>48.8</v>
      </c>
      <c r="J1501" s="1" t="s">
        <v>38</v>
      </c>
      <c r="K1501" s="1"/>
      <c r="L1501" s="1" t="s">
        <v>39</v>
      </c>
      <c r="M1501" s="1" t="str">
        <f>INDEX(MCC_Lookup!$B$2:$B$12,MATCH(G1501,MCC_Lookup!$A$2:$A$12,0))</f>
        <v>Transportation</v>
      </c>
      <c r="N1501" s="1" t="str">
        <f>IF(TRIM(H1501)="","BLANK",IF(PROPER(TRIM(H1501))=TRIM(M1501),"MATCH","MISMATCH"))</f>
        <v>MATCH</v>
      </c>
      <c r="O1501" s="5" t="str">
        <f>INDEX([1]Employee!$C$2:$C$276,MATCH(B1501,[1]Employee!$A$2:$A$276,0))</f>
        <v>Sales &amp; Marketing</v>
      </c>
    </row>
    <row r="1502" spans="1:15">
      <c r="A1502" s="1" t="s">
        <v>3110</v>
      </c>
      <c r="B1502" s="1" t="s">
        <v>673</v>
      </c>
      <c r="C1502" s="1" t="s">
        <v>3111</v>
      </c>
      <c r="D1502" s="2">
        <v>46104</v>
      </c>
      <c r="E1502" s="2">
        <v>46105</v>
      </c>
      <c r="F1502" s="1" t="s">
        <v>83</v>
      </c>
      <c r="G1502" s="1" t="s">
        <v>2</v>
      </c>
      <c r="H1502" s="1" t="s">
        <v>3</v>
      </c>
      <c r="I1502" s="7">
        <v>27.87</v>
      </c>
      <c r="J1502" s="1" t="s">
        <v>38</v>
      </c>
      <c r="K1502" s="1"/>
      <c r="L1502" s="1" t="s">
        <v>48</v>
      </c>
      <c r="M1502" s="1" t="str">
        <f>INDEX(MCC_Lookup!$B$2:$B$12,MATCH(G1502,MCC_Lookup!$A$2:$A$12,0))</f>
        <v>Meals</v>
      </c>
      <c r="N1502" s="1" t="str">
        <f>IF(TRIM(H1502)="","BLANK",IF(PROPER(TRIM(H1502))=TRIM(M1502),"MATCH","MISMATCH"))</f>
        <v>MATCH</v>
      </c>
      <c r="O1502" s="5" t="str">
        <f>INDEX([1]Employee!$C$2:$C$276,MATCH(B1502,[1]Employee!$A$2:$A$276,0))</f>
        <v>HR &amp; Events</v>
      </c>
    </row>
    <row r="1503" spans="1:15">
      <c r="A1503" s="1" t="s">
        <v>3112</v>
      </c>
      <c r="B1503" s="1" t="s">
        <v>35</v>
      </c>
      <c r="C1503" s="1" t="s">
        <v>3113</v>
      </c>
      <c r="D1503" s="2">
        <v>46095</v>
      </c>
      <c r="E1503" s="2">
        <v>46105</v>
      </c>
      <c r="F1503" s="1" t="s">
        <v>52</v>
      </c>
      <c r="G1503" s="1" t="s">
        <v>15</v>
      </c>
      <c r="H1503" s="1" t="s">
        <v>16</v>
      </c>
      <c r="I1503" s="7">
        <v>24.93</v>
      </c>
      <c r="J1503" s="1" t="s">
        <v>38</v>
      </c>
      <c r="K1503" s="1"/>
      <c r="L1503" s="1" t="s">
        <v>39</v>
      </c>
      <c r="M1503" s="1" t="str">
        <f>INDEX(MCC_Lookup!$B$2:$B$12,MATCH(G1503,MCC_Lookup!$A$2:$A$12,0))</f>
        <v>Entertainment</v>
      </c>
      <c r="N1503" s="1" t="str">
        <f>IF(TRIM(H1503)="","BLANK",IF(PROPER(TRIM(H1503))=TRIM(M1503),"MATCH","MISMATCH"))</f>
        <v>MATCH</v>
      </c>
      <c r="O1503" s="5" t="str">
        <f>INDEX([1]Employee!$C$2:$C$276,MATCH(B1503,[1]Employee!$A$2:$A$276,0))</f>
        <v>Sales &amp; Marketing</v>
      </c>
    </row>
    <row r="1504" spans="1:15">
      <c r="A1504" s="1" t="s">
        <v>3114</v>
      </c>
      <c r="B1504" s="1" t="s">
        <v>1440</v>
      </c>
      <c r="C1504" s="1" t="s">
        <v>3115</v>
      </c>
      <c r="D1504" s="2">
        <v>46098</v>
      </c>
      <c r="E1504" s="2">
        <v>46105</v>
      </c>
      <c r="F1504" s="1" t="s">
        <v>76</v>
      </c>
      <c r="G1504" s="1" t="s">
        <v>13</v>
      </c>
      <c r="H1504" s="1" t="s">
        <v>14</v>
      </c>
      <c r="I1504" s="7">
        <v>422.65</v>
      </c>
      <c r="J1504" s="1" t="s">
        <v>38</v>
      </c>
      <c r="K1504" s="1"/>
      <c r="L1504" s="1" t="s">
        <v>48</v>
      </c>
      <c r="M1504" s="1" t="str">
        <f>INDEX(MCC_Lookup!$B$2:$B$12,MATCH(G1504,MCC_Lookup!$A$2:$A$12,0))</f>
        <v>Software</v>
      </c>
      <c r="N1504" s="1" t="str">
        <f>IF(TRIM(H1504)="","BLANK",IF(PROPER(TRIM(H1504))=TRIM(M1504),"MATCH","MISMATCH"))</f>
        <v>MATCH</v>
      </c>
      <c r="O1504" s="5" t="str">
        <f>INDEX([1]Employee!$C$2:$C$276,MATCH(B1504,[1]Employee!$A$2:$A$276,0))</f>
        <v>Claims</v>
      </c>
    </row>
    <row r="1505" spans="1:15">
      <c r="A1505" s="1" t="s">
        <v>3116</v>
      </c>
      <c r="B1505" s="1" t="s">
        <v>1504</v>
      </c>
      <c r="C1505" s="1" t="s">
        <v>3117</v>
      </c>
      <c r="D1505" s="2">
        <v>46096</v>
      </c>
      <c r="E1505" s="2">
        <v>46105</v>
      </c>
      <c r="F1505" s="1" t="s">
        <v>95</v>
      </c>
      <c r="G1505" s="1" t="s">
        <v>6</v>
      </c>
      <c r="H1505" s="1"/>
      <c r="I1505" s="7">
        <v>146.6</v>
      </c>
      <c r="J1505" s="1" t="s">
        <v>38</v>
      </c>
      <c r="K1505" s="1"/>
      <c r="L1505" s="1" t="s">
        <v>39</v>
      </c>
      <c r="M1505" s="1" t="str">
        <f>INDEX(MCC_Lookup!$B$2:$B$12,MATCH(G1505,MCC_Lookup!$A$2:$A$12,0))</f>
        <v>Lodging</v>
      </c>
      <c r="N1505" s="1" t="str">
        <f>IF(TRIM(H1505)="","BLANK",IF(PROPER(TRIM(H1505))=TRIM(M1505),"MATCH","MISMATCH"))</f>
        <v>BLANK</v>
      </c>
      <c r="O1505" s="5" t="str">
        <f>INDEX([1]Employee!$C$2:$C$276,MATCH(B1505,[1]Employee!$A$2:$A$276,0))</f>
        <v>Sales &amp; Marketing</v>
      </c>
    </row>
    <row r="1506" spans="1:15">
      <c r="A1506" s="1" t="s">
        <v>3118</v>
      </c>
      <c r="B1506" s="1" t="s">
        <v>681</v>
      </c>
      <c r="C1506" s="1" t="s">
        <v>3119</v>
      </c>
      <c r="D1506" s="2">
        <v>46102</v>
      </c>
      <c r="E1506" s="2">
        <v>46105</v>
      </c>
      <c r="F1506" s="1" t="s">
        <v>201</v>
      </c>
      <c r="G1506" s="1" t="s">
        <v>4</v>
      </c>
      <c r="H1506" s="1" t="s">
        <v>714</v>
      </c>
      <c r="I1506" s="7">
        <v>224.92</v>
      </c>
      <c r="J1506" s="1" t="s">
        <v>38</v>
      </c>
      <c r="K1506" s="1"/>
      <c r="L1506" s="1" t="s">
        <v>39</v>
      </c>
      <c r="M1506" s="1" t="str">
        <f>INDEX(MCC_Lookup!$B$2:$B$12,MATCH(G1506,MCC_Lookup!$A$2:$A$12,0))</f>
        <v>Travel</v>
      </c>
      <c r="N1506" s="1" t="str">
        <f>IF(TRIM(H1506)="","BLANK",IF(PROPER(TRIM(H1506))=TRIM(M1506),"MATCH","MISMATCH"))</f>
        <v>MATCH</v>
      </c>
      <c r="O1506" s="5" t="str">
        <f>INDEX([1]Employee!$C$2:$C$276,MATCH(B1506,[1]Employee!$A$2:$A$276,0))</f>
        <v>Underwriting</v>
      </c>
    </row>
    <row r="1507" spans="1:15">
      <c r="A1507" s="1" t="s">
        <v>3120</v>
      </c>
      <c r="B1507" s="1" t="s">
        <v>156</v>
      </c>
      <c r="C1507" s="1" t="s">
        <v>3121</v>
      </c>
      <c r="D1507" s="2">
        <v>46103</v>
      </c>
      <c r="E1507" s="2">
        <v>46106</v>
      </c>
      <c r="F1507" s="1" t="s">
        <v>92</v>
      </c>
      <c r="G1507" s="1" t="s">
        <v>10</v>
      </c>
      <c r="H1507" s="1" t="s">
        <v>11</v>
      </c>
      <c r="I1507" s="7">
        <v>115.16</v>
      </c>
      <c r="J1507" s="1" t="s">
        <v>38</v>
      </c>
      <c r="K1507" s="1"/>
      <c r="L1507" s="1" t="s">
        <v>39</v>
      </c>
      <c r="M1507" s="1" t="str">
        <f>INDEX(MCC_Lookup!$B$2:$B$12,MATCH(G1507,MCC_Lookup!$A$2:$A$12,0))</f>
        <v>Office Supplies</v>
      </c>
      <c r="N1507" s="1" t="str">
        <f>IF(TRIM(H1507)="","BLANK",IF(PROPER(TRIM(H1507))=TRIM(M1507),"MATCH","MISMATCH"))</f>
        <v>MATCH</v>
      </c>
      <c r="O1507" s="5" t="str">
        <f>INDEX([1]Employee!$C$2:$C$276,MATCH(B1507,[1]Employee!$A$2:$A$276,0))</f>
        <v>Sales &amp; Marketing</v>
      </c>
    </row>
    <row r="1508" spans="1:15">
      <c r="A1508" s="1" t="s">
        <v>3122</v>
      </c>
      <c r="B1508" s="1" t="s">
        <v>969</v>
      </c>
      <c r="C1508" s="1" t="s">
        <v>3123</v>
      </c>
      <c r="D1508" s="2">
        <v>46105</v>
      </c>
      <c r="E1508" s="2">
        <v>46106</v>
      </c>
      <c r="F1508" s="1" t="s">
        <v>305</v>
      </c>
      <c r="G1508" s="1" t="s">
        <v>2</v>
      </c>
      <c r="H1508" s="1" t="s">
        <v>3</v>
      </c>
      <c r="I1508" s="7">
        <v>12.11</v>
      </c>
      <c r="J1508" s="1" t="s">
        <v>38</v>
      </c>
      <c r="K1508" s="1"/>
      <c r="L1508" s="1" t="s">
        <v>39</v>
      </c>
      <c r="M1508" s="1" t="str">
        <f>INDEX(MCC_Lookup!$B$2:$B$12,MATCH(G1508,MCC_Lookup!$A$2:$A$12,0))</f>
        <v>Meals</v>
      </c>
      <c r="N1508" s="1" t="str">
        <f>IF(TRIM(H1508)="","BLANK",IF(PROPER(TRIM(H1508))=TRIM(M1508),"MATCH","MISMATCH"))</f>
        <v>MATCH</v>
      </c>
      <c r="O1508" s="5" t="str">
        <f>INDEX([1]Employee!$C$2:$C$276,MATCH(B1508,[1]Employee!$A$2:$A$276,0))</f>
        <v>HR &amp; Events</v>
      </c>
    </row>
    <row r="1509" spans="1:15">
      <c r="A1509" s="1" t="s">
        <v>3124</v>
      </c>
      <c r="B1509" s="1" t="s">
        <v>1110</v>
      </c>
      <c r="C1509" s="1"/>
      <c r="D1509" s="2">
        <v>46099</v>
      </c>
      <c r="E1509" s="2">
        <v>46106</v>
      </c>
      <c r="F1509" s="1" t="s">
        <v>69</v>
      </c>
      <c r="G1509" s="1" t="s">
        <v>8</v>
      </c>
      <c r="H1509" s="1" t="s">
        <v>9</v>
      </c>
      <c r="I1509" s="7">
        <v>38.17</v>
      </c>
      <c r="J1509" s="1" t="s">
        <v>38</v>
      </c>
      <c r="K1509" s="1"/>
      <c r="L1509" s="1" t="s">
        <v>39</v>
      </c>
      <c r="M1509" s="1" t="str">
        <f>INDEX(MCC_Lookup!$B$2:$B$12,MATCH(G1509,MCC_Lookup!$A$2:$A$12,0))</f>
        <v>Transportation</v>
      </c>
      <c r="N1509" s="1" t="str">
        <f>IF(TRIM(H1509)="","BLANK",IF(PROPER(TRIM(H1509))=TRIM(M1509),"MATCH","MISMATCH"))</f>
        <v>MATCH</v>
      </c>
      <c r="O1509" s="5" t="str">
        <f>INDEX([1]Employee!$C$2:$C$276,MATCH(B1509,[1]Employee!$A$2:$A$276,0))</f>
        <v>Executive &amp; Corporate</v>
      </c>
    </row>
    <row r="1510" spans="1:15">
      <c r="A1510" s="1" t="s">
        <v>3125</v>
      </c>
      <c r="B1510" s="1" t="s">
        <v>924</v>
      </c>
      <c r="C1510" s="1" t="s">
        <v>3126</v>
      </c>
      <c r="D1510" s="2">
        <v>46103</v>
      </c>
      <c r="E1510" s="2">
        <v>46106</v>
      </c>
      <c r="F1510" s="1" t="s">
        <v>43</v>
      </c>
      <c r="G1510" s="1" t="s">
        <v>2</v>
      </c>
      <c r="H1510" s="1" t="s">
        <v>3</v>
      </c>
      <c r="I1510" s="7">
        <v>9.86</v>
      </c>
      <c r="J1510" s="1" t="s">
        <v>38</v>
      </c>
      <c r="K1510" s="1"/>
      <c r="L1510" s="1" t="s">
        <v>39</v>
      </c>
      <c r="M1510" s="1" t="str">
        <f>INDEX(MCC_Lookup!$B$2:$B$12,MATCH(G1510,MCC_Lookup!$A$2:$A$12,0))</f>
        <v>Meals</v>
      </c>
      <c r="N1510" s="1" t="str">
        <f>IF(TRIM(H1510)="","BLANK",IF(PROPER(TRIM(H1510))=TRIM(M1510),"MATCH","MISMATCH"))</f>
        <v>MATCH</v>
      </c>
      <c r="O1510" s="5" t="str">
        <f>INDEX([1]Employee!$C$2:$C$276,MATCH(B1510,[1]Employee!$A$2:$A$276,0))</f>
        <v>HR &amp; Events</v>
      </c>
    </row>
    <row r="1511" spans="1:15">
      <c r="A1511" s="1" t="s">
        <v>3127</v>
      </c>
      <c r="B1511" s="1" t="s">
        <v>558</v>
      </c>
      <c r="C1511" s="1" t="s">
        <v>3128</v>
      </c>
      <c r="D1511" s="2">
        <v>46102</v>
      </c>
      <c r="E1511" s="2">
        <v>46106</v>
      </c>
      <c r="F1511" s="1" t="s">
        <v>99</v>
      </c>
      <c r="G1511" s="1" t="s">
        <v>2</v>
      </c>
      <c r="H1511" s="1" t="s">
        <v>3</v>
      </c>
      <c r="I1511" s="7">
        <v>55.91</v>
      </c>
      <c r="J1511" s="1" t="s">
        <v>38</v>
      </c>
      <c r="K1511" s="1"/>
      <c r="L1511" s="1" t="s">
        <v>39</v>
      </c>
      <c r="M1511" s="1" t="str">
        <f>INDEX(MCC_Lookup!$B$2:$B$12,MATCH(G1511,MCC_Lookup!$A$2:$A$12,0))</f>
        <v>Meals</v>
      </c>
      <c r="N1511" s="1" t="str">
        <f>IF(TRIM(H1511)="","BLANK",IF(PROPER(TRIM(H1511))=TRIM(M1511),"MATCH","MISMATCH"))</f>
        <v>MATCH</v>
      </c>
      <c r="O1511" s="5" t="str">
        <f>INDEX([1]Employee!$C$2:$C$276,MATCH(B1511,[1]Employee!$A$2:$A$276,0))</f>
        <v>Claims</v>
      </c>
    </row>
    <row r="1512" spans="1:15">
      <c r="A1512" s="1" t="s">
        <v>3129</v>
      </c>
      <c r="B1512" s="1" t="s">
        <v>2333</v>
      </c>
      <c r="C1512" s="1" t="s">
        <v>3130</v>
      </c>
      <c r="D1512" s="2">
        <v>46103</v>
      </c>
      <c r="E1512" s="2">
        <v>46106</v>
      </c>
      <c r="F1512" s="1" t="s">
        <v>47</v>
      </c>
      <c r="G1512" s="1" t="s">
        <v>6</v>
      </c>
      <c r="H1512" s="1" t="s">
        <v>228</v>
      </c>
      <c r="I1512" s="7">
        <v>313.81</v>
      </c>
      <c r="J1512" s="1" t="s">
        <v>38</v>
      </c>
      <c r="K1512" s="1"/>
      <c r="L1512" s="1" t="s">
        <v>48</v>
      </c>
      <c r="M1512" s="1" t="str">
        <f>INDEX(MCC_Lookup!$B$2:$B$12,MATCH(G1512,MCC_Lookup!$A$2:$A$12,0))</f>
        <v>Lodging</v>
      </c>
      <c r="N1512" s="1" t="str">
        <f>IF(TRIM(H1512)="","BLANK",IF(PROPER(TRIM(H1512))=TRIM(M1512),"MATCH","MISMATCH"))</f>
        <v>MATCH</v>
      </c>
      <c r="O1512" s="5" t="str">
        <f>INDEX([1]Employee!$C$2:$C$276,MATCH(B1512,[1]Employee!$A$2:$A$276,0))</f>
        <v>HR &amp; Events</v>
      </c>
    </row>
    <row r="1513" spans="1:15">
      <c r="A1513" s="1" t="s">
        <v>3131</v>
      </c>
      <c r="B1513" s="1" t="s">
        <v>2090</v>
      </c>
      <c r="C1513" s="1" t="s">
        <v>3132</v>
      </c>
      <c r="D1513" s="2">
        <v>46102</v>
      </c>
      <c r="E1513" s="2">
        <v>46106</v>
      </c>
      <c r="F1513" s="1" t="s">
        <v>69</v>
      </c>
      <c r="G1513" s="1" t="s">
        <v>8</v>
      </c>
      <c r="H1513" s="1" t="s">
        <v>9</v>
      </c>
      <c r="I1513" s="7">
        <v>35.11</v>
      </c>
      <c r="J1513" s="1" t="s">
        <v>38</v>
      </c>
      <c r="K1513" s="1"/>
      <c r="L1513" s="1" t="s">
        <v>39</v>
      </c>
      <c r="M1513" s="1" t="str">
        <f>INDEX(MCC_Lookup!$B$2:$B$12,MATCH(G1513,MCC_Lookup!$A$2:$A$12,0))</f>
        <v>Transportation</v>
      </c>
      <c r="N1513" s="1" t="str">
        <f>IF(TRIM(H1513)="","BLANK",IF(PROPER(TRIM(H1513))=TRIM(M1513),"MATCH","MISMATCH"))</f>
        <v>MATCH</v>
      </c>
      <c r="O1513" s="5" t="str">
        <f>INDEX([1]Employee!$C$2:$C$276,MATCH(B1513,[1]Employee!$A$2:$A$276,0))</f>
        <v>Underwriting</v>
      </c>
    </row>
    <row r="1514" spans="1:15">
      <c r="A1514" s="1" t="s">
        <v>3133</v>
      </c>
      <c r="B1514" s="1" t="s">
        <v>2925</v>
      </c>
      <c r="C1514" s="1" t="s">
        <v>3134</v>
      </c>
      <c r="D1514" s="2">
        <v>46102</v>
      </c>
      <c r="E1514" s="2">
        <v>46106</v>
      </c>
      <c r="F1514" s="1" t="s">
        <v>120</v>
      </c>
      <c r="G1514" s="1" t="s">
        <v>12</v>
      </c>
      <c r="H1514" s="1" t="s">
        <v>11</v>
      </c>
      <c r="I1514" s="7">
        <v>421.19</v>
      </c>
      <c r="J1514" s="1" t="s">
        <v>38</v>
      </c>
      <c r="K1514" s="1"/>
      <c r="L1514" s="1" t="s">
        <v>39</v>
      </c>
      <c r="M1514" s="1" t="str">
        <f>INDEX(MCC_Lookup!$B$2:$B$12,MATCH(G1514,MCC_Lookup!$A$2:$A$12,0))</f>
        <v>Office Supplies</v>
      </c>
      <c r="N1514" s="1" t="str">
        <f>IF(TRIM(H1514)="","BLANK",IF(PROPER(TRIM(H1514))=TRIM(M1514),"MATCH","MISMATCH"))</f>
        <v>MATCH</v>
      </c>
      <c r="O1514" s="5" t="str">
        <f>INDEX([1]Employee!$C$2:$C$276,MATCH(B1514,[1]Employee!$A$2:$A$276,0))</f>
        <v>Actuarial &amp; Risk</v>
      </c>
    </row>
    <row r="1515" spans="1:15">
      <c r="A1515" s="1" t="s">
        <v>3135</v>
      </c>
      <c r="B1515" s="1" t="s">
        <v>763</v>
      </c>
      <c r="C1515" s="1" t="s">
        <v>3136</v>
      </c>
      <c r="D1515" s="2">
        <v>46097</v>
      </c>
      <c r="E1515" s="2">
        <v>46106</v>
      </c>
      <c r="F1515" s="1" t="s">
        <v>259</v>
      </c>
      <c r="G1515" s="1" t="s">
        <v>20</v>
      </c>
      <c r="H1515" s="1" t="s">
        <v>19</v>
      </c>
      <c r="I1515" s="7">
        <v>564.55999999999995</v>
      </c>
      <c r="J1515" s="1" t="s">
        <v>38</v>
      </c>
      <c r="K1515" s="1"/>
      <c r="L1515" s="1" t="s">
        <v>39</v>
      </c>
      <c r="M1515" s="1" t="str">
        <f>INDEX(MCC_Lookup!$B$2:$B$12,MATCH(G1515,MCC_Lookup!$A$2:$A$12,0))</f>
        <v>Events</v>
      </c>
      <c r="N1515" s="1" t="str">
        <f>IF(TRIM(H1515)="","BLANK",IF(PROPER(TRIM(H1515))=TRIM(M1515),"MATCH","MISMATCH"))</f>
        <v>MATCH</v>
      </c>
      <c r="O1515" s="5" t="str">
        <f>INDEX([1]Employee!$C$2:$C$276,MATCH(B1515,[1]Employee!$A$2:$A$276,0))</f>
        <v>Executive &amp; Corporate</v>
      </c>
    </row>
    <row r="1516" spans="1:15">
      <c r="A1516" s="1" t="s">
        <v>3137</v>
      </c>
      <c r="B1516" s="1" t="s">
        <v>152</v>
      </c>
      <c r="C1516" s="1"/>
      <c r="D1516" s="2">
        <v>46096</v>
      </c>
      <c r="E1516" s="2">
        <v>46106</v>
      </c>
      <c r="F1516" s="1" t="s">
        <v>106</v>
      </c>
      <c r="G1516" s="1" t="s">
        <v>13</v>
      </c>
      <c r="H1516" s="1" t="s">
        <v>14</v>
      </c>
      <c r="I1516" s="7">
        <v>53.76</v>
      </c>
      <c r="J1516" s="1" t="s">
        <v>38</v>
      </c>
      <c r="K1516" s="1"/>
      <c r="L1516" s="1" t="s">
        <v>39</v>
      </c>
      <c r="M1516" s="1" t="str">
        <f>INDEX(MCC_Lookup!$B$2:$B$12,MATCH(G1516,MCC_Lookup!$A$2:$A$12,0))</f>
        <v>Software</v>
      </c>
      <c r="N1516" s="1" t="str">
        <f>IF(TRIM(H1516)="","BLANK",IF(PROPER(TRIM(H1516))=TRIM(M1516),"MATCH","MISMATCH"))</f>
        <v>MATCH</v>
      </c>
      <c r="O1516" s="5" t="str">
        <f>INDEX([1]Employee!$C$2:$C$276,MATCH(B1516,[1]Employee!$A$2:$A$276,0))</f>
        <v>Sales &amp; Marketing</v>
      </c>
    </row>
    <row r="1517" spans="1:15">
      <c r="A1517" s="1" t="s">
        <v>3138</v>
      </c>
      <c r="B1517" s="1" t="s">
        <v>407</v>
      </c>
      <c r="C1517" s="1"/>
      <c r="D1517" s="2">
        <v>46097</v>
      </c>
      <c r="E1517" s="2">
        <v>46106</v>
      </c>
      <c r="F1517" s="1" t="s">
        <v>79</v>
      </c>
      <c r="G1517" s="1" t="s">
        <v>13</v>
      </c>
      <c r="H1517" s="1"/>
      <c r="I1517" s="7">
        <v>185.6</v>
      </c>
      <c r="J1517" s="1" t="s">
        <v>38</v>
      </c>
      <c r="K1517" s="1"/>
      <c r="L1517" s="1" t="s">
        <v>39</v>
      </c>
      <c r="M1517" s="1" t="str">
        <f>INDEX(MCC_Lookup!$B$2:$B$12,MATCH(G1517,MCC_Lookup!$A$2:$A$12,0))</f>
        <v>Software</v>
      </c>
      <c r="N1517" s="1" t="str">
        <f>IF(TRIM(H1517)="","BLANK",IF(PROPER(TRIM(H1517))=TRIM(M1517),"MATCH","MISMATCH"))</f>
        <v>BLANK</v>
      </c>
      <c r="O1517" s="5" t="str">
        <f>INDEX([1]Employee!$C$2:$C$276,MATCH(B1517,[1]Employee!$A$2:$A$276,0))</f>
        <v>Executive &amp; Corporate</v>
      </c>
    </row>
    <row r="1518" spans="1:15">
      <c r="A1518" s="1" t="s">
        <v>3139</v>
      </c>
      <c r="B1518" s="1" t="s">
        <v>407</v>
      </c>
      <c r="C1518" s="1" t="s">
        <v>3140</v>
      </c>
      <c r="D1518" s="2">
        <v>46099</v>
      </c>
      <c r="E1518" s="2">
        <v>46106</v>
      </c>
      <c r="F1518" s="1" t="s">
        <v>92</v>
      </c>
      <c r="G1518" s="1" t="s">
        <v>10</v>
      </c>
      <c r="H1518" s="1" t="s">
        <v>131</v>
      </c>
      <c r="I1518" s="7">
        <v>98.61</v>
      </c>
      <c r="J1518" s="1" t="s">
        <v>38</v>
      </c>
      <c r="K1518" s="1"/>
      <c r="L1518" s="1" t="s">
        <v>39</v>
      </c>
      <c r="M1518" s="1" t="str">
        <f>INDEX(MCC_Lookup!$B$2:$B$12,MATCH(G1518,MCC_Lookup!$A$2:$A$12,0))</f>
        <v>Office Supplies</v>
      </c>
      <c r="N1518" s="1" t="str">
        <f>IF(TRIM(H1518)="","BLANK",IF(PROPER(TRIM(H1518))=TRIM(M1518),"MATCH","MISMATCH"))</f>
        <v>MATCH</v>
      </c>
      <c r="O1518" s="5" t="str">
        <f>INDEX([1]Employee!$C$2:$C$276,MATCH(B1518,[1]Employee!$A$2:$A$276,0))</f>
        <v>Executive &amp; Corporate</v>
      </c>
    </row>
    <row r="1519" spans="1:15">
      <c r="A1519" s="1" t="s">
        <v>3141</v>
      </c>
      <c r="B1519" s="1" t="s">
        <v>1753</v>
      </c>
      <c r="C1519" s="1" t="s">
        <v>3142</v>
      </c>
      <c r="D1519" s="2">
        <v>46105</v>
      </c>
      <c r="E1519" s="2">
        <v>46106</v>
      </c>
      <c r="F1519" s="1" t="s">
        <v>116</v>
      </c>
      <c r="G1519" s="1" t="s">
        <v>2</v>
      </c>
      <c r="H1519" s="1" t="s">
        <v>3</v>
      </c>
      <c r="I1519" s="7">
        <v>12.45</v>
      </c>
      <c r="J1519" s="1" t="s">
        <v>38</v>
      </c>
      <c r="K1519" s="1"/>
      <c r="L1519" s="1" t="s">
        <v>39</v>
      </c>
      <c r="M1519" s="1" t="str">
        <f>INDEX(MCC_Lookup!$B$2:$B$12,MATCH(G1519,MCC_Lookup!$A$2:$A$12,0))</f>
        <v>Meals</v>
      </c>
      <c r="N1519" s="1" t="str">
        <f>IF(TRIM(H1519)="","BLANK",IF(PROPER(TRIM(H1519))=TRIM(M1519),"MATCH","MISMATCH"))</f>
        <v>MATCH</v>
      </c>
      <c r="O1519" s="5" t="str">
        <f>INDEX([1]Employee!$C$2:$C$276,MATCH(B1519,[1]Employee!$A$2:$A$276,0))</f>
        <v>IT &amp; Platform Engineering</v>
      </c>
    </row>
    <row r="1520" spans="1:15">
      <c r="A1520" s="1" t="s">
        <v>3143</v>
      </c>
      <c r="B1520" s="1" t="s">
        <v>426</v>
      </c>
      <c r="C1520" s="1" t="s">
        <v>3144</v>
      </c>
      <c r="D1520" s="2">
        <v>46101</v>
      </c>
      <c r="E1520" s="2">
        <v>46106</v>
      </c>
      <c r="F1520" s="1" t="s">
        <v>43</v>
      </c>
      <c r="G1520" s="1" t="s">
        <v>2</v>
      </c>
      <c r="H1520" s="1" t="s">
        <v>19</v>
      </c>
      <c r="I1520" s="7">
        <v>14.31</v>
      </c>
      <c r="J1520" s="1" t="s">
        <v>38</v>
      </c>
      <c r="K1520" s="1"/>
      <c r="L1520" s="1" t="s">
        <v>39</v>
      </c>
      <c r="M1520" s="1" t="str">
        <f>INDEX(MCC_Lookup!$B$2:$B$12,MATCH(G1520,MCC_Lookup!$A$2:$A$12,0))</f>
        <v>Meals</v>
      </c>
      <c r="N1520" s="1" t="str">
        <f>IF(TRIM(H1520)="","BLANK",IF(PROPER(TRIM(H1520))=TRIM(M1520),"MATCH","MISMATCH"))</f>
        <v>MISMATCH</v>
      </c>
      <c r="O1520" s="5" t="str">
        <f>INDEX([1]Employee!$C$2:$C$276,MATCH(B1520,[1]Employee!$A$2:$A$276,0))</f>
        <v>Sales &amp; Marketing</v>
      </c>
    </row>
    <row r="1521" spans="1:15">
      <c r="A1521" s="1" t="s">
        <v>3145</v>
      </c>
      <c r="B1521" s="1" t="s">
        <v>564</v>
      </c>
      <c r="C1521" s="1" t="s">
        <v>3146</v>
      </c>
      <c r="D1521" s="2">
        <v>46106</v>
      </c>
      <c r="E1521" s="2">
        <v>46106</v>
      </c>
      <c r="F1521" s="1" t="s">
        <v>305</v>
      </c>
      <c r="G1521" s="1" t="s">
        <v>2</v>
      </c>
      <c r="H1521" s="1" t="s">
        <v>3</v>
      </c>
      <c r="I1521" s="7">
        <v>17.62</v>
      </c>
      <c r="J1521" s="1" t="s">
        <v>38</v>
      </c>
      <c r="K1521" s="1"/>
      <c r="L1521" s="1" t="s">
        <v>39</v>
      </c>
      <c r="M1521" s="1" t="str">
        <f>INDEX(MCC_Lookup!$B$2:$B$12,MATCH(G1521,MCC_Lookup!$A$2:$A$12,0))</f>
        <v>Meals</v>
      </c>
      <c r="N1521" s="1" t="str">
        <f>IF(TRIM(H1521)="","BLANK",IF(PROPER(TRIM(H1521))=TRIM(M1521),"MATCH","MISMATCH"))</f>
        <v>MATCH</v>
      </c>
      <c r="O1521" s="5" t="str">
        <f>INDEX([1]Employee!$C$2:$C$276,MATCH(B1521,[1]Employee!$A$2:$A$276,0))</f>
        <v>Sales &amp; Marketing</v>
      </c>
    </row>
    <row r="1522" spans="1:15">
      <c r="A1522" s="1" t="s">
        <v>3147</v>
      </c>
      <c r="B1522" s="1" t="s">
        <v>597</v>
      </c>
      <c r="C1522" s="1" t="s">
        <v>3148</v>
      </c>
      <c r="D1522" s="2">
        <v>46098</v>
      </c>
      <c r="E1522" s="2">
        <v>46106</v>
      </c>
      <c r="F1522" s="1" t="s">
        <v>242</v>
      </c>
      <c r="G1522" s="1" t="s">
        <v>13</v>
      </c>
      <c r="H1522" s="1"/>
      <c r="I1522" s="7">
        <v>57.43</v>
      </c>
      <c r="J1522" s="1" t="s">
        <v>38</v>
      </c>
      <c r="K1522" s="1"/>
      <c r="L1522" s="1" t="s">
        <v>39</v>
      </c>
      <c r="M1522" s="1" t="str">
        <f>INDEX(MCC_Lookup!$B$2:$B$12,MATCH(G1522,MCC_Lookup!$A$2:$A$12,0))</f>
        <v>Software</v>
      </c>
      <c r="N1522" s="1" t="str">
        <f>IF(TRIM(H1522)="","BLANK",IF(PROPER(TRIM(H1522))=TRIM(M1522),"MATCH","MISMATCH"))</f>
        <v>BLANK</v>
      </c>
      <c r="O1522" s="5" t="str">
        <f>INDEX([1]Employee!$C$2:$C$276,MATCH(B1522,[1]Employee!$A$2:$A$276,0))</f>
        <v>Sales &amp; Marketing</v>
      </c>
    </row>
    <row r="1523" spans="1:15">
      <c r="A1523" s="1" t="s">
        <v>3149</v>
      </c>
      <c r="B1523" s="1" t="s">
        <v>244</v>
      </c>
      <c r="C1523" s="1" t="s">
        <v>3150</v>
      </c>
      <c r="D1523" s="2">
        <v>46096</v>
      </c>
      <c r="E1523" s="2">
        <v>46106</v>
      </c>
      <c r="F1523" s="1" t="s">
        <v>76</v>
      </c>
      <c r="G1523" s="1" t="s">
        <v>13</v>
      </c>
      <c r="H1523" s="1" t="s">
        <v>14</v>
      </c>
      <c r="I1523" s="7">
        <v>192.67</v>
      </c>
      <c r="J1523" s="1" t="s">
        <v>38</v>
      </c>
      <c r="K1523" s="1"/>
      <c r="L1523" s="1" t="s">
        <v>39</v>
      </c>
      <c r="M1523" s="1" t="str">
        <f>INDEX(MCC_Lookup!$B$2:$B$12,MATCH(G1523,MCC_Lookup!$A$2:$A$12,0))</f>
        <v>Software</v>
      </c>
      <c r="N1523" s="1" t="str">
        <f>IF(TRIM(H1523)="","BLANK",IF(PROPER(TRIM(H1523))=TRIM(M1523),"MATCH","MISMATCH"))</f>
        <v>MATCH</v>
      </c>
      <c r="O1523" s="5" t="str">
        <f>INDEX([1]Employee!$C$2:$C$276,MATCH(B1523,[1]Employee!$A$2:$A$276,0))</f>
        <v>Sales &amp; Marketing</v>
      </c>
    </row>
    <row r="1524" spans="1:15">
      <c r="A1524" s="1" t="s">
        <v>3151</v>
      </c>
      <c r="B1524" s="1" t="s">
        <v>54</v>
      </c>
      <c r="C1524" s="1"/>
      <c r="D1524" s="2">
        <v>46100</v>
      </c>
      <c r="E1524" s="2">
        <v>46107</v>
      </c>
      <c r="F1524" s="1" t="s">
        <v>95</v>
      </c>
      <c r="G1524" s="1" t="s">
        <v>6</v>
      </c>
      <c r="H1524" s="1" t="s">
        <v>7</v>
      </c>
      <c r="I1524" s="7">
        <v>323.99</v>
      </c>
      <c r="J1524" s="1" t="s">
        <v>111</v>
      </c>
      <c r="K1524" s="1" t="s">
        <v>229</v>
      </c>
      <c r="L1524" s="1" t="s">
        <v>39</v>
      </c>
      <c r="M1524" s="1" t="str">
        <f>INDEX(MCC_Lookup!$B$2:$B$12,MATCH(G1524,MCC_Lookup!$A$2:$A$12,0))</f>
        <v>Lodging</v>
      </c>
      <c r="N1524" s="1" t="str">
        <f>IF(TRIM(H1524)="","BLANK",IF(PROPER(TRIM(H1524))=TRIM(M1524),"MATCH","MISMATCH"))</f>
        <v>MATCH</v>
      </c>
      <c r="O1524" s="5" t="str">
        <f>INDEX([1]Employee!$C$2:$C$276,MATCH(B1524,[1]Employee!$A$2:$A$276,0))</f>
        <v>Sales &amp; Marketing</v>
      </c>
    </row>
    <row r="1525" spans="1:15">
      <c r="A1525" s="1" t="s">
        <v>3152</v>
      </c>
      <c r="B1525" s="1" t="s">
        <v>94</v>
      </c>
      <c r="C1525" s="1" t="s">
        <v>3153</v>
      </c>
      <c r="D1525" s="2">
        <v>46101</v>
      </c>
      <c r="E1525" s="2">
        <v>46107</v>
      </c>
      <c r="F1525" s="1" t="s">
        <v>99</v>
      </c>
      <c r="G1525" s="1" t="s">
        <v>2</v>
      </c>
      <c r="H1525" s="1" t="s">
        <v>138</v>
      </c>
      <c r="I1525" s="7">
        <v>134.16999999999999</v>
      </c>
      <c r="J1525" s="1" t="s">
        <v>38</v>
      </c>
      <c r="K1525" s="1"/>
      <c r="L1525" s="1" t="s">
        <v>39</v>
      </c>
      <c r="M1525" s="1" t="str">
        <f>INDEX(MCC_Lookup!$B$2:$B$12,MATCH(G1525,MCC_Lookup!$A$2:$A$12,0))</f>
        <v>Meals</v>
      </c>
      <c r="N1525" s="1" t="str">
        <f>IF(TRIM(H1525)="","BLANK",IF(PROPER(TRIM(H1525))=TRIM(M1525),"MATCH","MISMATCH"))</f>
        <v>MATCH</v>
      </c>
      <c r="O1525" s="5" t="str">
        <f>INDEX([1]Employee!$C$2:$C$276,MATCH(B1525,[1]Employee!$A$2:$A$276,0))</f>
        <v>IT &amp; Platform Engineering</v>
      </c>
    </row>
    <row r="1526" spans="1:15">
      <c r="A1526" s="1" t="s">
        <v>3154</v>
      </c>
      <c r="B1526" s="1" t="s">
        <v>1595</v>
      </c>
      <c r="C1526" s="1"/>
      <c r="D1526" s="2">
        <v>46104</v>
      </c>
      <c r="E1526" s="2">
        <v>46107</v>
      </c>
      <c r="F1526" s="1" t="s">
        <v>37</v>
      </c>
      <c r="G1526" s="1" t="s">
        <v>4</v>
      </c>
      <c r="H1526" s="1" t="s">
        <v>57</v>
      </c>
      <c r="I1526" s="7">
        <v>336.51</v>
      </c>
      <c r="J1526" s="1" t="s">
        <v>38</v>
      </c>
      <c r="K1526" s="1"/>
      <c r="L1526" s="1" t="s">
        <v>39</v>
      </c>
      <c r="M1526" s="1" t="str">
        <f>INDEX(MCC_Lookup!$B$2:$B$12,MATCH(G1526,MCC_Lookup!$A$2:$A$12,0))</f>
        <v>Travel</v>
      </c>
      <c r="N1526" s="1" t="str">
        <f>IF(TRIM(H1526)="","BLANK",IF(PROPER(TRIM(H1526))=TRIM(M1526),"MATCH","MISMATCH"))</f>
        <v>MATCH</v>
      </c>
      <c r="O1526" s="5" t="str">
        <f>INDEX([1]Employee!$C$2:$C$276,MATCH(B1526,[1]Employee!$A$2:$A$276,0))</f>
        <v>HR &amp; Events</v>
      </c>
    </row>
    <row r="1527" spans="1:15">
      <c r="A1527" s="1" t="s">
        <v>3155</v>
      </c>
      <c r="B1527" s="1" t="s">
        <v>71</v>
      </c>
      <c r="C1527" s="1" t="s">
        <v>3156</v>
      </c>
      <c r="D1527" s="2">
        <v>46101</v>
      </c>
      <c r="E1527" s="2">
        <v>46107</v>
      </c>
      <c r="F1527" s="1" t="s">
        <v>106</v>
      </c>
      <c r="G1527" s="1" t="s">
        <v>13</v>
      </c>
      <c r="H1527" s="1" t="s">
        <v>14</v>
      </c>
      <c r="I1527" s="7">
        <v>140.4</v>
      </c>
      <c r="J1527" s="1" t="s">
        <v>38</v>
      </c>
      <c r="K1527" s="1"/>
      <c r="L1527" s="1" t="s">
        <v>39</v>
      </c>
      <c r="M1527" s="1" t="str">
        <f>INDEX(MCC_Lookup!$B$2:$B$12,MATCH(G1527,MCC_Lookup!$A$2:$A$12,0))</f>
        <v>Software</v>
      </c>
      <c r="N1527" s="1" t="str">
        <f>IF(TRIM(H1527)="","BLANK",IF(PROPER(TRIM(H1527))=TRIM(M1527),"MATCH","MISMATCH"))</f>
        <v>MATCH</v>
      </c>
      <c r="O1527" s="5" t="str">
        <f>INDEX([1]Employee!$C$2:$C$276,MATCH(B1527,[1]Employee!$A$2:$A$276,0))</f>
        <v>Sales &amp; Marketing</v>
      </c>
    </row>
    <row r="1528" spans="1:15">
      <c r="A1528" s="1" t="s">
        <v>3157</v>
      </c>
      <c r="B1528" s="1" t="s">
        <v>2981</v>
      </c>
      <c r="C1528" s="1" t="s">
        <v>3158</v>
      </c>
      <c r="D1528" s="2">
        <v>46103</v>
      </c>
      <c r="E1528" s="2">
        <v>46107</v>
      </c>
      <c r="F1528" s="1" t="s">
        <v>79</v>
      </c>
      <c r="G1528" s="1" t="s">
        <v>13</v>
      </c>
      <c r="H1528" s="1" t="s">
        <v>14</v>
      </c>
      <c r="I1528" s="7">
        <v>121.04</v>
      </c>
      <c r="J1528" s="1" t="s">
        <v>38</v>
      </c>
      <c r="K1528" s="1"/>
      <c r="L1528" s="1" t="s">
        <v>39</v>
      </c>
      <c r="M1528" s="1" t="str">
        <f>INDEX(MCC_Lookup!$B$2:$B$12,MATCH(G1528,MCC_Lookup!$A$2:$A$12,0))</f>
        <v>Software</v>
      </c>
      <c r="N1528" s="1" t="str">
        <f>IF(TRIM(H1528)="","BLANK",IF(PROPER(TRIM(H1528))=TRIM(M1528),"MATCH","MISMATCH"))</f>
        <v>MATCH</v>
      </c>
      <c r="O1528" s="5" t="str">
        <f>INDEX([1]Employee!$C$2:$C$276,MATCH(B1528,[1]Employee!$A$2:$A$276,0))</f>
        <v>IT &amp; Platform Engineering</v>
      </c>
    </row>
    <row r="1529" spans="1:15">
      <c r="A1529" s="1" t="s">
        <v>3159</v>
      </c>
      <c r="B1529" s="1" t="s">
        <v>379</v>
      </c>
      <c r="C1529" s="1"/>
      <c r="D1529" s="2">
        <v>46107</v>
      </c>
      <c r="E1529" s="2">
        <v>46107</v>
      </c>
      <c r="F1529" s="1" t="s">
        <v>95</v>
      </c>
      <c r="G1529" s="1" t="s">
        <v>6</v>
      </c>
      <c r="H1529" s="1" t="s">
        <v>7</v>
      </c>
      <c r="I1529" s="7">
        <v>349.38</v>
      </c>
      <c r="J1529" s="1" t="s">
        <v>38</v>
      </c>
      <c r="K1529" s="1"/>
      <c r="L1529" s="1" t="s">
        <v>39</v>
      </c>
      <c r="M1529" s="1" t="str">
        <f>INDEX(MCC_Lookup!$B$2:$B$12,MATCH(G1529,MCC_Lookup!$A$2:$A$12,0))</f>
        <v>Lodging</v>
      </c>
      <c r="N1529" s="1" t="str">
        <f>IF(TRIM(H1529)="","BLANK",IF(PROPER(TRIM(H1529))=TRIM(M1529),"MATCH","MISMATCH"))</f>
        <v>MATCH</v>
      </c>
      <c r="O1529" s="5" t="str">
        <f>INDEX([1]Employee!$C$2:$C$276,MATCH(B1529,[1]Employee!$A$2:$A$276,0))</f>
        <v>Sales &amp; Marketing</v>
      </c>
    </row>
    <row r="1530" spans="1:15">
      <c r="A1530" s="1" t="s">
        <v>3160</v>
      </c>
      <c r="B1530" s="1" t="s">
        <v>216</v>
      </c>
      <c r="C1530" s="1" t="s">
        <v>3161</v>
      </c>
      <c r="D1530" s="2">
        <v>46097</v>
      </c>
      <c r="E1530" s="2">
        <v>46107</v>
      </c>
      <c r="F1530" s="1" t="s">
        <v>160</v>
      </c>
      <c r="G1530" s="1" t="s">
        <v>6</v>
      </c>
      <c r="H1530" s="1" t="s">
        <v>7</v>
      </c>
      <c r="I1530" s="7">
        <v>343.57</v>
      </c>
      <c r="J1530" s="1" t="s">
        <v>38</v>
      </c>
      <c r="K1530" s="1"/>
      <c r="L1530" s="1" t="s">
        <v>39</v>
      </c>
      <c r="M1530" s="1" t="str">
        <f>INDEX(MCC_Lookup!$B$2:$B$12,MATCH(G1530,MCC_Lookup!$A$2:$A$12,0))</f>
        <v>Lodging</v>
      </c>
      <c r="N1530" s="1" t="str">
        <f>IF(TRIM(H1530)="","BLANK",IF(PROPER(TRIM(H1530))=TRIM(M1530),"MATCH","MISMATCH"))</f>
        <v>MATCH</v>
      </c>
      <c r="O1530" s="5" t="str">
        <f>INDEX([1]Employee!$C$2:$C$276,MATCH(B1530,[1]Employee!$A$2:$A$276,0))</f>
        <v>Sales &amp; Marketing</v>
      </c>
    </row>
    <row r="1531" spans="1:15">
      <c r="A1531" s="1" t="s">
        <v>3162</v>
      </c>
      <c r="B1531" s="1" t="s">
        <v>45</v>
      </c>
      <c r="C1531" s="1" t="s">
        <v>3163</v>
      </c>
      <c r="D1531" s="2">
        <v>46102</v>
      </c>
      <c r="E1531" s="2">
        <v>46107</v>
      </c>
      <c r="F1531" s="1" t="s">
        <v>69</v>
      </c>
      <c r="G1531" s="1" t="s">
        <v>8</v>
      </c>
      <c r="H1531" s="1" t="s">
        <v>3164</v>
      </c>
      <c r="I1531" s="7">
        <v>16.899999999999999</v>
      </c>
      <c r="J1531" s="1" t="s">
        <v>38</v>
      </c>
      <c r="K1531" s="1"/>
      <c r="L1531" s="1" t="s">
        <v>48</v>
      </c>
      <c r="M1531" s="1" t="str">
        <f>INDEX(MCC_Lookup!$B$2:$B$12,MATCH(G1531,MCC_Lookup!$A$2:$A$12,0))</f>
        <v>Transportation</v>
      </c>
      <c r="N1531" s="1" t="str">
        <f>IF(TRIM(H1531)="","BLANK",IF(PROPER(TRIM(H1531))=TRIM(M1531),"MATCH","MISMATCH"))</f>
        <v>MATCH</v>
      </c>
      <c r="O1531" s="5" t="str">
        <f>INDEX([1]Employee!$C$2:$C$276,MATCH(B1531,[1]Employee!$A$2:$A$276,0))</f>
        <v>IT &amp; Platform Engineering</v>
      </c>
    </row>
    <row r="1532" spans="1:15">
      <c r="A1532" s="1" t="s">
        <v>3165</v>
      </c>
      <c r="B1532" s="1" t="s">
        <v>274</v>
      </c>
      <c r="C1532" s="1"/>
      <c r="D1532" s="2">
        <v>46107</v>
      </c>
      <c r="E1532" s="2">
        <v>46107</v>
      </c>
      <c r="F1532" s="1" t="s">
        <v>76</v>
      </c>
      <c r="G1532" s="1" t="s">
        <v>13</v>
      </c>
      <c r="H1532" s="1" t="s">
        <v>14</v>
      </c>
      <c r="I1532" s="7">
        <v>477.2</v>
      </c>
      <c r="J1532" s="1" t="s">
        <v>38</v>
      </c>
      <c r="K1532" s="1"/>
      <c r="L1532" s="1" t="s">
        <v>39</v>
      </c>
      <c r="M1532" s="1" t="str">
        <f>INDEX(MCC_Lookup!$B$2:$B$12,MATCH(G1532,MCC_Lookup!$A$2:$A$12,0))</f>
        <v>Software</v>
      </c>
      <c r="N1532" s="1" t="str">
        <f>IF(TRIM(H1532)="","BLANK",IF(PROPER(TRIM(H1532))=TRIM(M1532),"MATCH","MISMATCH"))</f>
        <v>MATCH</v>
      </c>
      <c r="O1532" s="5" t="str">
        <f>INDEX([1]Employee!$C$2:$C$276,MATCH(B1532,[1]Employee!$A$2:$A$276,0))</f>
        <v>Finance</v>
      </c>
    </row>
    <row r="1533" spans="1:15">
      <c r="A1533" s="1" t="s">
        <v>3166</v>
      </c>
      <c r="B1533" s="1" t="s">
        <v>1518</v>
      </c>
      <c r="C1533" s="1" t="s">
        <v>3167</v>
      </c>
      <c r="D1533" s="2">
        <v>46102</v>
      </c>
      <c r="E1533" s="2">
        <v>46107</v>
      </c>
      <c r="F1533" s="1" t="s">
        <v>76</v>
      </c>
      <c r="G1533" s="1" t="s">
        <v>13</v>
      </c>
      <c r="H1533" s="1" t="s">
        <v>14</v>
      </c>
      <c r="I1533" s="7">
        <v>210.57</v>
      </c>
      <c r="J1533" s="1" t="s">
        <v>38</v>
      </c>
      <c r="K1533" s="1"/>
      <c r="L1533" s="1" t="s">
        <v>39</v>
      </c>
      <c r="M1533" s="1" t="str">
        <f>INDEX(MCC_Lookup!$B$2:$B$12,MATCH(G1533,MCC_Lookup!$A$2:$A$12,0))</f>
        <v>Software</v>
      </c>
      <c r="N1533" s="1" t="str">
        <f>IF(TRIM(H1533)="","BLANK",IF(PROPER(TRIM(H1533))=TRIM(M1533),"MATCH","MISMATCH"))</f>
        <v>MATCH</v>
      </c>
      <c r="O1533" s="5" t="str">
        <f>INDEX([1]Employee!$C$2:$C$276,MATCH(B1533,[1]Employee!$A$2:$A$276,0))</f>
        <v>HR &amp; Events</v>
      </c>
    </row>
    <row r="1534" spans="1:15">
      <c r="A1534" s="1" t="s">
        <v>3168</v>
      </c>
      <c r="B1534" s="1" t="s">
        <v>1422</v>
      </c>
      <c r="C1534" s="1"/>
      <c r="D1534" s="2">
        <v>46106</v>
      </c>
      <c r="E1534" s="2">
        <v>46107</v>
      </c>
      <c r="F1534" s="1" t="s">
        <v>47</v>
      </c>
      <c r="G1534" s="1" t="s">
        <v>6</v>
      </c>
      <c r="H1534" s="1" t="s">
        <v>7</v>
      </c>
      <c r="I1534" s="7">
        <v>408.61</v>
      </c>
      <c r="J1534" s="1" t="s">
        <v>111</v>
      </c>
      <c r="K1534" s="1" t="s">
        <v>229</v>
      </c>
      <c r="L1534" s="1" t="s">
        <v>39</v>
      </c>
      <c r="M1534" s="1" t="str">
        <f>INDEX(MCC_Lookup!$B$2:$B$12,MATCH(G1534,MCC_Lookup!$A$2:$A$12,0))</f>
        <v>Lodging</v>
      </c>
      <c r="N1534" s="1" t="str">
        <f>IF(TRIM(H1534)="","BLANK",IF(PROPER(TRIM(H1534))=TRIM(M1534),"MATCH","MISMATCH"))</f>
        <v>MATCH</v>
      </c>
      <c r="O1534" s="5" t="str">
        <f>INDEX([1]Employee!$C$2:$C$276,MATCH(B1534,[1]Employee!$A$2:$A$276,0))</f>
        <v>Underwriting</v>
      </c>
    </row>
    <row r="1535" spans="1:15">
      <c r="A1535" s="1" t="s">
        <v>3169</v>
      </c>
      <c r="B1535" s="1" t="s">
        <v>643</v>
      </c>
      <c r="C1535" s="1" t="s">
        <v>3170</v>
      </c>
      <c r="D1535" s="2">
        <v>46107</v>
      </c>
      <c r="E1535" s="2">
        <v>46107</v>
      </c>
      <c r="F1535" s="1" t="s">
        <v>1420</v>
      </c>
      <c r="G1535" s="1" t="s">
        <v>6</v>
      </c>
      <c r="H1535" s="1" t="s">
        <v>7</v>
      </c>
      <c r="I1535" s="7">
        <v>188.23</v>
      </c>
      <c r="J1535" s="1" t="s">
        <v>38</v>
      </c>
      <c r="K1535" s="1"/>
      <c r="L1535" s="1" t="s">
        <v>39</v>
      </c>
      <c r="M1535" s="1" t="str">
        <f>INDEX(MCC_Lookup!$B$2:$B$12,MATCH(G1535,MCC_Lookup!$A$2:$A$12,0))</f>
        <v>Lodging</v>
      </c>
      <c r="N1535" s="1" t="str">
        <f>IF(TRIM(H1535)="","BLANK",IF(PROPER(TRIM(H1535))=TRIM(M1535),"MATCH","MISMATCH"))</f>
        <v>MATCH</v>
      </c>
      <c r="O1535" s="5" t="str">
        <f>INDEX([1]Employee!$C$2:$C$276,MATCH(B1535,[1]Employee!$A$2:$A$276,0))</f>
        <v>Sales &amp; Marketing</v>
      </c>
    </row>
    <row r="1536" spans="1:15">
      <c r="A1536" s="1" t="s">
        <v>3171</v>
      </c>
      <c r="B1536" s="1" t="s">
        <v>1886</v>
      </c>
      <c r="C1536" s="1"/>
      <c r="D1536" s="2">
        <v>46098</v>
      </c>
      <c r="E1536" s="2">
        <v>46107</v>
      </c>
      <c r="F1536" s="1" t="s">
        <v>52</v>
      </c>
      <c r="G1536" s="1" t="s">
        <v>15</v>
      </c>
      <c r="H1536" s="1" t="s">
        <v>16</v>
      </c>
      <c r="I1536" s="7">
        <v>51.77</v>
      </c>
      <c r="J1536" s="1" t="s">
        <v>111</v>
      </c>
      <c r="K1536" s="1" t="s">
        <v>161</v>
      </c>
      <c r="L1536" s="1" t="s">
        <v>39</v>
      </c>
      <c r="M1536" s="1" t="str">
        <f>INDEX(MCC_Lookup!$B$2:$B$12,MATCH(G1536,MCC_Lookup!$A$2:$A$12,0))</f>
        <v>Entertainment</v>
      </c>
      <c r="N1536" s="1" t="str">
        <f>IF(TRIM(H1536)="","BLANK",IF(PROPER(TRIM(H1536))=TRIM(M1536),"MATCH","MISMATCH"))</f>
        <v>MATCH</v>
      </c>
      <c r="O1536" s="5" t="str">
        <f>INDEX([1]Employee!$C$2:$C$276,MATCH(B1536,[1]Employee!$A$2:$A$276,0))</f>
        <v>Actuarial &amp; Risk</v>
      </c>
    </row>
    <row r="1537" spans="1:15">
      <c r="A1537" s="1" t="s">
        <v>3172</v>
      </c>
      <c r="B1537" s="1" t="s">
        <v>472</v>
      </c>
      <c r="C1537" s="1" t="s">
        <v>3173</v>
      </c>
      <c r="D1537" s="2">
        <v>46107</v>
      </c>
      <c r="E1537" s="2">
        <v>46107</v>
      </c>
      <c r="F1537" s="1" t="s">
        <v>76</v>
      </c>
      <c r="G1537" s="1" t="s">
        <v>13</v>
      </c>
      <c r="H1537" s="1" t="s">
        <v>14</v>
      </c>
      <c r="I1537" s="7">
        <v>361.42</v>
      </c>
      <c r="J1537" s="1" t="s">
        <v>38</v>
      </c>
      <c r="K1537" s="1"/>
      <c r="L1537" s="1" t="s">
        <v>39</v>
      </c>
      <c r="M1537" s="1" t="str">
        <f>INDEX(MCC_Lookup!$B$2:$B$12,MATCH(G1537,MCC_Lookup!$A$2:$A$12,0))</f>
        <v>Software</v>
      </c>
      <c r="N1537" s="1" t="str">
        <f>IF(TRIM(H1537)="","BLANK",IF(PROPER(TRIM(H1537))=TRIM(M1537),"MATCH","MISMATCH"))</f>
        <v>MATCH</v>
      </c>
      <c r="O1537" s="5" t="str">
        <f>INDEX([1]Employee!$C$2:$C$276,MATCH(B1537,[1]Employee!$A$2:$A$276,0))</f>
        <v>Sales &amp; Marketing</v>
      </c>
    </row>
    <row r="1538" spans="1:15">
      <c r="A1538" s="1" t="s">
        <v>3174</v>
      </c>
      <c r="B1538" s="1" t="s">
        <v>832</v>
      </c>
      <c r="C1538" s="1" t="s">
        <v>3175</v>
      </c>
      <c r="D1538" s="2">
        <v>46105</v>
      </c>
      <c r="E1538" s="2">
        <v>46107</v>
      </c>
      <c r="F1538" s="1" t="s">
        <v>347</v>
      </c>
      <c r="G1538" s="1" t="s">
        <v>8</v>
      </c>
      <c r="H1538" s="1" t="s">
        <v>9</v>
      </c>
      <c r="I1538" s="7">
        <v>12.01</v>
      </c>
      <c r="J1538" s="1" t="s">
        <v>38</v>
      </c>
      <c r="K1538" s="1"/>
      <c r="L1538" s="1" t="s">
        <v>39</v>
      </c>
      <c r="M1538" s="1" t="str">
        <f>INDEX(MCC_Lookup!$B$2:$B$12,MATCH(G1538,MCC_Lookup!$A$2:$A$12,0))</f>
        <v>Transportation</v>
      </c>
      <c r="N1538" s="1" t="str">
        <f>IF(TRIM(H1538)="","BLANK",IF(PROPER(TRIM(H1538))=TRIM(M1538),"MATCH","MISMATCH"))</f>
        <v>MATCH</v>
      </c>
      <c r="O1538" s="5" t="str">
        <f>INDEX([1]Employee!$C$2:$C$276,MATCH(B1538,[1]Employee!$A$2:$A$276,0))</f>
        <v>Sales &amp; Marketing</v>
      </c>
    </row>
    <row r="1539" spans="1:15">
      <c r="A1539" s="1" t="s">
        <v>3176</v>
      </c>
      <c r="B1539" s="1" t="s">
        <v>41</v>
      </c>
      <c r="C1539" s="1"/>
      <c r="D1539" s="2">
        <v>46100</v>
      </c>
      <c r="E1539" s="2">
        <v>46107</v>
      </c>
      <c r="F1539" s="1" t="s">
        <v>47</v>
      </c>
      <c r="G1539" s="1" t="s">
        <v>6</v>
      </c>
      <c r="H1539" s="1" t="s">
        <v>7</v>
      </c>
      <c r="I1539" s="7">
        <v>193.46</v>
      </c>
      <c r="J1539" s="1" t="s">
        <v>38</v>
      </c>
      <c r="K1539" s="1"/>
      <c r="L1539" s="1" t="s">
        <v>39</v>
      </c>
      <c r="M1539" s="1" t="str">
        <f>INDEX(MCC_Lookup!$B$2:$B$12,MATCH(G1539,MCC_Lookup!$A$2:$A$12,0))</f>
        <v>Lodging</v>
      </c>
      <c r="N1539" s="1" t="str">
        <f>IF(TRIM(H1539)="","BLANK",IF(PROPER(TRIM(H1539))=TRIM(M1539),"MATCH","MISMATCH"))</f>
        <v>MATCH</v>
      </c>
      <c r="O1539" s="5" t="str">
        <f>INDEX([1]Employee!$C$2:$C$276,MATCH(B1539,[1]Employee!$A$2:$A$276,0))</f>
        <v>Sales &amp; Marketing</v>
      </c>
    </row>
    <row r="1540" spans="1:15">
      <c r="A1540" s="1" t="s">
        <v>3177</v>
      </c>
      <c r="B1540" s="1" t="s">
        <v>595</v>
      </c>
      <c r="C1540" s="1" t="s">
        <v>3178</v>
      </c>
      <c r="D1540" s="2">
        <v>46102</v>
      </c>
      <c r="E1540" s="2">
        <v>46108</v>
      </c>
      <c r="F1540" s="1" t="s">
        <v>259</v>
      </c>
      <c r="G1540" s="1" t="s">
        <v>20</v>
      </c>
      <c r="H1540" s="1" t="s">
        <v>19</v>
      </c>
      <c r="I1540" s="7">
        <v>317.88</v>
      </c>
      <c r="J1540" s="1" t="s">
        <v>38</v>
      </c>
      <c r="K1540" s="1"/>
      <c r="L1540" s="1" t="s">
        <v>39</v>
      </c>
      <c r="M1540" s="1" t="str">
        <f>INDEX(MCC_Lookup!$B$2:$B$12,MATCH(G1540,MCC_Lookup!$A$2:$A$12,0))</f>
        <v>Events</v>
      </c>
      <c r="N1540" s="1" t="str">
        <f>IF(TRIM(H1540)="","BLANK",IF(PROPER(TRIM(H1540))=TRIM(M1540),"MATCH","MISMATCH"))</f>
        <v>MATCH</v>
      </c>
      <c r="O1540" s="5" t="str">
        <f>INDEX([1]Employee!$C$2:$C$276,MATCH(B1540,[1]Employee!$A$2:$A$276,0))</f>
        <v>Executive &amp; Corporate</v>
      </c>
    </row>
    <row r="1541" spans="1:15">
      <c r="A1541" s="1" t="s">
        <v>3179</v>
      </c>
      <c r="B1541" s="1" t="s">
        <v>50</v>
      </c>
      <c r="C1541" s="1" t="s">
        <v>3180</v>
      </c>
      <c r="D1541" s="2">
        <v>46107</v>
      </c>
      <c r="E1541" s="2">
        <v>46108</v>
      </c>
      <c r="F1541" s="1" t="s">
        <v>43</v>
      </c>
      <c r="G1541" s="1" t="s">
        <v>2</v>
      </c>
      <c r="H1541" s="1" t="s">
        <v>3</v>
      </c>
      <c r="I1541" s="7">
        <v>24.09</v>
      </c>
      <c r="J1541" s="1" t="s">
        <v>38</v>
      </c>
      <c r="K1541" s="1"/>
      <c r="L1541" s="1" t="s">
        <v>39</v>
      </c>
      <c r="M1541" s="1" t="str">
        <f>INDEX(MCC_Lookup!$B$2:$B$12,MATCH(G1541,MCC_Lookup!$A$2:$A$12,0))</f>
        <v>Meals</v>
      </c>
      <c r="N1541" s="1" t="str">
        <f>IF(TRIM(H1541)="","BLANK",IF(PROPER(TRIM(H1541))=TRIM(M1541),"MATCH","MISMATCH"))</f>
        <v>MATCH</v>
      </c>
      <c r="O1541" s="5" t="str">
        <f>INDEX([1]Employee!$C$2:$C$276,MATCH(B1541,[1]Employee!$A$2:$A$276,0))</f>
        <v>Sales &amp; Marketing</v>
      </c>
    </row>
    <row r="1542" spans="1:15">
      <c r="A1542" s="1" t="s">
        <v>3181</v>
      </c>
      <c r="B1542" s="1" t="s">
        <v>67</v>
      </c>
      <c r="C1542" s="1" t="s">
        <v>3182</v>
      </c>
      <c r="D1542" s="2">
        <v>46102</v>
      </c>
      <c r="E1542" s="2">
        <v>46108</v>
      </c>
      <c r="F1542" s="1" t="s">
        <v>65</v>
      </c>
      <c r="G1542" s="1" t="s">
        <v>18</v>
      </c>
      <c r="H1542" s="1" t="s">
        <v>19</v>
      </c>
      <c r="I1542" s="7">
        <v>299.39</v>
      </c>
      <c r="J1542" s="1" t="s">
        <v>38</v>
      </c>
      <c r="K1542" s="1"/>
      <c r="L1542" s="1" t="s">
        <v>48</v>
      </c>
      <c r="M1542" s="1" t="str">
        <f>INDEX(MCC_Lookup!$B$2:$B$12,MATCH(G1542,MCC_Lookup!$A$2:$A$12,0))</f>
        <v>Events</v>
      </c>
      <c r="N1542" s="1" t="str">
        <f>IF(TRIM(H1542)="","BLANK",IF(PROPER(TRIM(H1542))=TRIM(M1542),"MATCH","MISMATCH"))</f>
        <v>MATCH</v>
      </c>
      <c r="O1542" s="5" t="str">
        <f>INDEX([1]Employee!$C$2:$C$276,MATCH(B1542,[1]Employee!$A$2:$A$276,0))</f>
        <v>Sales &amp; Marketing</v>
      </c>
    </row>
    <row r="1543" spans="1:15">
      <c r="A1543" s="1" t="s">
        <v>3183</v>
      </c>
      <c r="B1543" s="1" t="s">
        <v>1119</v>
      </c>
      <c r="C1543" s="1" t="s">
        <v>3184</v>
      </c>
      <c r="D1543" s="2">
        <v>46105</v>
      </c>
      <c r="E1543" s="2">
        <v>46108</v>
      </c>
      <c r="F1543" s="1" t="s">
        <v>347</v>
      </c>
      <c r="G1543" s="1" t="s">
        <v>8</v>
      </c>
      <c r="H1543" s="1" t="s">
        <v>9</v>
      </c>
      <c r="I1543" s="7">
        <v>28.5</v>
      </c>
      <c r="J1543" s="1" t="s">
        <v>38</v>
      </c>
      <c r="K1543" s="1"/>
      <c r="L1543" s="1" t="s">
        <v>39</v>
      </c>
      <c r="M1543" s="1" t="str">
        <f>INDEX(MCC_Lookup!$B$2:$B$12,MATCH(G1543,MCC_Lookup!$A$2:$A$12,0))</f>
        <v>Transportation</v>
      </c>
      <c r="N1543" s="1" t="str">
        <f>IF(TRIM(H1543)="","BLANK",IF(PROPER(TRIM(H1543))=TRIM(M1543),"MATCH","MISMATCH"))</f>
        <v>MATCH</v>
      </c>
      <c r="O1543" s="5" t="str">
        <f>INDEX([1]Employee!$C$2:$C$276,MATCH(B1543,[1]Employee!$A$2:$A$276,0))</f>
        <v>Customer Support</v>
      </c>
    </row>
    <row r="1544" spans="1:15">
      <c r="A1544" s="1" t="s">
        <v>3185</v>
      </c>
      <c r="B1544" s="1" t="s">
        <v>140</v>
      </c>
      <c r="C1544" s="1" t="s">
        <v>3186</v>
      </c>
      <c r="D1544" s="2">
        <v>46099</v>
      </c>
      <c r="E1544" s="2">
        <v>46108</v>
      </c>
      <c r="F1544" s="1" t="s">
        <v>124</v>
      </c>
      <c r="G1544" s="1" t="s">
        <v>17</v>
      </c>
      <c r="H1544" s="1" t="s">
        <v>16</v>
      </c>
      <c r="I1544" s="7">
        <v>124.41</v>
      </c>
      <c r="J1544" s="1" t="s">
        <v>38</v>
      </c>
      <c r="K1544" s="1"/>
      <c r="L1544" s="1" t="s">
        <v>39</v>
      </c>
      <c r="M1544" s="1" t="str">
        <f>INDEX(MCC_Lookup!$B$2:$B$12,MATCH(G1544,MCC_Lookup!$A$2:$A$12,0))</f>
        <v>Entertainment</v>
      </c>
      <c r="N1544" s="1" t="str">
        <f>IF(TRIM(H1544)="","BLANK",IF(PROPER(TRIM(H1544))=TRIM(M1544),"MATCH","MISMATCH"))</f>
        <v>MATCH</v>
      </c>
      <c r="O1544" s="5" t="str">
        <f>INDEX([1]Employee!$C$2:$C$276,MATCH(B1544,[1]Employee!$A$2:$A$276,0))</f>
        <v>Finance</v>
      </c>
    </row>
    <row r="1545" spans="1:15">
      <c r="A1545" s="1" t="s">
        <v>3187</v>
      </c>
      <c r="B1545" s="1" t="s">
        <v>448</v>
      </c>
      <c r="C1545" s="1" t="s">
        <v>3188</v>
      </c>
      <c r="D1545" s="2">
        <v>46102</v>
      </c>
      <c r="E1545" s="2">
        <v>46108</v>
      </c>
      <c r="F1545" s="1" t="s">
        <v>72</v>
      </c>
      <c r="G1545" s="1" t="s">
        <v>8</v>
      </c>
      <c r="H1545" s="1" t="s">
        <v>9</v>
      </c>
      <c r="I1545" s="7">
        <v>64.16</v>
      </c>
      <c r="J1545" s="1" t="s">
        <v>38</v>
      </c>
      <c r="K1545" s="1"/>
      <c r="L1545" s="1" t="s">
        <v>39</v>
      </c>
      <c r="M1545" s="1" t="str">
        <f>INDEX(MCC_Lookup!$B$2:$B$12,MATCH(G1545,MCC_Lookup!$A$2:$A$12,0))</f>
        <v>Transportation</v>
      </c>
      <c r="N1545" s="1" t="str">
        <f>IF(TRIM(H1545)="","BLANK",IF(PROPER(TRIM(H1545))=TRIM(M1545),"MATCH","MISMATCH"))</f>
        <v>MATCH</v>
      </c>
      <c r="O1545" s="5" t="str">
        <f>INDEX([1]Employee!$C$2:$C$276,MATCH(B1545,[1]Employee!$A$2:$A$276,0))</f>
        <v>Sales &amp; Marketing</v>
      </c>
    </row>
    <row r="1546" spans="1:15">
      <c r="A1546" s="1" t="s">
        <v>3189</v>
      </c>
      <c r="B1546" s="1" t="s">
        <v>631</v>
      </c>
      <c r="C1546" s="1"/>
      <c r="D1546" s="2">
        <v>46106</v>
      </c>
      <c r="E1546" s="2">
        <v>46108</v>
      </c>
      <c r="F1546" s="1" t="s">
        <v>43</v>
      </c>
      <c r="G1546" s="1" t="s">
        <v>2</v>
      </c>
      <c r="H1546" s="1" t="s">
        <v>3</v>
      </c>
      <c r="I1546" s="7">
        <v>24.64</v>
      </c>
      <c r="J1546" s="1" t="s">
        <v>38</v>
      </c>
      <c r="K1546" s="1"/>
      <c r="L1546" s="1" t="s">
        <v>39</v>
      </c>
      <c r="M1546" s="1" t="str">
        <f>INDEX(MCC_Lookup!$B$2:$B$12,MATCH(G1546,MCC_Lookup!$A$2:$A$12,0))</f>
        <v>Meals</v>
      </c>
      <c r="N1546" s="1" t="str">
        <f>IF(TRIM(H1546)="","BLANK",IF(PROPER(TRIM(H1546))=TRIM(M1546),"MATCH","MISMATCH"))</f>
        <v>MATCH</v>
      </c>
      <c r="O1546" s="5" t="str">
        <f>INDEX([1]Employee!$C$2:$C$276,MATCH(B1546,[1]Employee!$A$2:$A$276,0))</f>
        <v>Claims</v>
      </c>
    </row>
    <row r="1547" spans="1:15">
      <c r="A1547" s="1" t="s">
        <v>3190</v>
      </c>
      <c r="B1547" s="1" t="s">
        <v>90</v>
      </c>
      <c r="C1547" s="1" t="s">
        <v>3191</v>
      </c>
      <c r="D1547" s="2">
        <v>46099</v>
      </c>
      <c r="E1547" s="2">
        <v>46108</v>
      </c>
      <c r="F1547" s="1" t="s">
        <v>69</v>
      </c>
      <c r="G1547" s="1" t="s">
        <v>8</v>
      </c>
      <c r="H1547" s="1" t="s">
        <v>9</v>
      </c>
      <c r="I1547" s="7">
        <v>39.950000000000003</v>
      </c>
      <c r="J1547" s="1" t="s">
        <v>38</v>
      </c>
      <c r="K1547" s="1"/>
      <c r="L1547" s="1" t="s">
        <v>39</v>
      </c>
      <c r="M1547" s="1" t="str">
        <f>INDEX(MCC_Lookup!$B$2:$B$12,MATCH(G1547,MCC_Lookup!$A$2:$A$12,0))</f>
        <v>Transportation</v>
      </c>
      <c r="N1547" s="1" t="str">
        <f>IF(TRIM(H1547)="","BLANK",IF(PROPER(TRIM(H1547))=TRIM(M1547),"MATCH","MISMATCH"))</f>
        <v>MATCH</v>
      </c>
      <c r="O1547" s="5" t="str">
        <f>INDEX([1]Employee!$C$2:$C$276,MATCH(B1547,[1]Employee!$A$2:$A$276,0))</f>
        <v>Sales &amp; Marketing</v>
      </c>
    </row>
    <row r="1548" spans="1:15">
      <c r="A1548" s="1" t="s">
        <v>3192</v>
      </c>
      <c r="B1548" s="1" t="s">
        <v>104</v>
      </c>
      <c r="C1548" s="1"/>
      <c r="D1548" s="2">
        <v>46102</v>
      </c>
      <c r="E1548" s="2">
        <v>46108</v>
      </c>
      <c r="F1548" s="1" t="s">
        <v>173</v>
      </c>
      <c r="G1548" s="1" t="s">
        <v>2</v>
      </c>
      <c r="H1548" s="1" t="s">
        <v>154</v>
      </c>
      <c r="I1548" s="7">
        <v>64.83</v>
      </c>
      <c r="J1548" s="1" t="s">
        <v>38</v>
      </c>
      <c r="K1548" s="1"/>
      <c r="L1548" s="1" t="s">
        <v>39</v>
      </c>
      <c r="M1548" s="1" t="str">
        <f>INDEX(MCC_Lookup!$B$2:$B$12,MATCH(G1548,MCC_Lookup!$A$2:$A$12,0))</f>
        <v>Meals</v>
      </c>
      <c r="N1548" s="1" t="str">
        <f>IF(TRIM(H1548)="","BLANK",IF(PROPER(TRIM(H1548))=TRIM(M1548),"MATCH","MISMATCH"))</f>
        <v>MATCH</v>
      </c>
      <c r="O1548" s="5" t="str">
        <f>INDEX([1]Employee!$C$2:$C$276,MATCH(B1548,[1]Employee!$A$2:$A$276,0))</f>
        <v>Sales &amp; Marketing</v>
      </c>
    </row>
    <row r="1549" spans="1:15">
      <c r="A1549" s="1" t="s">
        <v>3193</v>
      </c>
      <c r="B1549" s="1" t="s">
        <v>868</v>
      </c>
      <c r="C1549" s="1" t="s">
        <v>3194</v>
      </c>
      <c r="D1549" s="2">
        <v>46105</v>
      </c>
      <c r="E1549" s="2">
        <v>46108</v>
      </c>
      <c r="F1549" s="1" t="s">
        <v>72</v>
      </c>
      <c r="G1549" s="1" t="s">
        <v>8</v>
      </c>
      <c r="H1549" s="1" t="s">
        <v>9</v>
      </c>
      <c r="I1549" s="7">
        <v>16.059999999999999</v>
      </c>
      <c r="J1549" s="1" t="s">
        <v>38</v>
      </c>
      <c r="K1549" s="1"/>
      <c r="L1549" s="1" t="s">
        <v>39</v>
      </c>
      <c r="M1549" s="1" t="str">
        <f>INDEX(MCC_Lookup!$B$2:$B$12,MATCH(G1549,MCC_Lookup!$A$2:$A$12,0))</f>
        <v>Transportation</v>
      </c>
      <c r="N1549" s="1" t="str">
        <f>IF(TRIM(H1549)="","BLANK",IF(PROPER(TRIM(H1549))=TRIM(M1549),"MATCH","MISMATCH"))</f>
        <v>MATCH</v>
      </c>
      <c r="O1549" s="5" t="str">
        <f>INDEX([1]Employee!$C$2:$C$276,MATCH(B1549,[1]Employee!$A$2:$A$276,0))</f>
        <v>Sales &amp; Marketing</v>
      </c>
    </row>
    <row r="1550" spans="1:15">
      <c r="A1550" s="1" t="s">
        <v>3195</v>
      </c>
      <c r="B1550" s="1" t="s">
        <v>512</v>
      </c>
      <c r="C1550" s="1" t="s">
        <v>3196</v>
      </c>
      <c r="D1550" s="2">
        <v>46098</v>
      </c>
      <c r="E1550" s="2">
        <v>46108</v>
      </c>
      <c r="F1550" s="1" t="s">
        <v>177</v>
      </c>
      <c r="G1550" s="1" t="s">
        <v>13</v>
      </c>
      <c r="H1550" s="1" t="s">
        <v>14</v>
      </c>
      <c r="I1550" s="7">
        <v>24.26</v>
      </c>
      <c r="J1550" s="1" t="s">
        <v>38</v>
      </c>
      <c r="K1550" s="1"/>
      <c r="L1550" s="1" t="s">
        <v>39</v>
      </c>
      <c r="M1550" s="1" t="str">
        <f>INDEX(MCC_Lookup!$B$2:$B$12,MATCH(G1550,MCC_Lookup!$A$2:$A$12,0))</f>
        <v>Software</v>
      </c>
      <c r="N1550" s="1" t="str">
        <f>IF(TRIM(H1550)="","BLANK",IF(PROPER(TRIM(H1550))=TRIM(M1550),"MATCH","MISMATCH"))</f>
        <v>MATCH</v>
      </c>
      <c r="O1550" s="5" t="str">
        <f>INDEX([1]Employee!$C$2:$C$276,MATCH(B1550,[1]Employee!$A$2:$A$276,0))</f>
        <v>Sales &amp; Marketing</v>
      </c>
    </row>
    <row r="1551" spans="1:15">
      <c r="A1551" s="1" t="s">
        <v>3197</v>
      </c>
      <c r="B1551" s="1" t="s">
        <v>280</v>
      </c>
      <c r="C1551" s="1" t="s">
        <v>3198</v>
      </c>
      <c r="D1551" s="2">
        <v>46100</v>
      </c>
      <c r="E1551" s="2">
        <v>46108</v>
      </c>
      <c r="F1551" s="1" t="s">
        <v>69</v>
      </c>
      <c r="G1551" s="1" t="s">
        <v>8</v>
      </c>
      <c r="H1551" s="1" t="s">
        <v>9</v>
      </c>
      <c r="I1551" s="7">
        <v>28.44</v>
      </c>
      <c r="J1551" s="1" t="s">
        <v>38</v>
      </c>
      <c r="K1551" s="1"/>
      <c r="L1551" s="1" t="s">
        <v>39</v>
      </c>
      <c r="M1551" s="1" t="str">
        <f>INDEX(MCC_Lookup!$B$2:$B$12,MATCH(G1551,MCC_Lookup!$A$2:$A$12,0))</f>
        <v>Transportation</v>
      </c>
      <c r="N1551" s="1" t="str">
        <f>IF(TRIM(H1551)="","BLANK",IF(PROPER(TRIM(H1551))=TRIM(M1551),"MATCH","MISMATCH"))</f>
        <v>MATCH</v>
      </c>
      <c r="O1551" s="5" t="str">
        <f>INDEX([1]Employee!$C$2:$C$276,MATCH(B1551,[1]Employee!$A$2:$A$276,0))</f>
        <v>Claims</v>
      </c>
    </row>
    <row r="1552" spans="1:15">
      <c r="A1552" s="1" t="s">
        <v>3199</v>
      </c>
      <c r="B1552" s="1" t="s">
        <v>1650</v>
      </c>
      <c r="C1552" s="1"/>
      <c r="D1552" s="2">
        <v>46100</v>
      </c>
      <c r="E1552" s="2">
        <v>46109</v>
      </c>
      <c r="F1552" s="1" t="s">
        <v>52</v>
      </c>
      <c r="G1552" s="1" t="s">
        <v>15</v>
      </c>
      <c r="H1552" s="1" t="s">
        <v>16</v>
      </c>
      <c r="I1552" s="7">
        <v>27.24</v>
      </c>
      <c r="J1552" s="1" t="s">
        <v>38</v>
      </c>
      <c r="K1552" s="1"/>
      <c r="L1552" s="1" t="s">
        <v>39</v>
      </c>
      <c r="M1552" s="1" t="str">
        <f>INDEX(MCC_Lookup!$B$2:$B$12,MATCH(G1552,MCC_Lookup!$A$2:$A$12,0))</f>
        <v>Entertainment</v>
      </c>
      <c r="N1552" s="1" t="str">
        <f>IF(TRIM(H1552)="","BLANK",IF(PROPER(TRIM(H1552))=TRIM(M1552),"MATCH","MISMATCH"))</f>
        <v>MATCH</v>
      </c>
      <c r="O1552" s="5" t="str">
        <f>INDEX([1]Employee!$C$2:$C$276,MATCH(B1552,[1]Employee!$A$2:$A$276,0))</f>
        <v>HR &amp; Events</v>
      </c>
    </row>
    <row r="1553" spans="1:15">
      <c r="A1553" s="1" t="s">
        <v>3200</v>
      </c>
      <c r="B1553" s="1" t="s">
        <v>475</v>
      </c>
      <c r="C1553" s="1"/>
      <c r="D1553" s="2">
        <v>46101</v>
      </c>
      <c r="E1553" s="2">
        <v>46109</v>
      </c>
      <c r="F1553" s="1" t="s">
        <v>173</v>
      </c>
      <c r="G1553" s="1" t="s">
        <v>2</v>
      </c>
      <c r="H1553" s="1" t="s">
        <v>3</v>
      </c>
      <c r="I1553" s="7">
        <v>67.44</v>
      </c>
      <c r="J1553" s="1" t="s">
        <v>111</v>
      </c>
      <c r="K1553" s="1" t="s">
        <v>229</v>
      </c>
      <c r="L1553" s="1" t="s">
        <v>39</v>
      </c>
      <c r="M1553" s="1" t="str">
        <f>INDEX(MCC_Lookup!$B$2:$B$12,MATCH(G1553,MCC_Lookup!$A$2:$A$12,0))</f>
        <v>Meals</v>
      </c>
      <c r="N1553" s="1" t="str">
        <f>IF(TRIM(H1553)="","BLANK",IF(PROPER(TRIM(H1553))=TRIM(M1553),"MATCH","MISMATCH"))</f>
        <v>MATCH</v>
      </c>
      <c r="O1553" s="5" t="str">
        <f>INDEX([1]Employee!$C$2:$C$276,MATCH(B1553,[1]Employee!$A$2:$A$276,0))</f>
        <v>Sales &amp; Marketing</v>
      </c>
    </row>
    <row r="1554" spans="1:15">
      <c r="A1554" s="1" t="s">
        <v>3201</v>
      </c>
      <c r="B1554" s="1" t="s">
        <v>855</v>
      </c>
      <c r="C1554" s="1" t="s">
        <v>3202</v>
      </c>
      <c r="D1554" s="2">
        <v>46099</v>
      </c>
      <c r="E1554" s="2">
        <v>46109</v>
      </c>
      <c r="F1554" s="1" t="s">
        <v>109</v>
      </c>
      <c r="G1554" s="1" t="s">
        <v>18</v>
      </c>
      <c r="H1554" s="1" t="s">
        <v>19</v>
      </c>
      <c r="I1554" s="7">
        <v>54.38</v>
      </c>
      <c r="J1554" s="1" t="s">
        <v>38</v>
      </c>
      <c r="K1554" s="1"/>
      <c r="L1554" s="1" t="s">
        <v>39</v>
      </c>
      <c r="M1554" s="1" t="str">
        <f>INDEX(MCC_Lookup!$B$2:$B$12,MATCH(G1554,MCC_Lookup!$A$2:$A$12,0))</f>
        <v>Events</v>
      </c>
      <c r="N1554" s="1" t="str">
        <f>IF(TRIM(H1554)="","BLANK",IF(PROPER(TRIM(H1554))=TRIM(M1554),"MATCH","MISMATCH"))</f>
        <v>MATCH</v>
      </c>
      <c r="O1554" s="5" t="str">
        <f>INDEX([1]Employee!$C$2:$C$276,MATCH(B1554,[1]Employee!$A$2:$A$276,0))</f>
        <v>Underwriting</v>
      </c>
    </row>
    <row r="1555" spans="1:15">
      <c r="A1555" s="1" t="s">
        <v>3203</v>
      </c>
      <c r="B1555" s="1" t="s">
        <v>1504</v>
      </c>
      <c r="C1555" s="1"/>
      <c r="D1555" s="2">
        <v>46100</v>
      </c>
      <c r="E1555" s="2">
        <v>46109</v>
      </c>
      <c r="F1555" s="1" t="s">
        <v>1068</v>
      </c>
      <c r="G1555" s="1" t="s">
        <v>20</v>
      </c>
      <c r="H1555" s="1" t="s">
        <v>19</v>
      </c>
      <c r="I1555" s="7">
        <v>674.39</v>
      </c>
      <c r="J1555" s="1" t="s">
        <v>38</v>
      </c>
      <c r="K1555" s="1"/>
      <c r="L1555" s="1" t="s">
        <v>39</v>
      </c>
      <c r="M1555" s="1" t="str">
        <f>INDEX(MCC_Lookup!$B$2:$B$12,MATCH(G1555,MCC_Lookup!$A$2:$A$12,0))</f>
        <v>Events</v>
      </c>
      <c r="N1555" s="1" t="str">
        <f>IF(TRIM(H1555)="","BLANK",IF(PROPER(TRIM(H1555))=TRIM(M1555),"MATCH","MISMATCH"))</f>
        <v>MATCH</v>
      </c>
      <c r="O1555" s="5" t="str">
        <f>INDEX([1]Employee!$C$2:$C$276,MATCH(B1555,[1]Employee!$A$2:$A$276,0))</f>
        <v>Sales &amp; Marketing</v>
      </c>
    </row>
    <row r="1556" spans="1:15">
      <c r="A1556" s="1" t="s">
        <v>3204</v>
      </c>
      <c r="B1556" s="1" t="s">
        <v>924</v>
      </c>
      <c r="C1556" s="1" t="s">
        <v>3205</v>
      </c>
      <c r="D1556" s="2">
        <v>46100</v>
      </c>
      <c r="E1556" s="2">
        <v>46109</v>
      </c>
      <c r="F1556" s="1" t="s">
        <v>305</v>
      </c>
      <c r="G1556" s="1" t="s">
        <v>2</v>
      </c>
      <c r="H1556" s="1" t="s">
        <v>3</v>
      </c>
      <c r="I1556" s="7">
        <v>17.579999999999998</v>
      </c>
      <c r="J1556" s="1" t="s">
        <v>38</v>
      </c>
      <c r="K1556" s="1"/>
      <c r="L1556" s="1" t="s">
        <v>48</v>
      </c>
      <c r="M1556" s="1" t="str">
        <f>INDEX(MCC_Lookup!$B$2:$B$12,MATCH(G1556,MCC_Lookup!$A$2:$A$12,0))</f>
        <v>Meals</v>
      </c>
      <c r="N1556" s="1" t="str">
        <f>IF(TRIM(H1556)="","BLANK",IF(PROPER(TRIM(H1556))=TRIM(M1556),"MATCH","MISMATCH"))</f>
        <v>MATCH</v>
      </c>
      <c r="O1556" s="5" t="str">
        <f>INDEX([1]Employee!$C$2:$C$276,MATCH(B1556,[1]Employee!$A$2:$A$276,0))</f>
        <v>HR &amp; Events</v>
      </c>
    </row>
    <row r="1557" spans="1:15">
      <c r="A1557" s="1" t="s">
        <v>3206</v>
      </c>
      <c r="B1557" s="1" t="s">
        <v>426</v>
      </c>
      <c r="C1557" s="1" t="s">
        <v>3207</v>
      </c>
      <c r="D1557" s="2">
        <v>46103</v>
      </c>
      <c r="E1557" s="2">
        <v>46109</v>
      </c>
      <c r="F1557" s="1" t="s">
        <v>37</v>
      </c>
      <c r="G1557" s="1" t="s">
        <v>4</v>
      </c>
      <c r="H1557" s="1" t="s">
        <v>5</v>
      </c>
      <c r="I1557" s="7">
        <v>270.01</v>
      </c>
      <c r="J1557" s="1" t="s">
        <v>38</v>
      </c>
      <c r="K1557" s="1"/>
      <c r="L1557" s="1" t="s">
        <v>39</v>
      </c>
      <c r="M1557" s="1" t="str">
        <f>INDEX(MCC_Lookup!$B$2:$B$12,MATCH(G1557,MCC_Lookup!$A$2:$A$12,0))</f>
        <v>Travel</v>
      </c>
      <c r="N1557" s="1" t="str">
        <f>IF(TRIM(H1557)="","BLANK",IF(PROPER(TRIM(H1557))=TRIM(M1557),"MATCH","MISMATCH"))</f>
        <v>MATCH</v>
      </c>
      <c r="O1557" s="5" t="str">
        <f>INDEX([1]Employee!$C$2:$C$276,MATCH(B1557,[1]Employee!$A$2:$A$276,0))</f>
        <v>Sales &amp; Marketing</v>
      </c>
    </row>
    <row r="1558" spans="1:15">
      <c r="A1558" s="1" t="s">
        <v>3208</v>
      </c>
      <c r="B1558" s="1" t="s">
        <v>397</v>
      </c>
      <c r="C1558" s="1"/>
      <c r="D1558" s="2">
        <v>46101</v>
      </c>
      <c r="E1558" s="2">
        <v>46109</v>
      </c>
      <c r="F1558" s="1" t="s">
        <v>79</v>
      </c>
      <c r="G1558" s="1" t="s">
        <v>13</v>
      </c>
      <c r="H1558" s="1" t="s">
        <v>14</v>
      </c>
      <c r="I1558" s="7">
        <v>136.38999999999999</v>
      </c>
      <c r="J1558" s="1" t="s">
        <v>38</v>
      </c>
      <c r="K1558" s="1"/>
      <c r="L1558" s="1" t="s">
        <v>48</v>
      </c>
      <c r="M1558" s="1" t="str">
        <f>INDEX(MCC_Lookup!$B$2:$B$12,MATCH(G1558,MCC_Lookup!$A$2:$A$12,0))</f>
        <v>Software</v>
      </c>
      <c r="N1558" s="1" t="str">
        <f>IF(TRIM(H1558)="","BLANK",IF(PROPER(TRIM(H1558))=TRIM(M1558),"MATCH","MISMATCH"))</f>
        <v>MATCH</v>
      </c>
      <c r="O1558" s="5" t="str">
        <f>INDEX([1]Employee!$C$2:$C$276,MATCH(B1558,[1]Employee!$A$2:$A$276,0))</f>
        <v>Finance</v>
      </c>
    </row>
    <row r="1559" spans="1:15">
      <c r="A1559" s="1" t="s">
        <v>3209</v>
      </c>
      <c r="B1559" s="1" t="s">
        <v>472</v>
      </c>
      <c r="C1559" s="1" t="s">
        <v>3210</v>
      </c>
      <c r="D1559" s="2">
        <v>46102</v>
      </c>
      <c r="E1559" s="2">
        <v>46109</v>
      </c>
      <c r="F1559" s="1" t="s">
        <v>242</v>
      </c>
      <c r="G1559" s="1" t="s">
        <v>13</v>
      </c>
      <c r="H1559" s="1" t="s">
        <v>7</v>
      </c>
      <c r="I1559" s="7">
        <v>37.69</v>
      </c>
      <c r="J1559" s="1" t="s">
        <v>38</v>
      </c>
      <c r="K1559" s="1"/>
      <c r="L1559" s="1" t="s">
        <v>39</v>
      </c>
      <c r="M1559" s="1" t="str">
        <f>INDEX(MCC_Lookup!$B$2:$B$12,MATCH(G1559,MCC_Lookup!$A$2:$A$12,0))</f>
        <v>Software</v>
      </c>
      <c r="N1559" s="1" t="str">
        <f>IF(TRIM(H1559)="","BLANK",IF(PROPER(TRIM(H1559))=TRIM(M1559),"MATCH","MISMATCH"))</f>
        <v>MISMATCH</v>
      </c>
      <c r="O1559" s="5" t="str">
        <f>INDEX([1]Employee!$C$2:$C$276,MATCH(B1559,[1]Employee!$A$2:$A$276,0))</f>
        <v>Sales &amp; Marketing</v>
      </c>
    </row>
    <row r="1560" spans="1:15">
      <c r="A1560" s="1" t="s">
        <v>3211</v>
      </c>
      <c r="B1560" s="1" t="s">
        <v>152</v>
      </c>
      <c r="C1560" s="1" t="s">
        <v>3212</v>
      </c>
      <c r="D1560" s="2">
        <v>46100</v>
      </c>
      <c r="E1560" s="2">
        <v>46109</v>
      </c>
      <c r="F1560" s="1" t="s">
        <v>347</v>
      </c>
      <c r="G1560" s="1" t="s">
        <v>8</v>
      </c>
      <c r="H1560" s="1" t="s">
        <v>9</v>
      </c>
      <c r="I1560" s="7">
        <v>33.340000000000003</v>
      </c>
      <c r="J1560" s="1" t="s">
        <v>38</v>
      </c>
      <c r="K1560" s="1"/>
      <c r="L1560" s="1" t="s">
        <v>39</v>
      </c>
      <c r="M1560" s="1" t="str">
        <f>INDEX(MCC_Lookup!$B$2:$B$12,MATCH(G1560,MCC_Lookup!$A$2:$A$12,0))</f>
        <v>Transportation</v>
      </c>
      <c r="N1560" s="1" t="str">
        <f>IF(TRIM(H1560)="","BLANK",IF(PROPER(TRIM(H1560))=TRIM(M1560),"MATCH","MISMATCH"))</f>
        <v>MATCH</v>
      </c>
      <c r="O1560" s="5" t="str">
        <f>INDEX([1]Employee!$C$2:$C$276,MATCH(B1560,[1]Employee!$A$2:$A$276,0))</f>
        <v>Sales &amp; Marketing</v>
      </c>
    </row>
    <row r="1561" spans="1:15">
      <c r="A1561" s="1" t="s">
        <v>3213</v>
      </c>
      <c r="B1561" s="1" t="s">
        <v>194</v>
      </c>
      <c r="C1561" s="1" t="s">
        <v>3214</v>
      </c>
      <c r="D1561" s="2">
        <v>46100</v>
      </c>
      <c r="E1561" s="2">
        <v>46109</v>
      </c>
      <c r="F1561" s="1" t="s">
        <v>65</v>
      </c>
      <c r="G1561" s="1" t="s">
        <v>18</v>
      </c>
      <c r="H1561" s="1" t="s">
        <v>19</v>
      </c>
      <c r="I1561" s="7">
        <v>282.2</v>
      </c>
      <c r="J1561" s="1" t="s">
        <v>38</v>
      </c>
      <c r="K1561" s="1"/>
      <c r="L1561" s="1" t="s">
        <v>39</v>
      </c>
      <c r="M1561" s="1" t="str">
        <f>INDEX(MCC_Lookup!$B$2:$B$12,MATCH(G1561,MCC_Lookup!$A$2:$A$12,0))</f>
        <v>Events</v>
      </c>
      <c r="N1561" s="1" t="str">
        <f>IF(TRIM(H1561)="","BLANK",IF(PROPER(TRIM(H1561))=TRIM(M1561),"MATCH","MISMATCH"))</f>
        <v>MATCH</v>
      </c>
      <c r="O1561" s="5" t="str">
        <f>INDEX([1]Employee!$C$2:$C$276,MATCH(B1561,[1]Employee!$A$2:$A$276,0))</f>
        <v>Claims</v>
      </c>
    </row>
    <row r="1562" spans="1:15">
      <c r="A1562" s="1" t="s">
        <v>3215</v>
      </c>
      <c r="B1562" s="1" t="s">
        <v>571</v>
      </c>
      <c r="C1562" s="1" t="s">
        <v>3216</v>
      </c>
      <c r="D1562" s="2">
        <v>46103</v>
      </c>
      <c r="E1562" s="2">
        <v>46109</v>
      </c>
      <c r="F1562" s="1" t="s">
        <v>56</v>
      </c>
      <c r="G1562" s="1" t="s">
        <v>4</v>
      </c>
      <c r="H1562" s="1" t="s">
        <v>5</v>
      </c>
      <c r="I1562" s="7">
        <v>412.76</v>
      </c>
      <c r="J1562" s="1" t="s">
        <v>38</v>
      </c>
      <c r="K1562" s="1"/>
      <c r="L1562" s="1" t="s">
        <v>39</v>
      </c>
      <c r="M1562" s="1" t="str">
        <f>INDEX(MCC_Lookup!$B$2:$B$12,MATCH(G1562,MCC_Lookup!$A$2:$A$12,0))</f>
        <v>Travel</v>
      </c>
      <c r="N1562" s="1" t="str">
        <f>IF(TRIM(H1562)="","BLANK",IF(PROPER(TRIM(H1562))=TRIM(M1562),"MATCH","MISMATCH"))</f>
        <v>MATCH</v>
      </c>
      <c r="O1562" s="5" t="str">
        <f>INDEX([1]Employee!$C$2:$C$276,MATCH(B1562,[1]Employee!$A$2:$A$276,0))</f>
        <v>Finance</v>
      </c>
    </row>
    <row r="1563" spans="1:15">
      <c r="A1563" s="1" t="s">
        <v>3217</v>
      </c>
      <c r="B1563" s="1" t="s">
        <v>969</v>
      </c>
      <c r="C1563" s="1" t="s">
        <v>3218</v>
      </c>
      <c r="D1563" s="2">
        <v>46107</v>
      </c>
      <c r="E1563" s="2">
        <v>46109</v>
      </c>
      <c r="F1563" s="1" t="s">
        <v>177</v>
      </c>
      <c r="G1563" s="1" t="s">
        <v>13</v>
      </c>
      <c r="H1563" s="1" t="s">
        <v>14</v>
      </c>
      <c r="I1563" s="7">
        <v>59.31</v>
      </c>
      <c r="J1563" s="1" t="s">
        <v>38</v>
      </c>
      <c r="K1563" s="1"/>
      <c r="L1563" s="1" t="s">
        <v>39</v>
      </c>
      <c r="M1563" s="1" t="str">
        <f>INDEX(MCC_Lookup!$B$2:$B$12,MATCH(G1563,MCC_Lookup!$A$2:$A$12,0))</f>
        <v>Software</v>
      </c>
      <c r="N1563" s="1" t="str">
        <f>IF(TRIM(H1563)="","BLANK",IF(PROPER(TRIM(H1563))=TRIM(M1563),"MATCH","MISMATCH"))</f>
        <v>MATCH</v>
      </c>
      <c r="O1563" s="5" t="str">
        <f>INDEX([1]Employee!$C$2:$C$276,MATCH(B1563,[1]Employee!$A$2:$A$276,0))</f>
        <v>HR &amp; Events</v>
      </c>
    </row>
    <row r="1564" spans="1:15">
      <c r="A1564" s="1" t="s">
        <v>3219</v>
      </c>
      <c r="B1564" s="1" t="s">
        <v>373</v>
      </c>
      <c r="C1564" s="1" t="s">
        <v>3220</v>
      </c>
      <c r="D1564" s="2">
        <v>46109</v>
      </c>
      <c r="E1564" s="2">
        <v>46109</v>
      </c>
      <c r="F1564" s="1" t="s">
        <v>201</v>
      </c>
      <c r="G1564" s="1" t="s">
        <v>4</v>
      </c>
      <c r="H1564" s="1" t="s">
        <v>5</v>
      </c>
      <c r="I1564" s="7">
        <v>559.84</v>
      </c>
      <c r="J1564" s="1" t="s">
        <v>38</v>
      </c>
      <c r="K1564" s="1"/>
      <c r="L1564" s="1" t="s">
        <v>48</v>
      </c>
      <c r="M1564" s="1" t="str">
        <f>INDEX(MCC_Lookup!$B$2:$B$12,MATCH(G1564,MCC_Lookup!$A$2:$A$12,0))</f>
        <v>Travel</v>
      </c>
      <c r="N1564" s="1" t="str">
        <f>IF(TRIM(H1564)="","BLANK",IF(PROPER(TRIM(H1564))=TRIM(M1564),"MATCH","MISMATCH"))</f>
        <v>MATCH</v>
      </c>
      <c r="O1564" s="5" t="str">
        <f>INDEX([1]Employee!$C$2:$C$276,MATCH(B1564,[1]Employee!$A$2:$A$276,0))</f>
        <v>Sales &amp; Marketing</v>
      </c>
    </row>
    <row r="1565" spans="1:15">
      <c r="A1565" s="1" t="s">
        <v>3221</v>
      </c>
      <c r="B1565" s="1" t="s">
        <v>54</v>
      </c>
      <c r="C1565" s="1" t="s">
        <v>3222</v>
      </c>
      <c r="D1565" s="2">
        <v>46102</v>
      </c>
      <c r="E1565" s="2">
        <v>46109</v>
      </c>
      <c r="F1565" s="1" t="s">
        <v>99</v>
      </c>
      <c r="G1565" s="1" t="s">
        <v>2</v>
      </c>
      <c r="H1565" s="1"/>
      <c r="I1565" s="7">
        <v>79.099999999999994</v>
      </c>
      <c r="J1565" s="1" t="s">
        <v>38</v>
      </c>
      <c r="K1565" s="1"/>
      <c r="L1565" s="1" t="s">
        <v>39</v>
      </c>
      <c r="M1565" s="1" t="str">
        <f>INDEX(MCC_Lookup!$B$2:$B$12,MATCH(G1565,MCC_Lookup!$A$2:$A$12,0))</f>
        <v>Meals</v>
      </c>
      <c r="N1565" s="1" t="str">
        <f>IF(TRIM(H1565)="","BLANK",IF(PROPER(TRIM(H1565))=TRIM(M1565),"MATCH","MISMATCH"))</f>
        <v>BLANK</v>
      </c>
      <c r="O1565" s="5" t="str">
        <f>INDEX([1]Employee!$C$2:$C$276,MATCH(B1565,[1]Employee!$A$2:$A$276,0))</f>
        <v>Sales &amp; Marketing</v>
      </c>
    </row>
    <row r="1566" spans="1:15">
      <c r="A1566" s="1" t="s">
        <v>3223</v>
      </c>
      <c r="B1566" s="1" t="s">
        <v>41</v>
      </c>
      <c r="C1566" s="1" t="s">
        <v>3224</v>
      </c>
      <c r="D1566" s="2">
        <v>46106</v>
      </c>
      <c r="E1566" s="2">
        <v>46109</v>
      </c>
      <c r="F1566" s="1" t="s">
        <v>99</v>
      </c>
      <c r="G1566" s="1" t="s">
        <v>2</v>
      </c>
      <c r="H1566" s="1" t="s">
        <v>3</v>
      </c>
      <c r="I1566" s="7">
        <v>139.76</v>
      </c>
      <c r="J1566" s="1" t="s">
        <v>38</v>
      </c>
      <c r="K1566" s="1"/>
      <c r="L1566" s="1" t="s">
        <v>39</v>
      </c>
      <c r="M1566" s="1" t="str">
        <f>INDEX(MCC_Lookup!$B$2:$B$12,MATCH(G1566,MCC_Lookup!$A$2:$A$12,0))</f>
        <v>Meals</v>
      </c>
      <c r="N1566" s="1" t="str">
        <f>IF(TRIM(H1566)="","BLANK",IF(PROPER(TRIM(H1566))=TRIM(M1566),"MATCH","MISMATCH"))</f>
        <v>MATCH</v>
      </c>
      <c r="O1566" s="5" t="str">
        <f>INDEX([1]Employee!$C$2:$C$276,MATCH(B1566,[1]Employee!$A$2:$A$276,0))</f>
        <v>Sales &amp; Marketing</v>
      </c>
    </row>
    <row r="1567" spans="1:15">
      <c r="A1567" s="1" t="s">
        <v>3225</v>
      </c>
      <c r="B1567" s="1" t="s">
        <v>41</v>
      </c>
      <c r="C1567" s="1" t="s">
        <v>3226</v>
      </c>
      <c r="D1567" s="2">
        <v>46100</v>
      </c>
      <c r="E1567" s="2">
        <v>46109</v>
      </c>
      <c r="F1567" s="1" t="s">
        <v>120</v>
      </c>
      <c r="G1567" s="1" t="s">
        <v>12</v>
      </c>
      <c r="H1567" s="1" t="s">
        <v>11</v>
      </c>
      <c r="I1567" s="7">
        <v>62.09</v>
      </c>
      <c r="J1567" s="1" t="s">
        <v>38</v>
      </c>
      <c r="K1567" s="1"/>
      <c r="L1567" s="1" t="s">
        <v>39</v>
      </c>
      <c r="M1567" s="1" t="str">
        <f>INDEX(MCC_Lookup!$B$2:$B$12,MATCH(G1567,MCC_Lookup!$A$2:$A$12,0))</f>
        <v>Office Supplies</v>
      </c>
      <c r="N1567" s="1" t="str">
        <f>IF(TRIM(H1567)="","BLANK",IF(PROPER(TRIM(H1567))=TRIM(M1567),"MATCH","MISMATCH"))</f>
        <v>MATCH</v>
      </c>
      <c r="O1567" s="5" t="str">
        <f>INDEX([1]Employee!$C$2:$C$276,MATCH(B1567,[1]Employee!$A$2:$A$276,0))</f>
        <v>Sales &amp; Marketing</v>
      </c>
    </row>
    <row r="1568" spans="1:15">
      <c r="A1568" s="1" t="s">
        <v>3227</v>
      </c>
      <c r="B1568" s="1" t="s">
        <v>349</v>
      </c>
      <c r="C1568" s="1"/>
      <c r="D1568" s="2">
        <v>46106</v>
      </c>
      <c r="E1568" s="2">
        <v>46109</v>
      </c>
      <c r="F1568" s="1" t="s">
        <v>52</v>
      </c>
      <c r="G1568" s="1" t="s">
        <v>15</v>
      </c>
      <c r="H1568" s="1" t="s">
        <v>16</v>
      </c>
      <c r="I1568" s="7">
        <v>56.52</v>
      </c>
      <c r="J1568" s="1" t="s">
        <v>38</v>
      </c>
      <c r="K1568" s="1"/>
      <c r="L1568" s="1" t="s">
        <v>39</v>
      </c>
      <c r="M1568" s="1" t="str">
        <f>INDEX(MCC_Lookup!$B$2:$B$12,MATCH(G1568,MCC_Lookup!$A$2:$A$12,0))</f>
        <v>Entertainment</v>
      </c>
      <c r="N1568" s="1" t="str">
        <f>IF(TRIM(H1568)="","BLANK",IF(PROPER(TRIM(H1568))=TRIM(M1568),"MATCH","MISMATCH"))</f>
        <v>MATCH</v>
      </c>
      <c r="O1568" s="5" t="str">
        <f>INDEX([1]Employee!$C$2:$C$276,MATCH(B1568,[1]Employee!$A$2:$A$276,0))</f>
        <v>Sales &amp; Marketing</v>
      </c>
    </row>
    <row r="1569" spans="1:15">
      <c r="A1569" s="1" t="s">
        <v>3228</v>
      </c>
      <c r="B1569" s="1" t="s">
        <v>244</v>
      </c>
      <c r="C1569" s="1" t="s">
        <v>3229</v>
      </c>
      <c r="D1569" s="2">
        <v>46102</v>
      </c>
      <c r="E1569" s="2">
        <v>46109</v>
      </c>
      <c r="F1569" s="1" t="s">
        <v>106</v>
      </c>
      <c r="G1569" s="1" t="s">
        <v>13</v>
      </c>
      <c r="H1569" s="1" t="s">
        <v>14</v>
      </c>
      <c r="I1569" s="7">
        <v>174.65</v>
      </c>
      <c r="J1569" s="1" t="s">
        <v>38</v>
      </c>
      <c r="K1569" s="1"/>
      <c r="L1569" s="1" t="s">
        <v>39</v>
      </c>
      <c r="M1569" s="1" t="str">
        <f>INDEX(MCC_Lookup!$B$2:$B$12,MATCH(G1569,MCC_Lookup!$A$2:$A$12,0))</f>
        <v>Software</v>
      </c>
      <c r="N1569" s="1" t="str">
        <f>IF(TRIM(H1569)="","BLANK",IF(PROPER(TRIM(H1569))=TRIM(M1569),"MATCH","MISMATCH"))</f>
        <v>MATCH</v>
      </c>
      <c r="O1569" s="5" t="str">
        <f>INDEX([1]Employee!$C$2:$C$276,MATCH(B1569,[1]Employee!$A$2:$A$276,0))</f>
        <v>Sales &amp; Marketing</v>
      </c>
    </row>
    <row r="1570" spans="1:15">
      <c r="A1570" s="1" t="s">
        <v>3230</v>
      </c>
      <c r="B1570" s="1" t="s">
        <v>487</v>
      </c>
      <c r="C1570" s="1" t="s">
        <v>3231</v>
      </c>
      <c r="D1570" s="2">
        <v>46105</v>
      </c>
      <c r="E1570" s="2">
        <v>46109</v>
      </c>
      <c r="F1570" s="1" t="s">
        <v>47</v>
      </c>
      <c r="G1570" s="1" t="s">
        <v>6</v>
      </c>
      <c r="H1570" s="1" t="s">
        <v>7</v>
      </c>
      <c r="I1570" s="7">
        <v>275.7</v>
      </c>
      <c r="J1570" s="1" t="s">
        <v>38</v>
      </c>
      <c r="K1570" s="1"/>
      <c r="L1570" s="1" t="s">
        <v>48</v>
      </c>
      <c r="M1570" s="1" t="str">
        <f>INDEX(MCC_Lookup!$B$2:$B$12,MATCH(G1570,MCC_Lookup!$A$2:$A$12,0))</f>
        <v>Lodging</v>
      </c>
      <c r="N1570" s="1" t="str">
        <f>IF(TRIM(H1570)="","BLANK",IF(PROPER(TRIM(H1570))=TRIM(M1570),"MATCH","MISMATCH"))</f>
        <v>MATCH</v>
      </c>
      <c r="O1570" s="5" t="str">
        <f>INDEX([1]Employee!$C$2:$C$276,MATCH(B1570,[1]Employee!$A$2:$A$276,0))</f>
        <v>IT &amp; Platform Engineering</v>
      </c>
    </row>
    <row r="1571" spans="1:15">
      <c r="A1571" s="1" t="s">
        <v>3232</v>
      </c>
      <c r="B1571" s="1" t="s">
        <v>3233</v>
      </c>
      <c r="C1571" s="1"/>
      <c r="D1571" s="2">
        <v>46102</v>
      </c>
      <c r="E1571" s="2">
        <v>46109</v>
      </c>
      <c r="F1571" s="1" t="s">
        <v>160</v>
      </c>
      <c r="G1571" s="1" t="s">
        <v>6</v>
      </c>
      <c r="H1571" s="1" t="s">
        <v>7</v>
      </c>
      <c r="I1571" s="7">
        <v>233.44</v>
      </c>
      <c r="J1571" s="1" t="s">
        <v>38</v>
      </c>
      <c r="K1571" s="1"/>
      <c r="L1571" s="1" t="s">
        <v>48</v>
      </c>
      <c r="M1571" s="1" t="str">
        <f>INDEX(MCC_Lookup!$B$2:$B$12,MATCH(G1571,MCC_Lookup!$A$2:$A$12,0))</f>
        <v>Lodging</v>
      </c>
      <c r="N1571" s="1" t="str">
        <f>IF(TRIM(H1571)="","BLANK",IF(PROPER(TRIM(H1571))=TRIM(M1571),"MATCH","MISMATCH"))</f>
        <v>MATCH</v>
      </c>
      <c r="O1571" s="5" t="str">
        <f>INDEX([1]Employee!$C$2:$C$276,MATCH(B1571,[1]Employee!$A$2:$A$276,0))</f>
        <v>Underwriting</v>
      </c>
    </row>
    <row r="1572" spans="1:15">
      <c r="A1572" s="1" t="s">
        <v>3234</v>
      </c>
      <c r="B1572" s="1" t="s">
        <v>3233</v>
      </c>
      <c r="C1572" s="1" t="s">
        <v>3235</v>
      </c>
      <c r="D1572" s="2">
        <v>46109</v>
      </c>
      <c r="E1572" s="2">
        <v>46109</v>
      </c>
      <c r="F1572" s="1" t="s">
        <v>259</v>
      </c>
      <c r="G1572" s="1" t="s">
        <v>20</v>
      </c>
      <c r="H1572" s="1" t="s">
        <v>19</v>
      </c>
      <c r="I1572" s="7">
        <v>549.08000000000004</v>
      </c>
      <c r="J1572" s="1" t="s">
        <v>38</v>
      </c>
      <c r="K1572" s="1"/>
      <c r="L1572" s="1" t="s">
        <v>39</v>
      </c>
      <c r="M1572" s="1" t="str">
        <f>INDEX(MCC_Lookup!$B$2:$B$12,MATCH(G1572,MCC_Lookup!$A$2:$A$12,0))</f>
        <v>Events</v>
      </c>
      <c r="N1572" s="1" t="str">
        <f>IF(TRIM(H1572)="","BLANK",IF(PROPER(TRIM(H1572))=TRIM(M1572),"MATCH","MISMATCH"))</f>
        <v>MATCH</v>
      </c>
      <c r="O1572" s="5" t="str">
        <f>INDEX([1]Employee!$C$2:$C$276,MATCH(B1572,[1]Employee!$A$2:$A$276,0))</f>
        <v>Underwriting</v>
      </c>
    </row>
    <row r="1573" spans="1:15">
      <c r="A1573" s="1" t="s">
        <v>3236</v>
      </c>
      <c r="B1573" s="1" t="s">
        <v>1509</v>
      </c>
      <c r="C1573" s="1" t="s">
        <v>3237</v>
      </c>
      <c r="D1573" s="2">
        <v>46099</v>
      </c>
      <c r="E1573" s="2">
        <v>46109</v>
      </c>
      <c r="F1573" s="1" t="s">
        <v>173</v>
      </c>
      <c r="G1573" s="1" t="s">
        <v>2</v>
      </c>
      <c r="H1573" s="1" t="s">
        <v>3</v>
      </c>
      <c r="I1573" s="7">
        <v>43.17</v>
      </c>
      <c r="J1573" s="1" t="s">
        <v>38</v>
      </c>
      <c r="K1573" s="1"/>
      <c r="L1573" s="1" t="s">
        <v>39</v>
      </c>
      <c r="M1573" s="1" t="str">
        <f>INDEX(MCC_Lookup!$B$2:$B$12,MATCH(G1573,MCC_Lookup!$A$2:$A$12,0))</f>
        <v>Meals</v>
      </c>
      <c r="N1573" s="1" t="str">
        <f>IF(TRIM(H1573)="","BLANK",IF(PROPER(TRIM(H1573))=TRIM(M1573),"MATCH","MISMATCH"))</f>
        <v>MATCH</v>
      </c>
      <c r="O1573" s="5" t="str">
        <f>INDEX([1]Employee!$C$2:$C$276,MATCH(B1573,[1]Employee!$A$2:$A$276,0))</f>
        <v>Claims</v>
      </c>
    </row>
    <row r="1574" spans="1:15">
      <c r="A1574" s="1" t="s">
        <v>3238</v>
      </c>
      <c r="B1574" s="1" t="s">
        <v>122</v>
      </c>
      <c r="C1574" s="1" t="s">
        <v>3239</v>
      </c>
      <c r="D1574" s="2">
        <v>46108</v>
      </c>
      <c r="E1574" s="2">
        <v>46109</v>
      </c>
      <c r="F1574" s="1" t="s">
        <v>160</v>
      </c>
      <c r="G1574" s="1" t="s">
        <v>6</v>
      </c>
      <c r="H1574" s="1" t="s">
        <v>7</v>
      </c>
      <c r="I1574" s="7">
        <v>219.42</v>
      </c>
      <c r="J1574" s="1" t="s">
        <v>38</v>
      </c>
      <c r="K1574" s="1"/>
      <c r="L1574" s="1" t="s">
        <v>39</v>
      </c>
      <c r="M1574" s="1" t="str">
        <f>INDEX(MCC_Lookup!$B$2:$B$12,MATCH(G1574,MCC_Lookup!$A$2:$A$12,0))</f>
        <v>Lodging</v>
      </c>
      <c r="N1574" s="1" t="str">
        <f>IF(TRIM(H1574)="","BLANK",IF(PROPER(TRIM(H1574))=TRIM(M1574),"MATCH","MISMATCH"))</f>
        <v>MATCH</v>
      </c>
      <c r="O1574" s="5" t="str">
        <f>INDEX([1]Employee!$C$2:$C$276,MATCH(B1574,[1]Employee!$A$2:$A$276,0))</f>
        <v>Sales &amp; Marketing</v>
      </c>
    </row>
    <row r="1575" spans="1:15">
      <c r="A1575" s="1" t="s">
        <v>3240</v>
      </c>
      <c r="B1575" s="1" t="s">
        <v>129</v>
      </c>
      <c r="C1575" s="1" t="s">
        <v>3241</v>
      </c>
      <c r="D1575" s="2">
        <v>46105</v>
      </c>
      <c r="E1575" s="2">
        <v>46110</v>
      </c>
      <c r="F1575" s="1" t="s">
        <v>242</v>
      </c>
      <c r="G1575" s="1" t="s">
        <v>13</v>
      </c>
      <c r="H1575" s="1" t="s">
        <v>14</v>
      </c>
      <c r="I1575" s="7">
        <v>24.34</v>
      </c>
      <c r="J1575" s="1" t="s">
        <v>38</v>
      </c>
      <c r="K1575" s="1"/>
      <c r="L1575" s="1" t="s">
        <v>39</v>
      </c>
      <c r="M1575" s="1" t="str">
        <f>INDEX(MCC_Lookup!$B$2:$B$12,MATCH(G1575,MCC_Lookup!$A$2:$A$12,0))</f>
        <v>Software</v>
      </c>
      <c r="N1575" s="1" t="str">
        <f>IF(TRIM(H1575)="","BLANK",IF(PROPER(TRIM(H1575))=TRIM(M1575),"MATCH","MISMATCH"))</f>
        <v>MATCH</v>
      </c>
      <c r="O1575" s="5" t="str">
        <f>INDEX([1]Employee!$C$2:$C$276,MATCH(B1575,[1]Employee!$A$2:$A$276,0))</f>
        <v>Sales &amp; Marketing</v>
      </c>
    </row>
    <row r="1576" spans="1:15">
      <c r="A1576" s="1" t="s">
        <v>3242</v>
      </c>
      <c r="B1576" s="1" t="s">
        <v>97</v>
      </c>
      <c r="C1576" s="1" t="s">
        <v>3243</v>
      </c>
      <c r="D1576" s="2">
        <v>46102</v>
      </c>
      <c r="E1576" s="2">
        <v>46110</v>
      </c>
      <c r="F1576" s="1" t="s">
        <v>120</v>
      </c>
      <c r="G1576" s="1" t="s">
        <v>12</v>
      </c>
      <c r="H1576" s="1" t="s">
        <v>11</v>
      </c>
      <c r="I1576" s="7">
        <v>345.41</v>
      </c>
      <c r="J1576" s="1" t="s">
        <v>38</v>
      </c>
      <c r="K1576" s="1"/>
      <c r="L1576" s="1" t="s">
        <v>39</v>
      </c>
      <c r="M1576" s="1" t="str">
        <f>INDEX(MCC_Lookup!$B$2:$B$12,MATCH(G1576,MCC_Lookup!$A$2:$A$12,0))</f>
        <v>Office Supplies</v>
      </c>
      <c r="N1576" s="1" t="str">
        <f>IF(TRIM(H1576)="","BLANK",IF(PROPER(TRIM(H1576))=TRIM(M1576),"MATCH","MISMATCH"))</f>
        <v>MATCH</v>
      </c>
      <c r="O1576" s="5" t="str">
        <f>INDEX([1]Employee!$C$2:$C$276,MATCH(B1576,[1]Employee!$A$2:$A$276,0))</f>
        <v>Sales &amp; Marketing</v>
      </c>
    </row>
    <row r="1577" spans="1:15">
      <c r="A1577" s="1" t="s">
        <v>3244</v>
      </c>
      <c r="B1577" s="1" t="s">
        <v>314</v>
      </c>
      <c r="C1577" s="1" t="s">
        <v>3245</v>
      </c>
      <c r="D1577" s="2">
        <v>46107</v>
      </c>
      <c r="E1577" s="2">
        <v>46110</v>
      </c>
      <c r="F1577" s="1" t="s">
        <v>43</v>
      </c>
      <c r="G1577" s="1" t="s">
        <v>2</v>
      </c>
      <c r="H1577" s="1" t="s">
        <v>138</v>
      </c>
      <c r="I1577" s="7">
        <v>21.25</v>
      </c>
      <c r="J1577" s="1" t="s">
        <v>38</v>
      </c>
      <c r="K1577" s="1"/>
      <c r="L1577" s="1" t="s">
        <v>39</v>
      </c>
      <c r="M1577" s="1" t="str">
        <f>INDEX(MCC_Lookup!$B$2:$B$12,MATCH(G1577,MCC_Lookup!$A$2:$A$12,0))</f>
        <v>Meals</v>
      </c>
      <c r="N1577" s="1" t="str">
        <f>IF(TRIM(H1577)="","BLANK",IF(PROPER(TRIM(H1577))=TRIM(M1577),"MATCH","MISMATCH"))</f>
        <v>MATCH</v>
      </c>
      <c r="O1577" s="5" t="str">
        <f>INDEX([1]Employee!$C$2:$C$276,MATCH(B1577,[1]Employee!$A$2:$A$276,0))</f>
        <v>Sales &amp; Marketing</v>
      </c>
    </row>
    <row r="1578" spans="1:15">
      <c r="A1578" s="1" t="s">
        <v>3246</v>
      </c>
      <c r="B1578" s="1" t="s">
        <v>67</v>
      </c>
      <c r="C1578" s="1" t="s">
        <v>3247</v>
      </c>
      <c r="D1578" s="2">
        <v>46100</v>
      </c>
      <c r="E1578" s="2">
        <v>46110</v>
      </c>
      <c r="F1578" s="1" t="s">
        <v>305</v>
      </c>
      <c r="G1578" s="1" t="s">
        <v>2</v>
      </c>
      <c r="H1578" s="1" t="s">
        <v>5</v>
      </c>
      <c r="I1578" s="7">
        <v>15.48</v>
      </c>
      <c r="J1578" s="1" t="s">
        <v>38</v>
      </c>
      <c r="K1578" s="1"/>
      <c r="L1578" s="1" t="s">
        <v>39</v>
      </c>
      <c r="M1578" s="1" t="str">
        <f>INDEX(MCC_Lookup!$B$2:$B$12,MATCH(G1578,MCC_Lookup!$A$2:$A$12,0))</f>
        <v>Meals</v>
      </c>
      <c r="N1578" s="1" t="str">
        <f>IF(TRIM(H1578)="","BLANK",IF(PROPER(TRIM(H1578))=TRIM(M1578),"MATCH","MISMATCH"))</f>
        <v>MISMATCH</v>
      </c>
      <c r="O1578" s="5" t="str">
        <f>INDEX([1]Employee!$C$2:$C$276,MATCH(B1578,[1]Employee!$A$2:$A$276,0))</f>
        <v>Sales &amp; Marketing</v>
      </c>
    </row>
    <row r="1579" spans="1:15">
      <c r="A1579" s="1" t="s">
        <v>3248</v>
      </c>
      <c r="B1579" s="1" t="s">
        <v>382</v>
      </c>
      <c r="C1579" s="1" t="s">
        <v>3249</v>
      </c>
      <c r="D1579" s="2">
        <v>46108</v>
      </c>
      <c r="E1579" s="2">
        <v>46110</v>
      </c>
      <c r="F1579" s="1" t="s">
        <v>106</v>
      </c>
      <c r="G1579" s="1" t="s">
        <v>13</v>
      </c>
      <c r="H1579" s="1" t="s">
        <v>14</v>
      </c>
      <c r="I1579" s="7">
        <v>59.38</v>
      </c>
      <c r="J1579" s="1" t="s">
        <v>38</v>
      </c>
      <c r="K1579" s="1"/>
      <c r="L1579" s="1" t="s">
        <v>39</v>
      </c>
      <c r="M1579" s="1" t="str">
        <f>INDEX(MCC_Lookup!$B$2:$B$12,MATCH(G1579,MCC_Lookup!$A$2:$A$12,0))</f>
        <v>Software</v>
      </c>
      <c r="N1579" s="1" t="str">
        <f>IF(TRIM(H1579)="","BLANK",IF(PROPER(TRIM(H1579))=TRIM(M1579),"MATCH","MISMATCH"))</f>
        <v>MATCH</v>
      </c>
      <c r="O1579" s="5" t="str">
        <f>INDEX([1]Employee!$C$2:$C$276,MATCH(B1579,[1]Employee!$A$2:$A$276,0))</f>
        <v>Sales &amp; Marketing</v>
      </c>
    </row>
    <row r="1580" spans="1:15">
      <c r="A1580" s="1" t="s">
        <v>3250</v>
      </c>
      <c r="B1580" s="1" t="s">
        <v>152</v>
      </c>
      <c r="C1580" s="1" t="s">
        <v>3251</v>
      </c>
      <c r="D1580" s="2">
        <v>46100</v>
      </c>
      <c r="E1580" s="2">
        <v>46110</v>
      </c>
      <c r="F1580" s="1" t="s">
        <v>95</v>
      </c>
      <c r="G1580" s="1" t="s">
        <v>6</v>
      </c>
      <c r="H1580" s="1" t="s">
        <v>7</v>
      </c>
      <c r="I1580" s="7">
        <v>191.35</v>
      </c>
      <c r="J1580" s="1" t="s">
        <v>38</v>
      </c>
      <c r="K1580" s="1"/>
      <c r="L1580" s="1" t="s">
        <v>39</v>
      </c>
      <c r="M1580" s="1" t="str">
        <f>INDEX(MCC_Lookup!$B$2:$B$12,MATCH(G1580,MCC_Lookup!$A$2:$A$12,0))</f>
        <v>Lodging</v>
      </c>
      <c r="N1580" s="1" t="str">
        <f>IF(TRIM(H1580)="","BLANK",IF(PROPER(TRIM(H1580))=TRIM(M1580),"MATCH","MISMATCH"))</f>
        <v>MATCH</v>
      </c>
      <c r="O1580" s="5" t="str">
        <f>INDEX([1]Employee!$C$2:$C$276,MATCH(B1580,[1]Employee!$A$2:$A$276,0))</f>
        <v>Sales &amp; Marketing</v>
      </c>
    </row>
    <row r="1581" spans="1:15">
      <c r="A1581" s="1" t="s">
        <v>3252</v>
      </c>
      <c r="B1581" s="1" t="s">
        <v>1509</v>
      </c>
      <c r="C1581" s="1" t="s">
        <v>3253</v>
      </c>
      <c r="D1581" s="2">
        <v>46102</v>
      </c>
      <c r="E1581" s="2">
        <v>46110</v>
      </c>
      <c r="F1581" s="1" t="s">
        <v>242</v>
      </c>
      <c r="G1581" s="1" t="s">
        <v>13</v>
      </c>
      <c r="H1581" s="1" t="s">
        <v>14</v>
      </c>
      <c r="I1581" s="7">
        <v>16.72</v>
      </c>
      <c r="J1581" s="1" t="s">
        <v>38</v>
      </c>
      <c r="K1581" s="1"/>
      <c r="L1581" s="1" t="s">
        <v>39</v>
      </c>
      <c r="M1581" s="1" t="str">
        <f>INDEX(MCC_Lookup!$B$2:$B$12,MATCH(G1581,MCC_Lookup!$A$2:$A$12,0))</f>
        <v>Software</v>
      </c>
      <c r="N1581" s="1" t="str">
        <f>IF(TRIM(H1581)="","BLANK",IF(PROPER(TRIM(H1581))=TRIM(M1581),"MATCH","MISMATCH"))</f>
        <v>MATCH</v>
      </c>
      <c r="O1581" s="5" t="str">
        <f>INDEX([1]Employee!$C$2:$C$276,MATCH(B1581,[1]Employee!$A$2:$A$276,0))</f>
        <v>Claims</v>
      </c>
    </row>
    <row r="1582" spans="1:15">
      <c r="A1582" s="1" t="s">
        <v>3254</v>
      </c>
      <c r="B1582" s="1" t="s">
        <v>472</v>
      </c>
      <c r="C1582" s="1" t="s">
        <v>3255</v>
      </c>
      <c r="D1582" s="2">
        <v>46101</v>
      </c>
      <c r="E1582" s="2">
        <v>46110</v>
      </c>
      <c r="F1582" s="1" t="s">
        <v>177</v>
      </c>
      <c r="G1582" s="1" t="s">
        <v>13</v>
      </c>
      <c r="H1582" s="1"/>
      <c r="I1582" s="7">
        <v>36.729999999999997</v>
      </c>
      <c r="J1582" s="1" t="s">
        <v>38</v>
      </c>
      <c r="K1582" s="1"/>
      <c r="L1582" s="1" t="s">
        <v>39</v>
      </c>
      <c r="M1582" s="1" t="str">
        <f>INDEX(MCC_Lookup!$B$2:$B$12,MATCH(G1582,MCC_Lookup!$A$2:$A$12,0))</f>
        <v>Software</v>
      </c>
      <c r="N1582" s="1" t="str">
        <f>IF(TRIM(H1582)="","BLANK",IF(PROPER(TRIM(H1582))=TRIM(M1582),"MATCH","MISMATCH"))</f>
        <v>BLANK</v>
      </c>
      <c r="O1582" s="5" t="str">
        <f>INDEX([1]Employee!$C$2:$C$276,MATCH(B1582,[1]Employee!$A$2:$A$276,0))</f>
        <v>Sales &amp; Marketing</v>
      </c>
    </row>
    <row r="1583" spans="1:15">
      <c r="A1583" s="1" t="s">
        <v>3256</v>
      </c>
      <c r="B1583" s="1" t="s">
        <v>149</v>
      </c>
      <c r="C1583" s="1" t="s">
        <v>3257</v>
      </c>
      <c r="D1583" s="2">
        <v>46106</v>
      </c>
      <c r="E1583" s="2">
        <v>46110</v>
      </c>
      <c r="F1583" s="1" t="s">
        <v>116</v>
      </c>
      <c r="G1583" s="1" t="s">
        <v>2</v>
      </c>
      <c r="H1583" s="1" t="s">
        <v>3</v>
      </c>
      <c r="I1583" s="7">
        <v>11.9</v>
      </c>
      <c r="J1583" s="1" t="s">
        <v>38</v>
      </c>
      <c r="K1583" s="1"/>
      <c r="L1583" s="1" t="s">
        <v>39</v>
      </c>
      <c r="M1583" s="1" t="str">
        <f>INDEX(MCC_Lookup!$B$2:$B$12,MATCH(G1583,MCC_Lookup!$A$2:$A$12,0))</f>
        <v>Meals</v>
      </c>
      <c r="N1583" s="1" t="str">
        <f>IF(TRIM(H1583)="","BLANK",IF(PROPER(TRIM(H1583))=TRIM(M1583),"MATCH","MISMATCH"))</f>
        <v>MATCH</v>
      </c>
      <c r="O1583" s="5" t="str">
        <f>INDEX([1]Employee!$C$2:$C$276,MATCH(B1583,[1]Employee!$A$2:$A$276,0))</f>
        <v>Sales &amp; Marketing</v>
      </c>
    </row>
    <row r="1584" spans="1:15">
      <c r="A1584" s="1" t="s">
        <v>3258</v>
      </c>
      <c r="B1584" s="1" t="s">
        <v>524</v>
      </c>
      <c r="C1584" s="1" t="s">
        <v>3259</v>
      </c>
      <c r="D1584" s="2">
        <v>46108</v>
      </c>
      <c r="E1584" s="2">
        <v>46110</v>
      </c>
      <c r="F1584" s="1" t="s">
        <v>160</v>
      </c>
      <c r="G1584" s="1" t="s">
        <v>6</v>
      </c>
      <c r="H1584" s="1" t="s">
        <v>7</v>
      </c>
      <c r="I1584" s="7">
        <v>203.19</v>
      </c>
      <c r="J1584" s="1" t="s">
        <v>38</v>
      </c>
      <c r="K1584" s="1"/>
      <c r="L1584" s="1" t="s">
        <v>39</v>
      </c>
      <c r="M1584" s="1" t="str">
        <f>INDEX(MCC_Lookup!$B$2:$B$12,MATCH(G1584,MCC_Lookup!$A$2:$A$12,0))</f>
        <v>Lodging</v>
      </c>
      <c r="N1584" s="1" t="str">
        <f>IF(TRIM(H1584)="","BLANK",IF(PROPER(TRIM(H1584))=TRIM(M1584),"MATCH","MISMATCH"))</f>
        <v>MATCH</v>
      </c>
      <c r="O1584" s="5" t="str">
        <f>INDEX([1]Employee!$C$2:$C$276,MATCH(B1584,[1]Employee!$A$2:$A$276,0))</f>
        <v>Claims</v>
      </c>
    </row>
    <row r="1585" spans="1:15">
      <c r="A1585" s="1" t="s">
        <v>3260</v>
      </c>
      <c r="B1585" s="1" t="s">
        <v>499</v>
      </c>
      <c r="C1585" s="1" t="s">
        <v>3261</v>
      </c>
      <c r="D1585" s="2">
        <v>46103</v>
      </c>
      <c r="E1585" s="2">
        <v>46110</v>
      </c>
      <c r="F1585" s="1" t="s">
        <v>47</v>
      </c>
      <c r="G1585" s="1" t="s">
        <v>6</v>
      </c>
      <c r="H1585" s="1" t="s">
        <v>7</v>
      </c>
      <c r="I1585" s="7">
        <v>145.33000000000001</v>
      </c>
      <c r="J1585" s="1" t="s">
        <v>38</v>
      </c>
      <c r="K1585" s="1"/>
      <c r="L1585" s="1" t="s">
        <v>39</v>
      </c>
      <c r="M1585" s="1" t="str">
        <f>INDEX(MCC_Lookup!$B$2:$B$12,MATCH(G1585,MCC_Lookup!$A$2:$A$12,0))</f>
        <v>Lodging</v>
      </c>
      <c r="N1585" s="1" t="str">
        <f>IF(TRIM(H1585)="","BLANK",IF(PROPER(TRIM(H1585))=TRIM(M1585),"MATCH","MISMATCH"))</f>
        <v>MATCH</v>
      </c>
      <c r="O1585" s="5" t="str">
        <f>INDEX([1]Employee!$C$2:$C$276,MATCH(B1585,[1]Employee!$A$2:$A$276,0))</f>
        <v>Sales &amp; Marketing</v>
      </c>
    </row>
    <row r="1586" spans="1:15">
      <c r="A1586" s="1" t="s">
        <v>3262</v>
      </c>
      <c r="B1586" s="1" t="s">
        <v>261</v>
      </c>
      <c r="C1586" s="1" t="s">
        <v>3263</v>
      </c>
      <c r="D1586" s="2">
        <v>46108</v>
      </c>
      <c r="E1586" s="2">
        <v>46110</v>
      </c>
      <c r="F1586" s="1" t="s">
        <v>76</v>
      </c>
      <c r="G1586" s="1" t="s">
        <v>13</v>
      </c>
      <c r="H1586" s="1" t="s">
        <v>14</v>
      </c>
      <c r="I1586" s="7">
        <v>432.64</v>
      </c>
      <c r="J1586" s="1" t="s">
        <v>38</v>
      </c>
      <c r="K1586" s="1"/>
      <c r="L1586" s="1" t="s">
        <v>39</v>
      </c>
      <c r="M1586" s="1" t="str">
        <f>INDEX(MCC_Lookup!$B$2:$B$12,MATCH(G1586,MCC_Lookup!$A$2:$A$12,0))</f>
        <v>Software</v>
      </c>
      <c r="N1586" s="1" t="str">
        <f>IF(TRIM(H1586)="","BLANK",IF(PROPER(TRIM(H1586))=TRIM(M1586),"MATCH","MISMATCH"))</f>
        <v>MATCH</v>
      </c>
      <c r="O1586" s="5" t="str">
        <f>INDEX([1]Employee!$C$2:$C$276,MATCH(B1586,[1]Employee!$A$2:$A$276,0))</f>
        <v>Sales &amp; Marketing</v>
      </c>
    </row>
    <row r="1587" spans="1:15">
      <c r="A1587" s="1" t="s">
        <v>3264</v>
      </c>
      <c r="B1587" s="1" t="s">
        <v>512</v>
      </c>
      <c r="C1587" s="1" t="s">
        <v>3265</v>
      </c>
      <c r="D1587" s="2">
        <v>46100</v>
      </c>
      <c r="E1587" s="2">
        <v>46110</v>
      </c>
      <c r="F1587" s="1" t="s">
        <v>52</v>
      </c>
      <c r="G1587" s="1" t="s">
        <v>15</v>
      </c>
      <c r="H1587" s="1" t="s">
        <v>16</v>
      </c>
      <c r="I1587" s="7">
        <v>21.18</v>
      </c>
      <c r="J1587" s="1" t="s">
        <v>38</v>
      </c>
      <c r="K1587" s="1"/>
      <c r="L1587" s="1" t="s">
        <v>39</v>
      </c>
      <c r="M1587" s="1" t="str">
        <f>INDEX(MCC_Lookup!$B$2:$B$12,MATCH(G1587,MCC_Lookup!$A$2:$A$12,0))</f>
        <v>Entertainment</v>
      </c>
      <c r="N1587" s="1" t="str">
        <f>IF(TRIM(H1587)="","BLANK",IF(PROPER(TRIM(H1587))=TRIM(M1587),"MATCH","MISMATCH"))</f>
        <v>MATCH</v>
      </c>
      <c r="O1587" s="5" t="str">
        <f>INDEX([1]Employee!$C$2:$C$276,MATCH(B1587,[1]Employee!$A$2:$A$276,0))</f>
        <v>Sales &amp; Marketing</v>
      </c>
    </row>
    <row r="1588" spans="1:15">
      <c r="A1588" s="1" t="s">
        <v>3266</v>
      </c>
      <c r="B1588" s="1" t="s">
        <v>71</v>
      </c>
      <c r="C1588" s="1" t="s">
        <v>3267</v>
      </c>
      <c r="D1588" s="2">
        <v>46110</v>
      </c>
      <c r="E1588" s="2">
        <v>46110</v>
      </c>
      <c r="F1588" s="1" t="s">
        <v>76</v>
      </c>
      <c r="G1588" s="1" t="s">
        <v>13</v>
      </c>
      <c r="H1588" s="1" t="s">
        <v>14</v>
      </c>
      <c r="I1588" s="7">
        <v>474.42</v>
      </c>
      <c r="J1588" s="1" t="s">
        <v>38</v>
      </c>
      <c r="K1588" s="1"/>
      <c r="L1588" s="1" t="s">
        <v>48</v>
      </c>
      <c r="M1588" s="1" t="str">
        <f>INDEX(MCC_Lookup!$B$2:$B$12,MATCH(G1588,MCC_Lookup!$A$2:$A$12,0))</f>
        <v>Software</v>
      </c>
      <c r="N1588" s="1" t="str">
        <f>IF(TRIM(H1588)="","BLANK",IF(PROPER(TRIM(H1588))=TRIM(M1588),"MATCH","MISMATCH"))</f>
        <v>MATCH</v>
      </c>
      <c r="O1588" s="5" t="str">
        <f>INDEX([1]Employee!$C$2:$C$276,MATCH(B1588,[1]Employee!$A$2:$A$276,0))</f>
        <v>Sales &amp; Marketing</v>
      </c>
    </row>
    <row r="1589" spans="1:15">
      <c r="A1589" s="1" t="s">
        <v>3268</v>
      </c>
      <c r="B1589" s="1" t="s">
        <v>687</v>
      </c>
      <c r="C1589" s="1" t="s">
        <v>3269</v>
      </c>
      <c r="D1589" s="2">
        <v>46100</v>
      </c>
      <c r="E1589" s="2">
        <v>46110</v>
      </c>
      <c r="F1589" s="1" t="s">
        <v>79</v>
      </c>
      <c r="G1589" s="1" t="s">
        <v>13</v>
      </c>
      <c r="H1589" s="1" t="s">
        <v>14</v>
      </c>
      <c r="I1589" s="7">
        <v>95.37</v>
      </c>
      <c r="J1589" s="1" t="s">
        <v>38</v>
      </c>
      <c r="K1589" s="1"/>
      <c r="L1589" s="1" t="s">
        <v>39</v>
      </c>
      <c r="M1589" s="1" t="str">
        <f>INDEX(MCC_Lookup!$B$2:$B$12,MATCH(G1589,MCC_Lookup!$A$2:$A$12,0))</f>
        <v>Software</v>
      </c>
      <c r="N1589" s="1" t="str">
        <f>IF(TRIM(H1589)="","BLANK",IF(PROPER(TRIM(H1589))=TRIM(M1589),"MATCH","MISMATCH"))</f>
        <v>MATCH</v>
      </c>
      <c r="O1589" s="5" t="str">
        <f>INDEX([1]Employee!$C$2:$C$276,MATCH(B1589,[1]Employee!$A$2:$A$276,0))</f>
        <v>Executive &amp; Corporate</v>
      </c>
    </row>
    <row r="1590" spans="1:15">
      <c r="A1590" s="1" t="s">
        <v>3270</v>
      </c>
      <c r="B1590" s="1" t="s">
        <v>182</v>
      </c>
      <c r="C1590" s="1" t="s">
        <v>3271</v>
      </c>
      <c r="D1590" s="2">
        <v>46107</v>
      </c>
      <c r="E1590" s="2">
        <v>46110</v>
      </c>
      <c r="F1590" s="1" t="s">
        <v>160</v>
      </c>
      <c r="G1590" s="1" t="s">
        <v>6</v>
      </c>
      <c r="H1590" s="1" t="s">
        <v>7</v>
      </c>
      <c r="I1590" s="7">
        <v>394.53</v>
      </c>
      <c r="J1590" s="1" t="s">
        <v>38</v>
      </c>
      <c r="K1590" s="1"/>
      <c r="L1590" s="1" t="s">
        <v>39</v>
      </c>
      <c r="M1590" s="1" t="str">
        <f>INDEX(MCC_Lookup!$B$2:$B$12,MATCH(G1590,MCC_Lookup!$A$2:$A$12,0))</f>
        <v>Lodging</v>
      </c>
      <c r="N1590" s="1" t="str">
        <f>IF(TRIM(H1590)="","BLANK",IF(PROPER(TRIM(H1590))=TRIM(M1590),"MATCH","MISMATCH"))</f>
        <v>MATCH</v>
      </c>
      <c r="O1590" s="5" t="str">
        <f>INDEX([1]Employee!$C$2:$C$276,MATCH(B1590,[1]Employee!$A$2:$A$276,0))</f>
        <v>Sales &amp; Marketing</v>
      </c>
    </row>
    <row r="1591" spans="1:15">
      <c r="A1591" s="1" t="s">
        <v>3272</v>
      </c>
      <c r="B1591" s="1" t="s">
        <v>593</v>
      </c>
      <c r="C1591" s="1" t="s">
        <v>3273</v>
      </c>
      <c r="D1591" s="2">
        <v>46107</v>
      </c>
      <c r="E1591" s="2">
        <v>46110</v>
      </c>
      <c r="F1591" s="1" t="s">
        <v>173</v>
      </c>
      <c r="G1591" s="1" t="s">
        <v>2</v>
      </c>
      <c r="H1591" s="1" t="s">
        <v>3</v>
      </c>
      <c r="I1591" s="7">
        <v>38.96</v>
      </c>
      <c r="J1591" s="1" t="s">
        <v>38</v>
      </c>
      <c r="K1591" s="1"/>
      <c r="L1591" s="1" t="s">
        <v>39</v>
      </c>
      <c r="M1591" s="1" t="str">
        <f>INDEX(MCC_Lookup!$B$2:$B$12,MATCH(G1591,MCC_Lookup!$A$2:$A$12,0))</f>
        <v>Meals</v>
      </c>
      <c r="N1591" s="1" t="str">
        <f>IF(TRIM(H1591)="","BLANK",IF(PROPER(TRIM(H1591))=TRIM(M1591),"MATCH","MISMATCH"))</f>
        <v>MATCH</v>
      </c>
      <c r="O1591" s="5" t="str">
        <f>INDEX([1]Employee!$C$2:$C$276,MATCH(B1591,[1]Employee!$A$2:$A$276,0))</f>
        <v>Sales &amp; Marketing</v>
      </c>
    </row>
    <row r="1592" spans="1:15">
      <c r="A1592" s="1" t="s">
        <v>3274</v>
      </c>
      <c r="B1592" s="1" t="s">
        <v>300</v>
      </c>
      <c r="C1592" s="1" t="s">
        <v>3275</v>
      </c>
      <c r="D1592" s="2">
        <v>46108</v>
      </c>
      <c r="E1592" s="2">
        <v>46111</v>
      </c>
      <c r="F1592" s="1" t="s">
        <v>47</v>
      </c>
      <c r="G1592" s="1" t="s">
        <v>6</v>
      </c>
      <c r="H1592" s="1" t="s">
        <v>7</v>
      </c>
      <c r="I1592" s="7">
        <v>301.98</v>
      </c>
      <c r="J1592" s="1" t="s">
        <v>38</v>
      </c>
      <c r="K1592" s="1"/>
      <c r="L1592" s="1" t="s">
        <v>39</v>
      </c>
      <c r="M1592" s="1" t="str">
        <f>INDEX(MCC_Lookup!$B$2:$B$12,MATCH(G1592,MCC_Lookup!$A$2:$A$12,0))</f>
        <v>Lodging</v>
      </c>
      <c r="N1592" s="1" t="str">
        <f>IF(TRIM(H1592)="","BLANK",IF(PROPER(TRIM(H1592))=TRIM(M1592),"MATCH","MISMATCH"))</f>
        <v>MATCH</v>
      </c>
      <c r="O1592" s="5" t="str">
        <f>INDEX([1]Employee!$C$2:$C$276,MATCH(B1592,[1]Employee!$A$2:$A$276,0))</f>
        <v>Sales &amp; Marketing</v>
      </c>
    </row>
    <row r="1593" spans="1:15">
      <c r="A1593" s="1" t="s">
        <v>3276</v>
      </c>
      <c r="B1593" s="1" t="s">
        <v>314</v>
      </c>
      <c r="C1593" s="1"/>
      <c r="D1593" s="2">
        <v>46109</v>
      </c>
      <c r="E1593" s="2">
        <v>46111</v>
      </c>
      <c r="F1593" s="1" t="s">
        <v>99</v>
      </c>
      <c r="G1593" s="1" t="s">
        <v>2</v>
      </c>
      <c r="H1593" s="1" t="s">
        <v>3</v>
      </c>
      <c r="I1593" s="7">
        <v>139.43</v>
      </c>
      <c r="J1593" s="1" t="s">
        <v>38</v>
      </c>
      <c r="K1593" s="1"/>
      <c r="L1593" s="1" t="s">
        <v>39</v>
      </c>
      <c r="M1593" s="1" t="str">
        <f>INDEX(MCC_Lookup!$B$2:$B$12,MATCH(G1593,MCC_Lookup!$A$2:$A$12,0))</f>
        <v>Meals</v>
      </c>
      <c r="N1593" s="1" t="str">
        <f>IF(TRIM(H1593)="","BLANK",IF(PROPER(TRIM(H1593))=TRIM(M1593),"MATCH","MISMATCH"))</f>
        <v>MATCH</v>
      </c>
      <c r="O1593" s="5" t="str">
        <f>INDEX([1]Employee!$C$2:$C$276,MATCH(B1593,[1]Employee!$A$2:$A$276,0))</f>
        <v>Sales &amp; Marketing</v>
      </c>
    </row>
    <row r="1594" spans="1:15">
      <c r="A1594" s="1" t="s">
        <v>3277</v>
      </c>
      <c r="B1594" s="1" t="s">
        <v>597</v>
      </c>
      <c r="C1594" s="1" t="s">
        <v>3278</v>
      </c>
      <c r="D1594" s="2">
        <v>46104</v>
      </c>
      <c r="E1594" s="2">
        <v>46111</v>
      </c>
      <c r="F1594" s="1" t="s">
        <v>120</v>
      </c>
      <c r="G1594" s="1" t="s">
        <v>12</v>
      </c>
      <c r="H1594" s="1" t="s">
        <v>11</v>
      </c>
      <c r="I1594" s="7">
        <v>97.86</v>
      </c>
      <c r="J1594" s="1" t="s">
        <v>38</v>
      </c>
      <c r="K1594" s="1"/>
      <c r="L1594" s="1" t="s">
        <v>39</v>
      </c>
      <c r="M1594" s="1" t="str">
        <f>INDEX(MCC_Lookup!$B$2:$B$12,MATCH(G1594,MCC_Lookup!$A$2:$A$12,0))</f>
        <v>Office Supplies</v>
      </c>
      <c r="N1594" s="1" t="str">
        <f>IF(TRIM(H1594)="","BLANK",IF(PROPER(TRIM(H1594))=TRIM(M1594),"MATCH","MISMATCH"))</f>
        <v>MATCH</v>
      </c>
      <c r="O1594" s="5" t="str">
        <f>INDEX([1]Employee!$C$2:$C$276,MATCH(B1594,[1]Employee!$A$2:$A$276,0))</f>
        <v>Sales &amp; Marketing</v>
      </c>
    </row>
    <row r="1595" spans="1:15">
      <c r="A1595" s="1" t="s">
        <v>3279</v>
      </c>
      <c r="B1595" s="1" t="s">
        <v>888</v>
      </c>
      <c r="C1595" s="1" t="s">
        <v>3280</v>
      </c>
      <c r="D1595" s="2">
        <v>46106</v>
      </c>
      <c r="E1595" s="2">
        <v>46111</v>
      </c>
      <c r="F1595" s="1" t="s">
        <v>120</v>
      </c>
      <c r="G1595" s="1" t="s">
        <v>12</v>
      </c>
      <c r="H1595" s="1" t="s">
        <v>5</v>
      </c>
      <c r="I1595" s="7">
        <v>406.25</v>
      </c>
      <c r="J1595" s="1" t="s">
        <v>38</v>
      </c>
      <c r="K1595" s="1"/>
      <c r="L1595" s="1" t="s">
        <v>39</v>
      </c>
      <c r="M1595" s="1" t="str">
        <f>INDEX(MCC_Lookup!$B$2:$B$12,MATCH(G1595,MCC_Lookup!$A$2:$A$12,0))</f>
        <v>Office Supplies</v>
      </c>
      <c r="N1595" s="1" t="str">
        <f>IF(TRIM(H1595)="","BLANK",IF(PROPER(TRIM(H1595))=TRIM(M1595),"MATCH","MISMATCH"))</f>
        <v>MISMATCH</v>
      </c>
      <c r="O1595" s="5" t="str">
        <f>INDEX([1]Employee!$C$2:$C$276,MATCH(B1595,[1]Employee!$A$2:$A$276,0))</f>
        <v>Claims</v>
      </c>
    </row>
    <row r="1596" spans="1:15">
      <c r="A1596" s="1" t="s">
        <v>3281</v>
      </c>
      <c r="B1596" s="1" t="s">
        <v>190</v>
      </c>
      <c r="C1596" s="1" t="s">
        <v>3282</v>
      </c>
      <c r="D1596" s="2">
        <v>46109</v>
      </c>
      <c r="E1596" s="2">
        <v>46111</v>
      </c>
      <c r="F1596" s="1" t="s">
        <v>201</v>
      </c>
      <c r="G1596" s="1" t="s">
        <v>4</v>
      </c>
      <c r="H1596" s="1" t="s">
        <v>5</v>
      </c>
      <c r="I1596" s="7">
        <v>288.14999999999998</v>
      </c>
      <c r="J1596" s="1" t="s">
        <v>38</v>
      </c>
      <c r="K1596" s="1"/>
      <c r="L1596" s="1" t="s">
        <v>39</v>
      </c>
      <c r="M1596" s="1" t="str">
        <f>INDEX(MCC_Lookup!$B$2:$B$12,MATCH(G1596,MCC_Lookup!$A$2:$A$12,0))</f>
        <v>Travel</v>
      </c>
      <c r="N1596" s="1" t="str">
        <f>IF(TRIM(H1596)="","BLANK",IF(PROPER(TRIM(H1596))=TRIM(M1596),"MATCH","MISMATCH"))</f>
        <v>MATCH</v>
      </c>
      <c r="O1596" s="5" t="str">
        <f>INDEX([1]Employee!$C$2:$C$276,MATCH(B1596,[1]Employee!$A$2:$A$276,0))</f>
        <v>Sales &amp; Marketing</v>
      </c>
    </row>
    <row r="1597" spans="1:15">
      <c r="A1597" s="1" t="s">
        <v>3283</v>
      </c>
      <c r="B1597" s="1" t="s">
        <v>182</v>
      </c>
      <c r="C1597" s="1" t="s">
        <v>3284</v>
      </c>
      <c r="D1597" s="2">
        <v>46106</v>
      </c>
      <c r="E1597" s="2">
        <v>46111</v>
      </c>
      <c r="F1597" s="1" t="s">
        <v>52</v>
      </c>
      <c r="G1597" s="1" t="s">
        <v>15</v>
      </c>
      <c r="H1597" s="1" t="s">
        <v>16</v>
      </c>
      <c r="I1597" s="7">
        <v>34.950000000000003</v>
      </c>
      <c r="J1597" s="1" t="s">
        <v>38</v>
      </c>
      <c r="K1597" s="1"/>
      <c r="L1597" s="1" t="s">
        <v>39</v>
      </c>
      <c r="M1597" s="1" t="str">
        <f>INDEX(MCC_Lookup!$B$2:$B$12,MATCH(G1597,MCC_Lookup!$A$2:$A$12,0))</f>
        <v>Entertainment</v>
      </c>
      <c r="N1597" s="1" t="str">
        <f>IF(TRIM(H1597)="","BLANK",IF(PROPER(TRIM(H1597))=TRIM(M1597),"MATCH","MISMATCH"))</f>
        <v>MATCH</v>
      </c>
      <c r="O1597" s="5" t="str">
        <f>INDEX([1]Employee!$C$2:$C$276,MATCH(B1597,[1]Employee!$A$2:$A$276,0))</f>
        <v>Sales &amp; Marketing</v>
      </c>
    </row>
    <row r="1598" spans="1:15">
      <c r="A1598" s="1" t="s">
        <v>3285</v>
      </c>
      <c r="B1598" s="1" t="s">
        <v>1150</v>
      </c>
      <c r="C1598" s="1" t="s">
        <v>3286</v>
      </c>
      <c r="D1598" s="2">
        <v>46111</v>
      </c>
      <c r="E1598" s="2">
        <v>46111</v>
      </c>
      <c r="F1598" s="1" t="s">
        <v>72</v>
      </c>
      <c r="G1598" s="1" t="s">
        <v>8</v>
      </c>
      <c r="H1598" s="1" t="s">
        <v>9</v>
      </c>
      <c r="I1598" s="7">
        <v>25.96</v>
      </c>
      <c r="J1598" s="1" t="s">
        <v>38</v>
      </c>
      <c r="K1598" s="1"/>
      <c r="L1598" s="1" t="s">
        <v>39</v>
      </c>
      <c r="M1598" s="1" t="str">
        <f>INDEX(MCC_Lookup!$B$2:$B$12,MATCH(G1598,MCC_Lookup!$A$2:$A$12,0))</f>
        <v>Transportation</v>
      </c>
      <c r="N1598" s="1" t="str">
        <f>IF(TRIM(H1598)="","BLANK",IF(PROPER(TRIM(H1598))=TRIM(M1598),"MATCH","MISMATCH"))</f>
        <v>MATCH</v>
      </c>
      <c r="O1598" s="5" t="str">
        <f>INDEX([1]Employee!$C$2:$C$276,MATCH(B1598,[1]Employee!$A$2:$A$276,0))</f>
        <v>Finance</v>
      </c>
    </row>
    <row r="1599" spans="1:15">
      <c r="A1599" s="1" t="s">
        <v>3287</v>
      </c>
      <c r="B1599" s="1" t="s">
        <v>677</v>
      </c>
      <c r="C1599" s="1" t="s">
        <v>3288</v>
      </c>
      <c r="D1599" s="2">
        <v>46106</v>
      </c>
      <c r="E1599" s="2">
        <v>46111</v>
      </c>
      <c r="F1599" s="1" t="s">
        <v>173</v>
      </c>
      <c r="G1599" s="1" t="s">
        <v>2</v>
      </c>
      <c r="H1599" s="1" t="s">
        <v>154</v>
      </c>
      <c r="I1599" s="7">
        <v>57.27</v>
      </c>
      <c r="J1599" s="1" t="s">
        <v>38</v>
      </c>
      <c r="K1599" s="1"/>
      <c r="L1599" s="1" t="s">
        <v>48</v>
      </c>
      <c r="M1599" s="1" t="str">
        <f>INDEX(MCC_Lookup!$B$2:$B$12,MATCH(G1599,MCC_Lookup!$A$2:$A$12,0))</f>
        <v>Meals</v>
      </c>
      <c r="N1599" s="1" t="str">
        <f>IF(TRIM(H1599)="","BLANK",IF(PROPER(TRIM(H1599))=TRIM(M1599),"MATCH","MISMATCH"))</f>
        <v>MATCH</v>
      </c>
      <c r="O1599" s="5" t="str">
        <f>INDEX([1]Employee!$C$2:$C$276,MATCH(B1599,[1]Employee!$A$2:$A$276,0))</f>
        <v>Sales &amp; Marketing</v>
      </c>
    </row>
    <row r="1600" spans="1:15">
      <c r="A1600" s="1" t="s">
        <v>3289</v>
      </c>
      <c r="B1600" s="1" t="s">
        <v>1170</v>
      </c>
      <c r="C1600" s="1" t="s">
        <v>3290</v>
      </c>
      <c r="D1600" s="2">
        <v>46108</v>
      </c>
      <c r="E1600" s="2">
        <v>46111</v>
      </c>
      <c r="F1600" s="1" t="s">
        <v>160</v>
      </c>
      <c r="G1600" s="1" t="s">
        <v>6</v>
      </c>
      <c r="H1600" s="1" t="s">
        <v>7</v>
      </c>
      <c r="I1600" s="7">
        <v>279.45</v>
      </c>
      <c r="J1600" s="1" t="s">
        <v>38</v>
      </c>
      <c r="K1600" s="1"/>
      <c r="L1600" s="1" t="s">
        <v>39</v>
      </c>
      <c r="M1600" s="1" t="str">
        <f>INDEX(MCC_Lookup!$B$2:$B$12,MATCH(G1600,MCC_Lookup!$A$2:$A$12,0))</f>
        <v>Lodging</v>
      </c>
      <c r="N1600" s="1" t="str">
        <f>IF(TRIM(H1600)="","BLANK",IF(PROPER(TRIM(H1600))=TRIM(M1600),"MATCH","MISMATCH"))</f>
        <v>MATCH</v>
      </c>
      <c r="O1600" s="5" t="str">
        <f>INDEX([1]Employee!$C$2:$C$276,MATCH(B1600,[1]Employee!$A$2:$A$276,0))</f>
        <v>Finance</v>
      </c>
    </row>
    <row r="1601" spans="1:15">
      <c r="A1601" s="1" t="s">
        <v>3291</v>
      </c>
      <c r="B1601" s="1" t="s">
        <v>379</v>
      </c>
      <c r="C1601" s="1" t="s">
        <v>3292</v>
      </c>
      <c r="D1601" s="2">
        <v>46111</v>
      </c>
      <c r="E1601" s="2">
        <v>46111</v>
      </c>
      <c r="F1601" s="1" t="s">
        <v>242</v>
      </c>
      <c r="G1601" s="1" t="s">
        <v>13</v>
      </c>
      <c r="H1601" s="1" t="s">
        <v>14</v>
      </c>
      <c r="I1601" s="7">
        <v>21.22</v>
      </c>
      <c r="J1601" s="1" t="s">
        <v>38</v>
      </c>
      <c r="K1601" s="1"/>
      <c r="L1601" s="1" t="s">
        <v>39</v>
      </c>
      <c r="M1601" s="1" t="str">
        <f>INDEX(MCC_Lookup!$B$2:$B$12,MATCH(G1601,MCC_Lookup!$A$2:$A$12,0))</f>
        <v>Software</v>
      </c>
      <c r="N1601" s="1" t="str">
        <f>IF(TRIM(H1601)="","BLANK",IF(PROPER(TRIM(H1601))=TRIM(M1601),"MATCH","MISMATCH"))</f>
        <v>MATCH</v>
      </c>
      <c r="O1601" s="5" t="str">
        <f>INDEX([1]Employee!$C$2:$C$276,MATCH(B1601,[1]Employee!$A$2:$A$276,0))</f>
        <v>Sales &amp; Marketing</v>
      </c>
    </row>
    <row r="1602" spans="1:15">
      <c r="A1602" s="1" t="s">
        <v>3293</v>
      </c>
      <c r="B1602" s="1" t="s">
        <v>810</v>
      </c>
      <c r="C1602" s="1" t="s">
        <v>3294</v>
      </c>
      <c r="D1602" s="2">
        <v>46103</v>
      </c>
      <c r="E1602" s="2">
        <v>46111</v>
      </c>
      <c r="F1602" s="1" t="s">
        <v>43</v>
      </c>
      <c r="G1602" s="1" t="s">
        <v>2</v>
      </c>
      <c r="H1602" s="1" t="s">
        <v>154</v>
      </c>
      <c r="I1602" s="7">
        <v>24.71</v>
      </c>
      <c r="J1602" s="1" t="s">
        <v>38</v>
      </c>
      <c r="K1602" s="1"/>
      <c r="L1602" s="1" t="s">
        <v>39</v>
      </c>
      <c r="M1602" s="1" t="str">
        <f>INDEX(MCC_Lookup!$B$2:$B$12,MATCH(G1602,MCC_Lookup!$A$2:$A$12,0))</f>
        <v>Meals</v>
      </c>
      <c r="N1602" s="1" t="str">
        <f>IF(TRIM(H1602)="","BLANK",IF(PROPER(TRIM(H1602))=TRIM(M1602),"MATCH","MISMATCH"))</f>
        <v>MATCH</v>
      </c>
      <c r="O1602" s="5" t="str">
        <f>INDEX([1]Employee!$C$2:$C$276,MATCH(B1602,[1]Employee!$A$2:$A$276,0))</f>
        <v>Sales &amp; Marketing</v>
      </c>
    </row>
    <row r="1603" spans="1:15">
      <c r="A1603" s="1" t="s">
        <v>3295</v>
      </c>
      <c r="B1603" s="1" t="s">
        <v>382</v>
      </c>
      <c r="C1603" s="1" t="s">
        <v>3296</v>
      </c>
      <c r="D1603" s="2">
        <v>46104</v>
      </c>
      <c r="E1603" s="2">
        <v>46111</v>
      </c>
      <c r="F1603" s="1" t="s">
        <v>242</v>
      </c>
      <c r="G1603" s="1" t="s">
        <v>13</v>
      </c>
      <c r="H1603" s="1" t="s">
        <v>14</v>
      </c>
      <c r="I1603" s="7">
        <v>57.01</v>
      </c>
      <c r="J1603" s="1" t="s">
        <v>38</v>
      </c>
      <c r="K1603" s="1"/>
      <c r="L1603" s="1" t="s">
        <v>39</v>
      </c>
      <c r="M1603" s="1" t="str">
        <f>INDEX(MCC_Lookup!$B$2:$B$12,MATCH(G1603,MCC_Lookup!$A$2:$A$12,0))</f>
        <v>Software</v>
      </c>
      <c r="N1603" s="1" t="str">
        <f>IF(TRIM(H1603)="","BLANK",IF(PROPER(TRIM(H1603))=TRIM(M1603),"MATCH","MISMATCH"))</f>
        <v>MATCH</v>
      </c>
      <c r="O1603" s="5" t="str">
        <f>INDEX([1]Employee!$C$2:$C$276,MATCH(B1603,[1]Employee!$A$2:$A$276,0))</f>
        <v>Sales &amp; Marketing</v>
      </c>
    </row>
    <row r="1604" spans="1:15">
      <c r="A1604" s="1" t="s">
        <v>3297</v>
      </c>
      <c r="B1604" s="1" t="s">
        <v>289</v>
      </c>
      <c r="C1604" s="1" t="s">
        <v>3298</v>
      </c>
      <c r="D1604" s="2">
        <v>46101</v>
      </c>
      <c r="E1604" s="2">
        <v>46111</v>
      </c>
      <c r="F1604" s="1" t="s">
        <v>47</v>
      </c>
      <c r="G1604" s="1" t="s">
        <v>6</v>
      </c>
      <c r="H1604" s="1" t="s">
        <v>7</v>
      </c>
      <c r="I1604" s="7">
        <v>298.77</v>
      </c>
      <c r="J1604" s="1" t="s">
        <v>38</v>
      </c>
      <c r="K1604" s="1"/>
      <c r="L1604" s="1" t="s">
        <v>39</v>
      </c>
      <c r="M1604" s="1" t="str">
        <f>INDEX(MCC_Lookup!$B$2:$B$12,MATCH(G1604,MCC_Lookup!$A$2:$A$12,0))</f>
        <v>Lodging</v>
      </c>
      <c r="N1604" s="1" t="str">
        <f>IF(TRIM(H1604)="","BLANK",IF(PROPER(TRIM(H1604))=TRIM(M1604),"MATCH","MISMATCH"))</f>
        <v>MATCH</v>
      </c>
      <c r="O1604" s="5" t="str">
        <f>INDEX([1]Employee!$C$2:$C$276,MATCH(B1604,[1]Employee!$A$2:$A$276,0))</f>
        <v>Finance</v>
      </c>
    </row>
    <row r="1605" spans="1:15">
      <c r="A1605" s="1" t="s">
        <v>3299</v>
      </c>
      <c r="B1605" s="1" t="s">
        <v>487</v>
      </c>
      <c r="C1605" s="1" t="s">
        <v>3300</v>
      </c>
      <c r="D1605" s="2">
        <v>46104</v>
      </c>
      <c r="E1605" s="2">
        <v>46111</v>
      </c>
      <c r="F1605" s="1" t="s">
        <v>99</v>
      </c>
      <c r="G1605" s="1" t="s">
        <v>2</v>
      </c>
      <c r="H1605" s="1" t="s">
        <v>794</v>
      </c>
      <c r="I1605" s="7">
        <v>27.05</v>
      </c>
      <c r="J1605" s="1" t="s">
        <v>38</v>
      </c>
      <c r="K1605" s="1"/>
      <c r="L1605" s="1" t="s">
        <v>39</v>
      </c>
      <c r="M1605" s="1" t="str">
        <f>INDEX(MCC_Lookup!$B$2:$B$12,MATCH(G1605,MCC_Lookup!$A$2:$A$12,0))</f>
        <v>Meals</v>
      </c>
      <c r="N1605" s="1" t="str">
        <f>IF(TRIM(H1605)="","BLANK",IF(PROPER(TRIM(H1605))=TRIM(M1605),"MATCH","MISMATCH"))</f>
        <v>MATCH</v>
      </c>
      <c r="O1605" s="5" t="str">
        <f>INDEX([1]Employee!$C$2:$C$276,MATCH(B1605,[1]Employee!$A$2:$A$276,0))</f>
        <v>IT &amp; Platform Engineering</v>
      </c>
    </row>
    <row r="1606" spans="1:15">
      <c r="A1606" s="1" t="s">
        <v>3301</v>
      </c>
      <c r="B1606" s="1" t="s">
        <v>738</v>
      </c>
      <c r="C1606" s="1" t="s">
        <v>3302</v>
      </c>
      <c r="D1606" s="2">
        <v>46101</v>
      </c>
      <c r="E1606" s="2">
        <v>46111</v>
      </c>
      <c r="F1606" s="1" t="s">
        <v>99</v>
      </c>
      <c r="G1606" s="1" t="s">
        <v>2</v>
      </c>
      <c r="H1606" s="1" t="s">
        <v>3</v>
      </c>
      <c r="I1606" s="7">
        <v>119.43</v>
      </c>
      <c r="J1606" s="1" t="s">
        <v>38</v>
      </c>
      <c r="K1606" s="1"/>
      <c r="L1606" s="1" t="s">
        <v>39</v>
      </c>
      <c r="M1606" s="1" t="str">
        <f>INDEX(MCC_Lookup!$B$2:$B$12,MATCH(G1606,MCC_Lookup!$A$2:$A$12,0))</f>
        <v>Meals</v>
      </c>
      <c r="N1606" s="1" t="str">
        <f>IF(TRIM(H1606)="","BLANK",IF(PROPER(TRIM(H1606))=TRIM(M1606),"MATCH","MISMATCH"))</f>
        <v>MATCH</v>
      </c>
      <c r="O1606" s="5" t="str">
        <f>INDEX([1]Employee!$C$2:$C$276,MATCH(B1606,[1]Employee!$A$2:$A$276,0))</f>
        <v>Sales &amp; Marketing</v>
      </c>
    </row>
    <row r="1607" spans="1:15">
      <c r="A1607" s="1" t="s">
        <v>3303</v>
      </c>
      <c r="B1607" s="1" t="s">
        <v>1504</v>
      </c>
      <c r="C1607" s="1" t="s">
        <v>3304</v>
      </c>
      <c r="D1607" s="2">
        <v>46107</v>
      </c>
      <c r="E1607" s="2">
        <v>46111</v>
      </c>
      <c r="F1607" s="1" t="s">
        <v>61</v>
      </c>
      <c r="G1607" s="1" t="s">
        <v>13</v>
      </c>
      <c r="H1607" s="1" t="s">
        <v>14</v>
      </c>
      <c r="I1607" s="7">
        <v>67.989999999999995</v>
      </c>
      <c r="J1607" s="1" t="s">
        <v>38</v>
      </c>
      <c r="K1607" s="1"/>
      <c r="L1607" s="1" t="s">
        <v>39</v>
      </c>
      <c r="M1607" s="1" t="str">
        <f>INDEX(MCC_Lookup!$B$2:$B$12,MATCH(G1607,MCC_Lookup!$A$2:$A$12,0))</f>
        <v>Software</v>
      </c>
      <c r="N1607" s="1" t="str">
        <f>IF(TRIM(H1607)="","BLANK",IF(PROPER(TRIM(H1607))=TRIM(M1607),"MATCH","MISMATCH"))</f>
        <v>MATCH</v>
      </c>
      <c r="O1607" s="5" t="str">
        <f>INDEX([1]Employee!$C$2:$C$276,MATCH(B1607,[1]Employee!$A$2:$A$276,0))</f>
        <v>Sales &amp; Marketing</v>
      </c>
    </row>
    <row r="1608" spans="1:15">
      <c r="A1608" s="1" t="s">
        <v>3305</v>
      </c>
      <c r="B1608" s="1" t="s">
        <v>1110</v>
      </c>
      <c r="C1608" s="1" t="s">
        <v>3306</v>
      </c>
      <c r="D1608" s="2">
        <v>46106</v>
      </c>
      <c r="E1608" s="2">
        <v>46111</v>
      </c>
      <c r="F1608" s="1" t="s">
        <v>95</v>
      </c>
      <c r="G1608" s="1" t="s">
        <v>6</v>
      </c>
      <c r="H1608" s="1"/>
      <c r="I1608" s="7">
        <v>156.11000000000001</v>
      </c>
      <c r="J1608" s="1" t="s">
        <v>38</v>
      </c>
      <c r="K1608" s="1"/>
      <c r="L1608" s="1" t="s">
        <v>48</v>
      </c>
      <c r="M1608" s="1" t="str">
        <f>INDEX(MCC_Lookup!$B$2:$B$12,MATCH(G1608,MCC_Lookup!$A$2:$A$12,0))</f>
        <v>Lodging</v>
      </c>
      <c r="N1608" s="1" t="str">
        <f>IF(TRIM(H1608)="","BLANK",IF(PROPER(TRIM(H1608))=TRIM(M1608),"MATCH","MISMATCH"))</f>
        <v>BLANK</v>
      </c>
      <c r="O1608" s="5" t="str">
        <f>INDEX([1]Employee!$C$2:$C$276,MATCH(B1608,[1]Employee!$A$2:$A$276,0))</f>
        <v>Executive &amp; Corporate</v>
      </c>
    </row>
    <row r="1609" spans="1:15">
      <c r="A1609" s="1" t="s">
        <v>3307</v>
      </c>
      <c r="B1609" s="1" t="s">
        <v>1107</v>
      </c>
      <c r="C1609" s="1" t="s">
        <v>3308</v>
      </c>
      <c r="D1609" s="2">
        <v>46112</v>
      </c>
      <c r="E1609" s="2">
        <v>46112</v>
      </c>
      <c r="F1609" s="1" t="s">
        <v>65</v>
      </c>
      <c r="G1609" s="1" t="s">
        <v>18</v>
      </c>
      <c r="H1609" s="1" t="s">
        <v>19</v>
      </c>
      <c r="I1609" s="7">
        <v>409.68</v>
      </c>
      <c r="J1609" s="1" t="s">
        <v>38</v>
      </c>
      <c r="K1609" s="1"/>
      <c r="L1609" s="1" t="s">
        <v>39</v>
      </c>
      <c r="M1609" s="1" t="str">
        <f>INDEX(MCC_Lookup!$B$2:$B$12,MATCH(G1609,MCC_Lookup!$A$2:$A$12,0))</f>
        <v>Events</v>
      </c>
      <c r="N1609" s="1" t="str">
        <f>IF(TRIM(H1609)="","BLANK",IF(PROPER(TRIM(H1609))=TRIM(M1609),"MATCH","MISMATCH"))</f>
        <v>MATCH</v>
      </c>
      <c r="O1609" s="5" t="str">
        <f>INDEX([1]Employee!$C$2:$C$276,MATCH(B1609,[1]Employee!$A$2:$A$276,0))</f>
        <v>Claims</v>
      </c>
    </row>
    <row r="1610" spans="1:15">
      <c r="A1610" s="1" t="s">
        <v>3309</v>
      </c>
      <c r="B1610" s="1" t="s">
        <v>499</v>
      </c>
      <c r="C1610" s="1" t="s">
        <v>3310</v>
      </c>
      <c r="D1610" s="2">
        <v>46105</v>
      </c>
      <c r="E1610" s="2">
        <v>46112</v>
      </c>
      <c r="F1610" s="1" t="s">
        <v>95</v>
      </c>
      <c r="G1610" s="1" t="s">
        <v>6</v>
      </c>
      <c r="H1610" s="1" t="s">
        <v>228</v>
      </c>
      <c r="I1610" s="7">
        <v>218.11</v>
      </c>
      <c r="J1610" s="1" t="s">
        <v>38</v>
      </c>
      <c r="K1610" s="1"/>
      <c r="L1610" s="1" t="s">
        <v>39</v>
      </c>
      <c r="M1610" s="1" t="str">
        <f>INDEX(MCC_Lookup!$B$2:$B$12,MATCH(G1610,MCC_Lookup!$A$2:$A$12,0))</f>
        <v>Lodging</v>
      </c>
      <c r="N1610" s="1" t="str">
        <f>IF(TRIM(H1610)="","BLANK",IF(PROPER(TRIM(H1610))=TRIM(M1610),"MATCH","MISMATCH"))</f>
        <v>MATCH</v>
      </c>
      <c r="O1610" s="5" t="str">
        <f>INDEX([1]Employee!$C$2:$C$276,MATCH(B1610,[1]Employee!$A$2:$A$276,0))</f>
        <v>Sales &amp; Marketing</v>
      </c>
    </row>
    <row r="1611" spans="1:15">
      <c r="A1611" s="1" t="s">
        <v>3311</v>
      </c>
      <c r="B1611" s="1" t="s">
        <v>255</v>
      </c>
      <c r="C1611" s="1" t="s">
        <v>3312</v>
      </c>
      <c r="D1611" s="2">
        <v>46107</v>
      </c>
      <c r="E1611" s="2">
        <v>46112</v>
      </c>
      <c r="F1611" s="1" t="s">
        <v>79</v>
      </c>
      <c r="G1611" s="1" t="s">
        <v>13</v>
      </c>
      <c r="H1611" s="1" t="s">
        <v>14</v>
      </c>
      <c r="I1611" s="7">
        <v>132.97999999999999</v>
      </c>
      <c r="J1611" s="1" t="s">
        <v>38</v>
      </c>
      <c r="K1611" s="1"/>
      <c r="L1611" s="1" t="s">
        <v>39</v>
      </c>
      <c r="M1611" s="1" t="str">
        <f>INDEX(MCC_Lookup!$B$2:$B$12,MATCH(G1611,MCC_Lookup!$A$2:$A$12,0))</f>
        <v>Software</v>
      </c>
      <c r="N1611" s="1" t="str">
        <f>IF(TRIM(H1611)="","BLANK",IF(PROPER(TRIM(H1611))=TRIM(M1611),"MATCH","MISMATCH"))</f>
        <v>MATCH</v>
      </c>
      <c r="O1611" s="5" t="str">
        <f>INDEX([1]Employee!$C$2:$C$276,MATCH(B1611,[1]Employee!$A$2:$A$276,0))</f>
        <v>Claims</v>
      </c>
    </row>
    <row r="1612" spans="1:15">
      <c r="A1612" s="1" t="s">
        <v>3313</v>
      </c>
      <c r="B1612" s="1" t="s">
        <v>303</v>
      </c>
      <c r="C1612" s="1" t="s">
        <v>3314</v>
      </c>
      <c r="D1612" s="2">
        <v>46112</v>
      </c>
      <c r="E1612" s="2">
        <v>46112</v>
      </c>
      <c r="F1612" s="1" t="s">
        <v>56</v>
      </c>
      <c r="G1612" s="1" t="s">
        <v>4</v>
      </c>
      <c r="H1612" s="1"/>
      <c r="I1612" s="7">
        <v>471.42</v>
      </c>
      <c r="J1612" s="1" t="s">
        <v>38</v>
      </c>
      <c r="K1612" s="1"/>
      <c r="L1612" s="1" t="s">
        <v>48</v>
      </c>
      <c r="M1612" s="1" t="str">
        <f>INDEX(MCC_Lookup!$B$2:$B$12,MATCH(G1612,MCC_Lookup!$A$2:$A$12,0))</f>
        <v>Travel</v>
      </c>
      <c r="N1612" s="1" t="str">
        <f>IF(TRIM(H1612)="","BLANK",IF(PROPER(TRIM(H1612))=TRIM(M1612),"MATCH","MISMATCH"))</f>
        <v>BLANK</v>
      </c>
      <c r="O1612" s="5" t="str">
        <f>INDEX([1]Employee!$C$2:$C$276,MATCH(B1612,[1]Employee!$A$2:$A$276,0))</f>
        <v>Sales &amp; Marketing</v>
      </c>
    </row>
    <row r="1613" spans="1:15">
      <c r="A1613" s="1" t="s">
        <v>3315</v>
      </c>
      <c r="B1613" s="1" t="s">
        <v>550</v>
      </c>
      <c r="C1613" s="1" t="s">
        <v>3316</v>
      </c>
      <c r="D1613" s="2">
        <v>46103</v>
      </c>
      <c r="E1613" s="2">
        <v>46112</v>
      </c>
      <c r="F1613" s="1" t="s">
        <v>173</v>
      </c>
      <c r="G1613" s="1" t="s">
        <v>2</v>
      </c>
      <c r="H1613" s="1" t="s">
        <v>3</v>
      </c>
      <c r="I1613" s="7">
        <v>24.51</v>
      </c>
      <c r="J1613" s="1" t="s">
        <v>38</v>
      </c>
      <c r="K1613" s="1"/>
      <c r="L1613" s="1" t="s">
        <v>39</v>
      </c>
      <c r="M1613" s="1" t="str">
        <f>INDEX(MCC_Lookup!$B$2:$B$12,MATCH(G1613,MCC_Lookup!$A$2:$A$12,0))</f>
        <v>Meals</v>
      </c>
      <c r="N1613" s="1" t="str">
        <f>IF(TRIM(H1613)="","BLANK",IF(PROPER(TRIM(H1613))=TRIM(M1613),"MATCH","MISMATCH"))</f>
        <v>MATCH</v>
      </c>
      <c r="O1613" s="5" t="str">
        <f>INDEX([1]Employee!$C$2:$C$276,MATCH(B1613,[1]Employee!$A$2:$A$276,0))</f>
        <v>Sales &amp; Marketing</v>
      </c>
    </row>
    <row r="1614" spans="1:15">
      <c r="A1614" s="1" t="s">
        <v>3317</v>
      </c>
      <c r="B1614" s="1" t="s">
        <v>890</v>
      </c>
      <c r="C1614" s="1" t="s">
        <v>3318</v>
      </c>
      <c r="D1614" s="2">
        <v>46109</v>
      </c>
      <c r="E1614" s="2">
        <v>46112</v>
      </c>
      <c r="F1614" s="1" t="s">
        <v>124</v>
      </c>
      <c r="G1614" s="1" t="s">
        <v>17</v>
      </c>
      <c r="H1614" s="1" t="s">
        <v>690</v>
      </c>
      <c r="I1614" s="7">
        <v>63.53</v>
      </c>
      <c r="J1614" s="1" t="s">
        <v>38</v>
      </c>
      <c r="K1614" s="1"/>
      <c r="L1614" s="1" t="s">
        <v>39</v>
      </c>
      <c r="M1614" s="1" t="str">
        <f>INDEX(MCC_Lookup!$B$2:$B$12,MATCH(G1614,MCC_Lookup!$A$2:$A$12,0))</f>
        <v>Entertainment</v>
      </c>
      <c r="N1614" s="1" t="str">
        <f>IF(TRIM(H1614)="","BLANK",IF(PROPER(TRIM(H1614))=TRIM(M1614),"MATCH","MISMATCH"))</f>
        <v>MATCH</v>
      </c>
      <c r="O1614" s="5" t="str">
        <f>INDEX([1]Employee!$C$2:$C$276,MATCH(B1614,[1]Employee!$A$2:$A$276,0))</f>
        <v>Sales &amp; Marketing</v>
      </c>
    </row>
    <row r="1615" spans="1:15">
      <c r="A1615" s="1" t="s">
        <v>3319</v>
      </c>
      <c r="B1615" s="1" t="s">
        <v>969</v>
      </c>
      <c r="C1615" s="1" t="s">
        <v>3320</v>
      </c>
      <c r="D1615" s="2">
        <v>46103</v>
      </c>
      <c r="E1615" s="2">
        <v>46112</v>
      </c>
      <c r="F1615" s="1" t="s">
        <v>124</v>
      </c>
      <c r="G1615" s="1" t="s">
        <v>17</v>
      </c>
      <c r="H1615" s="1" t="s">
        <v>16</v>
      </c>
      <c r="I1615" s="7">
        <v>215.03</v>
      </c>
      <c r="J1615" s="1" t="s">
        <v>38</v>
      </c>
      <c r="K1615" s="1"/>
      <c r="L1615" s="1" t="s">
        <v>39</v>
      </c>
      <c r="M1615" s="1" t="str">
        <f>INDEX(MCC_Lookup!$B$2:$B$12,MATCH(G1615,MCC_Lookup!$A$2:$A$12,0))</f>
        <v>Entertainment</v>
      </c>
      <c r="N1615" s="1" t="str">
        <f>IF(TRIM(H1615)="","BLANK",IF(PROPER(TRIM(H1615))=TRIM(M1615),"MATCH","MISMATCH"))</f>
        <v>MATCH</v>
      </c>
      <c r="O1615" s="5" t="str">
        <f>INDEX([1]Employee!$C$2:$C$276,MATCH(B1615,[1]Employee!$A$2:$A$276,0))</f>
        <v>HR &amp; Events</v>
      </c>
    </row>
    <row r="1616" spans="1:15">
      <c r="A1616" s="1" t="s">
        <v>3321</v>
      </c>
      <c r="B1616" s="1" t="s">
        <v>104</v>
      </c>
      <c r="C1616" s="1" t="s">
        <v>3322</v>
      </c>
      <c r="D1616" s="2">
        <v>46110</v>
      </c>
      <c r="E1616" s="2">
        <v>46112</v>
      </c>
      <c r="F1616" s="1" t="s">
        <v>106</v>
      </c>
      <c r="G1616" s="1" t="s">
        <v>13</v>
      </c>
      <c r="H1616" s="1" t="s">
        <v>14</v>
      </c>
      <c r="I1616" s="7">
        <v>202.96</v>
      </c>
      <c r="J1616" s="1" t="s">
        <v>38</v>
      </c>
      <c r="K1616" s="1"/>
      <c r="L1616" s="1" t="s">
        <v>48</v>
      </c>
      <c r="M1616" s="1" t="str">
        <f>INDEX(MCC_Lookup!$B$2:$B$12,MATCH(G1616,MCC_Lookup!$A$2:$A$12,0))</f>
        <v>Software</v>
      </c>
      <c r="N1616" s="1" t="str">
        <f>IF(TRIM(H1616)="","BLANK",IF(PROPER(TRIM(H1616))=TRIM(M1616),"MATCH","MISMATCH"))</f>
        <v>MATCH</v>
      </c>
      <c r="O1616" s="5" t="str">
        <f>INDEX([1]Employee!$C$2:$C$276,MATCH(B1616,[1]Employee!$A$2:$A$276,0))</f>
        <v>Sales &amp; Marketing</v>
      </c>
    </row>
    <row r="1617" spans="1:15">
      <c r="A1617" s="1" t="s">
        <v>3323</v>
      </c>
      <c r="B1617" s="1" t="s">
        <v>1188</v>
      </c>
      <c r="C1617" s="1" t="s">
        <v>3324</v>
      </c>
      <c r="D1617" s="2">
        <v>46111</v>
      </c>
      <c r="E1617" s="2">
        <v>46112</v>
      </c>
      <c r="F1617" s="1" t="s">
        <v>92</v>
      </c>
      <c r="G1617" s="1" t="s">
        <v>10</v>
      </c>
      <c r="H1617" s="1" t="s">
        <v>11</v>
      </c>
      <c r="I1617" s="7">
        <v>159.28</v>
      </c>
      <c r="J1617" s="1" t="s">
        <v>38</v>
      </c>
      <c r="K1617" s="1"/>
      <c r="L1617" s="1" t="s">
        <v>39</v>
      </c>
      <c r="M1617" s="1" t="str">
        <f>INDEX(MCC_Lookup!$B$2:$B$12,MATCH(G1617,MCC_Lookup!$A$2:$A$12,0))</f>
        <v>Office Supplies</v>
      </c>
      <c r="N1617" s="1" t="str">
        <f>IF(TRIM(H1617)="","BLANK",IF(PROPER(TRIM(H1617))=TRIM(M1617),"MATCH","MISMATCH"))</f>
        <v>MATCH</v>
      </c>
      <c r="O1617" s="5" t="str">
        <f>INDEX([1]Employee!$C$2:$C$276,MATCH(B1617,[1]Employee!$A$2:$A$276,0))</f>
        <v>Executive &amp; Corporate</v>
      </c>
    </row>
    <row r="1618" spans="1:15">
      <c r="A1618" s="1" t="s">
        <v>3325</v>
      </c>
      <c r="B1618" s="1" t="s">
        <v>136</v>
      </c>
      <c r="C1618" s="1" t="s">
        <v>3326</v>
      </c>
      <c r="D1618" s="2">
        <v>46112</v>
      </c>
      <c r="E1618" s="2">
        <v>46112</v>
      </c>
      <c r="F1618" s="1" t="s">
        <v>56</v>
      </c>
      <c r="G1618" s="1" t="s">
        <v>4</v>
      </c>
      <c r="H1618" s="1" t="s">
        <v>5</v>
      </c>
      <c r="I1618" s="7">
        <v>592.63</v>
      </c>
      <c r="J1618" s="1" t="s">
        <v>38</v>
      </c>
      <c r="K1618" s="1"/>
      <c r="L1618" s="1" t="s">
        <v>39</v>
      </c>
      <c r="M1618" s="1" t="str">
        <f>INDEX(MCC_Lookup!$B$2:$B$12,MATCH(G1618,MCC_Lookup!$A$2:$A$12,0))</f>
        <v>Travel</v>
      </c>
      <c r="N1618" s="1" t="str">
        <f>IF(TRIM(H1618)="","BLANK",IF(PROPER(TRIM(H1618))=TRIM(M1618),"MATCH","MISMATCH"))</f>
        <v>MATCH</v>
      </c>
      <c r="O1618" s="5" t="str">
        <f>INDEX([1]Employee!$C$2:$C$276,MATCH(B1618,[1]Employee!$A$2:$A$276,0))</f>
        <v>Sales &amp; Marketing</v>
      </c>
    </row>
    <row r="1619" spans="1:15">
      <c r="A1619" s="1" t="s">
        <v>3327</v>
      </c>
      <c r="B1619" s="1" t="s">
        <v>292</v>
      </c>
      <c r="C1619" s="1"/>
      <c r="D1619" s="2">
        <v>46104</v>
      </c>
      <c r="E1619" s="2">
        <v>46112</v>
      </c>
      <c r="F1619" s="1" t="s">
        <v>160</v>
      </c>
      <c r="G1619" s="1" t="s">
        <v>6</v>
      </c>
      <c r="H1619" s="1" t="s">
        <v>7</v>
      </c>
      <c r="I1619" s="7">
        <v>422.73</v>
      </c>
      <c r="J1619" s="1" t="s">
        <v>38</v>
      </c>
      <c r="K1619" s="1"/>
      <c r="L1619" s="1" t="s">
        <v>48</v>
      </c>
      <c r="M1619" s="1" t="str">
        <f>INDEX(MCC_Lookup!$B$2:$B$12,MATCH(G1619,MCC_Lookup!$A$2:$A$12,0))</f>
        <v>Lodging</v>
      </c>
      <c r="N1619" s="1" t="str">
        <f>IF(TRIM(H1619)="","BLANK",IF(PROPER(TRIM(H1619))=TRIM(M1619),"MATCH","MISMATCH"))</f>
        <v>MATCH</v>
      </c>
      <c r="O1619" s="5" t="str">
        <f>INDEX([1]Employee!$C$2:$C$276,MATCH(B1619,[1]Employee!$A$2:$A$276,0))</f>
        <v>Sales &amp; Marketing</v>
      </c>
    </row>
    <row r="1620" spans="1:15">
      <c r="A1620" s="1" t="s">
        <v>3328</v>
      </c>
      <c r="B1620" s="1" t="s">
        <v>1632</v>
      </c>
      <c r="C1620" s="1" t="s">
        <v>3329</v>
      </c>
      <c r="D1620" s="2">
        <v>46109</v>
      </c>
      <c r="E1620" s="2">
        <v>46112</v>
      </c>
      <c r="F1620" s="1" t="s">
        <v>259</v>
      </c>
      <c r="G1620" s="1" t="s">
        <v>20</v>
      </c>
      <c r="H1620" s="1" t="s">
        <v>312</v>
      </c>
      <c r="I1620" s="7">
        <v>228.58</v>
      </c>
      <c r="J1620" s="1" t="s">
        <v>38</v>
      </c>
      <c r="K1620" s="1"/>
      <c r="L1620" s="1" t="s">
        <v>48</v>
      </c>
      <c r="M1620" s="1" t="str">
        <f>INDEX(MCC_Lookup!$B$2:$B$12,MATCH(G1620,MCC_Lookup!$A$2:$A$12,0))</f>
        <v>Events</v>
      </c>
      <c r="N1620" s="1" t="str">
        <f>IF(TRIM(H1620)="","BLANK",IF(PROPER(TRIM(H1620))=TRIM(M1620),"MATCH","MISMATCH"))</f>
        <v>MATCH</v>
      </c>
      <c r="O1620" s="5" t="str">
        <f>INDEX([1]Employee!$C$2:$C$276,MATCH(B1620,[1]Employee!$A$2:$A$276,0))</f>
        <v>HR &amp; Events</v>
      </c>
    </row>
    <row r="1621" spans="1:15">
      <c r="A1621" s="1" t="s">
        <v>3330</v>
      </c>
      <c r="B1621" s="1" t="s">
        <v>190</v>
      </c>
      <c r="C1621" s="1" t="s">
        <v>3331</v>
      </c>
      <c r="D1621" s="2">
        <v>46112</v>
      </c>
      <c r="E1621" s="2">
        <v>46112</v>
      </c>
      <c r="F1621" s="1" t="s">
        <v>109</v>
      </c>
      <c r="G1621" s="1" t="s">
        <v>18</v>
      </c>
      <c r="H1621" s="1" t="s">
        <v>332</v>
      </c>
      <c r="I1621" s="7">
        <v>235.14</v>
      </c>
      <c r="J1621" s="1" t="s">
        <v>38</v>
      </c>
      <c r="K1621" s="1"/>
      <c r="L1621" s="1" t="s">
        <v>39</v>
      </c>
      <c r="M1621" s="1" t="str">
        <f>INDEX(MCC_Lookup!$B$2:$B$12,MATCH(G1621,MCC_Lookup!$A$2:$A$12,0))</f>
        <v>Events</v>
      </c>
      <c r="N1621" s="1" t="str">
        <f>IF(TRIM(H1621)="","BLANK",IF(PROPER(TRIM(H1621))=TRIM(M1621),"MATCH","MISMATCH"))</f>
        <v>MATCH</v>
      </c>
      <c r="O1621" s="5" t="str">
        <f>INDEX([1]Employee!$C$2:$C$276,MATCH(B1621,[1]Employee!$A$2:$A$276,0))</f>
        <v>Sales &amp; Marketing</v>
      </c>
    </row>
    <row r="1622" spans="1:15">
      <c r="A1622" s="1" t="s">
        <v>3332</v>
      </c>
      <c r="B1622" s="1" t="s">
        <v>448</v>
      </c>
      <c r="C1622" s="1" t="s">
        <v>3333</v>
      </c>
      <c r="D1622" s="2">
        <v>46109</v>
      </c>
      <c r="E1622" s="2">
        <v>46112</v>
      </c>
      <c r="F1622" s="1" t="s">
        <v>173</v>
      </c>
      <c r="G1622" s="1" t="s">
        <v>2</v>
      </c>
      <c r="H1622" s="1" t="s">
        <v>7</v>
      </c>
      <c r="I1622" s="7">
        <v>81.19</v>
      </c>
      <c r="J1622" s="1" t="s">
        <v>38</v>
      </c>
      <c r="K1622" s="1"/>
      <c r="L1622" s="1" t="s">
        <v>39</v>
      </c>
      <c r="M1622" s="1" t="str">
        <f>INDEX(MCC_Lookup!$B$2:$B$12,MATCH(G1622,MCC_Lookup!$A$2:$A$12,0))</f>
        <v>Meals</v>
      </c>
      <c r="N1622" s="1" t="str">
        <f>IF(TRIM(H1622)="","BLANK",IF(PROPER(TRIM(H1622))=TRIM(M1622),"MATCH","MISMATCH"))</f>
        <v>MISMATCH</v>
      </c>
      <c r="O1622" s="5" t="str">
        <f>INDEX([1]Employee!$C$2:$C$276,MATCH(B1622,[1]Employee!$A$2:$A$276,0))</f>
        <v>Sales &amp; Marketing</v>
      </c>
    </row>
    <row r="1623" spans="1:15">
      <c r="A1623" s="1" t="s">
        <v>3334</v>
      </c>
      <c r="B1623" s="1" t="s">
        <v>219</v>
      </c>
      <c r="C1623" s="1" t="s">
        <v>3335</v>
      </c>
      <c r="D1623" s="2">
        <v>46105</v>
      </c>
      <c r="E1623" s="2">
        <v>46112</v>
      </c>
      <c r="F1623" s="1" t="s">
        <v>92</v>
      </c>
      <c r="G1623" s="1" t="s">
        <v>10</v>
      </c>
      <c r="H1623" s="1"/>
      <c r="I1623" s="7">
        <v>100.99</v>
      </c>
      <c r="J1623" s="1" t="s">
        <v>38</v>
      </c>
      <c r="K1623" s="1"/>
      <c r="L1623" s="1" t="s">
        <v>39</v>
      </c>
      <c r="M1623" s="1" t="str">
        <f>INDEX(MCC_Lookup!$B$2:$B$12,MATCH(G1623,MCC_Lookup!$A$2:$A$12,0))</f>
        <v>Office Supplies</v>
      </c>
      <c r="N1623" s="1" t="str">
        <f>IF(TRIM(H1623)="","BLANK",IF(PROPER(TRIM(H1623))=TRIM(M1623),"MATCH","MISMATCH"))</f>
        <v>BLANK</v>
      </c>
      <c r="O1623" s="5" t="str">
        <f>INDEX([1]Employee!$C$2:$C$276,MATCH(B1623,[1]Employee!$A$2:$A$276,0))</f>
        <v>Underwriting</v>
      </c>
    </row>
    <row r="1624" spans="1:15">
      <c r="A1624" s="1" t="s">
        <v>3336</v>
      </c>
      <c r="B1624" s="1" t="s">
        <v>196</v>
      </c>
      <c r="C1624" s="1" t="s">
        <v>3337</v>
      </c>
      <c r="D1624" s="2">
        <v>46111</v>
      </c>
      <c r="E1624" s="2">
        <v>46112</v>
      </c>
      <c r="F1624" s="1" t="s">
        <v>37</v>
      </c>
      <c r="G1624" s="1" t="s">
        <v>4</v>
      </c>
      <c r="H1624" s="1" t="s">
        <v>9</v>
      </c>
      <c r="I1624" s="7">
        <v>139.31</v>
      </c>
      <c r="J1624" s="1" t="s">
        <v>38</v>
      </c>
      <c r="K1624" s="1"/>
      <c r="L1624" s="1" t="s">
        <v>39</v>
      </c>
      <c r="M1624" s="1" t="str">
        <f>INDEX(MCC_Lookup!$B$2:$B$12,MATCH(G1624,MCC_Lookup!$A$2:$A$12,0))</f>
        <v>Travel</v>
      </c>
      <c r="N1624" s="1" t="str">
        <f>IF(TRIM(H1624)="","BLANK",IF(PROPER(TRIM(H1624))=TRIM(M1624),"MATCH","MISMATCH"))</f>
        <v>MISMATCH</v>
      </c>
      <c r="O1624" s="5" t="str">
        <f>INDEX([1]Employee!$C$2:$C$276,MATCH(B1624,[1]Employee!$A$2:$A$276,0))</f>
        <v>Sales &amp; Marketing</v>
      </c>
    </row>
    <row r="1625" spans="1:15">
      <c r="A1625" s="1" t="s">
        <v>3338</v>
      </c>
      <c r="B1625" s="1" t="s">
        <v>352</v>
      </c>
      <c r="C1625" s="1" t="s">
        <v>3339</v>
      </c>
      <c r="D1625" s="2">
        <v>46103</v>
      </c>
      <c r="E1625" s="2">
        <v>46112</v>
      </c>
      <c r="F1625" s="1" t="s">
        <v>69</v>
      </c>
      <c r="G1625" s="1" t="s">
        <v>8</v>
      </c>
      <c r="H1625" s="1" t="s">
        <v>494</v>
      </c>
      <c r="I1625" s="7">
        <v>9.1199999999999992</v>
      </c>
      <c r="J1625" s="1" t="s">
        <v>38</v>
      </c>
      <c r="K1625" s="1"/>
      <c r="L1625" s="1" t="s">
        <v>39</v>
      </c>
      <c r="M1625" s="1" t="str">
        <f>INDEX(MCC_Lookup!$B$2:$B$12,MATCH(G1625,MCC_Lookup!$A$2:$A$12,0))</f>
        <v>Transportation</v>
      </c>
      <c r="N1625" s="1" t="str">
        <f>IF(TRIM(H1625)="","BLANK",IF(PROPER(TRIM(H1625))=TRIM(M1625),"MATCH","MISMATCH"))</f>
        <v>MATCH</v>
      </c>
      <c r="O1625" s="5" t="str">
        <f>INDEX([1]Employee!$C$2:$C$276,MATCH(B1625,[1]Employee!$A$2:$A$276,0))</f>
        <v>Sales &amp; Marketing</v>
      </c>
    </row>
    <row r="1626" spans="1:15">
      <c r="A1626" s="1" t="s">
        <v>3340</v>
      </c>
      <c r="B1626" s="1" t="s">
        <v>328</v>
      </c>
      <c r="C1626" s="1" t="s">
        <v>3341</v>
      </c>
      <c r="D1626" s="2">
        <v>46106</v>
      </c>
      <c r="E1626" s="2">
        <v>46112</v>
      </c>
      <c r="F1626" s="1" t="s">
        <v>37</v>
      </c>
      <c r="G1626" s="1" t="s">
        <v>4</v>
      </c>
      <c r="H1626" s="1" t="s">
        <v>57</v>
      </c>
      <c r="I1626" s="7">
        <v>238.45</v>
      </c>
      <c r="J1626" s="1" t="s">
        <v>38</v>
      </c>
      <c r="K1626" s="1"/>
      <c r="L1626" s="1" t="s">
        <v>39</v>
      </c>
      <c r="M1626" s="1" t="str">
        <f>INDEX(MCC_Lookup!$B$2:$B$12,MATCH(G1626,MCC_Lookup!$A$2:$A$12,0))</f>
        <v>Travel</v>
      </c>
      <c r="N1626" s="1" t="str">
        <f>IF(TRIM(H1626)="","BLANK",IF(PROPER(TRIM(H1626))=TRIM(M1626),"MATCH","MISMATCH"))</f>
        <v>MATCH</v>
      </c>
      <c r="O1626" s="5" t="str">
        <f>INDEX([1]Employee!$C$2:$C$276,MATCH(B1626,[1]Employee!$A$2:$A$276,0))</f>
        <v>Underwriting</v>
      </c>
    </row>
    <row r="1627" spans="1:15">
      <c r="A1627" s="1" t="s">
        <v>3342</v>
      </c>
      <c r="B1627" s="1" t="s">
        <v>677</v>
      </c>
      <c r="C1627" s="1" t="s">
        <v>3343</v>
      </c>
      <c r="D1627" s="2">
        <v>46110</v>
      </c>
      <c r="E1627" s="2">
        <v>46113</v>
      </c>
      <c r="F1627" s="1" t="s">
        <v>76</v>
      </c>
      <c r="G1627" s="1" t="s">
        <v>13</v>
      </c>
      <c r="H1627" s="1" t="s">
        <v>11</v>
      </c>
      <c r="I1627" s="7">
        <v>475.52</v>
      </c>
      <c r="J1627" s="1" t="s">
        <v>38</v>
      </c>
      <c r="K1627" s="1"/>
      <c r="L1627" s="1" t="s">
        <v>39</v>
      </c>
      <c r="M1627" s="1" t="str">
        <f>INDEX(MCC_Lookup!$B$2:$B$12,MATCH(G1627,MCC_Lookup!$A$2:$A$12,0))</f>
        <v>Software</v>
      </c>
      <c r="N1627" s="1" t="str">
        <f>IF(TRIM(H1627)="","BLANK",IF(PROPER(TRIM(H1627))=TRIM(M1627),"MATCH","MISMATCH"))</f>
        <v>MISMATCH</v>
      </c>
      <c r="O1627" s="5" t="str">
        <f>INDEX([1]Employee!$C$2:$C$276,MATCH(B1627,[1]Employee!$A$2:$A$276,0))</f>
        <v>Sales &amp; Marketing</v>
      </c>
    </row>
    <row r="1628" spans="1:15">
      <c r="A1628" s="1" t="s">
        <v>3344</v>
      </c>
      <c r="B1628" s="1" t="s">
        <v>679</v>
      </c>
      <c r="C1628" s="1"/>
      <c r="D1628" s="2">
        <v>46112</v>
      </c>
      <c r="E1628" s="2">
        <v>46113</v>
      </c>
      <c r="F1628" s="1" t="s">
        <v>99</v>
      </c>
      <c r="G1628" s="1" t="s">
        <v>2</v>
      </c>
      <c r="H1628" s="1"/>
      <c r="I1628" s="7">
        <v>106.69</v>
      </c>
      <c r="J1628" s="1" t="s">
        <v>111</v>
      </c>
      <c r="K1628" s="1" t="s">
        <v>127</v>
      </c>
      <c r="L1628" s="1" t="s">
        <v>48</v>
      </c>
      <c r="M1628" s="1" t="str">
        <f>INDEX(MCC_Lookup!$B$2:$B$12,MATCH(G1628,MCC_Lookup!$A$2:$A$12,0))</f>
        <v>Meals</v>
      </c>
      <c r="N1628" s="1" t="str">
        <f>IF(TRIM(H1628)="","BLANK",IF(PROPER(TRIM(H1628))=TRIM(M1628),"MATCH","MISMATCH"))</f>
        <v>BLANK</v>
      </c>
      <c r="O1628" s="5" t="str">
        <f>INDEX([1]Employee!$C$2:$C$276,MATCH(B1628,[1]Employee!$A$2:$A$276,0))</f>
        <v>Sales &amp; Marketing</v>
      </c>
    </row>
    <row r="1629" spans="1:15">
      <c r="A1629" s="1" t="s">
        <v>3345</v>
      </c>
      <c r="B1629" s="1" t="s">
        <v>394</v>
      </c>
      <c r="C1629" s="1" t="s">
        <v>3346</v>
      </c>
      <c r="D1629" s="2">
        <v>46113</v>
      </c>
      <c r="E1629" s="2">
        <v>46113</v>
      </c>
      <c r="F1629" s="1" t="s">
        <v>109</v>
      </c>
      <c r="G1629" s="1" t="s">
        <v>18</v>
      </c>
      <c r="H1629" s="1" t="s">
        <v>19</v>
      </c>
      <c r="I1629" s="7">
        <v>108.15</v>
      </c>
      <c r="J1629" s="1" t="s">
        <v>38</v>
      </c>
      <c r="K1629" s="1"/>
      <c r="L1629" s="1" t="s">
        <v>39</v>
      </c>
      <c r="M1629" s="1" t="str">
        <f>INDEX(MCC_Lookup!$B$2:$B$12,MATCH(G1629,MCC_Lookup!$A$2:$A$12,0))</f>
        <v>Events</v>
      </c>
      <c r="N1629" s="1" t="str">
        <f>IF(TRIM(H1629)="","BLANK",IF(PROPER(TRIM(H1629))=TRIM(M1629),"MATCH","MISMATCH"))</f>
        <v>MATCH</v>
      </c>
      <c r="O1629" s="5" t="str">
        <f>INDEX([1]Employee!$C$2:$C$276,MATCH(B1629,[1]Employee!$A$2:$A$276,0))</f>
        <v>IT &amp; Platform Engineering</v>
      </c>
    </row>
    <row r="1630" spans="1:15">
      <c r="A1630" s="1" t="s">
        <v>3347</v>
      </c>
      <c r="B1630" s="1" t="s">
        <v>3348</v>
      </c>
      <c r="C1630" s="1" t="s">
        <v>3349</v>
      </c>
      <c r="D1630" s="2">
        <v>46111</v>
      </c>
      <c r="E1630" s="2">
        <v>46113</v>
      </c>
      <c r="F1630" s="1" t="s">
        <v>305</v>
      </c>
      <c r="G1630" s="1" t="s">
        <v>2</v>
      </c>
      <c r="H1630" s="1" t="s">
        <v>794</v>
      </c>
      <c r="I1630" s="7">
        <v>12.55</v>
      </c>
      <c r="J1630" s="1" t="s">
        <v>38</v>
      </c>
      <c r="K1630" s="1"/>
      <c r="L1630" s="1" t="s">
        <v>39</v>
      </c>
      <c r="M1630" s="1" t="str">
        <f>INDEX(MCC_Lookup!$B$2:$B$12,MATCH(G1630,MCC_Lookup!$A$2:$A$12,0))</f>
        <v>Meals</v>
      </c>
      <c r="N1630" s="1" t="str">
        <f>IF(TRIM(H1630)="","BLANK",IF(PROPER(TRIM(H1630))=TRIM(M1630),"MATCH","MISMATCH"))</f>
        <v>MATCH</v>
      </c>
      <c r="O1630" s="5" t="str">
        <f>INDEX([1]Employee!$C$2:$C$276,MATCH(B1630,[1]Employee!$A$2:$A$276,0))</f>
        <v>Underwriting</v>
      </c>
    </row>
    <row r="1631" spans="1:15">
      <c r="A1631" s="1" t="s">
        <v>3350</v>
      </c>
      <c r="B1631" s="1" t="s">
        <v>364</v>
      </c>
      <c r="C1631" s="1" t="s">
        <v>3351</v>
      </c>
      <c r="D1631" s="2">
        <v>46104</v>
      </c>
      <c r="E1631" s="2">
        <v>46113</v>
      </c>
      <c r="F1631" s="1" t="s">
        <v>242</v>
      </c>
      <c r="G1631" s="1" t="s">
        <v>13</v>
      </c>
      <c r="H1631" s="1" t="s">
        <v>14</v>
      </c>
      <c r="I1631" s="7">
        <v>24.1</v>
      </c>
      <c r="J1631" s="1" t="s">
        <v>38</v>
      </c>
      <c r="K1631" s="1"/>
      <c r="L1631" s="1" t="s">
        <v>39</v>
      </c>
      <c r="M1631" s="1" t="str">
        <f>INDEX(MCC_Lookup!$B$2:$B$12,MATCH(G1631,MCC_Lookup!$A$2:$A$12,0))</f>
        <v>Software</v>
      </c>
      <c r="N1631" s="1" t="str">
        <f>IF(TRIM(H1631)="","BLANK",IF(PROPER(TRIM(H1631))=TRIM(M1631),"MATCH","MISMATCH"))</f>
        <v>MATCH</v>
      </c>
      <c r="O1631" s="5" t="str">
        <f>INDEX([1]Employee!$C$2:$C$276,MATCH(B1631,[1]Employee!$A$2:$A$276,0))</f>
        <v>Sales &amp; Marketing</v>
      </c>
    </row>
    <row r="1632" spans="1:15">
      <c r="A1632" s="1" t="s">
        <v>3352</v>
      </c>
      <c r="B1632" s="1" t="s">
        <v>756</v>
      </c>
      <c r="C1632" s="1" t="s">
        <v>3353</v>
      </c>
      <c r="D1632" s="2">
        <v>46106</v>
      </c>
      <c r="E1632" s="2">
        <v>46113</v>
      </c>
      <c r="F1632" s="1" t="s">
        <v>116</v>
      </c>
      <c r="G1632" s="1" t="s">
        <v>2</v>
      </c>
      <c r="H1632" s="1" t="s">
        <v>3</v>
      </c>
      <c r="I1632" s="7">
        <v>11.72</v>
      </c>
      <c r="J1632" s="1" t="s">
        <v>38</v>
      </c>
      <c r="K1632" s="1"/>
      <c r="L1632" s="1" t="s">
        <v>39</v>
      </c>
      <c r="M1632" s="1" t="str">
        <f>INDEX(MCC_Lookup!$B$2:$B$12,MATCH(G1632,MCC_Lookup!$A$2:$A$12,0))</f>
        <v>Meals</v>
      </c>
      <c r="N1632" s="1" t="str">
        <f>IF(TRIM(H1632)="","BLANK",IF(PROPER(TRIM(H1632))=TRIM(M1632),"MATCH","MISMATCH"))</f>
        <v>MATCH</v>
      </c>
      <c r="O1632" s="5" t="str">
        <f>INDEX([1]Employee!$C$2:$C$276,MATCH(B1632,[1]Employee!$A$2:$A$276,0))</f>
        <v>Claims</v>
      </c>
    </row>
    <row r="1633" spans="1:15">
      <c r="A1633" s="1" t="s">
        <v>3354</v>
      </c>
      <c r="B1633" s="1" t="s">
        <v>603</v>
      </c>
      <c r="C1633" s="1" t="s">
        <v>3355</v>
      </c>
      <c r="D1633" s="2">
        <v>46107</v>
      </c>
      <c r="E1633" s="2">
        <v>46113</v>
      </c>
      <c r="F1633" s="1" t="s">
        <v>79</v>
      </c>
      <c r="G1633" s="1" t="s">
        <v>13</v>
      </c>
      <c r="H1633" s="1" t="s">
        <v>14</v>
      </c>
      <c r="I1633" s="7">
        <v>128.46</v>
      </c>
      <c r="J1633" s="1" t="s">
        <v>38</v>
      </c>
      <c r="K1633" s="1"/>
      <c r="L1633" s="1" t="s">
        <v>39</v>
      </c>
      <c r="M1633" s="1" t="str">
        <f>INDEX(MCC_Lookup!$B$2:$B$12,MATCH(G1633,MCC_Lookup!$A$2:$A$12,0))</f>
        <v>Software</v>
      </c>
      <c r="N1633" s="1" t="str">
        <f>IF(TRIM(H1633)="","BLANK",IF(PROPER(TRIM(H1633))=TRIM(M1633),"MATCH","MISMATCH"))</f>
        <v>MATCH</v>
      </c>
      <c r="O1633" s="5" t="str">
        <f>INDEX([1]Employee!$C$2:$C$276,MATCH(B1633,[1]Employee!$A$2:$A$276,0))</f>
        <v>Underwriting</v>
      </c>
    </row>
    <row r="1634" spans="1:15">
      <c r="A1634" s="1" t="s">
        <v>3356</v>
      </c>
      <c r="B1634" s="1" t="s">
        <v>122</v>
      </c>
      <c r="C1634" s="1" t="s">
        <v>3357</v>
      </c>
      <c r="D1634" s="2">
        <v>46108</v>
      </c>
      <c r="E1634" s="2">
        <v>46113</v>
      </c>
      <c r="F1634" s="1" t="s">
        <v>120</v>
      </c>
      <c r="G1634" s="1" t="s">
        <v>12</v>
      </c>
      <c r="H1634" s="1" t="s">
        <v>11</v>
      </c>
      <c r="I1634" s="7">
        <v>439.57</v>
      </c>
      <c r="J1634" s="1" t="s">
        <v>38</v>
      </c>
      <c r="K1634" s="1"/>
      <c r="L1634" s="1" t="s">
        <v>39</v>
      </c>
      <c r="M1634" s="1" t="str">
        <f>INDEX(MCC_Lookup!$B$2:$B$12,MATCH(G1634,MCC_Lookup!$A$2:$A$12,0))</f>
        <v>Office Supplies</v>
      </c>
      <c r="N1634" s="1" t="str">
        <f>IF(TRIM(H1634)="","BLANK",IF(PROPER(TRIM(H1634))=TRIM(M1634),"MATCH","MISMATCH"))</f>
        <v>MATCH</v>
      </c>
      <c r="O1634" s="5" t="str">
        <f>INDEX([1]Employee!$C$2:$C$276,MATCH(B1634,[1]Employee!$A$2:$A$276,0))</f>
        <v>Sales &amp; Marketing</v>
      </c>
    </row>
    <row r="1635" spans="1:15">
      <c r="A1635" s="1" t="s">
        <v>3358</v>
      </c>
      <c r="B1635" s="1" t="s">
        <v>469</v>
      </c>
      <c r="C1635" s="1"/>
      <c r="D1635" s="2">
        <v>46108</v>
      </c>
      <c r="E1635" s="2">
        <v>46113</v>
      </c>
      <c r="F1635" s="1" t="s">
        <v>109</v>
      </c>
      <c r="G1635" s="1" t="s">
        <v>18</v>
      </c>
      <c r="H1635" s="1"/>
      <c r="I1635" s="7">
        <v>144.09</v>
      </c>
      <c r="J1635" s="1" t="s">
        <v>111</v>
      </c>
      <c r="K1635" s="1" t="s">
        <v>127</v>
      </c>
      <c r="L1635" s="1" t="s">
        <v>39</v>
      </c>
      <c r="M1635" s="1" t="str">
        <f>INDEX(MCC_Lookup!$B$2:$B$12,MATCH(G1635,MCC_Lookup!$A$2:$A$12,0))</f>
        <v>Events</v>
      </c>
      <c r="N1635" s="1" t="str">
        <f>IF(TRIM(H1635)="","BLANK",IF(PROPER(TRIM(H1635))=TRIM(M1635),"MATCH","MISMATCH"))</f>
        <v>BLANK</v>
      </c>
      <c r="O1635" s="5" t="str">
        <f>INDEX([1]Employee!$C$2:$C$276,MATCH(B1635,[1]Employee!$A$2:$A$276,0))</f>
        <v>Sales &amp; Marketing</v>
      </c>
    </row>
    <row r="1636" spans="1:15">
      <c r="A1636" s="1" t="s">
        <v>3359</v>
      </c>
      <c r="B1636" s="1" t="s">
        <v>451</v>
      </c>
      <c r="C1636" s="1" t="s">
        <v>3360</v>
      </c>
      <c r="D1636" s="2">
        <v>46108</v>
      </c>
      <c r="E1636" s="2">
        <v>46113</v>
      </c>
      <c r="F1636" s="1" t="s">
        <v>79</v>
      </c>
      <c r="G1636" s="1" t="s">
        <v>13</v>
      </c>
      <c r="H1636" s="1"/>
      <c r="I1636" s="7">
        <v>222.48</v>
      </c>
      <c r="J1636" s="1" t="s">
        <v>38</v>
      </c>
      <c r="K1636" s="1"/>
      <c r="L1636" s="1" t="s">
        <v>39</v>
      </c>
      <c r="M1636" s="1" t="str">
        <f>INDEX(MCC_Lookup!$B$2:$B$12,MATCH(G1636,MCC_Lookup!$A$2:$A$12,0))</f>
        <v>Software</v>
      </c>
      <c r="N1636" s="1" t="str">
        <f>IF(TRIM(H1636)="","BLANK",IF(PROPER(TRIM(H1636))=TRIM(M1636),"MATCH","MISMATCH"))</f>
        <v>BLANK</v>
      </c>
      <c r="O1636" s="5" t="str">
        <f>INDEX([1]Employee!$C$2:$C$276,MATCH(B1636,[1]Employee!$A$2:$A$276,0))</f>
        <v>IT &amp; Platform Engineering</v>
      </c>
    </row>
    <row r="1637" spans="1:15">
      <c r="A1637" s="1" t="s">
        <v>3361</v>
      </c>
      <c r="B1637" s="1" t="s">
        <v>2090</v>
      </c>
      <c r="C1637" s="1" t="s">
        <v>3362</v>
      </c>
      <c r="D1637" s="2">
        <v>46105</v>
      </c>
      <c r="E1637" s="2">
        <v>46113</v>
      </c>
      <c r="F1637" s="1" t="s">
        <v>56</v>
      </c>
      <c r="G1637" s="1" t="s">
        <v>4</v>
      </c>
      <c r="H1637" s="1" t="s">
        <v>5</v>
      </c>
      <c r="I1637" s="7">
        <v>625.88</v>
      </c>
      <c r="J1637" s="1" t="s">
        <v>38</v>
      </c>
      <c r="K1637" s="1"/>
      <c r="L1637" s="1" t="s">
        <v>39</v>
      </c>
      <c r="M1637" s="1" t="str">
        <f>INDEX(MCC_Lookup!$B$2:$B$12,MATCH(G1637,MCC_Lookup!$A$2:$A$12,0))</f>
        <v>Travel</v>
      </c>
      <c r="N1637" s="1" t="str">
        <f>IF(TRIM(H1637)="","BLANK",IF(PROPER(TRIM(H1637))=TRIM(M1637),"MATCH","MISMATCH"))</f>
        <v>MATCH</v>
      </c>
      <c r="O1637" s="5" t="str">
        <f>INDEX([1]Employee!$C$2:$C$276,MATCH(B1637,[1]Employee!$A$2:$A$276,0))</f>
        <v>Underwriting</v>
      </c>
    </row>
    <row r="1638" spans="1:15">
      <c r="A1638" s="1" t="s">
        <v>3363</v>
      </c>
      <c r="B1638" s="1" t="s">
        <v>3074</v>
      </c>
      <c r="C1638" s="1" t="s">
        <v>3364</v>
      </c>
      <c r="D1638" s="2">
        <v>46107</v>
      </c>
      <c r="E1638" s="2">
        <v>46113</v>
      </c>
      <c r="F1638" s="1" t="s">
        <v>120</v>
      </c>
      <c r="G1638" s="1" t="s">
        <v>12</v>
      </c>
      <c r="H1638" s="1" t="s">
        <v>11</v>
      </c>
      <c r="I1638" s="7">
        <v>160.88999999999999</v>
      </c>
      <c r="J1638" s="1" t="s">
        <v>38</v>
      </c>
      <c r="K1638" s="1"/>
      <c r="L1638" s="1" t="s">
        <v>39</v>
      </c>
      <c r="M1638" s="1" t="str">
        <f>INDEX(MCC_Lookup!$B$2:$B$12,MATCH(G1638,MCC_Lookup!$A$2:$A$12,0))</f>
        <v>Office Supplies</v>
      </c>
      <c r="N1638" s="1" t="str">
        <f>IF(TRIM(H1638)="","BLANK",IF(PROPER(TRIM(H1638))=TRIM(M1638),"MATCH","MISMATCH"))</f>
        <v>MATCH</v>
      </c>
      <c r="O1638" s="5" t="str">
        <f>INDEX([1]Employee!$C$2:$C$276,MATCH(B1638,[1]Employee!$A$2:$A$276,0))</f>
        <v>Finance</v>
      </c>
    </row>
    <row r="1639" spans="1:15">
      <c r="A1639" s="1" t="s">
        <v>3365</v>
      </c>
      <c r="B1639" s="1" t="s">
        <v>1116</v>
      </c>
      <c r="C1639" s="1" t="s">
        <v>3366</v>
      </c>
      <c r="D1639" s="2">
        <v>46106</v>
      </c>
      <c r="E1639" s="2">
        <v>46113</v>
      </c>
      <c r="F1639" s="1" t="s">
        <v>76</v>
      </c>
      <c r="G1639" s="1" t="s">
        <v>13</v>
      </c>
      <c r="H1639" s="1" t="s">
        <v>269</v>
      </c>
      <c r="I1639" s="7">
        <v>242.12</v>
      </c>
      <c r="J1639" s="1" t="s">
        <v>38</v>
      </c>
      <c r="K1639" s="1"/>
      <c r="L1639" s="1" t="s">
        <v>39</v>
      </c>
      <c r="M1639" s="1" t="str">
        <f>INDEX(MCC_Lookup!$B$2:$B$12,MATCH(G1639,MCC_Lookup!$A$2:$A$12,0))</f>
        <v>Software</v>
      </c>
      <c r="N1639" s="1" t="str">
        <f>IF(TRIM(H1639)="","BLANK",IF(PROPER(TRIM(H1639))=TRIM(M1639),"MATCH","MISMATCH"))</f>
        <v>MISMATCH</v>
      </c>
      <c r="O1639" s="5" t="str">
        <f>INDEX([1]Employee!$C$2:$C$276,MATCH(B1639,[1]Employee!$A$2:$A$276,0))</f>
        <v>Underwriting</v>
      </c>
    </row>
    <row r="1640" spans="1:15">
      <c r="A1640" s="1" t="s">
        <v>3367</v>
      </c>
      <c r="B1640" s="1" t="s">
        <v>1279</v>
      </c>
      <c r="C1640" s="1" t="s">
        <v>3368</v>
      </c>
      <c r="D1640" s="2">
        <v>46110</v>
      </c>
      <c r="E1640" s="2">
        <v>46113</v>
      </c>
      <c r="F1640" s="1" t="s">
        <v>305</v>
      </c>
      <c r="G1640" s="1" t="s">
        <v>2</v>
      </c>
      <c r="H1640" s="1" t="s">
        <v>3</v>
      </c>
      <c r="I1640" s="7">
        <v>10.25</v>
      </c>
      <c r="J1640" s="1" t="s">
        <v>38</v>
      </c>
      <c r="K1640" s="1"/>
      <c r="L1640" s="1" t="s">
        <v>39</v>
      </c>
      <c r="M1640" s="1" t="str">
        <f>INDEX(MCC_Lookup!$B$2:$B$12,MATCH(G1640,MCC_Lookup!$A$2:$A$12,0))</f>
        <v>Meals</v>
      </c>
      <c r="N1640" s="1" t="str">
        <f>IF(TRIM(H1640)="","BLANK",IF(PROPER(TRIM(H1640))=TRIM(M1640),"MATCH","MISMATCH"))</f>
        <v>MATCH</v>
      </c>
      <c r="O1640" s="5" t="str">
        <f>INDEX([1]Employee!$C$2:$C$276,MATCH(B1640,[1]Employee!$A$2:$A$276,0))</f>
        <v>IT &amp; Platform Engineering</v>
      </c>
    </row>
    <row r="1641" spans="1:15">
      <c r="A1641" s="1" t="s">
        <v>3369</v>
      </c>
      <c r="B1641" s="1" t="s">
        <v>810</v>
      </c>
      <c r="C1641" s="1" t="s">
        <v>3370</v>
      </c>
      <c r="D1641" s="2">
        <v>46111</v>
      </c>
      <c r="E1641" s="2">
        <v>46113</v>
      </c>
      <c r="F1641" s="1" t="s">
        <v>52</v>
      </c>
      <c r="G1641" s="1" t="s">
        <v>15</v>
      </c>
      <c r="H1641" s="1" t="s">
        <v>16</v>
      </c>
      <c r="I1641" s="7">
        <v>20.98</v>
      </c>
      <c r="J1641" s="1" t="s">
        <v>38</v>
      </c>
      <c r="K1641" s="1"/>
      <c r="L1641" s="1" t="s">
        <v>39</v>
      </c>
      <c r="M1641" s="1" t="str">
        <f>INDEX(MCC_Lookup!$B$2:$B$12,MATCH(G1641,MCC_Lookup!$A$2:$A$12,0))</f>
        <v>Entertainment</v>
      </c>
      <c r="N1641" s="1" t="str">
        <f>IF(TRIM(H1641)="","BLANK",IF(PROPER(TRIM(H1641))=TRIM(M1641),"MATCH","MISMATCH"))</f>
        <v>MATCH</v>
      </c>
      <c r="O1641" s="5" t="str">
        <f>INDEX([1]Employee!$C$2:$C$276,MATCH(B1641,[1]Employee!$A$2:$A$276,0))</f>
        <v>Sales &amp; Marketing</v>
      </c>
    </row>
    <row r="1642" spans="1:15">
      <c r="A1642" s="1" t="s">
        <v>3371</v>
      </c>
      <c r="B1642" s="1" t="s">
        <v>564</v>
      </c>
      <c r="C1642" s="1"/>
      <c r="D1642" s="2">
        <v>46113</v>
      </c>
      <c r="E1642" s="2">
        <v>46113</v>
      </c>
      <c r="F1642" s="1" t="s">
        <v>52</v>
      </c>
      <c r="G1642" s="1" t="s">
        <v>15</v>
      </c>
      <c r="H1642" s="1" t="s">
        <v>9</v>
      </c>
      <c r="I1642" s="7">
        <v>28.36</v>
      </c>
      <c r="J1642" s="1" t="s">
        <v>38</v>
      </c>
      <c r="K1642" s="1"/>
      <c r="L1642" s="1" t="s">
        <v>39</v>
      </c>
      <c r="M1642" s="1" t="str">
        <f>INDEX(MCC_Lookup!$B$2:$B$12,MATCH(G1642,MCC_Lookup!$A$2:$A$12,0))</f>
        <v>Entertainment</v>
      </c>
      <c r="N1642" s="1" t="str">
        <f>IF(TRIM(H1642)="","BLANK",IF(PROPER(TRIM(H1642))=TRIM(M1642),"MATCH","MISMATCH"))</f>
        <v>MISMATCH</v>
      </c>
      <c r="O1642" s="5" t="str">
        <f>INDEX([1]Employee!$C$2:$C$276,MATCH(B1642,[1]Employee!$A$2:$A$276,0))</f>
        <v>Sales &amp; Marketing</v>
      </c>
    </row>
    <row r="1643" spans="1:15">
      <c r="A1643" s="1" t="s">
        <v>3372</v>
      </c>
      <c r="B1643" s="1" t="s">
        <v>171</v>
      </c>
      <c r="C1643" s="1" t="s">
        <v>3373</v>
      </c>
      <c r="D1643" s="2">
        <v>46110</v>
      </c>
      <c r="E1643" s="2">
        <v>46113</v>
      </c>
      <c r="F1643" s="1" t="s">
        <v>120</v>
      </c>
      <c r="G1643" s="1" t="s">
        <v>12</v>
      </c>
      <c r="H1643" s="1" t="s">
        <v>11</v>
      </c>
      <c r="I1643" s="7">
        <v>87.56</v>
      </c>
      <c r="J1643" s="1" t="s">
        <v>38</v>
      </c>
      <c r="K1643" s="1"/>
      <c r="L1643" s="1" t="s">
        <v>39</v>
      </c>
      <c r="M1643" s="1" t="str">
        <f>INDEX(MCC_Lookup!$B$2:$B$12,MATCH(G1643,MCC_Lookup!$A$2:$A$12,0))</f>
        <v>Office Supplies</v>
      </c>
      <c r="N1643" s="1" t="str">
        <f>IF(TRIM(H1643)="","BLANK",IF(PROPER(TRIM(H1643))=TRIM(M1643),"MATCH","MISMATCH"))</f>
        <v>MATCH</v>
      </c>
      <c r="O1643" s="5" t="str">
        <f>INDEX([1]Employee!$C$2:$C$276,MATCH(B1643,[1]Employee!$A$2:$A$276,0))</f>
        <v>Claims</v>
      </c>
    </row>
    <row r="1644" spans="1:15">
      <c r="A1644" s="1" t="s">
        <v>3374</v>
      </c>
      <c r="B1644" s="1" t="s">
        <v>3375</v>
      </c>
      <c r="C1644" s="1" t="s">
        <v>3376</v>
      </c>
      <c r="D1644" s="2">
        <v>46103</v>
      </c>
      <c r="E1644" s="2">
        <v>46113</v>
      </c>
      <c r="F1644" s="1" t="s">
        <v>56</v>
      </c>
      <c r="G1644" s="1" t="s">
        <v>4</v>
      </c>
      <c r="H1644" s="1" t="s">
        <v>5</v>
      </c>
      <c r="I1644" s="7">
        <v>316.11</v>
      </c>
      <c r="J1644" s="1" t="s">
        <v>38</v>
      </c>
      <c r="K1644" s="1"/>
      <c r="L1644" s="1" t="s">
        <v>39</v>
      </c>
      <c r="M1644" s="1" t="str">
        <f>INDEX(MCC_Lookup!$B$2:$B$12,MATCH(G1644,MCC_Lookup!$A$2:$A$12,0))</f>
        <v>Travel</v>
      </c>
      <c r="N1644" s="1" t="str">
        <f>IF(TRIM(H1644)="","BLANK",IF(PROPER(TRIM(H1644))=TRIM(M1644),"MATCH","MISMATCH"))</f>
        <v>MATCH</v>
      </c>
      <c r="O1644" s="5" t="str">
        <f>INDEX([1]Employee!$C$2:$C$276,MATCH(B1644,[1]Employee!$A$2:$A$276,0))</f>
        <v>IT &amp; Platform Engineering</v>
      </c>
    </row>
    <row r="1645" spans="1:15">
      <c r="A1645" s="1" t="s">
        <v>3377</v>
      </c>
      <c r="B1645" s="1" t="s">
        <v>182</v>
      </c>
      <c r="C1645" s="1" t="s">
        <v>3378</v>
      </c>
      <c r="D1645" s="2">
        <v>46108</v>
      </c>
      <c r="E1645" s="2">
        <v>46113</v>
      </c>
      <c r="F1645" s="1" t="s">
        <v>37</v>
      </c>
      <c r="G1645" s="1" t="s">
        <v>4</v>
      </c>
      <c r="H1645" s="1" t="s">
        <v>5</v>
      </c>
      <c r="I1645" s="7">
        <v>427.69</v>
      </c>
      <c r="J1645" s="1" t="s">
        <v>38</v>
      </c>
      <c r="K1645" s="1"/>
      <c r="L1645" s="1" t="s">
        <v>39</v>
      </c>
      <c r="M1645" s="1" t="str">
        <f>INDEX(MCC_Lookup!$B$2:$B$12,MATCH(G1645,MCC_Lookup!$A$2:$A$12,0))</f>
        <v>Travel</v>
      </c>
      <c r="N1645" s="1" t="str">
        <f>IF(TRIM(H1645)="","BLANK",IF(PROPER(TRIM(H1645))=TRIM(M1645),"MATCH","MISMATCH"))</f>
        <v>MATCH</v>
      </c>
      <c r="O1645" s="5" t="str">
        <f>INDEX([1]Employee!$C$2:$C$276,MATCH(B1645,[1]Employee!$A$2:$A$276,0))</f>
        <v>Sales &amp; Marketing</v>
      </c>
    </row>
    <row r="1646" spans="1:15">
      <c r="A1646" s="1" t="s">
        <v>3379</v>
      </c>
      <c r="B1646" s="1" t="s">
        <v>182</v>
      </c>
      <c r="C1646" s="1" t="s">
        <v>3380</v>
      </c>
      <c r="D1646" s="2">
        <v>46111</v>
      </c>
      <c r="E1646" s="2">
        <v>46113</v>
      </c>
      <c r="F1646" s="1" t="s">
        <v>92</v>
      </c>
      <c r="G1646" s="1" t="s">
        <v>10</v>
      </c>
      <c r="H1646" s="1" t="s">
        <v>131</v>
      </c>
      <c r="I1646" s="7">
        <v>105.37</v>
      </c>
      <c r="J1646" s="1" t="s">
        <v>38</v>
      </c>
      <c r="K1646" s="1"/>
      <c r="L1646" s="1" t="s">
        <v>39</v>
      </c>
      <c r="M1646" s="1" t="str">
        <f>INDEX(MCC_Lookup!$B$2:$B$12,MATCH(G1646,MCC_Lookup!$A$2:$A$12,0))</f>
        <v>Office Supplies</v>
      </c>
      <c r="N1646" s="1" t="str">
        <f>IF(TRIM(H1646)="","BLANK",IF(PROPER(TRIM(H1646))=TRIM(M1646),"MATCH","MISMATCH"))</f>
        <v>MATCH</v>
      </c>
      <c r="O1646" s="5" t="str">
        <f>INDEX([1]Employee!$C$2:$C$276,MATCH(B1646,[1]Employee!$A$2:$A$276,0))</f>
        <v>Sales &amp; Marketing</v>
      </c>
    </row>
    <row r="1647" spans="1:15">
      <c r="A1647" s="1" t="s">
        <v>3381</v>
      </c>
      <c r="B1647" s="1" t="s">
        <v>453</v>
      </c>
      <c r="C1647" s="1"/>
      <c r="D1647" s="2">
        <v>46111</v>
      </c>
      <c r="E1647" s="2">
        <v>46114</v>
      </c>
      <c r="F1647" s="1" t="s">
        <v>65</v>
      </c>
      <c r="G1647" s="1" t="s">
        <v>18</v>
      </c>
      <c r="H1647" s="1" t="s">
        <v>7</v>
      </c>
      <c r="I1647" s="7">
        <v>453.85</v>
      </c>
      <c r="J1647" s="1" t="s">
        <v>38</v>
      </c>
      <c r="K1647" s="1"/>
      <c r="L1647" s="1" t="s">
        <v>39</v>
      </c>
      <c r="M1647" s="1" t="str">
        <f>INDEX(MCC_Lookup!$B$2:$B$12,MATCH(G1647,MCC_Lookup!$A$2:$A$12,0))</f>
        <v>Events</v>
      </c>
      <c r="N1647" s="1" t="str">
        <f>IF(TRIM(H1647)="","BLANK",IF(PROPER(TRIM(H1647))=TRIM(M1647),"MATCH","MISMATCH"))</f>
        <v>MISMATCH</v>
      </c>
      <c r="O1647" s="5" t="str">
        <f>INDEX([1]Employee!$C$2:$C$276,MATCH(B1647,[1]Employee!$A$2:$A$276,0))</f>
        <v>IT &amp; Platform Engineering</v>
      </c>
    </row>
    <row r="1648" spans="1:15">
      <c r="A1648" s="1" t="s">
        <v>3382</v>
      </c>
      <c r="B1648" s="1" t="s">
        <v>1650</v>
      </c>
      <c r="C1648" s="1" t="s">
        <v>3383</v>
      </c>
      <c r="D1648" s="2">
        <v>46114</v>
      </c>
      <c r="E1648" s="2">
        <v>46114</v>
      </c>
      <c r="F1648" s="1" t="s">
        <v>43</v>
      </c>
      <c r="G1648" s="1" t="s">
        <v>2</v>
      </c>
      <c r="H1648" s="1" t="s">
        <v>3</v>
      </c>
      <c r="I1648" s="7">
        <v>17.63</v>
      </c>
      <c r="J1648" s="1" t="s">
        <v>38</v>
      </c>
      <c r="K1648" s="1"/>
      <c r="L1648" s="1" t="s">
        <v>39</v>
      </c>
      <c r="M1648" s="1" t="str">
        <f>INDEX(MCC_Lookup!$B$2:$B$12,MATCH(G1648,MCC_Lookup!$A$2:$A$12,0))</f>
        <v>Meals</v>
      </c>
      <c r="N1648" s="1" t="str">
        <f>IF(TRIM(H1648)="","BLANK",IF(PROPER(TRIM(H1648))=TRIM(M1648),"MATCH","MISMATCH"))</f>
        <v>MATCH</v>
      </c>
      <c r="O1648" s="5" t="str">
        <f>INDEX([1]Employee!$C$2:$C$276,MATCH(B1648,[1]Employee!$A$2:$A$276,0))</f>
        <v>HR &amp; Events</v>
      </c>
    </row>
    <row r="1649" spans="1:15">
      <c r="A1649" s="1" t="s">
        <v>3384</v>
      </c>
      <c r="B1649" s="1" t="s">
        <v>2333</v>
      </c>
      <c r="C1649" s="1" t="s">
        <v>3385</v>
      </c>
      <c r="D1649" s="2">
        <v>46111</v>
      </c>
      <c r="E1649" s="2">
        <v>46114</v>
      </c>
      <c r="F1649" s="1" t="s">
        <v>173</v>
      </c>
      <c r="G1649" s="1" t="s">
        <v>2</v>
      </c>
      <c r="H1649" s="1"/>
      <c r="I1649" s="7">
        <v>40.17</v>
      </c>
      <c r="J1649" s="1" t="s">
        <v>38</v>
      </c>
      <c r="K1649" s="1"/>
      <c r="L1649" s="1" t="s">
        <v>39</v>
      </c>
      <c r="M1649" s="1" t="str">
        <f>INDEX(MCC_Lookup!$B$2:$B$12,MATCH(G1649,MCC_Lookup!$A$2:$A$12,0))</f>
        <v>Meals</v>
      </c>
      <c r="N1649" s="1" t="str">
        <f>IF(TRIM(H1649)="","BLANK",IF(PROPER(TRIM(H1649))=TRIM(M1649),"MATCH","MISMATCH"))</f>
        <v>BLANK</v>
      </c>
      <c r="O1649" s="5" t="str">
        <f>INDEX([1]Employee!$C$2:$C$276,MATCH(B1649,[1]Employee!$A$2:$A$276,0))</f>
        <v>HR &amp; Events</v>
      </c>
    </row>
    <row r="1650" spans="1:15">
      <c r="A1650" s="1" t="s">
        <v>3386</v>
      </c>
      <c r="B1650" s="1" t="s">
        <v>512</v>
      </c>
      <c r="C1650" s="1" t="s">
        <v>3387</v>
      </c>
      <c r="D1650" s="2">
        <v>46109</v>
      </c>
      <c r="E1650" s="2">
        <v>46114</v>
      </c>
      <c r="F1650" s="1" t="s">
        <v>72</v>
      </c>
      <c r="G1650" s="1" t="s">
        <v>8</v>
      </c>
      <c r="H1650" s="1" t="s">
        <v>9</v>
      </c>
      <c r="I1650" s="7">
        <v>53.27</v>
      </c>
      <c r="J1650" s="1" t="s">
        <v>38</v>
      </c>
      <c r="K1650" s="1"/>
      <c r="L1650" s="1" t="s">
        <v>48</v>
      </c>
      <c r="M1650" s="1" t="str">
        <f>INDEX(MCC_Lookup!$B$2:$B$12,MATCH(G1650,MCC_Lookup!$A$2:$A$12,0))</f>
        <v>Transportation</v>
      </c>
      <c r="N1650" s="1" t="str">
        <f>IF(TRIM(H1650)="","BLANK",IF(PROPER(TRIM(H1650))=TRIM(M1650),"MATCH","MISMATCH"))</f>
        <v>MATCH</v>
      </c>
      <c r="O1650" s="5" t="str">
        <f>INDEX([1]Employee!$C$2:$C$276,MATCH(B1650,[1]Employee!$A$2:$A$276,0))</f>
        <v>Sales &amp; Marketing</v>
      </c>
    </row>
    <row r="1651" spans="1:15">
      <c r="A1651" s="1" t="s">
        <v>3388</v>
      </c>
      <c r="B1651" s="1" t="s">
        <v>41</v>
      </c>
      <c r="C1651" s="1" t="s">
        <v>3389</v>
      </c>
      <c r="D1651" s="2">
        <v>46114</v>
      </c>
      <c r="E1651" s="2">
        <v>46114</v>
      </c>
      <c r="F1651" s="1" t="s">
        <v>347</v>
      </c>
      <c r="G1651" s="1" t="s">
        <v>8</v>
      </c>
      <c r="H1651" s="1" t="s">
        <v>9</v>
      </c>
      <c r="I1651" s="7">
        <v>52.75</v>
      </c>
      <c r="J1651" s="1" t="s">
        <v>38</v>
      </c>
      <c r="K1651" s="1"/>
      <c r="L1651" s="1" t="s">
        <v>39</v>
      </c>
      <c r="M1651" s="1" t="str">
        <f>INDEX(MCC_Lookup!$B$2:$B$12,MATCH(G1651,MCC_Lookup!$A$2:$A$12,0))</f>
        <v>Transportation</v>
      </c>
      <c r="N1651" s="1" t="str">
        <f>IF(TRIM(H1651)="","BLANK",IF(PROPER(TRIM(H1651))=TRIM(M1651),"MATCH","MISMATCH"))</f>
        <v>MATCH</v>
      </c>
      <c r="O1651" s="5" t="str">
        <f>INDEX([1]Employee!$C$2:$C$276,MATCH(B1651,[1]Employee!$A$2:$A$276,0))</f>
        <v>Sales &amp; Marketing</v>
      </c>
    </row>
    <row r="1652" spans="1:15">
      <c r="A1652" s="1" t="s">
        <v>3390</v>
      </c>
      <c r="B1652" s="1" t="s">
        <v>1552</v>
      </c>
      <c r="C1652" s="1" t="s">
        <v>3391</v>
      </c>
      <c r="D1652" s="2">
        <v>46107</v>
      </c>
      <c r="E1652" s="2">
        <v>46114</v>
      </c>
      <c r="F1652" s="1" t="s">
        <v>173</v>
      </c>
      <c r="G1652" s="1" t="s">
        <v>2</v>
      </c>
      <c r="H1652" s="1" t="s">
        <v>3</v>
      </c>
      <c r="I1652" s="7">
        <v>63.11</v>
      </c>
      <c r="J1652" s="1" t="s">
        <v>38</v>
      </c>
      <c r="K1652" s="1"/>
      <c r="L1652" s="1" t="s">
        <v>39</v>
      </c>
      <c r="M1652" s="1" t="str">
        <f>INDEX(MCC_Lookup!$B$2:$B$12,MATCH(G1652,MCC_Lookup!$A$2:$A$12,0))</f>
        <v>Meals</v>
      </c>
      <c r="N1652" s="1" t="str">
        <f>IF(TRIM(H1652)="","BLANK",IF(PROPER(TRIM(H1652))=TRIM(M1652),"MATCH","MISMATCH"))</f>
        <v>MATCH</v>
      </c>
      <c r="O1652" s="5" t="str">
        <f>INDEX([1]Employee!$C$2:$C$276,MATCH(B1652,[1]Employee!$A$2:$A$276,0))</f>
        <v>Underwriting</v>
      </c>
    </row>
    <row r="1653" spans="1:15">
      <c r="A1653" s="1" t="s">
        <v>3392</v>
      </c>
      <c r="B1653" s="1" t="s">
        <v>868</v>
      </c>
      <c r="C1653" s="1" t="s">
        <v>3393</v>
      </c>
      <c r="D1653" s="2">
        <v>46109</v>
      </c>
      <c r="E1653" s="2">
        <v>46114</v>
      </c>
      <c r="F1653" s="1" t="s">
        <v>92</v>
      </c>
      <c r="G1653" s="1" t="s">
        <v>10</v>
      </c>
      <c r="H1653" s="1"/>
      <c r="I1653" s="7">
        <v>95.82</v>
      </c>
      <c r="J1653" s="1" t="s">
        <v>38</v>
      </c>
      <c r="K1653" s="1"/>
      <c r="L1653" s="1" t="s">
        <v>39</v>
      </c>
      <c r="M1653" s="1" t="str">
        <f>INDEX(MCC_Lookup!$B$2:$B$12,MATCH(G1653,MCC_Lookup!$A$2:$A$12,0))</f>
        <v>Office Supplies</v>
      </c>
      <c r="N1653" s="1" t="str">
        <f>IF(TRIM(H1653)="","BLANK",IF(PROPER(TRIM(H1653))=TRIM(M1653),"MATCH","MISMATCH"))</f>
        <v>BLANK</v>
      </c>
      <c r="O1653" s="5" t="str">
        <f>INDEX([1]Employee!$C$2:$C$276,MATCH(B1653,[1]Employee!$A$2:$A$276,0))</f>
        <v>Sales &amp; Marketing</v>
      </c>
    </row>
    <row r="1654" spans="1:15">
      <c r="A1654" s="1" t="s">
        <v>3394</v>
      </c>
      <c r="B1654" s="1" t="s">
        <v>1440</v>
      </c>
      <c r="C1654" s="1" t="s">
        <v>3395</v>
      </c>
      <c r="D1654" s="2">
        <v>46107</v>
      </c>
      <c r="E1654" s="2">
        <v>46114</v>
      </c>
      <c r="F1654" s="1" t="s">
        <v>47</v>
      </c>
      <c r="G1654" s="1" t="s">
        <v>6</v>
      </c>
      <c r="H1654" s="1" t="s">
        <v>7</v>
      </c>
      <c r="I1654" s="7">
        <v>147.6</v>
      </c>
      <c r="J1654" s="1" t="s">
        <v>38</v>
      </c>
      <c r="K1654" s="1"/>
      <c r="L1654" s="1" t="s">
        <v>39</v>
      </c>
      <c r="M1654" s="1" t="str">
        <f>INDEX(MCC_Lookup!$B$2:$B$12,MATCH(G1654,MCC_Lookup!$A$2:$A$12,0))</f>
        <v>Lodging</v>
      </c>
      <c r="N1654" s="1" t="str">
        <f>IF(TRIM(H1654)="","BLANK",IF(PROPER(TRIM(H1654))=TRIM(M1654),"MATCH","MISMATCH"))</f>
        <v>MATCH</v>
      </c>
      <c r="O1654" s="5" t="str">
        <f>INDEX([1]Employee!$C$2:$C$276,MATCH(B1654,[1]Employee!$A$2:$A$276,0))</f>
        <v>Claims</v>
      </c>
    </row>
    <row r="1655" spans="1:15">
      <c r="A1655" s="1" t="s">
        <v>3396</v>
      </c>
      <c r="B1655" s="1" t="s">
        <v>603</v>
      </c>
      <c r="C1655" s="1" t="s">
        <v>3397</v>
      </c>
      <c r="D1655" s="2">
        <v>46106</v>
      </c>
      <c r="E1655" s="2">
        <v>46114</v>
      </c>
      <c r="F1655" s="1" t="s">
        <v>61</v>
      </c>
      <c r="G1655" s="1" t="s">
        <v>13</v>
      </c>
      <c r="H1655" s="1" t="s">
        <v>14</v>
      </c>
      <c r="I1655" s="7">
        <v>39</v>
      </c>
      <c r="J1655" s="1" t="s">
        <v>38</v>
      </c>
      <c r="K1655" s="1"/>
      <c r="L1655" s="1" t="s">
        <v>39</v>
      </c>
      <c r="M1655" s="1" t="str">
        <f>INDEX(MCC_Lookup!$B$2:$B$12,MATCH(G1655,MCC_Lookup!$A$2:$A$12,0))</f>
        <v>Software</v>
      </c>
      <c r="N1655" s="1" t="str">
        <f>IF(TRIM(H1655)="","BLANK",IF(PROPER(TRIM(H1655))=TRIM(M1655),"MATCH","MISMATCH"))</f>
        <v>MATCH</v>
      </c>
      <c r="O1655" s="5" t="str">
        <f>INDEX([1]Employee!$C$2:$C$276,MATCH(B1655,[1]Employee!$A$2:$A$276,0))</f>
        <v>Underwriting</v>
      </c>
    </row>
    <row r="1656" spans="1:15">
      <c r="A1656" s="1" t="s">
        <v>3398</v>
      </c>
      <c r="B1656" s="1" t="s">
        <v>244</v>
      </c>
      <c r="C1656" s="1"/>
      <c r="D1656" s="2">
        <v>46105</v>
      </c>
      <c r="E1656" s="2">
        <v>46114</v>
      </c>
      <c r="F1656" s="1" t="s">
        <v>79</v>
      </c>
      <c r="G1656" s="1" t="s">
        <v>13</v>
      </c>
      <c r="H1656" s="1" t="s">
        <v>14</v>
      </c>
      <c r="I1656" s="7">
        <v>192.41</v>
      </c>
      <c r="J1656" s="1" t="s">
        <v>111</v>
      </c>
      <c r="K1656" s="1" t="s">
        <v>112</v>
      </c>
      <c r="L1656" s="1" t="s">
        <v>39</v>
      </c>
      <c r="M1656" s="1" t="str">
        <f>INDEX(MCC_Lookup!$B$2:$B$12,MATCH(G1656,MCC_Lookup!$A$2:$A$12,0))</f>
        <v>Software</v>
      </c>
      <c r="N1656" s="1" t="str">
        <f>IF(TRIM(H1656)="","BLANK",IF(PROPER(TRIM(H1656))=TRIM(M1656),"MATCH","MISMATCH"))</f>
        <v>MATCH</v>
      </c>
      <c r="O1656" s="5" t="str">
        <f>INDEX([1]Employee!$C$2:$C$276,MATCH(B1656,[1]Employee!$A$2:$A$276,0))</f>
        <v>Sales &amp; Marketing</v>
      </c>
    </row>
    <row r="1657" spans="1:15">
      <c r="A1657" s="1" t="s">
        <v>3399</v>
      </c>
      <c r="B1657" s="1" t="s">
        <v>677</v>
      </c>
      <c r="C1657" s="1" t="s">
        <v>3400</v>
      </c>
      <c r="D1657" s="2">
        <v>46108</v>
      </c>
      <c r="E1657" s="2">
        <v>46114</v>
      </c>
      <c r="F1657" s="1" t="s">
        <v>72</v>
      </c>
      <c r="G1657" s="1" t="s">
        <v>8</v>
      </c>
      <c r="H1657" s="1" t="s">
        <v>9</v>
      </c>
      <c r="I1657" s="7">
        <v>24.56</v>
      </c>
      <c r="J1657" s="1" t="s">
        <v>38</v>
      </c>
      <c r="K1657" s="1"/>
      <c r="L1657" s="1" t="s">
        <v>39</v>
      </c>
      <c r="M1657" s="1" t="str">
        <f>INDEX(MCC_Lookup!$B$2:$B$12,MATCH(G1657,MCC_Lookup!$A$2:$A$12,0))</f>
        <v>Transportation</v>
      </c>
      <c r="N1657" s="1" t="str">
        <f>IF(TRIM(H1657)="","BLANK",IF(PROPER(TRIM(H1657))=TRIM(M1657),"MATCH","MISMATCH"))</f>
        <v>MATCH</v>
      </c>
      <c r="O1657" s="5" t="str">
        <f>INDEX([1]Employee!$C$2:$C$276,MATCH(B1657,[1]Employee!$A$2:$A$276,0))</f>
        <v>Sales &amp; Marketing</v>
      </c>
    </row>
    <row r="1658" spans="1:15">
      <c r="A1658" s="1" t="s">
        <v>3401</v>
      </c>
      <c r="B1658" s="1" t="s">
        <v>97</v>
      </c>
      <c r="C1658" s="1" t="s">
        <v>3402</v>
      </c>
      <c r="D1658" s="2">
        <v>46108</v>
      </c>
      <c r="E1658" s="2">
        <v>46114</v>
      </c>
      <c r="F1658" s="1" t="s">
        <v>56</v>
      </c>
      <c r="G1658" s="1" t="s">
        <v>4</v>
      </c>
      <c r="H1658" s="1" t="s">
        <v>5</v>
      </c>
      <c r="I1658" s="7">
        <v>243.13</v>
      </c>
      <c r="J1658" s="1" t="s">
        <v>38</v>
      </c>
      <c r="K1658" s="1"/>
      <c r="L1658" s="1" t="s">
        <v>39</v>
      </c>
      <c r="M1658" s="1" t="str">
        <f>INDEX(MCC_Lookup!$B$2:$B$12,MATCH(G1658,MCC_Lookup!$A$2:$A$12,0))</f>
        <v>Travel</v>
      </c>
      <c r="N1658" s="1" t="str">
        <f>IF(TRIM(H1658)="","BLANK",IF(PROPER(TRIM(H1658))=TRIM(M1658),"MATCH","MISMATCH"))</f>
        <v>MATCH</v>
      </c>
      <c r="O1658" s="5" t="str">
        <f>INDEX([1]Employee!$C$2:$C$276,MATCH(B1658,[1]Employee!$A$2:$A$276,0))</f>
        <v>Sales &amp; Marketing</v>
      </c>
    </row>
    <row r="1659" spans="1:15">
      <c r="A1659" s="1" t="s">
        <v>3403</v>
      </c>
      <c r="B1659" s="1" t="s">
        <v>407</v>
      </c>
      <c r="C1659" s="1" t="s">
        <v>3404</v>
      </c>
      <c r="D1659" s="2">
        <v>46113</v>
      </c>
      <c r="E1659" s="2">
        <v>46114</v>
      </c>
      <c r="F1659" s="1" t="s">
        <v>83</v>
      </c>
      <c r="G1659" s="1" t="s">
        <v>2</v>
      </c>
      <c r="H1659" s="1" t="s">
        <v>3</v>
      </c>
      <c r="I1659" s="7">
        <v>9.91</v>
      </c>
      <c r="J1659" s="1" t="s">
        <v>38</v>
      </c>
      <c r="K1659" s="1"/>
      <c r="L1659" s="1" t="s">
        <v>39</v>
      </c>
      <c r="M1659" s="1" t="str">
        <f>INDEX(MCC_Lookup!$B$2:$B$12,MATCH(G1659,MCC_Lookup!$A$2:$A$12,0))</f>
        <v>Meals</v>
      </c>
      <c r="N1659" s="1" t="str">
        <f>IF(TRIM(H1659)="","BLANK",IF(PROPER(TRIM(H1659))=TRIM(M1659),"MATCH","MISMATCH"))</f>
        <v>MATCH</v>
      </c>
      <c r="O1659" s="5" t="str">
        <f>INDEX([1]Employee!$C$2:$C$276,MATCH(B1659,[1]Employee!$A$2:$A$276,0))</f>
        <v>Executive &amp; Corporate</v>
      </c>
    </row>
    <row r="1660" spans="1:15">
      <c r="A1660" s="1" t="s">
        <v>3405</v>
      </c>
      <c r="B1660" s="1" t="s">
        <v>307</v>
      </c>
      <c r="C1660" s="1" t="s">
        <v>3406</v>
      </c>
      <c r="D1660" s="2">
        <v>46114</v>
      </c>
      <c r="E1660" s="2">
        <v>46114</v>
      </c>
      <c r="F1660" s="1" t="s">
        <v>259</v>
      </c>
      <c r="G1660" s="1" t="s">
        <v>20</v>
      </c>
      <c r="H1660" s="1" t="s">
        <v>19</v>
      </c>
      <c r="I1660" s="7">
        <v>76.13</v>
      </c>
      <c r="J1660" s="1" t="s">
        <v>38</v>
      </c>
      <c r="K1660" s="1"/>
      <c r="L1660" s="1" t="s">
        <v>39</v>
      </c>
      <c r="M1660" s="1" t="str">
        <f>INDEX(MCC_Lookup!$B$2:$B$12,MATCH(G1660,MCC_Lookup!$A$2:$A$12,0))</f>
        <v>Events</v>
      </c>
      <c r="N1660" s="1" t="str">
        <f>IF(TRIM(H1660)="","BLANK",IF(PROPER(TRIM(H1660))=TRIM(M1660),"MATCH","MISMATCH"))</f>
        <v>MATCH</v>
      </c>
      <c r="O1660" s="5" t="str">
        <f>INDEX([1]Employee!$C$2:$C$276,MATCH(B1660,[1]Employee!$A$2:$A$276,0))</f>
        <v>Finance</v>
      </c>
    </row>
    <row r="1661" spans="1:15">
      <c r="A1661" s="1" t="s">
        <v>3407</v>
      </c>
      <c r="B1661" s="1" t="s">
        <v>469</v>
      </c>
      <c r="C1661" s="1"/>
      <c r="D1661" s="2">
        <v>46105</v>
      </c>
      <c r="E1661" s="2">
        <v>46114</v>
      </c>
      <c r="F1661" s="1" t="s">
        <v>305</v>
      </c>
      <c r="G1661" s="1" t="s">
        <v>2</v>
      </c>
      <c r="H1661" s="1" t="s">
        <v>3</v>
      </c>
      <c r="I1661" s="7">
        <v>15.96</v>
      </c>
      <c r="J1661" s="1" t="s">
        <v>111</v>
      </c>
      <c r="K1661" s="1" t="s">
        <v>127</v>
      </c>
      <c r="L1661" s="1" t="s">
        <v>39</v>
      </c>
      <c r="M1661" s="1" t="str">
        <f>INDEX(MCC_Lookup!$B$2:$B$12,MATCH(G1661,MCC_Lookup!$A$2:$A$12,0))</f>
        <v>Meals</v>
      </c>
      <c r="N1661" s="1" t="str">
        <f>IF(TRIM(H1661)="","BLANK",IF(PROPER(TRIM(H1661))=TRIM(M1661),"MATCH","MISMATCH"))</f>
        <v>MATCH</v>
      </c>
      <c r="O1661" s="5" t="str">
        <f>INDEX([1]Employee!$C$2:$C$276,MATCH(B1661,[1]Employee!$A$2:$A$276,0))</f>
        <v>Sales &amp; Marketing</v>
      </c>
    </row>
    <row r="1662" spans="1:15">
      <c r="A1662" s="1" t="s">
        <v>3408</v>
      </c>
      <c r="B1662" s="1" t="s">
        <v>469</v>
      </c>
      <c r="C1662" s="1"/>
      <c r="D1662" s="2">
        <v>46114</v>
      </c>
      <c r="E1662" s="2">
        <v>46114</v>
      </c>
      <c r="F1662" s="1" t="s">
        <v>106</v>
      </c>
      <c r="G1662" s="1" t="s">
        <v>13</v>
      </c>
      <c r="H1662" s="1"/>
      <c r="I1662" s="7">
        <v>154.28</v>
      </c>
      <c r="J1662" s="1" t="s">
        <v>111</v>
      </c>
      <c r="K1662" s="1" t="s">
        <v>127</v>
      </c>
      <c r="L1662" s="1" t="s">
        <v>39</v>
      </c>
      <c r="M1662" s="1" t="str">
        <f>INDEX(MCC_Lookup!$B$2:$B$12,MATCH(G1662,MCC_Lookup!$A$2:$A$12,0))</f>
        <v>Software</v>
      </c>
      <c r="N1662" s="1" t="str">
        <f>IF(TRIM(H1662)="","BLANK",IF(PROPER(TRIM(H1662))=TRIM(M1662),"MATCH","MISMATCH"))</f>
        <v>BLANK</v>
      </c>
      <c r="O1662" s="5" t="str">
        <f>INDEX([1]Employee!$C$2:$C$276,MATCH(B1662,[1]Employee!$A$2:$A$276,0))</f>
        <v>Sales &amp; Marketing</v>
      </c>
    </row>
    <row r="1663" spans="1:15">
      <c r="A1663" s="1" t="s">
        <v>3409</v>
      </c>
      <c r="B1663" s="1" t="s">
        <v>1504</v>
      </c>
      <c r="C1663" s="1" t="s">
        <v>3410</v>
      </c>
      <c r="D1663" s="2">
        <v>46114</v>
      </c>
      <c r="E1663" s="2">
        <v>46114</v>
      </c>
      <c r="F1663" s="1" t="s">
        <v>259</v>
      </c>
      <c r="G1663" s="1" t="s">
        <v>20</v>
      </c>
      <c r="H1663" s="1" t="s">
        <v>19</v>
      </c>
      <c r="I1663" s="7">
        <v>655.32000000000005</v>
      </c>
      <c r="J1663" s="1" t="s">
        <v>38</v>
      </c>
      <c r="K1663" s="1"/>
      <c r="L1663" s="1" t="s">
        <v>39</v>
      </c>
      <c r="M1663" s="1" t="str">
        <f>INDEX(MCC_Lookup!$B$2:$B$12,MATCH(G1663,MCC_Lookup!$A$2:$A$12,0))</f>
        <v>Events</v>
      </c>
      <c r="N1663" s="1" t="str">
        <f>IF(TRIM(H1663)="","BLANK",IF(PROPER(TRIM(H1663))=TRIM(M1663),"MATCH","MISMATCH"))</f>
        <v>MATCH</v>
      </c>
      <c r="O1663" s="5" t="str">
        <f>INDEX([1]Employee!$C$2:$C$276,MATCH(B1663,[1]Employee!$A$2:$A$276,0))</f>
        <v>Sales &amp; Marketing</v>
      </c>
    </row>
    <row r="1664" spans="1:15">
      <c r="A1664" s="1" t="s">
        <v>3411</v>
      </c>
      <c r="B1664" s="1" t="s">
        <v>54</v>
      </c>
      <c r="C1664" s="1" t="s">
        <v>3412</v>
      </c>
      <c r="D1664" s="2">
        <v>46108</v>
      </c>
      <c r="E1664" s="2">
        <v>46114</v>
      </c>
      <c r="F1664" s="1" t="s">
        <v>99</v>
      </c>
      <c r="G1664" s="1" t="s">
        <v>2</v>
      </c>
      <c r="H1664" s="1" t="s">
        <v>3</v>
      </c>
      <c r="I1664" s="7">
        <v>136.09</v>
      </c>
      <c r="J1664" s="1" t="s">
        <v>38</v>
      </c>
      <c r="K1664" s="1"/>
      <c r="L1664" s="1" t="s">
        <v>39</v>
      </c>
      <c r="M1664" s="1" t="str">
        <f>INDEX(MCC_Lookup!$B$2:$B$12,MATCH(G1664,MCC_Lookup!$A$2:$A$12,0))</f>
        <v>Meals</v>
      </c>
      <c r="N1664" s="1" t="str">
        <f>IF(TRIM(H1664)="","BLANK",IF(PROPER(TRIM(H1664))=TRIM(M1664),"MATCH","MISMATCH"))</f>
        <v>MATCH</v>
      </c>
      <c r="O1664" s="5" t="str">
        <f>INDEX([1]Employee!$C$2:$C$276,MATCH(B1664,[1]Employee!$A$2:$A$276,0))</f>
        <v>Sales &amp; Marketing</v>
      </c>
    </row>
    <row r="1665" spans="1:15">
      <c r="A1665" s="1" t="s">
        <v>3413</v>
      </c>
      <c r="B1665" s="1" t="s">
        <v>1252</v>
      </c>
      <c r="C1665" s="1" t="s">
        <v>3414</v>
      </c>
      <c r="D1665" s="2">
        <v>46106</v>
      </c>
      <c r="E1665" s="2">
        <v>46115</v>
      </c>
      <c r="F1665" s="1" t="s">
        <v>56</v>
      </c>
      <c r="G1665" s="1" t="s">
        <v>4</v>
      </c>
      <c r="H1665" s="1" t="s">
        <v>19</v>
      </c>
      <c r="I1665" s="7">
        <v>362.22</v>
      </c>
      <c r="J1665" s="1" t="s">
        <v>38</v>
      </c>
      <c r="K1665" s="1"/>
      <c r="L1665" s="1" t="s">
        <v>39</v>
      </c>
      <c r="M1665" s="1" t="str">
        <f>INDEX(MCC_Lookup!$B$2:$B$12,MATCH(G1665,MCC_Lookup!$A$2:$A$12,0))</f>
        <v>Travel</v>
      </c>
      <c r="N1665" s="1" t="str">
        <f>IF(TRIM(H1665)="","BLANK",IF(PROPER(TRIM(H1665))=TRIM(M1665),"MATCH","MISMATCH"))</f>
        <v>MISMATCH</v>
      </c>
      <c r="O1665" s="5" t="str">
        <f>INDEX([1]Employee!$C$2:$C$276,MATCH(B1665,[1]Employee!$A$2:$A$276,0))</f>
        <v>Underwriting</v>
      </c>
    </row>
    <row r="1666" spans="1:15">
      <c r="A1666" s="1" t="s">
        <v>3415</v>
      </c>
      <c r="B1666" s="1" t="s">
        <v>656</v>
      </c>
      <c r="C1666" s="1"/>
      <c r="D1666" s="2">
        <v>46110</v>
      </c>
      <c r="E1666" s="2">
        <v>46115</v>
      </c>
      <c r="F1666" s="1" t="s">
        <v>37</v>
      </c>
      <c r="G1666" s="1" t="s">
        <v>4</v>
      </c>
      <c r="H1666" s="1" t="s">
        <v>734</v>
      </c>
      <c r="I1666" s="7">
        <v>315.82</v>
      </c>
      <c r="J1666" s="1" t="s">
        <v>38</v>
      </c>
      <c r="K1666" s="1"/>
      <c r="L1666" s="1" t="s">
        <v>39</v>
      </c>
      <c r="M1666" s="1" t="str">
        <f>INDEX(MCC_Lookup!$B$2:$B$12,MATCH(G1666,MCC_Lookup!$A$2:$A$12,0))</f>
        <v>Travel</v>
      </c>
      <c r="N1666" s="1" t="str">
        <f>IF(TRIM(H1666)="","BLANK",IF(PROPER(TRIM(H1666))=TRIM(M1666),"MATCH","MISMATCH"))</f>
        <v>MATCH</v>
      </c>
      <c r="O1666" s="5" t="str">
        <f>INDEX([1]Employee!$C$2:$C$276,MATCH(B1666,[1]Employee!$A$2:$A$276,0))</f>
        <v>Claims</v>
      </c>
    </row>
    <row r="1667" spans="1:15">
      <c r="A1667" s="1" t="s">
        <v>3416</v>
      </c>
      <c r="B1667" s="1" t="s">
        <v>328</v>
      </c>
      <c r="C1667" s="1" t="s">
        <v>3417</v>
      </c>
      <c r="D1667" s="2">
        <v>46105</v>
      </c>
      <c r="E1667" s="2">
        <v>46115</v>
      </c>
      <c r="F1667" s="1" t="s">
        <v>347</v>
      </c>
      <c r="G1667" s="1" t="s">
        <v>8</v>
      </c>
      <c r="H1667" s="1" t="s">
        <v>9</v>
      </c>
      <c r="I1667" s="7">
        <v>18.21</v>
      </c>
      <c r="J1667" s="1" t="s">
        <v>38</v>
      </c>
      <c r="K1667" s="1"/>
      <c r="L1667" s="1" t="s">
        <v>39</v>
      </c>
      <c r="M1667" s="1" t="str">
        <f>INDEX(MCC_Lookup!$B$2:$B$12,MATCH(G1667,MCC_Lookup!$A$2:$A$12,0))</f>
        <v>Transportation</v>
      </c>
      <c r="N1667" s="1" t="str">
        <f>IF(TRIM(H1667)="","BLANK",IF(PROPER(TRIM(H1667))=TRIM(M1667),"MATCH","MISMATCH"))</f>
        <v>MATCH</v>
      </c>
      <c r="O1667" s="5" t="str">
        <f>INDEX([1]Employee!$C$2:$C$276,MATCH(B1667,[1]Employee!$A$2:$A$276,0))</f>
        <v>Underwriting</v>
      </c>
    </row>
    <row r="1668" spans="1:15">
      <c r="A1668" s="1" t="s">
        <v>3418</v>
      </c>
      <c r="B1668" s="1" t="s">
        <v>810</v>
      </c>
      <c r="C1668" s="1" t="s">
        <v>3419</v>
      </c>
      <c r="D1668" s="2">
        <v>46106</v>
      </c>
      <c r="E1668" s="2">
        <v>46115</v>
      </c>
      <c r="F1668" s="1" t="s">
        <v>120</v>
      </c>
      <c r="G1668" s="1" t="s">
        <v>12</v>
      </c>
      <c r="H1668" s="1" t="s">
        <v>11</v>
      </c>
      <c r="I1668" s="7">
        <v>261.17</v>
      </c>
      <c r="J1668" s="1" t="s">
        <v>38</v>
      </c>
      <c r="K1668" s="1"/>
      <c r="L1668" s="1" t="s">
        <v>48</v>
      </c>
      <c r="M1668" s="1" t="str">
        <f>INDEX(MCC_Lookup!$B$2:$B$12,MATCH(G1668,MCC_Lookup!$A$2:$A$12,0))</f>
        <v>Office Supplies</v>
      </c>
      <c r="N1668" s="1" t="str">
        <f>IF(TRIM(H1668)="","BLANK",IF(PROPER(TRIM(H1668))=TRIM(M1668),"MATCH","MISMATCH"))</f>
        <v>MATCH</v>
      </c>
      <c r="O1668" s="5" t="str">
        <f>INDEX([1]Employee!$C$2:$C$276,MATCH(B1668,[1]Employee!$A$2:$A$276,0))</f>
        <v>Sales &amp; Marketing</v>
      </c>
    </row>
    <row r="1669" spans="1:15">
      <c r="A1669" s="1" t="s">
        <v>3420</v>
      </c>
      <c r="B1669" s="1" t="s">
        <v>661</v>
      </c>
      <c r="C1669" s="1" t="s">
        <v>3421</v>
      </c>
      <c r="D1669" s="2">
        <v>46110</v>
      </c>
      <c r="E1669" s="2">
        <v>46115</v>
      </c>
      <c r="F1669" s="1" t="s">
        <v>43</v>
      </c>
      <c r="G1669" s="1" t="s">
        <v>2</v>
      </c>
      <c r="H1669" s="1" t="s">
        <v>3</v>
      </c>
      <c r="I1669" s="7">
        <v>15.83</v>
      </c>
      <c r="J1669" s="1" t="s">
        <v>38</v>
      </c>
      <c r="K1669" s="1"/>
      <c r="L1669" s="1" t="s">
        <v>48</v>
      </c>
      <c r="M1669" s="1" t="str">
        <f>INDEX(MCC_Lookup!$B$2:$B$12,MATCH(G1669,MCC_Lookup!$A$2:$A$12,0))</f>
        <v>Meals</v>
      </c>
      <c r="N1669" s="1" t="str">
        <f>IF(TRIM(H1669)="","BLANK",IF(PROPER(TRIM(H1669))=TRIM(M1669),"MATCH","MISMATCH"))</f>
        <v>MATCH</v>
      </c>
      <c r="O1669" s="5" t="str">
        <f>INDEX([1]Employee!$C$2:$C$276,MATCH(B1669,[1]Employee!$A$2:$A$276,0))</f>
        <v>Sales &amp; Marketing</v>
      </c>
    </row>
    <row r="1670" spans="1:15">
      <c r="A1670" s="1" t="s">
        <v>3422</v>
      </c>
      <c r="B1670" s="1" t="s">
        <v>104</v>
      </c>
      <c r="C1670" s="1" t="s">
        <v>3423</v>
      </c>
      <c r="D1670" s="2">
        <v>46110</v>
      </c>
      <c r="E1670" s="2">
        <v>46115</v>
      </c>
      <c r="F1670" s="1" t="s">
        <v>116</v>
      </c>
      <c r="G1670" s="1" t="s">
        <v>2</v>
      </c>
      <c r="H1670" s="1" t="s">
        <v>3</v>
      </c>
      <c r="I1670" s="7">
        <v>20.77</v>
      </c>
      <c r="J1670" s="1" t="s">
        <v>38</v>
      </c>
      <c r="K1670" s="1"/>
      <c r="L1670" s="1" t="s">
        <v>39</v>
      </c>
      <c r="M1670" s="1" t="str">
        <f>INDEX(MCC_Lookup!$B$2:$B$12,MATCH(G1670,MCC_Lookup!$A$2:$A$12,0))</f>
        <v>Meals</v>
      </c>
      <c r="N1670" s="1" t="str">
        <f>IF(TRIM(H1670)="","BLANK",IF(PROPER(TRIM(H1670))=TRIM(M1670),"MATCH","MISMATCH"))</f>
        <v>MATCH</v>
      </c>
      <c r="O1670" s="5" t="str">
        <f>INDEX([1]Employee!$C$2:$C$276,MATCH(B1670,[1]Employee!$A$2:$A$276,0))</f>
        <v>Sales &amp; Marketing</v>
      </c>
    </row>
    <row r="1671" spans="1:15">
      <c r="A1671" s="1" t="s">
        <v>3424</v>
      </c>
      <c r="B1671" s="1" t="s">
        <v>104</v>
      </c>
      <c r="C1671" s="1" t="s">
        <v>3425</v>
      </c>
      <c r="D1671" s="2">
        <v>46114</v>
      </c>
      <c r="E1671" s="2">
        <v>46115</v>
      </c>
      <c r="F1671" s="1" t="s">
        <v>362</v>
      </c>
      <c r="G1671" s="1" t="s">
        <v>2</v>
      </c>
      <c r="H1671" s="1" t="s">
        <v>3</v>
      </c>
      <c r="I1671" s="7">
        <v>62.38</v>
      </c>
      <c r="J1671" s="1" t="s">
        <v>38</v>
      </c>
      <c r="K1671" s="1"/>
      <c r="L1671" s="1" t="s">
        <v>39</v>
      </c>
      <c r="M1671" s="1" t="str">
        <f>INDEX(MCC_Lookup!$B$2:$B$12,MATCH(G1671,MCC_Lookup!$A$2:$A$12,0))</f>
        <v>Meals</v>
      </c>
      <c r="N1671" s="1" t="str">
        <f>IF(TRIM(H1671)="","BLANK",IF(PROPER(TRIM(H1671))=TRIM(M1671),"MATCH","MISMATCH"))</f>
        <v>MATCH</v>
      </c>
      <c r="O1671" s="5" t="str">
        <f>INDEX([1]Employee!$C$2:$C$276,MATCH(B1671,[1]Employee!$A$2:$A$276,0))</f>
        <v>Sales &amp; Marketing</v>
      </c>
    </row>
    <row r="1672" spans="1:15">
      <c r="A1672" s="1" t="s">
        <v>3426</v>
      </c>
      <c r="B1672" s="1" t="s">
        <v>588</v>
      </c>
      <c r="C1672" s="1" t="s">
        <v>3427</v>
      </c>
      <c r="D1672" s="2">
        <v>46110</v>
      </c>
      <c r="E1672" s="2">
        <v>46115</v>
      </c>
      <c r="F1672" s="1" t="s">
        <v>99</v>
      </c>
      <c r="G1672" s="1" t="s">
        <v>2</v>
      </c>
      <c r="H1672" s="1" t="s">
        <v>3</v>
      </c>
      <c r="I1672" s="7">
        <v>50.37</v>
      </c>
      <c r="J1672" s="1" t="s">
        <v>38</v>
      </c>
      <c r="K1672" s="1"/>
      <c r="L1672" s="1" t="s">
        <v>39</v>
      </c>
      <c r="M1672" s="1" t="str">
        <f>INDEX(MCC_Lookup!$B$2:$B$12,MATCH(G1672,MCC_Lookup!$A$2:$A$12,0))</f>
        <v>Meals</v>
      </c>
      <c r="N1672" s="1" t="str">
        <f>IF(TRIM(H1672)="","BLANK",IF(PROPER(TRIM(H1672))=TRIM(M1672),"MATCH","MISMATCH"))</f>
        <v>MATCH</v>
      </c>
      <c r="O1672" s="5" t="str">
        <f>INDEX([1]Employee!$C$2:$C$276,MATCH(B1672,[1]Employee!$A$2:$A$276,0))</f>
        <v>Claims</v>
      </c>
    </row>
    <row r="1673" spans="1:15">
      <c r="A1673" s="1" t="s">
        <v>3428</v>
      </c>
      <c r="B1673" s="1" t="s">
        <v>564</v>
      </c>
      <c r="C1673" s="1" t="s">
        <v>3429</v>
      </c>
      <c r="D1673" s="2">
        <v>46107</v>
      </c>
      <c r="E1673" s="2">
        <v>46115</v>
      </c>
      <c r="F1673" s="1" t="s">
        <v>259</v>
      </c>
      <c r="G1673" s="1" t="s">
        <v>20</v>
      </c>
      <c r="H1673" s="1" t="s">
        <v>19</v>
      </c>
      <c r="I1673" s="7">
        <v>63.17</v>
      </c>
      <c r="J1673" s="1" t="s">
        <v>38</v>
      </c>
      <c r="K1673" s="1"/>
      <c r="L1673" s="1" t="s">
        <v>48</v>
      </c>
      <c r="M1673" s="1" t="str">
        <f>INDEX(MCC_Lookup!$B$2:$B$12,MATCH(G1673,MCC_Lookup!$A$2:$A$12,0))</f>
        <v>Events</v>
      </c>
      <c r="N1673" s="1" t="str">
        <f>IF(TRIM(H1673)="","BLANK",IF(PROPER(TRIM(H1673))=TRIM(M1673),"MATCH","MISMATCH"))</f>
        <v>MATCH</v>
      </c>
      <c r="O1673" s="5" t="str">
        <f>INDEX([1]Employee!$C$2:$C$276,MATCH(B1673,[1]Employee!$A$2:$A$276,0))</f>
        <v>Sales &amp; Marketing</v>
      </c>
    </row>
    <row r="1674" spans="1:15">
      <c r="A1674" s="1" t="s">
        <v>3430</v>
      </c>
      <c r="B1674" s="1" t="s">
        <v>297</v>
      </c>
      <c r="C1674" s="1"/>
      <c r="D1674" s="2">
        <v>46105</v>
      </c>
      <c r="E1674" s="2">
        <v>46115</v>
      </c>
      <c r="F1674" s="1" t="s">
        <v>92</v>
      </c>
      <c r="G1674" s="1" t="s">
        <v>10</v>
      </c>
      <c r="H1674" s="1" t="s">
        <v>11</v>
      </c>
      <c r="I1674" s="7">
        <v>46.36</v>
      </c>
      <c r="J1674" s="1" t="s">
        <v>38</v>
      </c>
      <c r="K1674" s="1"/>
      <c r="L1674" s="1" t="s">
        <v>39</v>
      </c>
      <c r="M1674" s="1" t="str">
        <f>INDEX(MCC_Lookup!$B$2:$B$12,MATCH(G1674,MCC_Lookup!$A$2:$A$12,0))</f>
        <v>Office Supplies</v>
      </c>
      <c r="N1674" s="1" t="str">
        <f>IF(TRIM(H1674)="","BLANK",IF(PROPER(TRIM(H1674))=TRIM(M1674),"MATCH","MISMATCH"))</f>
        <v>MATCH</v>
      </c>
      <c r="O1674" s="5" t="str">
        <f>INDEX([1]Employee!$C$2:$C$276,MATCH(B1674,[1]Employee!$A$2:$A$276,0))</f>
        <v>Underwriting</v>
      </c>
    </row>
    <row r="1675" spans="1:15">
      <c r="A1675" s="1" t="s">
        <v>3431</v>
      </c>
      <c r="B1675" s="1" t="s">
        <v>640</v>
      </c>
      <c r="C1675" s="1" t="s">
        <v>3432</v>
      </c>
      <c r="D1675" s="2">
        <v>46114</v>
      </c>
      <c r="E1675" s="2">
        <v>46115</v>
      </c>
      <c r="F1675" s="1" t="s">
        <v>120</v>
      </c>
      <c r="G1675" s="1" t="s">
        <v>12</v>
      </c>
      <c r="H1675" s="1" t="s">
        <v>2226</v>
      </c>
      <c r="I1675" s="7">
        <v>454.2</v>
      </c>
      <c r="J1675" s="1" t="s">
        <v>38</v>
      </c>
      <c r="K1675" s="1"/>
      <c r="L1675" s="1" t="s">
        <v>48</v>
      </c>
      <c r="M1675" s="1" t="str">
        <f>INDEX(MCC_Lookup!$B$2:$B$12,MATCH(G1675,MCC_Lookup!$A$2:$A$12,0))</f>
        <v>Office Supplies</v>
      </c>
      <c r="N1675" s="1" t="str">
        <f>IF(TRIM(H1675)="","BLANK",IF(PROPER(TRIM(H1675))=TRIM(M1675),"MATCH","MISMATCH"))</f>
        <v>MATCH</v>
      </c>
      <c r="O1675" s="5" t="str">
        <f>INDEX([1]Employee!$C$2:$C$276,MATCH(B1675,[1]Employee!$A$2:$A$276,0))</f>
        <v>Underwriting</v>
      </c>
    </row>
    <row r="1676" spans="1:15">
      <c r="A1676" s="1" t="s">
        <v>3433</v>
      </c>
      <c r="B1676" s="1" t="s">
        <v>1122</v>
      </c>
      <c r="C1676" s="1" t="s">
        <v>3434</v>
      </c>
      <c r="D1676" s="2">
        <v>46113</v>
      </c>
      <c r="E1676" s="2">
        <v>46115</v>
      </c>
      <c r="F1676" s="1" t="s">
        <v>342</v>
      </c>
      <c r="G1676" s="1" t="s">
        <v>8</v>
      </c>
      <c r="H1676" s="1" t="s">
        <v>9</v>
      </c>
      <c r="I1676" s="7">
        <v>51.13</v>
      </c>
      <c r="J1676" s="1" t="s">
        <v>38</v>
      </c>
      <c r="K1676" s="1"/>
      <c r="L1676" s="1" t="s">
        <v>48</v>
      </c>
      <c r="M1676" s="1" t="str">
        <f>INDEX(MCC_Lookup!$B$2:$B$12,MATCH(G1676,MCC_Lookup!$A$2:$A$12,0))</f>
        <v>Transportation</v>
      </c>
      <c r="N1676" s="1" t="str">
        <f>IF(TRIM(H1676)="","BLANK",IF(PROPER(TRIM(H1676))=TRIM(M1676),"MATCH","MISMATCH"))</f>
        <v>MATCH</v>
      </c>
      <c r="O1676" s="5" t="str">
        <f>INDEX([1]Employee!$C$2:$C$276,MATCH(B1676,[1]Employee!$A$2:$A$276,0))</f>
        <v>Customer Support</v>
      </c>
    </row>
    <row r="1677" spans="1:15">
      <c r="A1677" s="1" t="s">
        <v>3435</v>
      </c>
      <c r="B1677" s="1" t="s">
        <v>317</v>
      </c>
      <c r="C1677" s="1" t="s">
        <v>3436</v>
      </c>
      <c r="D1677" s="2">
        <v>46114</v>
      </c>
      <c r="E1677" s="2">
        <v>46115</v>
      </c>
      <c r="F1677" s="1" t="s">
        <v>305</v>
      </c>
      <c r="G1677" s="1" t="s">
        <v>2</v>
      </c>
      <c r="H1677" s="1" t="s">
        <v>3</v>
      </c>
      <c r="I1677" s="7">
        <v>7.42</v>
      </c>
      <c r="J1677" s="1" t="s">
        <v>38</v>
      </c>
      <c r="K1677" s="1"/>
      <c r="L1677" s="1" t="s">
        <v>39</v>
      </c>
      <c r="M1677" s="1" t="str">
        <f>INDEX(MCC_Lookup!$B$2:$B$12,MATCH(G1677,MCC_Lookup!$A$2:$A$12,0))</f>
        <v>Meals</v>
      </c>
      <c r="N1677" s="1" t="str">
        <f>IF(TRIM(H1677)="","BLANK",IF(PROPER(TRIM(H1677))=TRIM(M1677),"MATCH","MISMATCH"))</f>
        <v>MATCH</v>
      </c>
      <c r="O1677" s="5" t="str">
        <f>INDEX([1]Employee!$C$2:$C$276,MATCH(B1677,[1]Employee!$A$2:$A$276,0))</f>
        <v>Sales &amp; Marketing</v>
      </c>
    </row>
    <row r="1678" spans="1:15">
      <c r="A1678" s="1" t="s">
        <v>3437</v>
      </c>
      <c r="B1678" s="1" t="s">
        <v>1208</v>
      </c>
      <c r="C1678" s="1" t="s">
        <v>3438</v>
      </c>
      <c r="D1678" s="2">
        <v>46111</v>
      </c>
      <c r="E1678" s="2">
        <v>46115</v>
      </c>
      <c r="F1678" s="1" t="s">
        <v>347</v>
      </c>
      <c r="G1678" s="1" t="s">
        <v>8</v>
      </c>
      <c r="H1678" s="1" t="s">
        <v>9</v>
      </c>
      <c r="I1678" s="7">
        <v>57.61</v>
      </c>
      <c r="J1678" s="1" t="s">
        <v>38</v>
      </c>
      <c r="K1678" s="1"/>
      <c r="L1678" s="1" t="s">
        <v>39</v>
      </c>
      <c r="M1678" s="1" t="str">
        <f>INDEX(MCC_Lookup!$B$2:$B$12,MATCH(G1678,MCC_Lookup!$A$2:$A$12,0))</f>
        <v>Transportation</v>
      </c>
      <c r="N1678" s="1" t="str">
        <f>IF(TRIM(H1678)="","BLANK",IF(PROPER(TRIM(H1678))=TRIM(M1678),"MATCH","MISMATCH"))</f>
        <v>MATCH</v>
      </c>
      <c r="O1678" s="5" t="str">
        <f>INDEX([1]Employee!$C$2:$C$276,MATCH(B1678,[1]Employee!$A$2:$A$276,0))</f>
        <v>HR &amp; Events</v>
      </c>
    </row>
    <row r="1679" spans="1:15">
      <c r="A1679" s="1" t="s">
        <v>3439</v>
      </c>
      <c r="B1679" s="1" t="s">
        <v>325</v>
      </c>
      <c r="C1679" s="1"/>
      <c r="D1679" s="2">
        <v>46113</v>
      </c>
      <c r="E1679" s="2">
        <v>46115</v>
      </c>
      <c r="F1679" s="1" t="s">
        <v>95</v>
      </c>
      <c r="G1679" s="1" t="s">
        <v>6</v>
      </c>
      <c r="H1679" s="1" t="s">
        <v>7</v>
      </c>
      <c r="I1679" s="7">
        <v>358.58</v>
      </c>
      <c r="J1679" s="1" t="s">
        <v>38</v>
      </c>
      <c r="K1679" s="1"/>
      <c r="L1679" s="1" t="s">
        <v>39</v>
      </c>
      <c r="M1679" s="1" t="str">
        <f>INDEX(MCC_Lookup!$B$2:$B$12,MATCH(G1679,MCC_Lookup!$A$2:$A$12,0))</f>
        <v>Lodging</v>
      </c>
      <c r="N1679" s="1" t="str">
        <f>IF(TRIM(H1679)="","BLANK",IF(PROPER(TRIM(H1679))=TRIM(M1679),"MATCH","MISMATCH"))</f>
        <v>MATCH</v>
      </c>
      <c r="O1679" s="5" t="str">
        <f>INDEX([1]Employee!$C$2:$C$276,MATCH(B1679,[1]Employee!$A$2:$A$276,0))</f>
        <v>Sales &amp; Marketing</v>
      </c>
    </row>
    <row r="1680" spans="1:15">
      <c r="A1680" s="1" t="s">
        <v>3440</v>
      </c>
      <c r="B1680" s="1" t="s">
        <v>325</v>
      </c>
      <c r="C1680" s="1" t="s">
        <v>3441</v>
      </c>
      <c r="D1680" s="2">
        <v>46106</v>
      </c>
      <c r="E1680" s="2">
        <v>46115</v>
      </c>
      <c r="F1680" s="1" t="s">
        <v>47</v>
      </c>
      <c r="G1680" s="1" t="s">
        <v>6</v>
      </c>
      <c r="H1680" s="1" t="s">
        <v>726</v>
      </c>
      <c r="I1680" s="7">
        <v>313.98</v>
      </c>
      <c r="J1680" s="1" t="s">
        <v>38</v>
      </c>
      <c r="K1680" s="1"/>
      <c r="L1680" s="1" t="s">
        <v>48</v>
      </c>
      <c r="M1680" s="1" t="str">
        <f>INDEX(MCC_Lookup!$B$2:$B$12,MATCH(G1680,MCC_Lookup!$A$2:$A$12,0))</f>
        <v>Lodging</v>
      </c>
      <c r="N1680" s="1" t="str">
        <f>IF(TRIM(H1680)="","BLANK",IF(PROPER(TRIM(H1680))=TRIM(M1680),"MATCH","MISMATCH"))</f>
        <v>MATCH</v>
      </c>
      <c r="O1680" s="5" t="str">
        <f>INDEX([1]Employee!$C$2:$C$276,MATCH(B1680,[1]Employee!$A$2:$A$276,0))</f>
        <v>Sales &amp; Marketing</v>
      </c>
    </row>
    <row r="1681" spans="1:15">
      <c r="A1681" s="1" t="s">
        <v>3442</v>
      </c>
      <c r="B1681" s="1" t="s">
        <v>1821</v>
      </c>
      <c r="C1681" s="1" t="s">
        <v>3443</v>
      </c>
      <c r="D1681" s="2">
        <v>46115</v>
      </c>
      <c r="E1681" s="2">
        <v>46115</v>
      </c>
      <c r="F1681" s="1" t="s">
        <v>109</v>
      </c>
      <c r="G1681" s="1" t="s">
        <v>18</v>
      </c>
      <c r="H1681" s="1" t="s">
        <v>19</v>
      </c>
      <c r="I1681" s="7">
        <v>99.53</v>
      </c>
      <c r="J1681" s="1" t="s">
        <v>38</v>
      </c>
      <c r="K1681" s="1"/>
      <c r="L1681" s="1" t="s">
        <v>39</v>
      </c>
      <c r="M1681" s="1" t="str">
        <f>INDEX(MCC_Lookup!$B$2:$B$12,MATCH(G1681,MCC_Lookup!$A$2:$A$12,0))</f>
        <v>Events</v>
      </c>
      <c r="N1681" s="1" t="str">
        <f>IF(TRIM(H1681)="","BLANK",IF(PROPER(TRIM(H1681))=TRIM(M1681),"MATCH","MISMATCH"))</f>
        <v>MATCH</v>
      </c>
      <c r="O1681" s="5" t="str">
        <f>INDEX([1]Employee!$C$2:$C$276,MATCH(B1681,[1]Employee!$A$2:$A$276,0))</f>
        <v>Finance</v>
      </c>
    </row>
    <row r="1682" spans="1:15">
      <c r="A1682" s="1" t="s">
        <v>3444</v>
      </c>
      <c r="B1682" s="1" t="s">
        <v>292</v>
      </c>
      <c r="C1682" s="1" t="s">
        <v>3445</v>
      </c>
      <c r="D1682" s="2">
        <v>46112</v>
      </c>
      <c r="E1682" s="2">
        <v>46115</v>
      </c>
      <c r="F1682" s="1" t="s">
        <v>160</v>
      </c>
      <c r="G1682" s="1" t="s">
        <v>6</v>
      </c>
      <c r="H1682" s="1" t="s">
        <v>7</v>
      </c>
      <c r="I1682" s="7">
        <v>372.64</v>
      </c>
      <c r="J1682" s="1" t="s">
        <v>38</v>
      </c>
      <c r="K1682" s="1"/>
      <c r="L1682" s="1" t="s">
        <v>39</v>
      </c>
      <c r="M1682" s="1" t="str">
        <f>INDEX(MCC_Lookup!$B$2:$B$12,MATCH(G1682,MCC_Lookup!$A$2:$A$12,0))</f>
        <v>Lodging</v>
      </c>
      <c r="N1682" s="1" t="str">
        <f>IF(TRIM(H1682)="","BLANK",IF(PROPER(TRIM(H1682))=TRIM(M1682),"MATCH","MISMATCH"))</f>
        <v>MATCH</v>
      </c>
      <c r="O1682" s="5" t="str">
        <f>INDEX([1]Employee!$C$2:$C$276,MATCH(B1682,[1]Employee!$A$2:$A$276,0))</f>
        <v>Sales &amp; Marketing</v>
      </c>
    </row>
    <row r="1683" spans="1:15">
      <c r="A1683" s="1" t="s">
        <v>3446</v>
      </c>
      <c r="B1683" s="1" t="s">
        <v>196</v>
      </c>
      <c r="C1683" s="1" t="s">
        <v>3447</v>
      </c>
      <c r="D1683" s="2">
        <v>46107</v>
      </c>
      <c r="E1683" s="2">
        <v>46115</v>
      </c>
      <c r="F1683" s="1" t="s">
        <v>120</v>
      </c>
      <c r="G1683" s="1" t="s">
        <v>12</v>
      </c>
      <c r="H1683" s="1" t="s">
        <v>11</v>
      </c>
      <c r="I1683" s="7">
        <v>435.07</v>
      </c>
      <c r="J1683" s="1" t="s">
        <v>38</v>
      </c>
      <c r="K1683" s="1"/>
      <c r="L1683" s="1" t="s">
        <v>39</v>
      </c>
      <c r="M1683" s="1" t="str">
        <f>INDEX(MCC_Lookup!$B$2:$B$12,MATCH(G1683,MCC_Lookup!$A$2:$A$12,0))</f>
        <v>Office Supplies</v>
      </c>
      <c r="N1683" s="1" t="str">
        <f>IF(TRIM(H1683)="","BLANK",IF(PROPER(TRIM(H1683))=TRIM(M1683),"MATCH","MISMATCH"))</f>
        <v>MATCH</v>
      </c>
      <c r="O1683" s="5" t="str">
        <f>INDEX([1]Employee!$C$2:$C$276,MATCH(B1683,[1]Employee!$A$2:$A$276,0))</f>
        <v>Sales &amp; Marketing</v>
      </c>
    </row>
    <row r="1684" spans="1:15">
      <c r="A1684" s="1" t="s">
        <v>3448</v>
      </c>
      <c r="B1684" s="1" t="s">
        <v>615</v>
      </c>
      <c r="C1684" s="1" t="s">
        <v>3449</v>
      </c>
      <c r="D1684" s="2">
        <v>46106</v>
      </c>
      <c r="E1684" s="2">
        <v>46115</v>
      </c>
      <c r="F1684" s="1" t="s">
        <v>72</v>
      </c>
      <c r="G1684" s="1" t="s">
        <v>8</v>
      </c>
      <c r="H1684" s="1" t="s">
        <v>9</v>
      </c>
      <c r="I1684" s="7">
        <v>24.55</v>
      </c>
      <c r="J1684" s="1" t="s">
        <v>38</v>
      </c>
      <c r="K1684" s="1"/>
      <c r="L1684" s="1" t="s">
        <v>48</v>
      </c>
      <c r="M1684" s="1" t="str">
        <f>INDEX(MCC_Lookup!$B$2:$B$12,MATCH(G1684,MCC_Lookup!$A$2:$A$12,0))</f>
        <v>Transportation</v>
      </c>
      <c r="N1684" s="1" t="str">
        <f>IF(TRIM(H1684)="","BLANK",IF(PROPER(TRIM(H1684))=TRIM(M1684),"MATCH","MISMATCH"))</f>
        <v>MATCH</v>
      </c>
      <c r="O1684" s="5" t="str">
        <f>INDEX([1]Employee!$C$2:$C$276,MATCH(B1684,[1]Employee!$A$2:$A$276,0))</f>
        <v>Underwriting</v>
      </c>
    </row>
    <row r="1685" spans="1:15">
      <c r="A1685" s="1" t="s">
        <v>3450</v>
      </c>
      <c r="B1685" s="1" t="s">
        <v>667</v>
      </c>
      <c r="C1685" s="1" t="s">
        <v>3451</v>
      </c>
      <c r="D1685" s="2">
        <v>46109</v>
      </c>
      <c r="E1685" s="2">
        <v>46115</v>
      </c>
      <c r="F1685" s="1" t="s">
        <v>47</v>
      </c>
      <c r="G1685" s="1" t="s">
        <v>6</v>
      </c>
      <c r="H1685" s="1" t="s">
        <v>7</v>
      </c>
      <c r="I1685" s="7">
        <v>237.32</v>
      </c>
      <c r="J1685" s="1" t="s">
        <v>38</v>
      </c>
      <c r="K1685" s="1"/>
      <c r="L1685" s="1" t="s">
        <v>39</v>
      </c>
      <c r="M1685" s="1" t="str">
        <f>INDEX(MCC_Lookup!$B$2:$B$12,MATCH(G1685,MCC_Lookup!$A$2:$A$12,0))</f>
        <v>Lodging</v>
      </c>
      <c r="N1685" s="1" t="str">
        <f>IF(TRIM(H1685)="","BLANK",IF(PROPER(TRIM(H1685))=TRIM(M1685),"MATCH","MISMATCH"))</f>
        <v>MATCH</v>
      </c>
      <c r="O1685" s="5" t="str">
        <f>INDEX([1]Employee!$C$2:$C$276,MATCH(B1685,[1]Employee!$A$2:$A$276,0))</f>
        <v>Sales &amp; Marketing</v>
      </c>
    </row>
    <row r="1686" spans="1:15">
      <c r="A1686" s="1" t="s">
        <v>3452</v>
      </c>
      <c r="B1686" s="1" t="s">
        <v>182</v>
      </c>
      <c r="C1686" s="1" t="s">
        <v>3453</v>
      </c>
      <c r="D1686" s="2">
        <v>46114</v>
      </c>
      <c r="E1686" s="2">
        <v>46115</v>
      </c>
      <c r="F1686" s="1" t="s">
        <v>95</v>
      </c>
      <c r="G1686" s="1" t="s">
        <v>6</v>
      </c>
      <c r="H1686" s="1" t="s">
        <v>7</v>
      </c>
      <c r="I1686" s="7">
        <v>396.64</v>
      </c>
      <c r="J1686" s="1" t="s">
        <v>38</v>
      </c>
      <c r="K1686" s="1"/>
      <c r="L1686" s="1" t="s">
        <v>39</v>
      </c>
      <c r="M1686" s="1" t="str">
        <f>INDEX(MCC_Lookup!$B$2:$B$12,MATCH(G1686,MCC_Lookup!$A$2:$A$12,0))</f>
        <v>Lodging</v>
      </c>
      <c r="N1686" s="1" t="str">
        <f>IF(TRIM(H1686)="","BLANK",IF(PROPER(TRIM(H1686))=TRIM(M1686),"MATCH","MISMATCH"))</f>
        <v>MATCH</v>
      </c>
      <c r="O1686" s="5" t="str">
        <f>INDEX([1]Employee!$C$2:$C$276,MATCH(B1686,[1]Employee!$A$2:$A$276,0))</f>
        <v>Sales &amp; Marketing</v>
      </c>
    </row>
    <row r="1687" spans="1:15">
      <c r="A1687" s="1" t="s">
        <v>3454</v>
      </c>
      <c r="B1687" s="1" t="s">
        <v>227</v>
      </c>
      <c r="C1687" s="1" t="s">
        <v>3455</v>
      </c>
      <c r="D1687" s="2">
        <v>46106</v>
      </c>
      <c r="E1687" s="2">
        <v>46116</v>
      </c>
      <c r="F1687" s="1" t="s">
        <v>79</v>
      </c>
      <c r="G1687" s="1" t="s">
        <v>13</v>
      </c>
      <c r="H1687" s="1" t="s">
        <v>14</v>
      </c>
      <c r="I1687" s="7">
        <v>129.69999999999999</v>
      </c>
      <c r="J1687" s="1" t="s">
        <v>38</v>
      </c>
      <c r="K1687" s="1"/>
      <c r="L1687" s="1" t="s">
        <v>39</v>
      </c>
      <c r="M1687" s="1" t="str">
        <f>INDEX(MCC_Lookup!$B$2:$B$12,MATCH(G1687,MCC_Lookup!$A$2:$A$12,0))</f>
        <v>Software</v>
      </c>
      <c r="N1687" s="1" t="str">
        <f>IF(TRIM(H1687)="","BLANK",IF(PROPER(TRIM(H1687))=TRIM(M1687),"MATCH","MISMATCH"))</f>
        <v>MATCH</v>
      </c>
      <c r="O1687" s="5" t="str">
        <f>INDEX([1]Employee!$C$2:$C$276,MATCH(B1687,[1]Employee!$A$2:$A$276,0))</f>
        <v>Claims</v>
      </c>
    </row>
    <row r="1688" spans="1:15">
      <c r="A1688" s="1" t="s">
        <v>3456</v>
      </c>
      <c r="B1688" s="1" t="s">
        <v>136</v>
      </c>
      <c r="C1688" s="1" t="s">
        <v>3457</v>
      </c>
      <c r="D1688" s="2">
        <v>46112</v>
      </c>
      <c r="E1688" s="2">
        <v>46116</v>
      </c>
      <c r="F1688" s="1" t="s">
        <v>177</v>
      </c>
      <c r="G1688" s="1" t="s">
        <v>13</v>
      </c>
      <c r="H1688" s="1" t="s">
        <v>14</v>
      </c>
      <c r="I1688" s="7">
        <v>26.38</v>
      </c>
      <c r="J1688" s="1" t="s">
        <v>38</v>
      </c>
      <c r="K1688" s="1"/>
      <c r="L1688" s="1" t="s">
        <v>39</v>
      </c>
      <c r="M1688" s="1" t="str">
        <f>INDEX(MCC_Lookup!$B$2:$B$12,MATCH(G1688,MCC_Lookup!$A$2:$A$12,0))</f>
        <v>Software</v>
      </c>
      <c r="N1688" s="1" t="str">
        <f>IF(TRIM(H1688)="","BLANK",IF(PROPER(TRIM(H1688))=TRIM(M1688),"MATCH","MISMATCH"))</f>
        <v>MATCH</v>
      </c>
      <c r="O1688" s="5" t="str">
        <f>INDEX([1]Employee!$C$2:$C$276,MATCH(B1688,[1]Employee!$A$2:$A$276,0))</f>
        <v>Sales &amp; Marketing</v>
      </c>
    </row>
    <row r="1689" spans="1:15">
      <c r="A1689" s="1" t="s">
        <v>3458</v>
      </c>
      <c r="B1689" s="1" t="s">
        <v>593</v>
      </c>
      <c r="C1689" s="1" t="s">
        <v>3459</v>
      </c>
      <c r="D1689" s="2">
        <v>46110</v>
      </c>
      <c r="E1689" s="2">
        <v>46116</v>
      </c>
      <c r="F1689" s="1" t="s">
        <v>83</v>
      </c>
      <c r="G1689" s="1" t="s">
        <v>2</v>
      </c>
      <c r="H1689" s="1" t="s">
        <v>138</v>
      </c>
      <c r="I1689" s="7">
        <v>12.6</v>
      </c>
      <c r="J1689" s="1" t="s">
        <v>38</v>
      </c>
      <c r="K1689" s="1"/>
      <c r="L1689" s="1" t="s">
        <v>39</v>
      </c>
      <c r="M1689" s="1" t="str">
        <f>INDEX(MCC_Lookup!$B$2:$B$12,MATCH(G1689,MCC_Lookup!$A$2:$A$12,0))</f>
        <v>Meals</v>
      </c>
      <c r="N1689" s="1" t="str">
        <f>IF(TRIM(H1689)="","BLANK",IF(PROPER(TRIM(H1689))=TRIM(M1689),"MATCH","MISMATCH"))</f>
        <v>MATCH</v>
      </c>
      <c r="O1689" s="5" t="str">
        <f>INDEX([1]Employee!$C$2:$C$276,MATCH(B1689,[1]Employee!$A$2:$A$276,0))</f>
        <v>Sales &amp; Marketing</v>
      </c>
    </row>
    <row r="1690" spans="1:15">
      <c r="A1690" s="1" t="s">
        <v>3460</v>
      </c>
      <c r="B1690" s="1" t="s">
        <v>631</v>
      </c>
      <c r="C1690" s="1"/>
      <c r="D1690" s="2">
        <v>46112</v>
      </c>
      <c r="E1690" s="2">
        <v>46116</v>
      </c>
      <c r="F1690" s="1" t="s">
        <v>124</v>
      </c>
      <c r="G1690" s="1" t="s">
        <v>17</v>
      </c>
      <c r="H1690" s="1" t="s">
        <v>16</v>
      </c>
      <c r="I1690" s="7">
        <v>178.14</v>
      </c>
      <c r="J1690" s="1" t="s">
        <v>38</v>
      </c>
      <c r="K1690" s="1"/>
      <c r="L1690" s="1" t="s">
        <v>48</v>
      </c>
      <c r="M1690" s="1" t="str">
        <f>INDEX(MCC_Lookup!$B$2:$B$12,MATCH(G1690,MCC_Lookup!$A$2:$A$12,0))</f>
        <v>Entertainment</v>
      </c>
      <c r="N1690" s="1" t="str">
        <f>IF(TRIM(H1690)="","BLANK",IF(PROPER(TRIM(H1690))=TRIM(M1690),"MATCH","MISMATCH"))</f>
        <v>MATCH</v>
      </c>
      <c r="O1690" s="5" t="str">
        <f>INDEX([1]Employee!$C$2:$C$276,MATCH(B1690,[1]Employee!$A$2:$A$276,0))</f>
        <v>Claims</v>
      </c>
    </row>
    <row r="1691" spans="1:15">
      <c r="A1691" s="1" t="s">
        <v>3461</v>
      </c>
      <c r="B1691" s="1" t="s">
        <v>373</v>
      </c>
      <c r="C1691" s="1" t="s">
        <v>3462</v>
      </c>
      <c r="D1691" s="2">
        <v>46111</v>
      </c>
      <c r="E1691" s="2">
        <v>46116</v>
      </c>
      <c r="F1691" s="1" t="s">
        <v>69</v>
      </c>
      <c r="G1691" s="1" t="s">
        <v>8</v>
      </c>
      <c r="H1691" s="1" t="s">
        <v>9</v>
      </c>
      <c r="I1691" s="7">
        <v>17.309999999999999</v>
      </c>
      <c r="J1691" s="1" t="s">
        <v>38</v>
      </c>
      <c r="K1691" s="1"/>
      <c r="L1691" s="1" t="s">
        <v>48</v>
      </c>
      <c r="M1691" s="1" t="str">
        <f>INDEX(MCC_Lookup!$B$2:$B$12,MATCH(G1691,MCC_Lookup!$A$2:$A$12,0))</f>
        <v>Transportation</v>
      </c>
      <c r="N1691" s="1" t="str">
        <f>IF(TRIM(H1691)="","BLANK",IF(PROPER(TRIM(H1691))=TRIM(M1691),"MATCH","MISMATCH"))</f>
        <v>MATCH</v>
      </c>
      <c r="O1691" s="5" t="str">
        <f>INDEX([1]Employee!$C$2:$C$276,MATCH(B1691,[1]Employee!$A$2:$A$276,0))</f>
        <v>Sales &amp; Marketing</v>
      </c>
    </row>
    <row r="1692" spans="1:15">
      <c r="A1692" s="1" t="s">
        <v>3463</v>
      </c>
      <c r="B1692" s="1" t="s">
        <v>67</v>
      </c>
      <c r="C1692" s="1" t="s">
        <v>3464</v>
      </c>
      <c r="D1692" s="2">
        <v>46115</v>
      </c>
      <c r="E1692" s="2">
        <v>46116</v>
      </c>
      <c r="F1692" s="1" t="s">
        <v>69</v>
      </c>
      <c r="G1692" s="1" t="s">
        <v>8</v>
      </c>
      <c r="H1692" s="1" t="s">
        <v>494</v>
      </c>
      <c r="I1692" s="7">
        <v>43.48</v>
      </c>
      <c r="J1692" s="1" t="s">
        <v>38</v>
      </c>
      <c r="K1692" s="1"/>
      <c r="L1692" s="1" t="s">
        <v>39</v>
      </c>
      <c r="M1692" s="1" t="str">
        <f>INDEX(MCC_Lookup!$B$2:$B$12,MATCH(G1692,MCC_Lookup!$A$2:$A$12,0))</f>
        <v>Transportation</v>
      </c>
      <c r="N1692" s="1" t="str">
        <f>IF(TRIM(H1692)="","BLANK",IF(PROPER(TRIM(H1692))=TRIM(M1692),"MATCH","MISMATCH"))</f>
        <v>MATCH</v>
      </c>
      <c r="O1692" s="5" t="str">
        <f>INDEX([1]Employee!$C$2:$C$276,MATCH(B1692,[1]Employee!$A$2:$A$276,0))</f>
        <v>Sales &amp; Marketing</v>
      </c>
    </row>
    <row r="1693" spans="1:15">
      <c r="A1693" s="1" t="s">
        <v>3465</v>
      </c>
      <c r="B1693" s="1" t="s">
        <v>1637</v>
      </c>
      <c r="C1693" s="1" t="s">
        <v>3466</v>
      </c>
      <c r="D1693" s="2">
        <v>46106</v>
      </c>
      <c r="E1693" s="2">
        <v>46116</v>
      </c>
      <c r="F1693" s="1" t="s">
        <v>116</v>
      </c>
      <c r="G1693" s="1" t="s">
        <v>2</v>
      </c>
      <c r="H1693" s="1" t="s">
        <v>3</v>
      </c>
      <c r="I1693" s="7">
        <v>17.75</v>
      </c>
      <c r="J1693" s="1" t="s">
        <v>38</v>
      </c>
      <c r="K1693" s="1"/>
      <c r="L1693" s="1" t="s">
        <v>48</v>
      </c>
      <c r="M1693" s="1" t="str">
        <f>INDEX(MCC_Lookup!$B$2:$B$12,MATCH(G1693,MCC_Lookup!$A$2:$A$12,0))</f>
        <v>Meals</v>
      </c>
      <c r="N1693" s="1" t="str">
        <f>IF(TRIM(H1693)="","BLANK",IF(PROPER(TRIM(H1693))=TRIM(M1693),"MATCH","MISMATCH"))</f>
        <v>MATCH</v>
      </c>
      <c r="O1693" s="5" t="str">
        <f>INDEX([1]Employee!$C$2:$C$276,MATCH(B1693,[1]Employee!$A$2:$A$276,0))</f>
        <v>Underwriting</v>
      </c>
    </row>
    <row r="1694" spans="1:15">
      <c r="A1694" s="1" t="s">
        <v>3467</v>
      </c>
      <c r="B1694" s="1" t="s">
        <v>451</v>
      </c>
      <c r="C1694" s="1" t="s">
        <v>3468</v>
      </c>
      <c r="D1694" s="2">
        <v>46112</v>
      </c>
      <c r="E1694" s="2">
        <v>46116</v>
      </c>
      <c r="F1694" s="1" t="s">
        <v>106</v>
      </c>
      <c r="G1694" s="1" t="s">
        <v>13</v>
      </c>
      <c r="H1694" s="1" t="s">
        <v>14</v>
      </c>
      <c r="I1694" s="7">
        <v>176.46</v>
      </c>
      <c r="J1694" s="1" t="s">
        <v>38</v>
      </c>
      <c r="K1694" s="1"/>
      <c r="L1694" s="1" t="s">
        <v>39</v>
      </c>
      <c r="M1694" s="1" t="str">
        <f>INDEX(MCC_Lookup!$B$2:$B$12,MATCH(G1694,MCC_Lookup!$A$2:$A$12,0))</f>
        <v>Software</v>
      </c>
      <c r="N1694" s="1" t="str">
        <f>IF(TRIM(H1694)="","BLANK",IF(PROPER(TRIM(H1694))=TRIM(M1694),"MATCH","MISMATCH"))</f>
        <v>MATCH</v>
      </c>
      <c r="O1694" s="5" t="str">
        <f>INDEX([1]Employee!$C$2:$C$276,MATCH(B1694,[1]Employee!$A$2:$A$276,0))</f>
        <v>IT &amp; Platform Engineering</v>
      </c>
    </row>
    <row r="1695" spans="1:15">
      <c r="A1695" s="1" t="s">
        <v>3469</v>
      </c>
      <c r="B1695" s="1" t="s">
        <v>3470</v>
      </c>
      <c r="C1695" s="1" t="s">
        <v>3471</v>
      </c>
      <c r="D1695" s="2">
        <v>46109</v>
      </c>
      <c r="E1695" s="2">
        <v>46116</v>
      </c>
      <c r="F1695" s="1" t="s">
        <v>83</v>
      </c>
      <c r="G1695" s="1" t="s">
        <v>2</v>
      </c>
      <c r="H1695" s="1" t="s">
        <v>3</v>
      </c>
      <c r="I1695" s="7">
        <v>26.53</v>
      </c>
      <c r="J1695" s="1" t="s">
        <v>38</v>
      </c>
      <c r="K1695" s="1"/>
      <c r="L1695" s="1" t="s">
        <v>39</v>
      </c>
      <c r="M1695" s="1" t="str">
        <f>INDEX(MCC_Lookup!$B$2:$B$12,MATCH(G1695,MCC_Lookup!$A$2:$A$12,0))</f>
        <v>Meals</v>
      </c>
      <c r="N1695" s="1" t="str">
        <f>IF(TRIM(H1695)="","BLANK",IF(PROPER(TRIM(H1695))=TRIM(M1695),"MATCH","MISMATCH"))</f>
        <v>MATCH</v>
      </c>
      <c r="O1695" s="5" t="str">
        <f>INDEX([1]Employee!$C$2:$C$276,MATCH(B1695,[1]Employee!$A$2:$A$276,0))</f>
        <v>IT &amp; Platform Engineering</v>
      </c>
    </row>
    <row r="1696" spans="1:15">
      <c r="A1696" s="1" t="s">
        <v>3472</v>
      </c>
      <c r="B1696" s="1" t="s">
        <v>250</v>
      </c>
      <c r="C1696" s="1" t="s">
        <v>3473</v>
      </c>
      <c r="D1696" s="2">
        <v>46106</v>
      </c>
      <c r="E1696" s="2">
        <v>46116</v>
      </c>
      <c r="F1696" s="1" t="s">
        <v>76</v>
      </c>
      <c r="G1696" s="1" t="s">
        <v>13</v>
      </c>
      <c r="H1696" s="1" t="s">
        <v>192</v>
      </c>
      <c r="I1696" s="7">
        <v>222.23</v>
      </c>
      <c r="J1696" s="1" t="s">
        <v>38</v>
      </c>
      <c r="K1696" s="1"/>
      <c r="L1696" s="1" t="s">
        <v>39</v>
      </c>
      <c r="M1696" s="1" t="str">
        <f>INDEX(MCC_Lookup!$B$2:$B$12,MATCH(G1696,MCC_Lookup!$A$2:$A$12,0))</f>
        <v>Software</v>
      </c>
      <c r="N1696" s="1" t="str">
        <f>IF(TRIM(H1696)="","BLANK",IF(PROPER(TRIM(H1696))=TRIM(M1696),"MATCH","MISMATCH"))</f>
        <v>MATCH</v>
      </c>
      <c r="O1696" s="5" t="str">
        <f>INDEX([1]Employee!$C$2:$C$276,MATCH(B1696,[1]Employee!$A$2:$A$276,0))</f>
        <v>Sales &amp; Marketing</v>
      </c>
    </row>
    <row r="1697" spans="1:15">
      <c r="A1697" s="1" t="s">
        <v>3474</v>
      </c>
      <c r="B1697" s="1" t="s">
        <v>250</v>
      </c>
      <c r="C1697" s="1" t="s">
        <v>3475</v>
      </c>
      <c r="D1697" s="2">
        <v>46110</v>
      </c>
      <c r="E1697" s="2">
        <v>46116</v>
      </c>
      <c r="F1697" s="1" t="s">
        <v>124</v>
      </c>
      <c r="G1697" s="1" t="s">
        <v>17</v>
      </c>
      <c r="H1697" s="1" t="s">
        <v>16</v>
      </c>
      <c r="I1697" s="7">
        <v>99.56</v>
      </c>
      <c r="J1697" s="1" t="s">
        <v>38</v>
      </c>
      <c r="K1697" s="1"/>
      <c r="L1697" s="1" t="s">
        <v>39</v>
      </c>
      <c r="M1697" s="1" t="str">
        <f>INDEX(MCC_Lookup!$B$2:$B$12,MATCH(G1697,MCC_Lookup!$A$2:$A$12,0))</f>
        <v>Entertainment</v>
      </c>
      <c r="N1697" s="1" t="str">
        <f>IF(TRIM(H1697)="","BLANK",IF(PROPER(TRIM(H1697))=TRIM(M1697),"MATCH","MISMATCH"))</f>
        <v>MATCH</v>
      </c>
      <c r="O1697" s="5" t="str">
        <f>INDEX([1]Employee!$C$2:$C$276,MATCH(B1697,[1]Employee!$A$2:$A$276,0))</f>
        <v>Sales &amp; Marketing</v>
      </c>
    </row>
    <row r="1698" spans="1:15">
      <c r="A1698" s="1" t="s">
        <v>3476</v>
      </c>
      <c r="B1698" s="1" t="s">
        <v>553</v>
      </c>
      <c r="C1698" s="1" t="s">
        <v>3477</v>
      </c>
      <c r="D1698" s="2">
        <v>46106</v>
      </c>
      <c r="E1698" s="2">
        <v>46116</v>
      </c>
      <c r="F1698" s="1" t="s">
        <v>160</v>
      </c>
      <c r="G1698" s="1" t="s">
        <v>6</v>
      </c>
      <c r="H1698" s="1" t="s">
        <v>7</v>
      </c>
      <c r="I1698" s="7">
        <v>309.58999999999997</v>
      </c>
      <c r="J1698" s="1" t="s">
        <v>38</v>
      </c>
      <c r="K1698" s="1"/>
      <c r="L1698" s="1" t="s">
        <v>39</v>
      </c>
      <c r="M1698" s="1" t="str">
        <f>INDEX(MCC_Lookup!$B$2:$B$12,MATCH(G1698,MCC_Lookup!$A$2:$A$12,0))</f>
        <v>Lodging</v>
      </c>
      <c r="N1698" s="1" t="str">
        <f>IF(TRIM(H1698)="","BLANK",IF(PROPER(TRIM(H1698))=TRIM(M1698),"MATCH","MISMATCH"))</f>
        <v>MATCH</v>
      </c>
      <c r="O1698" s="5" t="str">
        <f>INDEX([1]Employee!$C$2:$C$276,MATCH(B1698,[1]Employee!$A$2:$A$276,0))</f>
        <v>Claims</v>
      </c>
    </row>
    <row r="1699" spans="1:15">
      <c r="A1699" s="1" t="s">
        <v>3478</v>
      </c>
      <c r="B1699" s="1" t="s">
        <v>1201</v>
      </c>
      <c r="C1699" s="1" t="s">
        <v>3479</v>
      </c>
      <c r="D1699" s="2">
        <v>46110</v>
      </c>
      <c r="E1699" s="2">
        <v>46116</v>
      </c>
      <c r="F1699" s="1" t="s">
        <v>116</v>
      </c>
      <c r="G1699" s="1" t="s">
        <v>2</v>
      </c>
      <c r="H1699" s="1" t="s">
        <v>11</v>
      </c>
      <c r="I1699" s="7">
        <v>9.6300000000000008</v>
      </c>
      <c r="J1699" s="1" t="s">
        <v>38</v>
      </c>
      <c r="K1699" s="1"/>
      <c r="L1699" s="1" t="s">
        <v>39</v>
      </c>
      <c r="M1699" s="1" t="str">
        <f>INDEX(MCC_Lookup!$B$2:$B$12,MATCH(G1699,MCC_Lookup!$A$2:$A$12,0))</f>
        <v>Meals</v>
      </c>
      <c r="N1699" s="1" t="str">
        <f>IF(TRIM(H1699)="","BLANK",IF(PROPER(TRIM(H1699))=TRIM(M1699),"MATCH","MISMATCH"))</f>
        <v>MISMATCH</v>
      </c>
      <c r="O1699" s="5" t="str">
        <f>INDEX([1]Employee!$C$2:$C$276,MATCH(B1699,[1]Employee!$A$2:$A$276,0))</f>
        <v>Actuarial &amp; Risk</v>
      </c>
    </row>
    <row r="1700" spans="1:15">
      <c r="A1700" s="1" t="s">
        <v>3480</v>
      </c>
      <c r="B1700" s="1" t="s">
        <v>1201</v>
      </c>
      <c r="C1700" s="1" t="s">
        <v>3481</v>
      </c>
      <c r="D1700" s="2">
        <v>46106</v>
      </c>
      <c r="E1700" s="2">
        <v>46116</v>
      </c>
      <c r="F1700" s="1" t="s">
        <v>160</v>
      </c>
      <c r="G1700" s="1" t="s">
        <v>6</v>
      </c>
      <c r="H1700" s="1"/>
      <c r="I1700" s="7">
        <v>340.78</v>
      </c>
      <c r="J1700" s="1" t="s">
        <v>38</v>
      </c>
      <c r="K1700" s="1"/>
      <c r="L1700" s="1" t="s">
        <v>39</v>
      </c>
      <c r="M1700" s="1" t="str">
        <f>INDEX(MCC_Lookup!$B$2:$B$12,MATCH(G1700,MCC_Lookup!$A$2:$A$12,0))</f>
        <v>Lodging</v>
      </c>
      <c r="N1700" s="1" t="str">
        <f>IF(TRIM(H1700)="","BLANK",IF(PROPER(TRIM(H1700))=TRIM(M1700),"MATCH","MISMATCH"))</f>
        <v>BLANK</v>
      </c>
      <c r="O1700" s="5" t="str">
        <f>INDEX([1]Employee!$C$2:$C$276,MATCH(B1700,[1]Employee!$A$2:$A$276,0))</f>
        <v>Actuarial &amp; Risk</v>
      </c>
    </row>
    <row r="1701" spans="1:15">
      <c r="A1701" s="1" t="s">
        <v>3482</v>
      </c>
      <c r="B1701" s="1" t="s">
        <v>656</v>
      </c>
      <c r="C1701" s="1" t="s">
        <v>3483</v>
      </c>
      <c r="D1701" s="2">
        <v>46112</v>
      </c>
      <c r="E1701" s="2">
        <v>46116</v>
      </c>
      <c r="F1701" s="1" t="s">
        <v>72</v>
      </c>
      <c r="G1701" s="1" t="s">
        <v>8</v>
      </c>
      <c r="H1701" s="1" t="s">
        <v>343</v>
      </c>
      <c r="I1701" s="7">
        <v>61.83</v>
      </c>
      <c r="J1701" s="1" t="s">
        <v>38</v>
      </c>
      <c r="K1701" s="1"/>
      <c r="L1701" s="1" t="s">
        <v>39</v>
      </c>
      <c r="M1701" s="1" t="str">
        <f>INDEX(MCC_Lookup!$B$2:$B$12,MATCH(G1701,MCC_Lookup!$A$2:$A$12,0))</f>
        <v>Transportation</v>
      </c>
      <c r="N1701" s="1" t="str">
        <f>IF(TRIM(H1701)="","BLANK",IF(PROPER(TRIM(H1701))=TRIM(M1701),"MATCH","MISMATCH"))</f>
        <v>MATCH</v>
      </c>
      <c r="O1701" s="5" t="str">
        <f>INDEX([1]Employee!$C$2:$C$276,MATCH(B1701,[1]Employee!$A$2:$A$276,0))</f>
        <v>Claims</v>
      </c>
    </row>
    <row r="1702" spans="1:15">
      <c r="A1702" s="1" t="s">
        <v>3484</v>
      </c>
      <c r="B1702" s="1" t="s">
        <v>487</v>
      </c>
      <c r="C1702" s="1" t="s">
        <v>3485</v>
      </c>
      <c r="D1702" s="2">
        <v>46110</v>
      </c>
      <c r="E1702" s="2">
        <v>46116</v>
      </c>
      <c r="F1702" s="1" t="s">
        <v>347</v>
      </c>
      <c r="G1702" s="1" t="s">
        <v>8</v>
      </c>
      <c r="H1702" s="1" t="s">
        <v>9</v>
      </c>
      <c r="I1702" s="7">
        <v>52.03</v>
      </c>
      <c r="J1702" s="1" t="s">
        <v>38</v>
      </c>
      <c r="K1702" s="1"/>
      <c r="L1702" s="1" t="s">
        <v>39</v>
      </c>
      <c r="M1702" s="1" t="str">
        <f>INDEX(MCC_Lookup!$B$2:$B$12,MATCH(G1702,MCC_Lookup!$A$2:$A$12,0))</f>
        <v>Transportation</v>
      </c>
      <c r="N1702" s="1" t="str">
        <f>IF(TRIM(H1702)="","BLANK",IF(PROPER(TRIM(H1702))=TRIM(M1702),"MATCH","MISMATCH"))</f>
        <v>MATCH</v>
      </c>
      <c r="O1702" s="5" t="str">
        <f>INDEX([1]Employee!$C$2:$C$276,MATCH(B1702,[1]Employee!$A$2:$A$276,0))</f>
        <v>IT &amp; Platform Engineering</v>
      </c>
    </row>
    <row r="1703" spans="1:15">
      <c r="A1703" s="1" t="s">
        <v>3486</v>
      </c>
      <c r="B1703" s="1" t="s">
        <v>289</v>
      </c>
      <c r="C1703" s="1" t="s">
        <v>3487</v>
      </c>
      <c r="D1703" s="2">
        <v>46110</v>
      </c>
      <c r="E1703" s="2">
        <v>46116</v>
      </c>
      <c r="F1703" s="1" t="s">
        <v>124</v>
      </c>
      <c r="G1703" s="1" t="s">
        <v>17</v>
      </c>
      <c r="H1703" s="1" t="s">
        <v>16</v>
      </c>
      <c r="I1703" s="7">
        <v>197.78</v>
      </c>
      <c r="J1703" s="1" t="s">
        <v>38</v>
      </c>
      <c r="K1703" s="1"/>
      <c r="L1703" s="1" t="s">
        <v>39</v>
      </c>
      <c r="M1703" s="1" t="str">
        <f>INDEX(MCC_Lookup!$B$2:$B$12,MATCH(G1703,MCC_Lookup!$A$2:$A$12,0))</f>
        <v>Entertainment</v>
      </c>
      <c r="N1703" s="1" t="str">
        <f>IF(TRIM(H1703)="","BLANK",IF(PROPER(TRIM(H1703))=TRIM(M1703),"MATCH","MISMATCH"))</f>
        <v>MATCH</v>
      </c>
      <c r="O1703" s="5" t="str">
        <f>INDEX([1]Employee!$C$2:$C$276,MATCH(B1703,[1]Employee!$A$2:$A$276,0))</f>
        <v>Finance</v>
      </c>
    </row>
    <row r="1704" spans="1:15">
      <c r="A1704" s="1" t="s">
        <v>3488</v>
      </c>
      <c r="B1704" s="1" t="s">
        <v>1150</v>
      </c>
      <c r="C1704" s="1" t="s">
        <v>3489</v>
      </c>
      <c r="D1704" s="2">
        <v>46113</v>
      </c>
      <c r="E1704" s="2">
        <v>46117</v>
      </c>
      <c r="F1704" s="1" t="s">
        <v>177</v>
      </c>
      <c r="G1704" s="1" t="s">
        <v>13</v>
      </c>
      <c r="H1704" s="1" t="s">
        <v>14</v>
      </c>
      <c r="I1704" s="7">
        <v>40.880000000000003</v>
      </c>
      <c r="J1704" s="1" t="s">
        <v>38</v>
      </c>
      <c r="K1704" s="1"/>
      <c r="L1704" s="1" t="s">
        <v>39</v>
      </c>
      <c r="M1704" s="1" t="str">
        <f>INDEX(MCC_Lookup!$B$2:$B$12,MATCH(G1704,MCC_Lookup!$A$2:$A$12,0))</f>
        <v>Software</v>
      </c>
      <c r="N1704" s="1" t="str">
        <f>IF(TRIM(H1704)="","BLANK",IF(PROPER(TRIM(H1704))=TRIM(M1704),"MATCH","MISMATCH"))</f>
        <v>MATCH</v>
      </c>
      <c r="O1704" s="5" t="str">
        <f>INDEX([1]Employee!$C$2:$C$276,MATCH(B1704,[1]Employee!$A$2:$A$276,0))</f>
        <v>Finance</v>
      </c>
    </row>
    <row r="1705" spans="1:15">
      <c r="A1705" s="1" t="s">
        <v>3490</v>
      </c>
      <c r="B1705" s="1" t="s">
        <v>499</v>
      </c>
      <c r="C1705" s="1" t="s">
        <v>3491</v>
      </c>
      <c r="D1705" s="2">
        <v>46114</v>
      </c>
      <c r="E1705" s="2">
        <v>46117</v>
      </c>
      <c r="F1705" s="1" t="s">
        <v>52</v>
      </c>
      <c r="G1705" s="1" t="s">
        <v>15</v>
      </c>
      <c r="H1705" s="1" t="s">
        <v>16</v>
      </c>
      <c r="I1705" s="7">
        <v>49.31</v>
      </c>
      <c r="J1705" s="1" t="s">
        <v>38</v>
      </c>
      <c r="K1705" s="1"/>
      <c r="L1705" s="1" t="s">
        <v>39</v>
      </c>
      <c r="M1705" s="1" t="str">
        <f>INDEX(MCC_Lookup!$B$2:$B$12,MATCH(G1705,MCC_Lookup!$A$2:$A$12,0))</f>
        <v>Entertainment</v>
      </c>
      <c r="N1705" s="1" t="str">
        <f>IF(TRIM(H1705)="","BLANK",IF(PROPER(TRIM(H1705))=TRIM(M1705),"MATCH","MISMATCH"))</f>
        <v>MATCH</v>
      </c>
      <c r="O1705" s="5" t="str">
        <f>INDEX([1]Employee!$C$2:$C$276,MATCH(B1705,[1]Employee!$A$2:$A$276,0))</f>
        <v>Sales &amp; Marketing</v>
      </c>
    </row>
    <row r="1706" spans="1:15">
      <c r="A1706" s="1" t="s">
        <v>3492</v>
      </c>
      <c r="B1706" s="1" t="s">
        <v>656</v>
      </c>
      <c r="C1706" s="1" t="s">
        <v>3493</v>
      </c>
      <c r="D1706" s="2">
        <v>46114</v>
      </c>
      <c r="E1706" s="2">
        <v>46117</v>
      </c>
      <c r="F1706" s="1" t="s">
        <v>120</v>
      </c>
      <c r="G1706" s="1" t="s">
        <v>12</v>
      </c>
      <c r="H1706" s="1"/>
      <c r="I1706" s="7">
        <v>313.48</v>
      </c>
      <c r="J1706" s="1" t="s">
        <v>38</v>
      </c>
      <c r="K1706" s="1"/>
      <c r="L1706" s="1" t="s">
        <v>39</v>
      </c>
      <c r="M1706" s="1" t="str">
        <f>INDEX(MCC_Lookup!$B$2:$B$12,MATCH(G1706,MCC_Lookup!$A$2:$A$12,0))</f>
        <v>Office Supplies</v>
      </c>
      <c r="N1706" s="1" t="str">
        <f>IF(TRIM(H1706)="","BLANK",IF(PROPER(TRIM(H1706))=TRIM(M1706),"MATCH","MISMATCH"))</f>
        <v>BLANK</v>
      </c>
      <c r="O1706" s="5" t="str">
        <f>INDEX([1]Employee!$C$2:$C$276,MATCH(B1706,[1]Employee!$A$2:$A$276,0))</f>
        <v>Claims</v>
      </c>
    </row>
    <row r="1707" spans="1:15">
      <c r="A1707" s="1" t="s">
        <v>3494</v>
      </c>
      <c r="B1707" s="1" t="s">
        <v>1634</v>
      </c>
      <c r="C1707" s="1" t="s">
        <v>3495</v>
      </c>
      <c r="D1707" s="2">
        <v>46113</v>
      </c>
      <c r="E1707" s="2">
        <v>46117</v>
      </c>
      <c r="F1707" s="1" t="s">
        <v>305</v>
      </c>
      <c r="G1707" s="1" t="s">
        <v>2</v>
      </c>
      <c r="H1707" s="1" t="s">
        <v>3</v>
      </c>
      <c r="I1707" s="7">
        <v>13.13</v>
      </c>
      <c r="J1707" s="1" t="s">
        <v>38</v>
      </c>
      <c r="K1707" s="1"/>
      <c r="L1707" s="1" t="s">
        <v>39</v>
      </c>
      <c r="M1707" s="1" t="str">
        <f>INDEX(MCC_Lookup!$B$2:$B$12,MATCH(G1707,MCC_Lookup!$A$2:$A$12,0))</f>
        <v>Meals</v>
      </c>
      <c r="N1707" s="1" t="str">
        <f>IF(TRIM(H1707)="","BLANK",IF(PROPER(TRIM(H1707))=TRIM(M1707),"MATCH","MISMATCH"))</f>
        <v>MATCH</v>
      </c>
      <c r="O1707" s="5" t="str">
        <f>INDEX([1]Employee!$C$2:$C$276,MATCH(B1707,[1]Employee!$A$2:$A$276,0))</f>
        <v>Customer Support</v>
      </c>
    </row>
    <row r="1708" spans="1:15">
      <c r="A1708" s="1" t="s">
        <v>3496</v>
      </c>
      <c r="B1708" s="1" t="s">
        <v>815</v>
      </c>
      <c r="C1708" s="1" t="s">
        <v>3497</v>
      </c>
      <c r="D1708" s="2">
        <v>46108</v>
      </c>
      <c r="E1708" s="2">
        <v>46117</v>
      </c>
      <c r="F1708" s="1" t="s">
        <v>47</v>
      </c>
      <c r="G1708" s="1" t="s">
        <v>6</v>
      </c>
      <c r="H1708" s="1" t="s">
        <v>7</v>
      </c>
      <c r="I1708" s="7">
        <v>178.22</v>
      </c>
      <c r="J1708" s="1" t="s">
        <v>38</v>
      </c>
      <c r="K1708" s="1"/>
      <c r="L1708" s="1" t="s">
        <v>39</v>
      </c>
      <c r="M1708" s="1" t="str">
        <f>INDEX(MCC_Lookup!$B$2:$B$12,MATCH(G1708,MCC_Lookup!$A$2:$A$12,0))</f>
        <v>Lodging</v>
      </c>
      <c r="N1708" s="1" t="str">
        <f>IF(TRIM(H1708)="","BLANK",IF(PROPER(TRIM(H1708))=TRIM(M1708),"MATCH","MISMATCH"))</f>
        <v>MATCH</v>
      </c>
      <c r="O1708" s="5" t="str">
        <f>INDEX([1]Employee!$C$2:$C$276,MATCH(B1708,[1]Employee!$A$2:$A$276,0))</f>
        <v>Claims</v>
      </c>
    </row>
    <row r="1709" spans="1:15">
      <c r="A1709" s="1" t="s">
        <v>3498</v>
      </c>
      <c r="B1709" s="1" t="s">
        <v>349</v>
      </c>
      <c r="C1709" s="1" t="s">
        <v>3499</v>
      </c>
      <c r="D1709" s="2">
        <v>46108</v>
      </c>
      <c r="E1709" s="2">
        <v>46117</v>
      </c>
      <c r="F1709" s="1" t="s">
        <v>242</v>
      </c>
      <c r="G1709" s="1" t="s">
        <v>13</v>
      </c>
      <c r="H1709" s="1" t="s">
        <v>14</v>
      </c>
      <c r="I1709" s="7">
        <v>26.98</v>
      </c>
      <c r="J1709" s="1" t="s">
        <v>38</v>
      </c>
      <c r="K1709" s="1"/>
      <c r="L1709" s="1" t="s">
        <v>48</v>
      </c>
      <c r="M1709" s="1" t="str">
        <f>INDEX(MCC_Lookup!$B$2:$B$12,MATCH(G1709,MCC_Lookup!$A$2:$A$12,0))</f>
        <v>Software</v>
      </c>
      <c r="N1709" s="1" t="str">
        <f>IF(TRIM(H1709)="","BLANK",IF(PROPER(TRIM(H1709))=TRIM(M1709),"MATCH","MISMATCH"))</f>
        <v>MATCH</v>
      </c>
      <c r="O1709" s="5" t="str">
        <f>INDEX([1]Employee!$C$2:$C$276,MATCH(B1709,[1]Employee!$A$2:$A$276,0))</f>
        <v>Sales &amp; Marketing</v>
      </c>
    </row>
    <row r="1710" spans="1:15">
      <c r="A1710" s="1" t="s">
        <v>3500</v>
      </c>
      <c r="B1710" s="1" t="s">
        <v>915</v>
      </c>
      <c r="C1710" s="1"/>
      <c r="D1710" s="2">
        <v>46115</v>
      </c>
      <c r="E1710" s="2">
        <v>46117</v>
      </c>
      <c r="F1710" s="1" t="s">
        <v>120</v>
      </c>
      <c r="G1710" s="1" t="s">
        <v>12</v>
      </c>
      <c r="H1710" s="1" t="s">
        <v>11</v>
      </c>
      <c r="I1710" s="7">
        <v>145.22999999999999</v>
      </c>
      <c r="J1710" s="1" t="s">
        <v>111</v>
      </c>
      <c r="K1710" s="1" t="s">
        <v>161</v>
      </c>
      <c r="L1710" s="1" t="s">
        <v>39</v>
      </c>
      <c r="M1710" s="1" t="str">
        <f>INDEX(MCC_Lookup!$B$2:$B$12,MATCH(G1710,MCC_Lookup!$A$2:$A$12,0))</f>
        <v>Office Supplies</v>
      </c>
      <c r="N1710" s="1" t="str">
        <f>IF(TRIM(H1710)="","BLANK",IF(PROPER(TRIM(H1710))=TRIM(M1710),"MATCH","MISMATCH"))</f>
        <v>MATCH</v>
      </c>
      <c r="O1710" s="5" t="str">
        <f>INDEX([1]Employee!$C$2:$C$276,MATCH(B1710,[1]Employee!$A$2:$A$276,0))</f>
        <v>Sales &amp; Marketing</v>
      </c>
    </row>
    <row r="1711" spans="1:15">
      <c r="A1711" s="1" t="s">
        <v>3501</v>
      </c>
      <c r="B1711" s="1" t="s">
        <v>1175</v>
      </c>
      <c r="C1711" s="1" t="s">
        <v>3502</v>
      </c>
      <c r="D1711" s="2">
        <v>46110</v>
      </c>
      <c r="E1711" s="2">
        <v>46117</v>
      </c>
      <c r="F1711" s="1" t="s">
        <v>483</v>
      </c>
      <c r="G1711" s="1" t="s">
        <v>13</v>
      </c>
      <c r="H1711" s="1" t="s">
        <v>470</v>
      </c>
      <c r="I1711" s="7">
        <v>55.47</v>
      </c>
      <c r="J1711" s="1" t="s">
        <v>38</v>
      </c>
      <c r="K1711" s="1"/>
      <c r="L1711" s="1" t="s">
        <v>39</v>
      </c>
      <c r="M1711" s="1" t="str">
        <f>INDEX(MCC_Lookup!$B$2:$B$12,MATCH(G1711,MCC_Lookup!$A$2:$A$12,0))</f>
        <v>Software</v>
      </c>
      <c r="N1711" s="1" t="str">
        <f>IF(TRIM(H1711)="","BLANK",IF(PROPER(TRIM(H1711))=TRIM(M1711),"MATCH","MISMATCH"))</f>
        <v>MATCH</v>
      </c>
      <c r="O1711" s="5" t="str">
        <f>INDEX([1]Employee!$C$2:$C$276,MATCH(B1711,[1]Employee!$A$2:$A$276,0))</f>
        <v>Underwriting</v>
      </c>
    </row>
    <row r="1712" spans="1:15">
      <c r="A1712" s="1" t="s">
        <v>3503</v>
      </c>
      <c r="B1712" s="1" t="s">
        <v>81</v>
      </c>
      <c r="C1712" s="1" t="s">
        <v>3504</v>
      </c>
      <c r="D1712" s="2">
        <v>46110</v>
      </c>
      <c r="E1712" s="2">
        <v>46117</v>
      </c>
      <c r="F1712" s="1" t="s">
        <v>76</v>
      </c>
      <c r="G1712" s="1" t="s">
        <v>13</v>
      </c>
      <c r="H1712" s="1" t="s">
        <v>14</v>
      </c>
      <c r="I1712" s="7">
        <v>404.93</v>
      </c>
      <c r="J1712" s="1" t="s">
        <v>38</v>
      </c>
      <c r="K1712" s="1"/>
      <c r="L1712" s="1" t="s">
        <v>39</v>
      </c>
      <c r="M1712" s="1" t="str">
        <f>INDEX(MCC_Lookup!$B$2:$B$12,MATCH(G1712,MCC_Lookup!$A$2:$A$12,0))</f>
        <v>Software</v>
      </c>
      <c r="N1712" s="1" t="str">
        <f>IF(TRIM(H1712)="","BLANK",IF(PROPER(TRIM(H1712))=TRIM(M1712),"MATCH","MISMATCH"))</f>
        <v>MATCH</v>
      </c>
      <c r="O1712" s="5" t="str">
        <f>INDEX([1]Employee!$C$2:$C$276,MATCH(B1712,[1]Employee!$A$2:$A$276,0))</f>
        <v>Sales &amp; Marketing</v>
      </c>
    </row>
    <row r="1713" spans="1:15">
      <c r="A1713" s="1" t="s">
        <v>3505</v>
      </c>
      <c r="B1713" s="1" t="s">
        <v>832</v>
      </c>
      <c r="C1713" s="1"/>
      <c r="D1713" s="2">
        <v>46112</v>
      </c>
      <c r="E1713" s="2">
        <v>46117</v>
      </c>
      <c r="F1713" s="1" t="s">
        <v>109</v>
      </c>
      <c r="G1713" s="1" t="s">
        <v>18</v>
      </c>
      <c r="H1713" s="1" t="s">
        <v>19</v>
      </c>
      <c r="I1713" s="7">
        <v>96.42</v>
      </c>
      <c r="J1713" s="1" t="s">
        <v>111</v>
      </c>
      <c r="K1713" s="1" t="s">
        <v>229</v>
      </c>
      <c r="L1713" s="1" t="s">
        <v>39</v>
      </c>
      <c r="M1713" s="1" t="str">
        <f>INDEX(MCC_Lookup!$B$2:$B$12,MATCH(G1713,MCC_Lookup!$A$2:$A$12,0))</f>
        <v>Events</v>
      </c>
      <c r="N1713" s="1" t="str">
        <f>IF(TRIM(H1713)="","BLANK",IF(PROPER(TRIM(H1713))=TRIM(M1713),"MATCH","MISMATCH"))</f>
        <v>MATCH</v>
      </c>
      <c r="O1713" s="5" t="str">
        <f>INDEX([1]Employee!$C$2:$C$276,MATCH(B1713,[1]Employee!$A$2:$A$276,0))</f>
        <v>Sales &amp; Marketing</v>
      </c>
    </row>
    <row r="1714" spans="1:15">
      <c r="A1714" s="1" t="s">
        <v>3506</v>
      </c>
      <c r="B1714" s="1" t="s">
        <v>373</v>
      </c>
      <c r="C1714" s="1" t="s">
        <v>3507</v>
      </c>
      <c r="D1714" s="2">
        <v>46107</v>
      </c>
      <c r="E1714" s="2">
        <v>46117</v>
      </c>
      <c r="F1714" s="1" t="s">
        <v>1793</v>
      </c>
      <c r="G1714" s="1" t="s">
        <v>12</v>
      </c>
      <c r="H1714" s="1" t="s">
        <v>11</v>
      </c>
      <c r="I1714" s="7">
        <v>58.9</v>
      </c>
      <c r="J1714" s="1" t="s">
        <v>38</v>
      </c>
      <c r="K1714" s="1"/>
      <c r="L1714" s="1" t="s">
        <v>39</v>
      </c>
      <c r="M1714" s="1" t="str">
        <f>INDEX(MCC_Lookup!$B$2:$B$12,MATCH(G1714,MCC_Lookup!$A$2:$A$12,0))</f>
        <v>Office Supplies</v>
      </c>
      <c r="N1714" s="1" t="str">
        <f>IF(TRIM(H1714)="","BLANK",IF(PROPER(TRIM(H1714))=TRIM(M1714),"MATCH","MISMATCH"))</f>
        <v>MATCH</v>
      </c>
      <c r="O1714" s="5" t="str">
        <f>INDEX([1]Employee!$C$2:$C$276,MATCH(B1714,[1]Employee!$A$2:$A$276,0))</f>
        <v>Sales &amp; Marketing</v>
      </c>
    </row>
    <row r="1715" spans="1:15">
      <c r="A1715" s="1" t="s">
        <v>3508</v>
      </c>
      <c r="B1715" s="1" t="s">
        <v>90</v>
      </c>
      <c r="C1715" s="1" t="s">
        <v>3509</v>
      </c>
      <c r="D1715" s="2">
        <v>46110</v>
      </c>
      <c r="E1715" s="2">
        <v>46117</v>
      </c>
      <c r="F1715" s="1" t="s">
        <v>43</v>
      </c>
      <c r="G1715" s="1" t="s">
        <v>2</v>
      </c>
      <c r="H1715" s="1" t="s">
        <v>3</v>
      </c>
      <c r="I1715" s="7">
        <v>21.76</v>
      </c>
      <c r="J1715" s="1" t="s">
        <v>38</v>
      </c>
      <c r="K1715" s="1"/>
      <c r="L1715" s="1" t="s">
        <v>39</v>
      </c>
      <c r="M1715" s="1" t="str">
        <f>INDEX(MCC_Lookup!$B$2:$B$12,MATCH(G1715,MCC_Lookup!$A$2:$A$12,0))</f>
        <v>Meals</v>
      </c>
      <c r="N1715" s="1" t="str">
        <f>IF(TRIM(H1715)="","BLANK",IF(PROPER(TRIM(H1715))=TRIM(M1715),"MATCH","MISMATCH"))</f>
        <v>MATCH</v>
      </c>
      <c r="O1715" s="5" t="str">
        <f>INDEX([1]Employee!$C$2:$C$276,MATCH(B1715,[1]Employee!$A$2:$A$276,0))</f>
        <v>Sales &amp; Marketing</v>
      </c>
    </row>
    <row r="1716" spans="1:15">
      <c r="A1716" s="1" t="s">
        <v>3510</v>
      </c>
      <c r="B1716" s="1" t="s">
        <v>3511</v>
      </c>
      <c r="C1716" s="1" t="s">
        <v>3512</v>
      </c>
      <c r="D1716" s="2">
        <v>46113</v>
      </c>
      <c r="E1716" s="2">
        <v>46117</v>
      </c>
      <c r="F1716" s="1" t="s">
        <v>56</v>
      </c>
      <c r="G1716" s="1" t="s">
        <v>4</v>
      </c>
      <c r="H1716" s="1" t="s">
        <v>57</v>
      </c>
      <c r="I1716" s="7">
        <v>280.07</v>
      </c>
      <c r="J1716" s="1" t="s">
        <v>38</v>
      </c>
      <c r="K1716" s="1"/>
      <c r="L1716" s="1" t="s">
        <v>39</v>
      </c>
      <c r="M1716" s="1" t="str">
        <f>INDEX(MCC_Lookup!$B$2:$B$12,MATCH(G1716,MCC_Lookup!$A$2:$A$12,0))</f>
        <v>Travel</v>
      </c>
      <c r="N1716" s="1" t="str">
        <f>IF(TRIM(H1716)="","BLANK",IF(PROPER(TRIM(H1716))=TRIM(M1716),"MATCH","MISMATCH"))</f>
        <v>MATCH</v>
      </c>
      <c r="O1716" s="5" t="str">
        <f>INDEX([1]Employee!$C$2:$C$276,MATCH(B1716,[1]Employee!$A$2:$A$276,0))</f>
        <v>IT &amp; Platform Engineering</v>
      </c>
    </row>
    <row r="1717" spans="1:15">
      <c r="A1717" s="1" t="s">
        <v>3513</v>
      </c>
      <c r="B1717" s="1" t="s">
        <v>648</v>
      </c>
      <c r="C1717" s="1" t="s">
        <v>3514</v>
      </c>
      <c r="D1717" s="2">
        <v>46108</v>
      </c>
      <c r="E1717" s="2">
        <v>46117</v>
      </c>
      <c r="F1717" s="1" t="s">
        <v>177</v>
      </c>
      <c r="G1717" s="1" t="s">
        <v>13</v>
      </c>
      <c r="H1717" s="1" t="s">
        <v>14</v>
      </c>
      <c r="I1717" s="7">
        <v>53.87</v>
      </c>
      <c r="J1717" s="1" t="s">
        <v>38</v>
      </c>
      <c r="K1717" s="1"/>
      <c r="L1717" s="1" t="s">
        <v>39</v>
      </c>
      <c r="M1717" s="1" t="str">
        <f>INDEX(MCC_Lookup!$B$2:$B$12,MATCH(G1717,MCC_Lookup!$A$2:$A$12,0))</f>
        <v>Software</v>
      </c>
      <c r="N1717" s="1" t="str">
        <f>IF(TRIM(H1717)="","BLANK",IF(PROPER(TRIM(H1717))=TRIM(M1717),"MATCH","MISMATCH"))</f>
        <v>MATCH</v>
      </c>
      <c r="O1717" s="5" t="str">
        <f>INDEX([1]Employee!$C$2:$C$276,MATCH(B1717,[1]Employee!$A$2:$A$276,0))</f>
        <v>Sales &amp; Marketing</v>
      </c>
    </row>
    <row r="1718" spans="1:15">
      <c r="A1718" s="1" t="s">
        <v>3515</v>
      </c>
      <c r="B1718" s="1" t="s">
        <v>240</v>
      </c>
      <c r="C1718" s="1" t="s">
        <v>3516</v>
      </c>
      <c r="D1718" s="2">
        <v>46114</v>
      </c>
      <c r="E1718" s="2">
        <v>46117</v>
      </c>
      <c r="F1718" s="1" t="s">
        <v>47</v>
      </c>
      <c r="G1718" s="1" t="s">
        <v>6</v>
      </c>
      <c r="H1718" s="1" t="s">
        <v>7</v>
      </c>
      <c r="I1718" s="7">
        <v>179.87</v>
      </c>
      <c r="J1718" s="1" t="s">
        <v>38</v>
      </c>
      <c r="K1718" s="1"/>
      <c r="L1718" s="1" t="s">
        <v>48</v>
      </c>
      <c r="M1718" s="1" t="str">
        <f>INDEX(MCC_Lookup!$B$2:$B$12,MATCH(G1718,MCC_Lookup!$A$2:$A$12,0))</f>
        <v>Lodging</v>
      </c>
      <c r="N1718" s="1" t="str">
        <f>IF(TRIM(H1718)="","BLANK",IF(PROPER(TRIM(H1718))=TRIM(M1718),"MATCH","MISMATCH"))</f>
        <v>MATCH</v>
      </c>
      <c r="O1718" s="5" t="str">
        <f>INDEX([1]Employee!$C$2:$C$276,MATCH(B1718,[1]Employee!$A$2:$A$276,0))</f>
        <v>Claims</v>
      </c>
    </row>
    <row r="1719" spans="1:15">
      <c r="A1719" s="1" t="s">
        <v>3517</v>
      </c>
      <c r="B1719" s="1" t="s">
        <v>219</v>
      </c>
      <c r="C1719" s="1" t="s">
        <v>3518</v>
      </c>
      <c r="D1719" s="2">
        <v>46107</v>
      </c>
      <c r="E1719" s="2">
        <v>46117</v>
      </c>
      <c r="F1719" s="1" t="s">
        <v>201</v>
      </c>
      <c r="G1719" s="1" t="s">
        <v>4</v>
      </c>
      <c r="H1719" s="1" t="s">
        <v>5</v>
      </c>
      <c r="I1719" s="7">
        <v>414.19</v>
      </c>
      <c r="J1719" s="1" t="s">
        <v>38</v>
      </c>
      <c r="K1719" s="1"/>
      <c r="L1719" s="1" t="s">
        <v>39</v>
      </c>
      <c r="M1719" s="1" t="str">
        <f>INDEX(MCC_Lookup!$B$2:$B$12,MATCH(G1719,MCC_Lookup!$A$2:$A$12,0))</f>
        <v>Travel</v>
      </c>
      <c r="N1719" s="1" t="str">
        <f>IF(TRIM(H1719)="","BLANK",IF(PROPER(TRIM(H1719))=TRIM(M1719),"MATCH","MISMATCH"))</f>
        <v>MATCH</v>
      </c>
      <c r="O1719" s="5" t="str">
        <f>INDEX([1]Employee!$C$2:$C$276,MATCH(B1719,[1]Employee!$A$2:$A$276,0))</f>
        <v>Underwriting</v>
      </c>
    </row>
    <row r="1720" spans="1:15">
      <c r="A1720" s="1" t="s">
        <v>3519</v>
      </c>
      <c r="B1720" s="1" t="s">
        <v>255</v>
      </c>
      <c r="C1720" s="1" t="s">
        <v>3520</v>
      </c>
      <c r="D1720" s="2">
        <v>46107</v>
      </c>
      <c r="E1720" s="2">
        <v>46117</v>
      </c>
      <c r="F1720" s="1" t="s">
        <v>173</v>
      </c>
      <c r="G1720" s="1" t="s">
        <v>2</v>
      </c>
      <c r="H1720" s="1" t="s">
        <v>154</v>
      </c>
      <c r="I1720" s="7">
        <v>40.78</v>
      </c>
      <c r="J1720" s="1" t="s">
        <v>38</v>
      </c>
      <c r="K1720" s="1"/>
      <c r="L1720" s="1" t="s">
        <v>48</v>
      </c>
      <c r="M1720" s="1" t="str">
        <f>INDEX(MCC_Lookup!$B$2:$B$12,MATCH(G1720,MCC_Lookup!$A$2:$A$12,0))</f>
        <v>Meals</v>
      </c>
      <c r="N1720" s="1" t="str">
        <f>IF(TRIM(H1720)="","BLANK",IF(PROPER(TRIM(H1720))=TRIM(M1720),"MATCH","MISMATCH"))</f>
        <v>MATCH</v>
      </c>
      <c r="O1720" s="5" t="str">
        <f>INDEX([1]Employee!$C$2:$C$276,MATCH(B1720,[1]Employee!$A$2:$A$276,0))</f>
        <v>Claims</v>
      </c>
    </row>
    <row r="1721" spans="1:15">
      <c r="A1721" s="1" t="s">
        <v>3521</v>
      </c>
      <c r="B1721" s="1" t="s">
        <v>280</v>
      </c>
      <c r="C1721" s="1"/>
      <c r="D1721" s="2">
        <v>46109</v>
      </c>
      <c r="E1721" s="2">
        <v>46117</v>
      </c>
      <c r="F1721" s="1" t="s">
        <v>201</v>
      </c>
      <c r="G1721" s="1" t="s">
        <v>4</v>
      </c>
      <c r="H1721" s="1" t="s">
        <v>5</v>
      </c>
      <c r="I1721" s="7">
        <v>192.81</v>
      </c>
      <c r="J1721" s="1" t="s">
        <v>38</v>
      </c>
      <c r="K1721" s="1"/>
      <c r="L1721" s="1" t="s">
        <v>39</v>
      </c>
      <c r="M1721" s="1" t="str">
        <f>INDEX(MCC_Lookup!$B$2:$B$12,MATCH(G1721,MCC_Lookup!$A$2:$A$12,0))</f>
        <v>Travel</v>
      </c>
      <c r="N1721" s="1" t="str">
        <f>IF(TRIM(H1721)="","BLANK",IF(PROPER(TRIM(H1721))=TRIM(M1721),"MATCH","MISMATCH"))</f>
        <v>MATCH</v>
      </c>
      <c r="O1721" s="5" t="str">
        <f>INDEX([1]Employee!$C$2:$C$276,MATCH(B1721,[1]Employee!$A$2:$A$276,0))</f>
        <v>Claims</v>
      </c>
    </row>
    <row r="1722" spans="1:15">
      <c r="A1722" s="1" t="s">
        <v>3522</v>
      </c>
      <c r="B1722" s="1" t="s">
        <v>585</v>
      </c>
      <c r="C1722" s="1" t="s">
        <v>3523</v>
      </c>
      <c r="D1722" s="2">
        <v>46108</v>
      </c>
      <c r="E1722" s="2">
        <v>46117</v>
      </c>
      <c r="F1722" s="1" t="s">
        <v>124</v>
      </c>
      <c r="G1722" s="1" t="s">
        <v>17</v>
      </c>
      <c r="H1722" s="1" t="s">
        <v>690</v>
      </c>
      <c r="I1722" s="7">
        <v>111.24</v>
      </c>
      <c r="J1722" s="1" t="s">
        <v>38</v>
      </c>
      <c r="K1722" s="1"/>
      <c r="L1722" s="1" t="s">
        <v>39</v>
      </c>
      <c r="M1722" s="1" t="str">
        <f>INDEX(MCC_Lookup!$B$2:$B$12,MATCH(G1722,MCC_Lookup!$A$2:$A$12,0))</f>
        <v>Entertainment</v>
      </c>
      <c r="N1722" s="1" t="str">
        <f>IF(TRIM(H1722)="","BLANK",IF(PROPER(TRIM(H1722))=TRIM(M1722),"MATCH","MISMATCH"))</f>
        <v>MATCH</v>
      </c>
      <c r="O1722" s="5" t="str">
        <f>INDEX([1]Employee!$C$2:$C$276,MATCH(B1722,[1]Employee!$A$2:$A$276,0))</f>
        <v>Customer Support</v>
      </c>
    </row>
    <row r="1723" spans="1:15">
      <c r="A1723" s="1" t="s">
        <v>3524</v>
      </c>
      <c r="B1723" s="1" t="s">
        <v>207</v>
      </c>
      <c r="C1723" s="1" t="s">
        <v>3525</v>
      </c>
      <c r="D1723" s="2">
        <v>46116</v>
      </c>
      <c r="E1723" s="2">
        <v>46117</v>
      </c>
      <c r="F1723" s="1" t="s">
        <v>43</v>
      </c>
      <c r="G1723" s="1" t="s">
        <v>2</v>
      </c>
      <c r="H1723" s="1" t="s">
        <v>3</v>
      </c>
      <c r="I1723" s="7">
        <v>20.2</v>
      </c>
      <c r="J1723" s="1" t="s">
        <v>38</v>
      </c>
      <c r="K1723" s="1"/>
      <c r="L1723" s="1" t="s">
        <v>39</v>
      </c>
      <c r="M1723" s="1" t="str">
        <f>INDEX(MCC_Lookup!$B$2:$B$12,MATCH(G1723,MCC_Lookup!$A$2:$A$12,0))</f>
        <v>Meals</v>
      </c>
      <c r="N1723" s="1" t="str">
        <f>IF(TRIM(H1723)="","BLANK",IF(PROPER(TRIM(H1723))=TRIM(M1723),"MATCH","MISMATCH"))</f>
        <v>MATCH</v>
      </c>
      <c r="O1723" s="5" t="str">
        <f>INDEX([1]Employee!$C$2:$C$276,MATCH(B1723,[1]Employee!$A$2:$A$276,0))</f>
        <v>Claims</v>
      </c>
    </row>
    <row r="1724" spans="1:15">
      <c r="A1724" s="1" t="s">
        <v>3526</v>
      </c>
      <c r="B1724" s="1" t="s">
        <v>297</v>
      </c>
      <c r="C1724" s="1" t="s">
        <v>3527</v>
      </c>
      <c r="D1724" s="2">
        <v>46111</v>
      </c>
      <c r="E1724" s="2">
        <v>46117</v>
      </c>
      <c r="F1724" s="1" t="s">
        <v>347</v>
      </c>
      <c r="G1724" s="1" t="s">
        <v>8</v>
      </c>
      <c r="H1724" s="1" t="s">
        <v>9</v>
      </c>
      <c r="I1724" s="7">
        <v>55.5</v>
      </c>
      <c r="J1724" s="1" t="s">
        <v>38</v>
      </c>
      <c r="K1724" s="1"/>
      <c r="L1724" s="1" t="s">
        <v>39</v>
      </c>
      <c r="M1724" s="1" t="str">
        <f>INDEX(MCC_Lookup!$B$2:$B$12,MATCH(G1724,MCC_Lookup!$A$2:$A$12,0))</f>
        <v>Transportation</v>
      </c>
      <c r="N1724" s="1" t="str">
        <f>IF(TRIM(H1724)="","BLANK",IF(PROPER(TRIM(H1724))=TRIM(M1724),"MATCH","MISMATCH"))</f>
        <v>MATCH</v>
      </c>
      <c r="O1724" s="5" t="str">
        <f>INDEX([1]Employee!$C$2:$C$276,MATCH(B1724,[1]Employee!$A$2:$A$276,0))</f>
        <v>Underwriting</v>
      </c>
    </row>
    <row r="1725" spans="1:15">
      <c r="A1725" s="1" t="s">
        <v>3528</v>
      </c>
      <c r="B1725" s="1" t="s">
        <v>349</v>
      </c>
      <c r="C1725" s="1" t="s">
        <v>3529</v>
      </c>
      <c r="D1725" s="2">
        <v>46112</v>
      </c>
      <c r="E1725" s="2">
        <v>46118</v>
      </c>
      <c r="F1725" s="1" t="s">
        <v>72</v>
      </c>
      <c r="G1725" s="1" t="s">
        <v>8</v>
      </c>
      <c r="H1725" s="1" t="s">
        <v>9</v>
      </c>
      <c r="I1725" s="7">
        <v>22.44</v>
      </c>
      <c r="J1725" s="1" t="s">
        <v>38</v>
      </c>
      <c r="K1725" s="1"/>
      <c r="L1725" s="1" t="s">
        <v>39</v>
      </c>
      <c r="M1725" s="1" t="str">
        <f>INDEX(MCC_Lookup!$B$2:$B$12,MATCH(G1725,MCC_Lookup!$A$2:$A$12,0))</f>
        <v>Transportation</v>
      </c>
      <c r="N1725" s="1" t="str">
        <f>IF(TRIM(H1725)="","BLANK",IF(PROPER(TRIM(H1725))=TRIM(M1725),"MATCH","MISMATCH"))</f>
        <v>MATCH</v>
      </c>
      <c r="O1725" s="5" t="str">
        <f>INDEX([1]Employee!$C$2:$C$276,MATCH(B1725,[1]Employee!$A$2:$A$276,0))</f>
        <v>Sales &amp; Marketing</v>
      </c>
    </row>
    <row r="1726" spans="1:15">
      <c r="A1726" s="1" t="s">
        <v>3530</v>
      </c>
      <c r="B1726" s="1" t="s">
        <v>550</v>
      </c>
      <c r="C1726" s="1" t="s">
        <v>3531</v>
      </c>
      <c r="D1726" s="2">
        <v>46113</v>
      </c>
      <c r="E1726" s="2">
        <v>46118</v>
      </c>
      <c r="F1726" s="1" t="s">
        <v>76</v>
      </c>
      <c r="G1726" s="1" t="s">
        <v>13</v>
      </c>
      <c r="H1726" s="1" t="s">
        <v>14</v>
      </c>
      <c r="I1726" s="7">
        <v>461.86</v>
      </c>
      <c r="J1726" s="1" t="s">
        <v>38</v>
      </c>
      <c r="K1726" s="1"/>
      <c r="L1726" s="1" t="s">
        <v>39</v>
      </c>
      <c r="M1726" s="1" t="str">
        <f>INDEX(MCC_Lookup!$B$2:$B$12,MATCH(G1726,MCC_Lookup!$A$2:$A$12,0))</f>
        <v>Software</v>
      </c>
      <c r="N1726" s="1" t="str">
        <f>IF(TRIM(H1726)="","BLANK",IF(PROPER(TRIM(H1726))=TRIM(M1726),"MATCH","MISMATCH"))</f>
        <v>MATCH</v>
      </c>
      <c r="O1726" s="5" t="str">
        <f>INDEX([1]Employee!$C$2:$C$276,MATCH(B1726,[1]Employee!$A$2:$A$276,0))</f>
        <v>Sales &amp; Marketing</v>
      </c>
    </row>
    <row r="1727" spans="1:15">
      <c r="A1727" s="1" t="s">
        <v>3532</v>
      </c>
      <c r="B1727" s="1" t="s">
        <v>382</v>
      </c>
      <c r="C1727" s="1" t="s">
        <v>3533</v>
      </c>
      <c r="D1727" s="2">
        <v>46111</v>
      </c>
      <c r="E1727" s="2">
        <v>46118</v>
      </c>
      <c r="F1727" s="1" t="s">
        <v>83</v>
      </c>
      <c r="G1727" s="1" t="s">
        <v>2</v>
      </c>
      <c r="H1727" s="1" t="s">
        <v>3</v>
      </c>
      <c r="I1727" s="7">
        <v>27.19</v>
      </c>
      <c r="J1727" s="1" t="s">
        <v>38</v>
      </c>
      <c r="K1727" s="1"/>
      <c r="L1727" s="1" t="s">
        <v>39</v>
      </c>
      <c r="M1727" s="1" t="str">
        <f>INDEX(MCC_Lookup!$B$2:$B$12,MATCH(G1727,MCC_Lookup!$A$2:$A$12,0))</f>
        <v>Meals</v>
      </c>
      <c r="N1727" s="1" t="str">
        <f>IF(TRIM(H1727)="","BLANK",IF(PROPER(TRIM(H1727))=TRIM(M1727),"MATCH","MISMATCH"))</f>
        <v>MATCH</v>
      </c>
      <c r="O1727" s="5" t="str">
        <f>INDEX([1]Employee!$C$2:$C$276,MATCH(B1727,[1]Employee!$A$2:$A$276,0))</f>
        <v>Sales &amp; Marketing</v>
      </c>
    </row>
    <row r="1728" spans="1:15">
      <c r="A1728" s="1" t="s">
        <v>3534</v>
      </c>
      <c r="B1728" s="1" t="s">
        <v>210</v>
      </c>
      <c r="C1728" s="1"/>
      <c r="D1728" s="2">
        <v>46112</v>
      </c>
      <c r="E1728" s="2">
        <v>46118</v>
      </c>
      <c r="F1728" s="1" t="s">
        <v>259</v>
      </c>
      <c r="G1728" s="1" t="s">
        <v>20</v>
      </c>
      <c r="H1728" s="1" t="s">
        <v>19</v>
      </c>
      <c r="I1728" s="7">
        <v>245.05</v>
      </c>
      <c r="J1728" s="1" t="s">
        <v>38</v>
      </c>
      <c r="K1728" s="1"/>
      <c r="L1728" s="1" t="s">
        <v>39</v>
      </c>
      <c r="M1728" s="1" t="str">
        <f>INDEX(MCC_Lookup!$B$2:$B$12,MATCH(G1728,MCC_Lookup!$A$2:$A$12,0))</f>
        <v>Events</v>
      </c>
      <c r="N1728" s="1" t="str">
        <f>IF(TRIM(H1728)="","BLANK",IF(PROPER(TRIM(H1728))=TRIM(M1728),"MATCH","MISMATCH"))</f>
        <v>MATCH</v>
      </c>
      <c r="O1728" s="5" t="str">
        <f>INDEX([1]Employee!$C$2:$C$276,MATCH(B1728,[1]Employee!$A$2:$A$276,0))</f>
        <v>Sales &amp; Marketing</v>
      </c>
    </row>
    <row r="1729" spans="1:15">
      <c r="A1729" s="1" t="s">
        <v>3535</v>
      </c>
      <c r="B1729" s="1" t="s">
        <v>643</v>
      </c>
      <c r="C1729" s="1"/>
      <c r="D1729" s="2">
        <v>46116</v>
      </c>
      <c r="E1729" s="2">
        <v>46118</v>
      </c>
      <c r="F1729" s="1" t="s">
        <v>106</v>
      </c>
      <c r="G1729" s="1" t="s">
        <v>13</v>
      </c>
      <c r="H1729" s="1"/>
      <c r="I1729" s="7">
        <v>243.94</v>
      </c>
      <c r="J1729" s="1" t="s">
        <v>38</v>
      </c>
      <c r="K1729" s="1"/>
      <c r="L1729" s="1" t="s">
        <v>39</v>
      </c>
      <c r="M1729" s="1" t="str">
        <f>INDEX(MCC_Lookup!$B$2:$B$12,MATCH(G1729,MCC_Lookup!$A$2:$A$12,0))</f>
        <v>Software</v>
      </c>
      <c r="N1729" s="1" t="str">
        <f>IF(TRIM(H1729)="","BLANK",IF(PROPER(TRIM(H1729))=TRIM(M1729),"MATCH","MISMATCH"))</f>
        <v>BLANK</v>
      </c>
      <c r="O1729" s="5" t="str">
        <f>INDEX([1]Employee!$C$2:$C$276,MATCH(B1729,[1]Employee!$A$2:$A$276,0))</f>
        <v>Sales &amp; Marketing</v>
      </c>
    </row>
    <row r="1730" spans="1:15">
      <c r="A1730" s="1" t="s">
        <v>3536</v>
      </c>
      <c r="B1730" s="1" t="s">
        <v>1061</v>
      </c>
      <c r="C1730" s="1" t="s">
        <v>3537</v>
      </c>
      <c r="D1730" s="2">
        <v>46115</v>
      </c>
      <c r="E1730" s="2">
        <v>46118</v>
      </c>
      <c r="F1730" s="1" t="s">
        <v>61</v>
      </c>
      <c r="G1730" s="1" t="s">
        <v>13</v>
      </c>
      <c r="H1730" s="1" t="s">
        <v>14</v>
      </c>
      <c r="I1730" s="7">
        <v>53.06</v>
      </c>
      <c r="J1730" s="1" t="s">
        <v>38</v>
      </c>
      <c r="K1730" s="1"/>
      <c r="L1730" s="1" t="s">
        <v>39</v>
      </c>
      <c r="M1730" s="1" t="str">
        <f>INDEX(MCC_Lookup!$B$2:$B$12,MATCH(G1730,MCC_Lookup!$A$2:$A$12,0))</f>
        <v>Software</v>
      </c>
      <c r="N1730" s="1" t="str">
        <f>IF(TRIM(H1730)="","BLANK",IF(PROPER(TRIM(H1730))=TRIM(M1730),"MATCH","MISMATCH"))</f>
        <v>MATCH</v>
      </c>
      <c r="O1730" s="5" t="str">
        <f>INDEX([1]Employee!$C$2:$C$276,MATCH(B1730,[1]Employee!$A$2:$A$276,0))</f>
        <v>Claims</v>
      </c>
    </row>
    <row r="1731" spans="1:15">
      <c r="A1731" s="1" t="s">
        <v>3538</v>
      </c>
      <c r="B1731" s="1" t="s">
        <v>1175</v>
      </c>
      <c r="C1731" s="1" t="s">
        <v>3539</v>
      </c>
      <c r="D1731" s="2">
        <v>46118</v>
      </c>
      <c r="E1731" s="2">
        <v>46118</v>
      </c>
      <c r="F1731" s="1" t="s">
        <v>92</v>
      </c>
      <c r="G1731" s="1" t="s">
        <v>10</v>
      </c>
      <c r="H1731" s="1"/>
      <c r="I1731" s="7">
        <v>110.09</v>
      </c>
      <c r="J1731" s="1" t="s">
        <v>38</v>
      </c>
      <c r="K1731" s="1"/>
      <c r="L1731" s="1" t="s">
        <v>39</v>
      </c>
      <c r="M1731" s="1" t="str">
        <f>INDEX(MCC_Lookup!$B$2:$B$12,MATCH(G1731,MCC_Lookup!$A$2:$A$12,0))</f>
        <v>Office Supplies</v>
      </c>
      <c r="N1731" s="1" t="str">
        <f>IF(TRIM(H1731)="","BLANK",IF(PROPER(TRIM(H1731))=TRIM(M1731),"MATCH","MISMATCH"))</f>
        <v>BLANK</v>
      </c>
      <c r="O1731" s="5" t="str">
        <f>INDEX([1]Employee!$C$2:$C$276,MATCH(B1731,[1]Employee!$A$2:$A$276,0))</f>
        <v>Underwriting</v>
      </c>
    </row>
    <row r="1732" spans="1:15">
      <c r="A1732" s="1" t="s">
        <v>3540</v>
      </c>
      <c r="B1732" s="1" t="s">
        <v>216</v>
      </c>
      <c r="C1732" s="1" t="s">
        <v>3541</v>
      </c>
      <c r="D1732" s="2">
        <v>46115</v>
      </c>
      <c r="E1732" s="2">
        <v>46118</v>
      </c>
      <c r="F1732" s="1" t="s">
        <v>61</v>
      </c>
      <c r="G1732" s="1" t="s">
        <v>13</v>
      </c>
      <c r="H1732" s="1" t="s">
        <v>14</v>
      </c>
      <c r="I1732" s="7">
        <v>84.19</v>
      </c>
      <c r="J1732" s="1" t="s">
        <v>38</v>
      </c>
      <c r="K1732" s="1"/>
      <c r="L1732" s="1" t="s">
        <v>39</v>
      </c>
      <c r="M1732" s="1" t="str">
        <f>INDEX(MCC_Lookup!$B$2:$B$12,MATCH(G1732,MCC_Lookup!$A$2:$A$12,0))</f>
        <v>Software</v>
      </c>
      <c r="N1732" s="1" t="str">
        <f>IF(TRIM(H1732)="","BLANK",IF(PROPER(TRIM(H1732))=TRIM(M1732),"MATCH","MISMATCH"))</f>
        <v>MATCH</v>
      </c>
      <c r="O1732" s="5" t="str">
        <f>INDEX([1]Employee!$C$2:$C$276,MATCH(B1732,[1]Employee!$A$2:$A$276,0))</f>
        <v>Sales &amp; Marketing</v>
      </c>
    </row>
    <row r="1733" spans="1:15">
      <c r="A1733" s="1" t="s">
        <v>3542</v>
      </c>
      <c r="B1733" s="1" t="s">
        <v>216</v>
      </c>
      <c r="C1733" s="1" t="s">
        <v>3543</v>
      </c>
      <c r="D1733" s="2">
        <v>46108</v>
      </c>
      <c r="E1733" s="2">
        <v>46118</v>
      </c>
      <c r="F1733" s="1" t="s">
        <v>106</v>
      </c>
      <c r="G1733" s="1" t="s">
        <v>13</v>
      </c>
      <c r="H1733" s="1" t="s">
        <v>14</v>
      </c>
      <c r="I1733" s="7">
        <v>208.47</v>
      </c>
      <c r="J1733" s="1" t="s">
        <v>38</v>
      </c>
      <c r="K1733" s="1"/>
      <c r="L1733" s="1" t="s">
        <v>39</v>
      </c>
      <c r="M1733" s="1" t="str">
        <f>INDEX(MCC_Lookup!$B$2:$B$12,MATCH(G1733,MCC_Lookup!$A$2:$A$12,0))</f>
        <v>Software</v>
      </c>
      <c r="N1733" s="1" t="str">
        <f>IF(TRIM(H1733)="","BLANK",IF(PROPER(TRIM(H1733))=TRIM(M1733),"MATCH","MISMATCH"))</f>
        <v>MATCH</v>
      </c>
      <c r="O1733" s="5" t="str">
        <f>INDEX([1]Employee!$C$2:$C$276,MATCH(B1733,[1]Employee!$A$2:$A$276,0))</f>
        <v>Sales &amp; Marketing</v>
      </c>
    </row>
    <row r="1734" spans="1:15">
      <c r="A1734" s="1" t="s">
        <v>3544</v>
      </c>
      <c r="B1734" s="1" t="s">
        <v>843</v>
      </c>
      <c r="C1734" s="1" t="s">
        <v>3545</v>
      </c>
      <c r="D1734" s="2">
        <v>46109</v>
      </c>
      <c r="E1734" s="2">
        <v>46118</v>
      </c>
      <c r="F1734" s="1" t="s">
        <v>173</v>
      </c>
      <c r="G1734" s="1" t="s">
        <v>2</v>
      </c>
      <c r="H1734" s="1" t="s">
        <v>3</v>
      </c>
      <c r="I1734" s="7">
        <v>52.14</v>
      </c>
      <c r="J1734" s="1" t="s">
        <v>38</v>
      </c>
      <c r="K1734" s="1"/>
      <c r="L1734" s="1" t="s">
        <v>39</v>
      </c>
      <c r="M1734" s="1" t="str">
        <f>INDEX(MCC_Lookup!$B$2:$B$12,MATCH(G1734,MCC_Lookup!$A$2:$A$12,0))</f>
        <v>Meals</v>
      </c>
      <c r="N1734" s="1" t="str">
        <f>IF(TRIM(H1734)="","BLANK",IF(PROPER(TRIM(H1734))=TRIM(M1734),"MATCH","MISMATCH"))</f>
        <v>MATCH</v>
      </c>
      <c r="O1734" s="5" t="str">
        <f>INDEX([1]Employee!$C$2:$C$276,MATCH(B1734,[1]Employee!$A$2:$A$276,0))</f>
        <v>Customer Support</v>
      </c>
    </row>
    <row r="1735" spans="1:15">
      <c r="A1735" s="1" t="s">
        <v>3546</v>
      </c>
      <c r="B1735" s="1" t="s">
        <v>789</v>
      </c>
      <c r="C1735" s="1" t="s">
        <v>3547</v>
      </c>
      <c r="D1735" s="2">
        <v>46117</v>
      </c>
      <c r="E1735" s="2">
        <v>46118</v>
      </c>
      <c r="F1735" s="1" t="s">
        <v>95</v>
      </c>
      <c r="G1735" s="1" t="s">
        <v>6</v>
      </c>
      <c r="H1735" s="1" t="s">
        <v>7</v>
      </c>
      <c r="I1735" s="7">
        <v>354.74</v>
      </c>
      <c r="J1735" s="1" t="s">
        <v>38</v>
      </c>
      <c r="K1735" s="1"/>
      <c r="L1735" s="1" t="s">
        <v>39</v>
      </c>
      <c r="M1735" s="1" t="str">
        <f>INDEX(MCC_Lookup!$B$2:$B$12,MATCH(G1735,MCC_Lookup!$A$2:$A$12,0))</f>
        <v>Lodging</v>
      </c>
      <c r="N1735" s="1" t="str">
        <f>IF(TRIM(H1735)="","BLANK",IF(PROPER(TRIM(H1735))=TRIM(M1735),"MATCH","MISMATCH"))</f>
        <v>MATCH</v>
      </c>
      <c r="O1735" s="5" t="str">
        <f>INDEX([1]Employee!$C$2:$C$276,MATCH(B1735,[1]Employee!$A$2:$A$276,0))</f>
        <v>Actuarial &amp; Risk</v>
      </c>
    </row>
    <row r="1736" spans="1:15">
      <c r="A1736" s="1" t="s">
        <v>3548</v>
      </c>
      <c r="B1736" s="1" t="s">
        <v>542</v>
      </c>
      <c r="C1736" s="1"/>
      <c r="D1736" s="2">
        <v>46116</v>
      </c>
      <c r="E1736" s="2">
        <v>46118</v>
      </c>
      <c r="F1736" s="1" t="s">
        <v>109</v>
      </c>
      <c r="G1736" s="1" t="s">
        <v>18</v>
      </c>
      <c r="H1736" s="1"/>
      <c r="I1736" s="7">
        <v>160.87</v>
      </c>
      <c r="J1736" s="1" t="s">
        <v>38</v>
      </c>
      <c r="K1736" s="1"/>
      <c r="L1736" s="1" t="s">
        <v>48</v>
      </c>
      <c r="M1736" s="1" t="str">
        <f>INDEX(MCC_Lookup!$B$2:$B$12,MATCH(G1736,MCC_Lookup!$A$2:$A$12,0))</f>
        <v>Events</v>
      </c>
      <c r="N1736" s="1" t="str">
        <f>IF(TRIM(H1736)="","BLANK",IF(PROPER(TRIM(H1736))=TRIM(M1736),"MATCH","MISMATCH"))</f>
        <v>BLANK</v>
      </c>
      <c r="O1736" s="5" t="str">
        <f>INDEX([1]Employee!$C$2:$C$276,MATCH(B1736,[1]Employee!$A$2:$A$276,0))</f>
        <v>Underwriting</v>
      </c>
    </row>
    <row r="1737" spans="1:15">
      <c r="A1737" s="1" t="s">
        <v>3549</v>
      </c>
      <c r="B1737" s="1" t="s">
        <v>314</v>
      </c>
      <c r="C1737" s="1" t="s">
        <v>3550</v>
      </c>
      <c r="D1737" s="2">
        <v>46115</v>
      </c>
      <c r="E1737" s="2">
        <v>46118</v>
      </c>
      <c r="F1737" s="1" t="s">
        <v>124</v>
      </c>
      <c r="G1737" s="1" t="s">
        <v>17</v>
      </c>
      <c r="H1737" s="1" t="s">
        <v>16</v>
      </c>
      <c r="I1737" s="7">
        <v>179.85</v>
      </c>
      <c r="J1737" s="1" t="s">
        <v>38</v>
      </c>
      <c r="K1737" s="1"/>
      <c r="L1737" s="1" t="s">
        <v>39</v>
      </c>
      <c r="M1737" s="1" t="str">
        <f>INDEX(MCC_Lookup!$B$2:$B$12,MATCH(G1737,MCC_Lookup!$A$2:$A$12,0))</f>
        <v>Entertainment</v>
      </c>
      <c r="N1737" s="1" t="str">
        <f>IF(TRIM(H1737)="","BLANK",IF(PROPER(TRIM(H1737))=TRIM(M1737),"MATCH","MISMATCH"))</f>
        <v>MATCH</v>
      </c>
      <c r="O1737" s="5" t="str">
        <f>INDEX([1]Employee!$C$2:$C$276,MATCH(B1737,[1]Employee!$A$2:$A$276,0))</f>
        <v>Sales &amp; Marketing</v>
      </c>
    </row>
    <row r="1738" spans="1:15">
      <c r="A1738" s="1" t="s">
        <v>3551</v>
      </c>
      <c r="B1738" s="1" t="s">
        <v>1488</v>
      </c>
      <c r="C1738" s="1" t="s">
        <v>3552</v>
      </c>
      <c r="D1738" s="2">
        <v>46118</v>
      </c>
      <c r="E1738" s="2">
        <v>46118</v>
      </c>
      <c r="F1738" s="1" t="s">
        <v>120</v>
      </c>
      <c r="G1738" s="1" t="s">
        <v>12</v>
      </c>
      <c r="H1738" s="1" t="s">
        <v>295</v>
      </c>
      <c r="I1738" s="7">
        <v>459.53</v>
      </c>
      <c r="J1738" s="1" t="s">
        <v>38</v>
      </c>
      <c r="K1738" s="1"/>
      <c r="L1738" s="1" t="s">
        <v>39</v>
      </c>
      <c r="M1738" s="1" t="str">
        <f>INDEX(MCC_Lookup!$B$2:$B$12,MATCH(G1738,MCC_Lookup!$A$2:$A$12,0))</f>
        <v>Office Supplies</v>
      </c>
      <c r="N1738" s="1" t="str">
        <f>IF(TRIM(H1738)="","BLANK",IF(PROPER(TRIM(H1738))=TRIM(M1738),"MATCH","MISMATCH"))</f>
        <v>MATCH</v>
      </c>
      <c r="O1738" s="5" t="str">
        <f>INDEX([1]Employee!$C$2:$C$276,MATCH(B1738,[1]Employee!$A$2:$A$276,0))</f>
        <v>Claims</v>
      </c>
    </row>
    <row r="1739" spans="1:15">
      <c r="A1739" s="1" t="s">
        <v>3553</v>
      </c>
      <c r="B1739" s="1" t="s">
        <v>1110</v>
      </c>
      <c r="C1739" s="1" t="s">
        <v>3554</v>
      </c>
      <c r="D1739" s="2">
        <v>46110</v>
      </c>
      <c r="E1739" s="2">
        <v>46119</v>
      </c>
      <c r="F1739" s="1" t="s">
        <v>61</v>
      </c>
      <c r="G1739" s="1" t="s">
        <v>13</v>
      </c>
      <c r="H1739" s="1" t="s">
        <v>14</v>
      </c>
      <c r="I1739" s="7">
        <v>30.72</v>
      </c>
      <c r="J1739" s="1" t="s">
        <v>38</v>
      </c>
      <c r="K1739" s="1"/>
      <c r="L1739" s="1" t="s">
        <v>39</v>
      </c>
      <c r="M1739" s="1" t="str">
        <f>INDEX(MCC_Lookup!$B$2:$B$12,MATCH(G1739,MCC_Lookup!$A$2:$A$12,0))</f>
        <v>Software</v>
      </c>
      <c r="N1739" s="1" t="str">
        <f>IF(TRIM(H1739)="","BLANK",IF(PROPER(TRIM(H1739))=TRIM(M1739),"MATCH","MISMATCH"))</f>
        <v>MATCH</v>
      </c>
      <c r="O1739" s="5" t="str">
        <f>INDEX([1]Employee!$C$2:$C$276,MATCH(B1739,[1]Employee!$A$2:$A$276,0))</f>
        <v>Executive &amp; Corporate</v>
      </c>
    </row>
    <row r="1740" spans="1:15">
      <c r="A1740" s="1" t="s">
        <v>3555</v>
      </c>
      <c r="B1740" s="1" t="s">
        <v>1650</v>
      </c>
      <c r="C1740" s="1" t="s">
        <v>3556</v>
      </c>
      <c r="D1740" s="2">
        <v>46110</v>
      </c>
      <c r="E1740" s="2">
        <v>46119</v>
      </c>
      <c r="F1740" s="1" t="s">
        <v>52</v>
      </c>
      <c r="G1740" s="1" t="s">
        <v>15</v>
      </c>
      <c r="H1740" s="1" t="s">
        <v>16</v>
      </c>
      <c r="I1740" s="7">
        <v>25</v>
      </c>
      <c r="J1740" s="1" t="s">
        <v>38</v>
      </c>
      <c r="K1740" s="1"/>
      <c r="L1740" s="1" t="s">
        <v>48</v>
      </c>
      <c r="M1740" s="1" t="str">
        <f>INDEX(MCC_Lookup!$B$2:$B$12,MATCH(G1740,MCC_Lookup!$A$2:$A$12,0))</f>
        <v>Entertainment</v>
      </c>
      <c r="N1740" s="1" t="str">
        <f>IF(TRIM(H1740)="","BLANK",IF(PROPER(TRIM(H1740))=TRIM(M1740),"MATCH","MISMATCH"))</f>
        <v>MATCH</v>
      </c>
      <c r="O1740" s="5" t="str">
        <f>INDEX([1]Employee!$C$2:$C$276,MATCH(B1740,[1]Employee!$A$2:$A$276,0))</f>
        <v>HR &amp; Events</v>
      </c>
    </row>
    <row r="1741" spans="1:15">
      <c r="A1741" s="1" t="s">
        <v>3557</v>
      </c>
      <c r="B1741" s="1" t="s">
        <v>2997</v>
      </c>
      <c r="C1741" s="1"/>
      <c r="D1741" s="2">
        <v>46117</v>
      </c>
      <c r="E1741" s="2">
        <v>46119</v>
      </c>
      <c r="F1741" s="1" t="s">
        <v>61</v>
      </c>
      <c r="G1741" s="1" t="s">
        <v>13</v>
      </c>
      <c r="H1741" s="1" t="s">
        <v>470</v>
      </c>
      <c r="I1741" s="7">
        <v>36.64</v>
      </c>
      <c r="J1741" s="1" t="s">
        <v>38</v>
      </c>
      <c r="K1741" s="1"/>
      <c r="L1741" s="1" t="s">
        <v>39</v>
      </c>
      <c r="M1741" s="1" t="str">
        <f>INDEX(MCC_Lookup!$B$2:$B$12,MATCH(G1741,MCC_Lookup!$A$2:$A$12,0))</f>
        <v>Software</v>
      </c>
      <c r="N1741" s="1" t="str">
        <f>IF(TRIM(H1741)="","BLANK",IF(PROPER(TRIM(H1741))=TRIM(M1741),"MATCH","MISMATCH"))</f>
        <v>MATCH</v>
      </c>
      <c r="O1741" s="5" t="str">
        <f>INDEX([1]Employee!$C$2:$C$276,MATCH(B1741,[1]Employee!$A$2:$A$276,0))</f>
        <v>Finance</v>
      </c>
    </row>
    <row r="1742" spans="1:15">
      <c r="A1742" s="1" t="s">
        <v>3558</v>
      </c>
      <c r="B1742" s="1" t="s">
        <v>108</v>
      </c>
      <c r="C1742" s="1" t="s">
        <v>3559</v>
      </c>
      <c r="D1742" s="2">
        <v>46116</v>
      </c>
      <c r="E1742" s="2">
        <v>46119</v>
      </c>
      <c r="F1742" s="1" t="s">
        <v>504</v>
      </c>
      <c r="G1742" s="1" t="s">
        <v>13</v>
      </c>
      <c r="H1742" s="1" t="s">
        <v>14</v>
      </c>
      <c r="I1742" s="7">
        <v>51.22</v>
      </c>
      <c r="J1742" s="1" t="s">
        <v>38</v>
      </c>
      <c r="K1742" s="1"/>
      <c r="L1742" s="1" t="s">
        <v>48</v>
      </c>
      <c r="M1742" s="1" t="str">
        <f>INDEX(MCC_Lookup!$B$2:$B$12,MATCH(G1742,MCC_Lookup!$A$2:$A$12,0))</f>
        <v>Software</v>
      </c>
      <c r="N1742" s="1" t="str">
        <f>IF(TRIM(H1742)="","BLANK",IF(PROPER(TRIM(H1742))=TRIM(M1742),"MATCH","MISMATCH"))</f>
        <v>MATCH</v>
      </c>
      <c r="O1742" s="5" t="str">
        <f>INDEX([1]Employee!$C$2:$C$276,MATCH(B1742,[1]Employee!$A$2:$A$276,0))</f>
        <v>Sales &amp; Marketing</v>
      </c>
    </row>
    <row r="1743" spans="1:15">
      <c r="A1743" s="1" t="s">
        <v>3560</v>
      </c>
      <c r="B1743" s="1" t="s">
        <v>1061</v>
      </c>
      <c r="C1743" s="1" t="s">
        <v>3561</v>
      </c>
      <c r="D1743" s="2">
        <v>46119</v>
      </c>
      <c r="E1743" s="2">
        <v>46119</v>
      </c>
      <c r="F1743" s="1" t="s">
        <v>37</v>
      </c>
      <c r="G1743" s="1" t="s">
        <v>4</v>
      </c>
      <c r="H1743" s="1" t="s">
        <v>5</v>
      </c>
      <c r="I1743" s="7">
        <v>432.96</v>
      </c>
      <c r="J1743" s="1" t="s">
        <v>38</v>
      </c>
      <c r="K1743" s="1"/>
      <c r="L1743" s="1" t="s">
        <v>39</v>
      </c>
      <c r="M1743" s="1" t="str">
        <f>INDEX(MCC_Lookup!$B$2:$B$12,MATCH(G1743,MCC_Lookup!$A$2:$A$12,0))</f>
        <v>Travel</v>
      </c>
      <c r="N1743" s="1" t="str">
        <f>IF(TRIM(H1743)="","BLANK",IF(PROPER(TRIM(H1743))=TRIM(M1743),"MATCH","MISMATCH"))</f>
        <v>MATCH</v>
      </c>
      <c r="O1743" s="5" t="str">
        <f>INDEX([1]Employee!$C$2:$C$276,MATCH(B1743,[1]Employee!$A$2:$A$276,0))</f>
        <v>Claims</v>
      </c>
    </row>
    <row r="1744" spans="1:15">
      <c r="A1744" s="1" t="s">
        <v>3562</v>
      </c>
      <c r="B1744" s="1" t="s">
        <v>1252</v>
      </c>
      <c r="C1744" s="1" t="s">
        <v>3563</v>
      </c>
      <c r="D1744" s="2">
        <v>46116</v>
      </c>
      <c r="E1744" s="2">
        <v>46119</v>
      </c>
      <c r="F1744" s="1" t="s">
        <v>201</v>
      </c>
      <c r="G1744" s="1" t="s">
        <v>4</v>
      </c>
      <c r="H1744" s="1" t="s">
        <v>5</v>
      </c>
      <c r="I1744" s="7">
        <v>280.74</v>
      </c>
      <c r="J1744" s="1" t="s">
        <v>38</v>
      </c>
      <c r="K1744" s="1"/>
      <c r="L1744" s="1" t="s">
        <v>39</v>
      </c>
      <c r="M1744" s="1" t="str">
        <f>INDEX(MCC_Lookup!$B$2:$B$12,MATCH(G1744,MCC_Lookup!$A$2:$A$12,0))</f>
        <v>Travel</v>
      </c>
      <c r="N1744" s="1" t="str">
        <f>IF(TRIM(H1744)="","BLANK",IF(PROPER(TRIM(H1744))=TRIM(M1744),"MATCH","MISMATCH"))</f>
        <v>MATCH</v>
      </c>
      <c r="O1744" s="5" t="str">
        <f>INDEX([1]Employee!$C$2:$C$276,MATCH(B1744,[1]Employee!$A$2:$A$276,0))</f>
        <v>Underwriting</v>
      </c>
    </row>
    <row r="1745" spans="1:15">
      <c r="A1745" s="1" t="s">
        <v>3564</v>
      </c>
      <c r="B1745" s="1" t="s">
        <v>2564</v>
      </c>
      <c r="C1745" s="1" t="s">
        <v>3565</v>
      </c>
      <c r="D1745" s="2">
        <v>46112</v>
      </c>
      <c r="E1745" s="2">
        <v>46119</v>
      </c>
      <c r="F1745" s="1" t="s">
        <v>124</v>
      </c>
      <c r="G1745" s="1" t="s">
        <v>17</v>
      </c>
      <c r="H1745" s="1" t="s">
        <v>16</v>
      </c>
      <c r="I1745" s="7">
        <v>211.24</v>
      </c>
      <c r="J1745" s="1" t="s">
        <v>38</v>
      </c>
      <c r="K1745" s="1"/>
      <c r="L1745" s="1" t="s">
        <v>39</v>
      </c>
      <c r="M1745" s="1" t="str">
        <f>INDEX(MCC_Lookup!$B$2:$B$12,MATCH(G1745,MCC_Lookup!$A$2:$A$12,0))</f>
        <v>Entertainment</v>
      </c>
      <c r="N1745" s="1" t="str">
        <f>IF(TRIM(H1745)="","BLANK",IF(PROPER(TRIM(H1745))=TRIM(M1745),"MATCH","MISMATCH"))</f>
        <v>MATCH</v>
      </c>
      <c r="O1745" s="5" t="str">
        <f>INDEX([1]Employee!$C$2:$C$276,MATCH(B1745,[1]Employee!$A$2:$A$276,0))</f>
        <v>Underwriting</v>
      </c>
    </row>
    <row r="1746" spans="1:15">
      <c r="A1746" s="1" t="s">
        <v>3566</v>
      </c>
      <c r="B1746" s="1" t="s">
        <v>274</v>
      </c>
      <c r="C1746" s="1" t="s">
        <v>3567</v>
      </c>
      <c r="D1746" s="2">
        <v>46114</v>
      </c>
      <c r="E1746" s="2">
        <v>46119</v>
      </c>
      <c r="F1746" s="1" t="s">
        <v>47</v>
      </c>
      <c r="G1746" s="1" t="s">
        <v>6</v>
      </c>
      <c r="H1746" s="1" t="s">
        <v>7</v>
      </c>
      <c r="I1746" s="7">
        <v>233.6</v>
      </c>
      <c r="J1746" s="1" t="s">
        <v>38</v>
      </c>
      <c r="K1746" s="1"/>
      <c r="L1746" s="1" t="s">
        <v>39</v>
      </c>
      <c r="M1746" s="1" t="str">
        <f>INDEX(MCC_Lookup!$B$2:$B$12,MATCH(G1746,MCC_Lookup!$A$2:$A$12,0))</f>
        <v>Lodging</v>
      </c>
      <c r="N1746" s="1" t="str">
        <f>IF(TRIM(H1746)="","BLANK",IF(PROPER(TRIM(H1746))=TRIM(M1746),"MATCH","MISMATCH"))</f>
        <v>MATCH</v>
      </c>
      <c r="O1746" s="5" t="str">
        <f>INDEX([1]Employee!$C$2:$C$276,MATCH(B1746,[1]Employee!$A$2:$A$276,0))</f>
        <v>Finance</v>
      </c>
    </row>
    <row r="1747" spans="1:15">
      <c r="A1747" s="1" t="s">
        <v>3568</v>
      </c>
      <c r="B1747" s="1" t="s">
        <v>868</v>
      </c>
      <c r="C1747" s="1"/>
      <c r="D1747" s="2">
        <v>46113</v>
      </c>
      <c r="E1747" s="2">
        <v>46119</v>
      </c>
      <c r="F1747" s="1" t="s">
        <v>52</v>
      </c>
      <c r="G1747" s="1" t="s">
        <v>15</v>
      </c>
      <c r="H1747" s="1"/>
      <c r="I1747" s="7">
        <v>37.61</v>
      </c>
      <c r="J1747" s="1" t="s">
        <v>38</v>
      </c>
      <c r="K1747" s="1"/>
      <c r="L1747" s="1" t="s">
        <v>39</v>
      </c>
      <c r="M1747" s="1" t="str">
        <f>INDEX(MCC_Lookup!$B$2:$B$12,MATCH(G1747,MCC_Lookup!$A$2:$A$12,0))</f>
        <v>Entertainment</v>
      </c>
      <c r="N1747" s="1" t="str">
        <f>IF(TRIM(H1747)="","BLANK",IF(PROPER(TRIM(H1747))=TRIM(M1747),"MATCH","MISMATCH"))</f>
        <v>BLANK</v>
      </c>
      <c r="O1747" s="5" t="str">
        <f>INDEX([1]Employee!$C$2:$C$276,MATCH(B1747,[1]Employee!$A$2:$A$276,0))</f>
        <v>Sales &amp; Marketing</v>
      </c>
    </row>
    <row r="1748" spans="1:15">
      <c r="A1748" s="1" t="s">
        <v>3569</v>
      </c>
      <c r="B1748" s="1" t="s">
        <v>227</v>
      </c>
      <c r="C1748" s="1"/>
      <c r="D1748" s="2">
        <v>46109</v>
      </c>
      <c r="E1748" s="2">
        <v>46119</v>
      </c>
      <c r="F1748" s="1" t="s">
        <v>124</v>
      </c>
      <c r="G1748" s="1" t="s">
        <v>17</v>
      </c>
      <c r="H1748" s="1" t="s">
        <v>16</v>
      </c>
      <c r="I1748" s="7">
        <v>124.22</v>
      </c>
      <c r="J1748" s="1" t="s">
        <v>111</v>
      </c>
      <c r="K1748" s="1" t="s">
        <v>229</v>
      </c>
      <c r="L1748" s="1" t="s">
        <v>39</v>
      </c>
      <c r="M1748" s="1" t="str">
        <f>INDEX(MCC_Lookup!$B$2:$B$12,MATCH(G1748,MCC_Lookup!$A$2:$A$12,0))</f>
        <v>Entertainment</v>
      </c>
      <c r="N1748" s="1" t="str">
        <f>IF(TRIM(H1748)="","BLANK",IF(PROPER(TRIM(H1748))=TRIM(M1748),"MATCH","MISMATCH"))</f>
        <v>MATCH</v>
      </c>
      <c r="O1748" s="5" t="str">
        <f>INDEX([1]Employee!$C$2:$C$276,MATCH(B1748,[1]Employee!$A$2:$A$276,0))</f>
        <v>Claims</v>
      </c>
    </row>
    <row r="1749" spans="1:15">
      <c r="A1749" s="1" t="s">
        <v>3570</v>
      </c>
      <c r="B1749" s="1" t="s">
        <v>673</v>
      </c>
      <c r="C1749" s="1" t="s">
        <v>3571</v>
      </c>
      <c r="D1749" s="2">
        <v>46118</v>
      </c>
      <c r="E1749" s="2">
        <v>46119</v>
      </c>
      <c r="F1749" s="1" t="s">
        <v>65</v>
      </c>
      <c r="G1749" s="1" t="s">
        <v>18</v>
      </c>
      <c r="H1749" s="1" t="s">
        <v>19</v>
      </c>
      <c r="I1749" s="7">
        <v>427.27</v>
      </c>
      <c r="J1749" s="1" t="s">
        <v>38</v>
      </c>
      <c r="K1749" s="1"/>
      <c r="L1749" s="1" t="s">
        <v>39</v>
      </c>
      <c r="M1749" s="1" t="str">
        <f>INDEX(MCC_Lookup!$B$2:$B$12,MATCH(G1749,MCC_Lookup!$A$2:$A$12,0))</f>
        <v>Events</v>
      </c>
      <c r="N1749" s="1" t="str">
        <f>IF(TRIM(H1749)="","BLANK",IF(PROPER(TRIM(H1749))=TRIM(M1749),"MATCH","MISMATCH"))</f>
        <v>MATCH</v>
      </c>
      <c r="O1749" s="5" t="str">
        <f>INDEX([1]Employee!$C$2:$C$276,MATCH(B1749,[1]Employee!$A$2:$A$276,0))</f>
        <v>HR &amp; Events</v>
      </c>
    </row>
    <row r="1750" spans="1:15">
      <c r="A1750" s="1" t="s">
        <v>3572</v>
      </c>
      <c r="B1750" s="1" t="s">
        <v>550</v>
      </c>
      <c r="C1750" s="1" t="s">
        <v>3573</v>
      </c>
      <c r="D1750" s="2">
        <v>46114</v>
      </c>
      <c r="E1750" s="2">
        <v>46119</v>
      </c>
      <c r="F1750" s="1" t="s">
        <v>83</v>
      </c>
      <c r="G1750" s="1" t="s">
        <v>2</v>
      </c>
      <c r="H1750" s="1" t="s">
        <v>3</v>
      </c>
      <c r="I1750" s="7">
        <v>26.4</v>
      </c>
      <c r="J1750" s="1" t="s">
        <v>38</v>
      </c>
      <c r="K1750" s="1"/>
      <c r="L1750" s="1" t="s">
        <v>39</v>
      </c>
      <c r="M1750" s="1" t="str">
        <f>INDEX(MCC_Lookup!$B$2:$B$12,MATCH(G1750,MCC_Lookup!$A$2:$A$12,0))</f>
        <v>Meals</v>
      </c>
      <c r="N1750" s="1" t="str">
        <f>IF(TRIM(H1750)="","BLANK",IF(PROPER(TRIM(H1750))=TRIM(M1750),"MATCH","MISMATCH"))</f>
        <v>MATCH</v>
      </c>
      <c r="O1750" s="5" t="str">
        <f>INDEX([1]Employee!$C$2:$C$276,MATCH(B1750,[1]Employee!$A$2:$A$276,0))</f>
        <v>Sales &amp; Marketing</v>
      </c>
    </row>
    <row r="1751" spans="1:15">
      <c r="A1751" s="1" t="s">
        <v>3574</v>
      </c>
      <c r="B1751" s="1" t="s">
        <v>255</v>
      </c>
      <c r="C1751" s="1" t="s">
        <v>3575</v>
      </c>
      <c r="D1751" s="2">
        <v>46116</v>
      </c>
      <c r="E1751" s="2">
        <v>46119</v>
      </c>
      <c r="F1751" s="1" t="s">
        <v>92</v>
      </c>
      <c r="G1751" s="1" t="s">
        <v>10</v>
      </c>
      <c r="H1751" s="1" t="s">
        <v>11</v>
      </c>
      <c r="I1751" s="7">
        <v>133.36000000000001</v>
      </c>
      <c r="J1751" s="1" t="s">
        <v>38</v>
      </c>
      <c r="K1751" s="1"/>
      <c r="L1751" s="1" t="s">
        <v>39</v>
      </c>
      <c r="M1751" s="1" t="str">
        <f>INDEX(MCC_Lookup!$B$2:$B$12,MATCH(G1751,MCC_Lookup!$A$2:$A$12,0))</f>
        <v>Office Supplies</v>
      </c>
      <c r="N1751" s="1" t="str">
        <f>IF(TRIM(H1751)="","BLANK",IF(PROPER(TRIM(H1751))=TRIM(M1751),"MATCH","MISMATCH"))</f>
        <v>MATCH</v>
      </c>
      <c r="O1751" s="5" t="str">
        <f>INDEX([1]Employee!$C$2:$C$276,MATCH(B1751,[1]Employee!$A$2:$A$276,0))</f>
        <v>Claims</v>
      </c>
    </row>
    <row r="1752" spans="1:15">
      <c r="A1752" s="1" t="s">
        <v>3576</v>
      </c>
      <c r="B1752" s="1" t="s">
        <v>255</v>
      </c>
      <c r="C1752" s="1" t="s">
        <v>3577</v>
      </c>
      <c r="D1752" s="2">
        <v>46113</v>
      </c>
      <c r="E1752" s="2">
        <v>46119</v>
      </c>
      <c r="F1752" s="1" t="s">
        <v>52</v>
      </c>
      <c r="G1752" s="1" t="s">
        <v>15</v>
      </c>
      <c r="H1752" s="1" t="s">
        <v>16</v>
      </c>
      <c r="I1752" s="7">
        <v>40.07</v>
      </c>
      <c r="J1752" s="1" t="s">
        <v>38</v>
      </c>
      <c r="K1752" s="1"/>
      <c r="L1752" s="1" t="s">
        <v>39</v>
      </c>
      <c r="M1752" s="1" t="str">
        <f>INDEX(MCC_Lookup!$B$2:$B$12,MATCH(G1752,MCC_Lookup!$A$2:$A$12,0))</f>
        <v>Entertainment</v>
      </c>
      <c r="N1752" s="1" t="str">
        <f>IF(TRIM(H1752)="","BLANK",IF(PROPER(TRIM(H1752))=TRIM(M1752),"MATCH","MISMATCH"))</f>
        <v>MATCH</v>
      </c>
      <c r="O1752" s="5" t="str">
        <f>INDEX([1]Employee!$C$2:$C$276,MATCH(B1752,[1]Employee!$A$2:$A$276,0))</f>
        <v>Claims</v>
      </c>
    </row>
    <row r="1753" spans="1:15">
      <c r="A1753" s="1" t="s">
        <v>3578</v>
      </c>
      <c r="B1753" s="1" t="s">
        <v>244</v>
      </c>
      <c r="C1753" s="1"/>
      <c r="D1753" s="2">
        <v>46113</v>
      </c>
      <c r="E1753" s="2">
        <v>46119</v>
      </c>
      <c r="F1753" s="1" t="s">
        <v>160</v>
      </c>
      <c r="G1753" s="1" t="s">
        <v>6</v>
      </c>
      <c r="H1753" s="1" t="s">
        <v>7</v>
      </c>
      <c r="I1753" s="7">
        <v>388.01</v>
      </c>
      <c r="J1753" s="1" t="s">
        <v>38</v>
      </c>
      <c r="K1753" s="1"/>
      <c r="L1753" s="1" t="s">
        <v>39</v>
      </c>
      <c r="M1753" s="1" t="str">
        <f>INDEX(MCC_Lookup!$B$2:$B$12,MATCH(G1753,MCC_Lookup!$A$2:$A$12,0))</f>
        <v>Lodging</v>
      </c>
      <c r="N1753" s="1" t="str">
        <f>IF(TRIM(H1753)="","BLANK",IF(PROPER(TRIM(H1753))=TRIM(M1753),"MATCH","MISMATCH"))</f>
        <v>MATCH</v>
      </c>
      <c r="O1753" s="5" t="str">
        <f>INDEX([1]Employee!$C$2:$C$276,MATCH(B1753,[1]Employee!$A$2:$A$276,0))</f>
        <v>Sales &amp; Marketing</v>
      </c>
    </row>
    <row r="1754" spans="1:15">
      <c r="A1754" s="1" t="s">
        <v>3579</v>
      </c>
      <c r="B1754" s="1" t="s">
        <v>244</v>
      </c>
      <c r="C1754" s="1" t="s">
        <v>3580</v>
      </c>
      <c r="D1754" s="2">
        <v>46117</v>
      </c>
      <c r="E1754" s="2">
        <v>46119</v>
      </c>
      <c r="F1754" s="1" t="s">
        <v>69</v>
      </c>
      <c r="G1754" s="1" t="s">
        <v>8</v>
      </c>
      <c r="H1754" s="1" t="s">
        <v>9</v>
      </c>
      <c r="I1754" s="7">
        <v>10.52</v>
      </c>
      <c r="J1754" s="1" t="s">
        <v>38</v>
      </c>
      <c r="K1754" s="1"/>
      <c r="L1754" s="1" t="s">
        <v>39</v>
      </c>
      <c r="M1754" s="1" t="str">
        <f>INDEX(MCC_Lookup!$B$2:$B$12,MATCH(G1754,MCC_Lookup!$A$2:$A$12,0))</f>
        <v>Transportation</v>
      </c>
      <c r="N1754" s="1" t="str">
        <f>IF(TRIM(H1754)="","BLANK",IF(PROPER(TRIM(H1754))=TRIM(M1754),"MATCH","MISMATCH"))</f>
        <v>MATCH</v>
      </c>
      <c r="O1754" s="5" t="str">
        <f>INDEX([1]Employee!$C$2:$C$276,MATCH(B1754,[1]Employee!$A$2:$A$276,0))</f>
        <v>Sales &amp; Marketing</v>
      </c>
    </row>
    <row r="1755" spans="1:15">
      <c r="A1755" s="1" t="s">
        <v>3581</v>
      </c>
      <c r="B1755" s="1" t="s">
        <v>379</v>
      </c>
      <c r="C1755" s="1" t="s">
        <v>3582</v>
      </c>
      <c r="D1755" s="2">
        <v>46112</v>
      </c>
      <c r="E1755" s="2">
        <v>46119</v>
      </c>
      <c r="F1755" s="1" t="s">
        <v>120</v>
      </c>
      <c r="G1755" s="1" t="s">
        <v>12</v>
      </c>
      <c r="H1755" s="1" t="s">
        <v>11</v>
      </c>
      <c r="I1755" s="7">
        <v>380.38</v>
      </c>
      <c r="J1755" s="1" t="s">
        <v>38</v>
      </c>
      <c r="K1755" s="1"/>
      <c r="L1755" s="1" t="s">
        <v>39</v>
      </c>
      <c r="M1755" s="1" t="str">
        <f>INDEX(MCC_Lookup!$B$2:$B$12,MATCH(G1755,MCC_Lookup!$A$2:$A$12,0))</f>
        <v>Office Supplies</v>
      </c>
      <c r="N1755" s="1" t="str">
        <f>IF(TRIM(H1755)="","BLANK",IF(PROPER(TRIM(H1755))=TRIM(M1755),"MATCH","MISMATCH"))</f>
        <v>MATCH</v>
      </c>
      <c r="O1755" s="5" t="str">
        <f>INDEX([1]Employee!$C$2:$C$276,MATCH(B1755,[1]Employee!$A$2:$A$276,0))</f>
        <v>Sales &amp; Marketing</v>
      </c>
    </row>
    <row r="1756" spans="1:15">
      <c r="A1756" s="1" t="s">
        <v>3583</v>
      </c>
      <c r="B1756" s="1" t="s">
        <v>274</v>
      </c>
      <c r="C1756" s="1" t="s">
        <v>3584</v>
      </c>
      <c r="D1756" s="2">
        <v>46112</v>
      </c>
      <c r="E1756" s="2">
        <v>46120</v>
      </c>
      <c r="F1756" s="1" t="s">
        <v>61</v>
      </c>
      <c r="G1756" s="1" t="s">
        <v>13</v>
      </c>
      <c r="H1756" s="1" t="s">
        <v>14</v>
      </c>
      <c r="I1756" s="7">
        <v>64.52</v>
      </c>
      <c r="J1756" s="1" t="s">
        <v>38</v>
      </c>
      <c r="K1756" s="1"/>
      <c r="L1756" s="1" t="s">
        <v>39</v>
      </c>
      <c r="M1756" s="1" t="str">
        <f>INDEX(MCC_Lookup!$B$2:$B$12,MATCH(G1756,MCC_Lookup!$A$2:$A$12,0))</f>
        <v>Software</v>
      </c>
      <c r="N1756" s="1" t="str">
        <f>IF(TRIM(H1756)="","BLANK",IF(PROPER(TRIM(H1756))=TRIM(M1756),"MATCH","MISMATCH"))</f>
        <v>MATCH</v>
      </c>
      <c r="O1756" s="5" t="str">
        <f>INDEX([1]Employee!$C$2:$C$276,MATCH(B1756,[1]Employee!$A$2:$A$276,0))</f>
        <v>Finance</v>
      </c>
    </row>
    <row r="1757" spans="1:15">
      <c r="A1757" s="1" t="s">
        <v>3585</v>
      </c>
      <c r="B1757" s="1" t="s">
        <v>433</v>
      </c>
      <c r="C1757" s="1"/>
      <c r="D1757" s="2">
        <v>46119</v>
      </c>
      <c r="E1757" s="2">
        <v>46120</v>
      </c>
      <c r="F1757" s="1" t="s">
        <v>160</v>
      </c>
      <c r="G1757" s="1" t="s">
        <v>6</v>
      </c>
      <c r="H1757" s="1" t="s">
        <v>7</v>
      </c>
      <c r="I1757" s="7">
        <v>406.09</v>
      </c>
      <c r="J1757" s="1" t="s">
        <v>38</v>
      </c>
      <c r="K1757" s="1"/>
      <c r="L1757" s="1" t="s">
        <v>39</v>
      </c>
      <c r="M1757" s="1" t="str">
        <f>INDEX(MCC_Lookup!$B$2:$B$12,MATCH(G1757,MCC_Lookup!$A$2:$A$12,0))</f>
        <v>Lodging</v>
      </c>
      <c r="N1757" s="1" t="str">
        <f>IF(TRIM(H1757)="","BLANK",IF(PROPER(TRIM(H1757))=TRIM(M1757),"MATCH","MISMATCH"))</f>
        <v>MATCH</v>
      </c>
      <c r="O1757" s="5" t="str">
        <f>INDEX([1]Employee!$C$2:$C$276,MATCH(B1757,[1]Employee!$A$2:$A$276,0))</f>
        <v>Sales &amp; Marketing</v>
      </c>
    </row>
    <row r="1758" spans="1:15">
      <c r="A1758" s="1" t="s">
        <v>3586</v>
      </c>
      <c r="B1758" s="1" t="s">
        <v>448</v>
      </c>
      <c r="C1758" s="1" t="s">
        <v>3587</v>
      </c>
      <c r="D1758" s="2">
        <v>46116</v>
      </c>
      <c r="E1758" s="2">
        <v>46120</v>
      </c>
      <c r="F1758" s="1" t="s">
        <v>120</v>
      </c>
      <c r="G1758" s="1" t="s">
        <v>12</v>
      </c>
      <c r="H1758" s="1" t="s">
        <v>11</v>
      </c>
      <c r="I1758" s="7">
        <v>127.2</v>
      </c>
      <c r="J1758" s="1" t="s">
        <v>38</v>
      </c>
      <c r="K1758" s="1"/>
      <c r="L1758" s="1" t="s">
        <v>39</v>
      </c>
      <c r="M1758" s="1" t="str">
        <f>INDEX(MCC_Lookup!$B$2:$B$12,MATCH(G1758,MCC_Lookup!$A$2:$A$12,0))</f>
        <v>Office Supplies</v>
      </c>
      <c r="N1758" s="1" t="str">
        <f>IF(TRIM(H1758)="","BLANK",IF(PROPER(TRIM(H1758))=TRIM(M1758),"MATCH","MISMATCH"))</f>
        <v>MATCH</v>
      </c>
      <c r="O1758" s="5" t="str">
        <f>INDEX([1]Employee!$C$2:$C$276,MATCH(B1758,[1]Employee!$A$2:$A$276,0))</f>
        <v>Sales &amp; Marketing</v>
      </c>
    </row>
    <row r="1759" spans="1:15">
      <c r="A1759" s="1" t="s">
        <v>3588</v>
      </c>
      <c r="B1759" s="1" t="s">
        <v>325</v>
      </c>
      <c r="C1759" s="1" t="s">
        <v>3589</v>
      </c>
      <c r="D1759" s="2">
        <v>46120</v>
      </c>
      <c r="E1759" s="2">
        <v>46120</v>
      </c>
      <c r="F1759" s="1" t="s">
        <v>95</v>
      </c>
      <c r="G1759" s="1" t="s">
        <v>6</v>
      </c>
      <c r="H1759" s="1" t="s">
        <v>228</v>
      </c>
      <c r="I1759" s="7">
        <v>370.26</v>
      </c>
      <c r="J1759" s="1" t="s">
        <v>38</v>
      </c>
      <c r="K1759" s="1"/>
      <c r="L1759" s="1" t="s">
        <v>39</v>
      </c>
      <c r="M1759" s="1" t="str">
        <f>INDEX(MCC_Lookup!$B$2:$B$12,MATCH(G1759,MCC_Lookup!$A$2:$A$12,0))</f>
        <v>Lodging</v>
      </c>
      <c r="N1759" s="1" t="str">
        <f>IF(TRIM(H1759)="","BLANK",IF(PROPER(TRIM(H1759))=TRIM(M1759),"MATCH","MISMATCH"))</f>
        <v>MATCH</v>
      </c>
      <c r="O1759" s="5" t="str">
        <f>INDEX([1]Employee!$C$2:$C$276,MATCH(B1759,[1]Employee!$A$2:$A$276,0))</f>
        <v>Sales &amp; Marketing</v>
      </c>
    </row>
    <row r="1760" spans="1:15">
      <c r="A1760" s="1" t="s">
        <v>3590</v>
      </c>
      <c r="B1760" s="1" t="s">
        <v>499</v>
      </c>
      <c r="C1760" s="1" t="s">
        <v>3591</v>
      </c>
      <c r="D1760" s="2">
        <v>46118</v>
      </c>
      <c r="E1760" s="2">
        <v>46120</v>
      </c>
      <c r="F1760" s="1" t="s">
        <v>2418</v>
      </c>
      <c r="G1760" s="1" t="s">
        <v>2</v>
      </c>
      <c r="H1760" s="1" t="s">
        <v>138</v>
      </c>
      <c r="I1760" s="7">
        <v>14.9</v>
      </c>
      <c r="J1760" s="1" t="s">
        <v>38</v>
      </c>
      <c r="K1760" s="1"/>
      <c r="L1760" s="1" t="s">
        <v>39</v>
      </c>
      <c r="M1760" s="1" t="str">
        <f>INDEX(MCC_Lookup!$B$2:$B$12,MATCH(G1760,MCC_Lookup!$A$2:$A$12,0))</f>
        <v>Meals</v>
      </c>
      <c r="N1760" s="1" t="str">
        <f>IF(TRIM(H1760)="","BLANK",IF(PROPER(TRIM(H1760))=TRIM(M1760),"MATCH","MISMATCH"))</f>
        <v>MATCH</v>
      </c>
      <c r="O1760" s="5" t="str">
        <f>INDEX([1]Employee!$C$2:$C$276,MATCH(B1760,[1]Employee!$A$2:$A$276,0))</f>
        <v>Sales &amp; Marketing</v>
      </c>
    </row>
    <row r="1761" spans="1:15">
      <c r="A1761" s="1" t="s">
        <v>3592</v>
      </c>
      <c r="B1761" s="1" t="s">
        <v>667</v>
      </c>
      <c r="C1761" s="1" t="s">
        <v>3593</v>
      </c>
      <c r="D1761" s="2">
        <v>46116</v>
      </c>
      <c r="E1761" s="2">
        <v>46120</v>
      </c>
      <c r="F1761" s="1" t="s">
        <v>92</v>
      </c>
      <c r="G1761" s="1" t="s">
        <v>10</v>
      </c>
      <c r="H1761" s="1" t="s">
        <v>131</v>
      </c>
      <c r="I1761" s="7">
        <v>63.66</v>
      </c>
      <c r="J1761" s="1" t="s">
        <v>38</v>
      </c>
      <c r="K1761" s="1"/>
      <c r="L1761" s="1" t="s">
        <v>39</v>
      </c>
      <c r="M1761" s="1" t="str">
        <f>INDEX(MCC_Lookup!$B$2:$B$12,MATCH(G1761,MCC_Lookup!$A$2:$A$12,0))</f>
        <v>Office Supplies</v>
      </c>
      <c r="N1761" s="1" t="str">
        <f>IF(TRIM(H1761)="","BLANK",IF(PROPER(TRIM(H1761))=TRIM(M1761),"MATCH","MISMATCH"))</f>
        <v>MATCH</v>
      </c>
      <c r="O1761" s="5" t="str">
        <f>INDEX([1]Employee!$C$2:$C$276,MATCH(B1761,[1]Employee!$A$2:$A$276,0))</f>
        <v>Sales &amp; Marketing</v>
      </c>
    </row>
    <row r="1762" spans="1:15">
      <c r="A1762" s="1" t="s">
        <v>3594</v>
      </c>
      <c r="B1762" s="1" t="s">
        <v>667</v>
      </c>
      <c r="C1762" s="1" t="s">
        <v>3595</v>
      </c>
      <c r="D1762" s="2">
        <v>46110</v>
      </c>
      <c r="E1762" s="2">
        <v>46120</v>
      </c>
      <c r="F1762" s="1" t="s">
        <v>173</v>
      </c>
      <c r="G1762" s="1" t="s">
        <v>2</v>
      </c>
      <c r="H1762" s="1" t="s">
        <v>3</v>
      </c>
      <c r="I1762" s="7">
        <v>27.09</v>
      </c>
      <c r="J1762" s="1" t="s">
        <v>38</v>
      </c>
      <c r="K1762" s="1"/>
      <c r="L1762" s="1" t="s">
        <v>39</v>
      </c>
      <c r="M1762" s="1" t="str">
        <f>INDEX(MCC_Lookup!$B$2:$B$12,MATCH(G1762,MCC_Lookup!$A$2:$A$12,0))</f>
        <v>Meals</v>
      </c>
      <c r="N1762" s="1" t="str">
        <f>IF(TRIM(H1762)="","BLANK",IF(PROPER(TRIM(H1762))=TRIM(M1762),"MATCH","MISMATCH"))</f>
        <v>MATCH</v>
      </c>
      <c r="O1762" s="5" t="str">
        <f>INDEX([1]Employee!$C$2:$C$276,MATCH(B1762,[1]Employee!$A$2:$A$276,0))</f>
        <v>Sales &amp; Marketing</v>
      </c>
    </row>
    <row r="1763" spans="1:15">
      <c r="A1763" s="1" t="s">
        <v>3596</v>
      </c>
      <c r="B1763" s="1" t="s">
        <v>667</v>
      </c>
      <c r="C1763" s="1" t="s">
        <v>3597</v>
      </c>
      <c r="D1763" s="2">
        <v>46120</v>
      </c>
      <c r="E1763" s="2">
        <v>46120</v>
      </c>
      <c r="F1763" s="1" t="s">
        <v>305</v>
      </c>
      <c r="G1763" s="1" t="s">
        <v>2</v>
      </c>
      <c r="H1763" s="1" t="s">
        <v>154</v>
      </c>
      <c r="I1763" s="7">
        <v>12.61</v>
      </c>
      <c r="J1763" s="1" t="s">
        <v>38</v>
      </c>
      <c r="K1763" s="1"/>
      <c r="L1763" s="1" t="s">
        <v>39</v>
      </c>
      <c r="M1763" s="1" t="str">
        <f>INDEX(MCC_Lookup!$B$2:$B$12,MATCH(G1763,MCC_Lookup!$A$2:$A$12,0))</f>
        <v>Meals</v>
      </c>
      <c r="N1763" s="1" t="str">
        <f>IF(TRIM(H1763)="","BLANK",IF(PROPER(TRIM(H1763))=TRIM(M1763),"MATCH","MISMATCH"))</f>
        <v>MATCH</v>
      </c>
      <c r="O1763" s="5" t="str">
        <f>INDEX([1]Employee!$C$2:$C$276,MATCH(B1763,[1]Employee!$A$2:$A$276,0))</f>
        <v>Sales &amp; Marketing</v>
      </c>
    </row>
    <row r="1764" spans="1:15">
      <c r="A1764" s="1" t="s">
        <v>3598</v>
      </c>
      <c r="B1764" s="1" t="s">
        <v>469</v>
      </c>
      <c r="C1764" s="1"/>
      <c r="D1764" s="2">
        <v>46115</v>
      </c>
      <c r="E1764" s="2">
        <v>46120</v>
      </c>
      <c r="F1764" s="1" t="s">
        <v>177</v>
      </c>
      <c r="G1764" s="1" t="s">
        <v>13</v>
      </c>
      <c r="H1764" s="1" t="s">
        <v>14</v>
      </c>
      <c r="I1764" s="7">
        <v>24.08</v>
      </c>
      <c r="J1764" s="1" t="s">
        <v>111</v>
      </c>
      <c r="K1764" s="1" t="s">
        <v>127</v>
      </c>
      <c r="L1764" s="1" t="s">
        <v>39</v>
      </c>
      <c r="M1764" s="1" t="str">
        <f>INDEX(MCC_Lookup!$B$2:$B$12,MATCH(G1764,MCC_Lookup!$A$2:$A$12,0))</f>
        <v>Software</v>
      </c>
      <c r="N1764" s="1" t="str">
        <f>IF(TRIM(H1764)="","BLANK",IF(PROPER(TRIM(H1764))=TRIM(M1764),"MATCH","MISMATCH"))</f>
        <v>MATCH</v>
      </c>
      <c r="O1764" s="5" t="str">
        <f>INDEX([1]Employee!$C$2:$C$276,MATCH(B1764,[1]Employee!$A$2:$A$276,0))</f>
        <v>Sales &amp; Marketing</v>
      </c>
    </row>
    <row r="1765" spans="1:15">
      <c r="A1765" s="1" t="s">
        <v>3599</v>
      </c>
      <c r="B1765" s="1" t="s">
        <v>199</v>
      </c>
      <c r="C1765" s="1"/>
      <c r="D1765" s="2">
        <v>46116</v>
      </c>
      <c r="E1765" s="2">
        <v>46120</v>
      </c>
      <c r="F1765" s="1" t="s">
        <v>95</v>
      </c>
      <c r="G1765" s="1" t="s">
        <v>6</v>
      </c>
      <c r="H1765" s="1" t="s">
        <v>726</v>
      </c>
      <c r="I1765" s="7">
        <v>271.7</v>
      </c>
      <c r="J1765" s="1" t="s">
        <v>111</v>
      </c>
      <c r="K1765" s="1" t="s">
        <v>112</v>
      </c>
      <c r="L1765" s="1" t="s">
        <v>39</v>
      </c>
      <c r="M1765" s="1" t="str">
        <f>INDEX(MCC_Lookup!$B$2:$B$12,MATCH(G1765,MCC_Lookup!$A$2:$A$12,0))</f>
        <v>Lodging</v>
      </c>
      <c r="N1765" s="1" t="str">
        <f>IF(TRIM(H1765)="","BLANK",IF(PROPER(TRIM(H1765))=TRIM(M1765),"MATCH","MISMATCH"))</f>
        <v>MATCH</v>
      </c>
      <c r="O1765" s="5" t="str">
        <f>INDEX([1]Employee!$C$2:$C$276,MATCH(B1765,[1]Employee!$A$2:$A$276,0))</f>
        <v>Sales &amp; Marketing</v>
      </c>
    </row>
    <row r="1766" spans="1:15">
      <c r="A1766" s="1" t="s">
        <v>3600</v>
      </c>
      <c r="B1766" s="1" t="s">
        <v>1642</v>
      </c>
      <c r="C1766" s="1" t="s">
        <v>3601</v>
      </c>
      <c r="D1766" s="2">
        <v>46119</v>
      </c>
      <c r="E1766" s="2">
        <v>46120</v>
      </c>
      <c r="F1766" s="1" t="s">
        <v>160</v>
      </c>
      <c r="G1766" s="1" t="s">
        <v>6</v>
      </c>
      <c r="H1766" s="1"/>
      <c r="I1766" s="7">
        <v>316.57</v>
      </c>
      <c r="J1766" s="1" t="s">
        <v>38</v>
      </c>
      <c r="K1766" s="1"/>
      <c r="L1766" s="1" t="s">
        <v>48</v>
      </c>
      <c r="M1766" s="1" t="str">
        <f>INDEX(MCC_Lookup!$B$2:$B$12,MATCH(G1766,MCC_Lookup!$A$2:$A$12,0))</f>
        <v>Lodging</v>
      </c>
      <c r="N1766" s="1" t="str">
        <f>IF(TRIM(H1766)="","BLANK",IF(PROPER(TRIM(H1766))=TRIM(M1766),"MATCH","MISMATCH"))</f>
        <v>BLANK</v>
      </c>
      <c r="O1766" s="5" t="str">
        <f>INDEX([1]Employee!$C$2:$C$276,MATCH(B1766,[1]Employee!$A$2:$A$276,0))</f>
        <v>Underwriting</v>
      </c>
    </row>
    <row r="1767" spans="1:15">
      <c r="A1767" s="1" t="s">
        <v>3602</v>
      </c>
      <c r="B1767" s="1" t="s">
        <v>1632</v>
      </c>
      <c r="C1767" s="1" t="s">
        <v>3603</v>
      </c>
      <c r="D1767" s="2">
        <v>46113</v>
      </c>
      <c r="E1767" s="2">
        <v>46120</v>
      </c>
      <c r="F1767" s="1" t="s">
        <v>79</v>
      </c>
      <c r="G1767" s="1" t="s">
        <v>13</v>
      </c>
      <c r="H1767" s="1" t="s">
        <v>14</v>
      </c>
      <c r="I1767" s="7">
        <v>233.29</v>
      </c>
      <c r="J1767" s="1" t="s">
        <v>38</v>
      </c>
      <c r="K1767" s="1"/>
      <c r="L1767" s="1" t="s">
        <v>39</v>
      </c>
      <c r="M1767" s="1" t="str">
        <f>INDEX(MCC_Lookup!$B$2:$B$12,MATCH(G1767,MCC_Lookup!$A$2:$A$12,0))</f>
        <v>Software</v>
      </c>
      <c r="N1767" s="1" t="str">
        <f>IF(TRIM(H1767)="","BLANK",IF(PROPER(TRIM(H1767))=TRIM(M1767),"MATCH","MISMATCH"))</f>
        <v>MATCH</v>
      </c>
      <c r="O1767" s="5" t="str">
        <f>INDEX([1]Employee!$C$2:$C$276,MATCH(B1767,[1]Employee!$A$2:$A$276,0))</f>
        <v>HR &amp; Events</v>
      </c>
    </row>
    <row r="1768" spans="1:15">
      <c r="A1768" s="1" t="s">
        <v>3604</v>
      </c>
      <c r="B1768" s="1" t="s">
        <v>182</v>
      </c>
      <c r="C1768" s="1" t="s">
        <v>3605</v>
      </c>
      <c r="D1768" s="2">
        <v>46115</v>
      </c>
      <c r="E1768" s="2">
        <v>46120</v>
      </c>
      <c r="F1768" s="1" t="s">
        <v>95</v>
      </c>
      <c r="G1768" s="1" t="s">
        <v>6</v>
      </c>
      <c r="H1768" s="1" t="s">
        <v>7</v>
      </c>
      <c r="I1768" s="7">
        <v>378.01</v>
      </c>
      <c r="J1768" s="1" t="s">
        <v>38</v>
      </c>
      <c r="K1768" s="1"/>
      <c r="L1768" s="1" t="s">
        <v>48</v>
      </c>
      <c r="M1768" s="1" t="str">
        <f>INDEX(MCC_Lookup!$B$2:$B$12,MATCH(G1768,MCC_Lookup!$A$2:$A$12,0))</f>
        <v>Lodging</v>
      </c>
      <c r="N1768" s="1" t="str">
        <f>IF(TRIM(H1768)="","BLANK",IF(PROPER(TRIM(H1768))=TRIM(M1768),"MATCH","MISMATCH"))</f>
        <v>MATCH</v>
      </c>
      <c r="O1768" s="5" t="str">
        <f>INDEX([1]Employee!$C$2:$C$276,MATCH(B1768,[1]Employee!$A$2:$A$276,0))</f>
        <v>Sales &amp; Marketing</v>
      </c>
    </row>
    <row r="1769" spans="1:15">
      <c r="A1769" s="1" t="s">
        <v>3606</v>
      </c>
      <c r="B1769" s="1" t="s">
        <v>303</v>
      </c>
      <c r="C1769" s="1"/>
      <c r="D1769" s="2">
        <v>46113</v>
      </c>
      <c r="E1769" s="2">
        <v>46120</v>
      </c>
      <c r="F1769" s="1" t="s">
        <v>95</v>
      </c>
      <c r="G1769" s="1" t="s">
        <v>6</v>
      </c>
      <c r="H1769" s="1" t="s">
        <v>7</v>
      </c>
      <c r="I1769" s="7">
        <v>170.43</v>
      </c>
      <c r="J1769" s="1" t="s">
        <v>111</v>
      </c>
      <c r="K1769" s="1" t="s">
        <v>229</v>
      </c>
      <c r="L1769" s="1" t="s">
        <v>39</v>
      </c>
      <c r="M1769" s="1" t="str">
        <f>INDEX(MCC_Lookup!$B$2:$B$12,MATCH(G1769,MCC_Lookup!$A$2:$A$12,0))</f>
        <v>Lodging</v>
      </c>
      <c r="N1769" s="1" t="str">
        <f>IF(TRIM(H1769)="","BLANK",IF(PROPER(TRIM(H1769))=TRIM(M1769),"MATCH","MISMATCH"))</f>
        <v>MATCH</v>
      </c>
      <c r="O1769" s="5" t="str">
        <f>INDEX([1]Employee!$C$2:$C$276,MATCH(B1769,[1]Employee!$A$2:$A$276,0))</f>
        <v>Sales &amp; Marketing</v>
      </c>
    </row>
    <row r="1770" spans="1:15">
      <c r="A1770" s="1" t="s">
        <v>3607</v>
      </c>
      <c r="B1770" s="1" t="s">
        <v>303</v>
      </c>
      <c r="C1770" s="1"/>
      <c r="D1770" s="2">
        <v>46119</v>
      </c>
      <c r="E1770" s="2">
        <v>46120</v>
      </c>
      <c r="F1770" s="1" t="s">
        <v>43</v>
      </c>
      <c r="G1770" s="1" t="s">
        <v>2</v>
      </c>
      <c r="H1770" s="1" t="s">
        <v>3</v>
      </c>
      <c r="I1770" s="7">
        <v>21.17</v>
      </c>
      <c r="J1770" s="1" t="s">
        <v>111</v>
      </c>
      <c r="K1770" s="1" t="s">
        <v>229</v>
      </c>
      <c r="L1770" s="1" t="s">
        <v>39</v>
      </c>
      <c r="M1770" s="1" t="str">
        <f>INDEX(MCC_Lookup!$B$2:$B$12,MATCH(G1770,MCC_Lookup!$A$2:$A$12,0))</f>
        <v>Meals</v>
      </c>
      <c r="N1770" s="1" t="str">
        <f>IF(TRIM(H1770)="","BLANK",IF(PROPER(TRIM(H1770))=TRIM(M1770),"MATCH","MISMATCH"))</f>
        <v>MATCH</v>
      </c>
      <c r="O1770" s="5" t="str">
        <f>INDEX([1]Employee!$C$2:$C$276,MATCH(B1770,[1]Employee!$A$2:$A$276,0))</f>
        <v>Sales &amp; Marketing</v>
      </c>
    </row>
    <row r="1771" spans="1:15">
      <c r="A1771" s="1" t="s">
        <v>3608</v>
      </c>
      <c r="B1771" s="1" t="s">
        <v>41</v>
      </c>
      <c r="C1771" s="1" t="s">
        <v>3609</v>
      </c>
      <c r="D1771" s="2">
        <v>46113</v>
      </c>
      <c r="E1771" s="2">
        <v>46120</v>
      </c>
      <c r="F1771" s="1" t="s">
        <v>173</v>
      </c>
      <c r="G1771" s="1" t="s">
        <v>2</v>
      </c>
      <c r="H1771" s="1" t="s">
        <v>3</v>
      </c>
      <c r="I1771" s="7">
        <v>55.38</v>
      </c>
      <c r="J1771" s="1" t="s">
        <v>38</v>
      </c>
      <c r="K1771" s="1"/>
      <c r="L1771" s="1" t="s">
        <v>39</v>
      </c>
      <c r="M1771" s="1" t="str">
        <f>INDEX(MCC_Lookup!$B$2:$B$12,MATCH(G1771,MCC_Lookup!$A$2:$A$12,0))</f>
        <v>Meals</v>
      </c>
      <c r="N1771" s="1" t="str">
        <f>IF(TRIM(H1771)="","BLANK",IF(PROPER(TRIM(H1771))=TRIM(M1771),"MATCH","MISMATCH"))</f>
        <v>MATCH</v>
      </c>
      <c r="O1771" s="5" t="str">
        <f>INDEX([1]Employee!$C$2:$C$276,MATCH(B1771,[1]Employee!$A$2:$A$276,0))</f>
        <v>Sales &amp; Marketing</v>
      </c>
    </row>
    <row r="1772" spans="1:15">
      <c r="A1772" s="1" t="s">
        <v>3610</v>
      </c>
      <c r="B1772" s="1" t="s">
        <v>101</v>
      </c>
      <c r="C1772" s="1" t="s">
        <v>3611</v>
      </c>
      <c r="D1772" s="2">
        <v>46117</v>
      </c>
      <c r="E1772" s="2">
        <v>46120</v>
      </c>
      <c r="F1772" s="1" t="s">
        <v>72</v>
      </c>
      <c r="G1772" s="1" t="s">
        <v>8</v>
      </c>
      <c r="H1772" s="1" t="s">
        <v>9</v>
      </c>
      <c r="I1772" s="7">
        <v>14.81</v>
      </c>
      <c r="J1772" s="1" t="s">
        <v>38</v>
      </c>
      <c r="K1772" s="1"/>
      <c r="L1772" s="1" t="s">
        <v>39</v>
      </c>
      <c r="M1772" s="1" t="str">
        <f>INDEX(MCC_Lookup!$B$2:$B$12,MATCH(G1772,MCC_Lookup!$A$2:$A$12,0))</f>
        <v>Transportation</v>
      </c>
      <c r="N1772" s="1" t="str">
        <f>IF(TRIM(H1772)="","BLANK",IF(PROPER(TRIM(H1772))=TRIM(M1772),"MATCH","MISMATCH"))</f>
        <v>MATCH</v>
      </c>
      <c r="O1772" s="5" t="str">
        <f>INDEX([1]Employee!$C$2:$C$276,MATCH(B1772,[1]Employee!$A$2:$A$276,0))</f>
        <v>Underwriting</v>
      </c>
    </row>
    <row r="1773" spans="1:15">
      <c r="A1773" s="1" t="s">
        <v>3612</v>
      </c>
      <c r="B1773" s="1" t="s">
        <v>475</v>
      </c>
      <c r="C1773" s="1" t="s">
        <v>3613</v>
      </c>
      <c r="D1773" s="2">
        <v>46115</v>
      </c>
      <c r="E1773" s="2">
        <v>46120</v>
      </c>
      <c r="F1773" s="1" t="s">
        <v>69</v>
      </c>
      <c r="G1773" s="1" t="s">
        <v>8</v>
      </c>
      <c r="H1773" s="1" t="s">
        <v>9</v>
      </c>
      <c r="I1773" s="7">
        <v>39.19</v>
      </c>
      <c r="J1773" s="1" t="s">
        <v>38</v>
      </c>
      <c r="K1773" s="1"/>
      <c r="L1773" s="1" t="s">
        <v>39</v>
      </c>
      <c r="M1773" s="1" t="str">
        <f>INDEX(MCC_Lookup!$B$2:$B$12,MATCH(G1773,MCC_Lookup!$A$2:$A$12,0))</f>
        <v>Transportation</v>
      </c>
      <c r="N1773" s="1" t="str">
        <f>IF(TRIM(H1773)="","BLANK",IF(PROPER(TRIM(H1773))=TRIM(M1773),"MATCH","MISMATCH"))</f>
        <v>MATCH</v>
      </c>
      <c r="O1773" s="5" t="str">
        <f>INDEX([1]Employee!$C$2:$C$276,MATCH(B1773,[1]Employee!$A$2:$A$276,0))</f>
        <v>Sales &amp; Marketing</v>
      </c>
    </row>
    <row r="1774" spans="1:15">
      <c r="A1774" s="1" t="s">
        <v>3614</v>
      </c>
      <c r="B1774" s="1" t="s">
        <v>832</v>
      </c>
      <c r="C1774" s="1"/>
      <c r="D1774" s="2">
        <v>46112</v>
      </c>
      <c r="E1774" s="2">
        <v>46120</v>
      </c>
      <c r="F1774" s="1" t="s">
        <v>120</v>
      </c>
      <c r="G1774" s="1" t="s">
        <v>12</v>
      </c>
      <c r="H1774" s="1" t="s">
        <v>11</v>
      </c>
      <c r="I1774" s="7">
        <v>303.43</v>
      </c>
      <c r="J1774" s="1" t="s">
        <v>38</v>
      </c>
      <c r="K1774" s="1"/>
      <c r="L1774" s="1" t="s">
        <v>39</v>
      </c>
      <c r="M1774" s="1" t="str">
        <f>INDEX(MCC_Lookup!$B$2:$B$12,MATCH(G1774,MCC_Lookup!$A$2:$A$12,0))</f>
        <v>Office Supplies</v>
      </c>
      <c r="N1774" s="1" t="str">
        <f>IF(TRIM(H1774)="","BLANK",IF(PROPER(TRIM(H1774))=TRIM(M1774),"MATCH","MISMATCH"))</f>
        <v>MATCH</v>
      </c>
      <c r="O1774" s="5" t="str">
        <f>INDEX([1]Employee!$C$2:$C$276,MATCH(B1774,[1]Employee!$A$2:$A$276,0))</f>
        <v>Sales &amp; Marketing</v>
      </c>
    </row>
    <row r="1775" spans="1:15">
      <c r="A1775" s="1" t="s">
        <v>3615</v>
      </c>
      <c r="B1775" s="1" t="s">
        <v>2046</v>
      </c>
      <c r="C1775" s="1" t="s">
        <v>3616</v>
      </c>
      <c r="D1775" s="2">
        <v>46117</v>
      </c>
      <c r="E1775" s="2">
        <v>46120</v>
      </c>
      <c r="F1775" s="1" t="s">
        <v>259</v>
      </c>
      <c r="G1775" s="1" t="s">
        <v>20</v>
      </c>
      <c r="H1775" s="1" t="s">
        <v>312</v>
      </c>
      <c r="I1775" s="7">
        <v>131.03</v>
      </c>
      <c r="J1775" s="1" t="s">
        <v>38</v>
      </c>
      <c r="K1775" s="1"/>
      <c r="L1775" s="1" t="s">
        <v>39</v>
      </c>
      <c r="M1775" s="1" t="str">
        <f>INDEX(MCC_Lookup!$B$2:$B$12,MATCH(G1775,MCC_Lookup!$A$2:$A$12,0))</f>
        <v>Events</v>
      </c>
      <c r="N1775" s="1" t="str">
        <f>IF(TRIM(H1775)="","BLANK",IF(PROPER(TRIM(H1775))=TRIM(M1775),"MATCH","MISMATCH"))</f>
        <v>MATCH</v>
      </c>
      <c r="O1775" s="5" t="str">
        <f>INDEX([1]Employee!$C$2:$C$276,MATCH(B1775,[1]Employee!$A$2:$A$276,0))</f>
        <v>Claims</v>
      </c>
    </row>
    <row r="1776" spans="1:15">
      <c r="A1776" s="1" t="s">
        <v>3617</v>
      </c>
      <c r="B1776" s="1" t="s">
        <v>1119</v>
      </c>
      <c r="C1776" s="1" t="s">
        <v>3618</v>
      </c>
      <c r="D1776" s="2">
        <v>46115</v>
      </c>
      <c r="E1776" s="2">
        <v>46120</v>
      </c>
      <c r="F1776" s="1" t="s">
        <v>95</v>
      </c>
      <c r="G1776" s="1" t="s">
        <v>6</v>
      </c>
      <c r="H1776" s="1" t="s">
        <v>7</v>
      </c>
      <c r="I1776" s="7">
        <v>357.4</v>
      </c>
      <c r="J1776" s="1" t="s">
        <v>38</v>
      </c>
      <c r="K1776" s="1"/>
      <c r="L1776" s="1" t="s">
        <v>39</v>
      </c>
      <c r="M1776" s="1" t="str">
        <f>INDEX(MCC_Lookup!$B$2:$B$12,MATCH(G1776,MCC_Lookup!$A$2:$A$12,0))</f>
        <v>Lodging</v>
      </c>
      <c r="N1776" s="1" t="str">
        <f>IF(TRIM(H1776)="","BLANK",IF(PROPER(TRIM(H1776))=TRIM(M1776),"MATCH","MISMATCH"))</f>
        <v>MATCH</v>
      </c>
      <c r="O1776" s="5" t="str">
        <f>INDEX([1]Employee!$C$2:$C$276,MATCH(B1776,[1]Employee!$A$2:$A$276,0))</f>
        <v>Customer Support</v>
      </c>
    </row>
    <row r="1777" spans="1:15">
      <c r="A1777" s="1" t="s">
        <v>3619</v>
      </c>
      <c r="B1777" s="1" t="s">
        <v>349</v>
      </c>
      <c r="C1777" s="1"/>
      <c r="D1777" s="2">
        <v>46111</v>
      </c>
      <c r="E1777" s="2">
        <v>46120</v>
      </c>
      <c r="F1777" s="1" t="s">
        <v>61</v>
      </c>
      <c r="G1777" s="1" t="s">
        <v>13</v>
      </c>
      <c r="H1777" s="1" t="s">
        <v>14</v>
      </c>
      <c r="I1777" s="7">
        <v>48.59</v>
      </c>
      <c r="J1777" s="1" t="s">
        <v>38</v>
      </c>
      <c r="K1777" s="1"/>
      <c r="L1777" s="1" t="s">
        <v>48</v>
      </c>
      <c r="M1777" s="1" t="str">
        <f>INDEX(MCC_Lookup!$B$2:$B$12,MATCH(G1777,MCC_Lookup!$A$2:$A$12,0))</f>
        <v>Software</v>
      </c>
      <c r="N1777" s="1" t="str">
        <f>IF(TRIM(H1777)="","BLANK",IF(PROPER(TRIM(H1777))=TRIM(M1777),"MATCH","MISMATCH"))</f>
        <v>MATCH</v>
      </c>
      <c r="O1777" s="5" t="str">
        <f>INDEX([1]Employee!$C$2:$C$276,MATCH(B1777,[1]Employee!$A$2:$A$276,0))</f>
        <v>Sales &amp; Marketing</v>
      </c>
    </row>
    <row r="1778" spans="1:15">
      <c r="A1778" s="1" t="s">
        <v>3620</v>
      </c>
      <c r="B1778" s="1" t="s">
        <v>307</v>
      </c>
      <c r="C1778" s="1"/>
      <c r="D1778" s="2">
        <v>46114</v>
      </c>
      <c r="E1778" s="2">
        <v>46121</v>
      </c>
      <c r="F1778" s="1" t="s">
        <v>173</v>
      </c>
      <c r="G1778" s="1" t="s">
        <v>2</v>
      </c>
      <c r="H1778" s="1" t="s">
        <v>3</v>
      </c>
      <c r="I1778" s="7">
        <v>26.48</v>
      </c>
      <c r="J1778" s="1" t="s">
        <v>111</v>
      </c>
      <c r="K1778" s="1" t="s">
        <v>112</v>
      </c>
      <c r="L1778" s="1" t="s">
        <v>39</v>
      </c>
      <c r="M1778" s="1" t="str">
        <f>INDEX(MCC_Lookup!$B$2:$B$12,MATCH(G1778,MCC_Lookup!$A$2:$A$12,0))</f>
        <v>Meals</v>
      </c>
      <c r="N1778" s="1" t="str">
        <f>IF(TRIM(H1778)="","BLANK",IF(PROPER(TRIM(H1778))=TRIM(M1778),"MATCH","MISMATCH"))</f>
        <v>MATCH</v>
      </c>
      <c r="O1778" s="5" t="str">
        <f>INDEX([1]Employee!$C$2:$C$276,MATCH(B1778,[1]Employee!$A$2:$A$276,0))</f>
        <v>Finance</v>
      </c>
    </row>
    <row r="1779" spans="1:15">
      <c r="A1779" s="1" t="s">
        <v>3621</v>
      </c>
      <c r="B1779" s="1" t="s">
        <v>2925</v>
      </c>
      <c r="C1779" s="1" t="s">
        <v>3622</v>
      </c>
      <c r="D1779" s="2">
        <v>46116</v>
      </c>
      <c r="E1779" s="2">
        <v>46121</v>
      </c>
      <c r="F1779" s="1" t="s">
        <v>79</v>
      </c>
      <c r="G1779" s="1" t="s">
        <v>13</v>
      </c>
      <c r="H1779" s="1" t="s">
        <v>470</v>
      </c>
      <c r="I1779" s="7">
        <v>240.07</v>
      </c>
      <c r="J1779" s="1" t="s">
        <v>38</v>
      </c>
      <c r="K1779" s="1"/>
      <c r="L1779" s="1" t="s">
        <v>39</v>
      </c>
      <c r="M1779" s="1" t="str">
        <f>INDEX(MCC_Lookup!$B$2:$B$12,MATCH(G1779,MCC_Lookup!$A$2:$A$12,0))</f>
        <v>Software</v>
      </c>
      <c r="N1779" s="1" t="str">
        <f>IF(TRIM(H1779)="","BLANK",IF(PROPER(TRIM(H1779))=TRIM(M1779),"MATCH","MISMATCH"))</f>
        <v>MATCH</v>
      </c>
      <c r="O1779" s="5" t="str">
        <f>INDEX([1]Employee!$C$2:$C$276,MATCH(B1779,[1]Employee!$A$2:$A$276,0))</f>
        <v>Actuarial &amp; Risk</v>
      </c>
    </row>
    <row r="1780" spans="1:15">
      <c r="A1780" s="1" t="s">
        <v>3623</v>
      </c>
      <c r="B1780" s="1" t="s">
        <v>244</v>
      </c>
      <c r="C1780" s="1"/>
      <c r="D1780" s="2">
        <v>46117</v>
      </c>
      <c r="E1780" s="2">
        <v>46121</v>
      </c>
      <c r="F1780" s="1" t="s">
        <v>347</v>
      </c>
      <c r="G1780" s="1" t="s">
        <v>8</v>
      </c>
      <c r="H1780" s="1" t="s">
        <v>9</v>
      </c>
      <c r="I1780" s="7">
        <v>33.42</v>
      </c>
      <c r="J1780" s="1" t="s">
        <v>111</v>
      </c>
      <c r="K1780" s="1" t="s">
        <v>112</v>
      </c>
      <c r="L1780" s="1" t="s">
        <v>39</v>
      </c>
      <c r="M1780" s="1" t="str">
        <f>INDEX(MCC_Lookup!$B$2:$B$12,MATCH(G1780,MCC_Lookup!$A$2:$A$12,0))</f>
        <v>Transportation</v>
      </c>
      <c r="N1780" s="1" t="str">
        <f>IF(TRIM(H1780)="","BLANK",IF(PROPER(TRIM(H1780))=TRIM(M1780),"MATCH","MISMATCH"))</f>
        <v>MATCH</v>
      </c>
      <c r="O1780" s="5" t="str">
        <f>INDEX([1]Employee!$C$2:$C$276,MATCH(B1780,[1]Employee!$A$2:$A$276,0))</f>
        <v>Sales &amp; Marketing</v>
      </c>
    </row>
    <row r="1781" spans="1:15">
      <c r="A1781" s="1" t="s">
        <v>3624</v>
      </c>
      <c r="B1781" s="1" t="s">
        <v>667</v>
      </c>
      <c r="C1781" s="1" t="s">
        <v>3625</v>
      </c>
      <c r="D1781" s="2">
        <v>46112</v>
      </c>
      <c r="E1781" s="2">
        <v>46121</v>
      </c>
      <c r="F1781" s="1" t="s">
        <v>347</v>
      </c>
      <c r="G1781" s="1" t="s">
        <v>8</v>
      </c>
      <c r="H1781" s="1" t="s">
        <v>9</v>
      </c>
      <c r="I1781" s="7">
        <v>43.28</v>
      </c>
      <c r="J1781" s="1" t="s">
        <v>38</v>
      </c>
      <c r="K1781" s="1"/>
      <c r="L1781" s="1" t="s">
        <v>39</v>
      </c>
      <c r="M1781" s="1" t="str">
        <f>INDEX(MCC_Lookup!$B$2:$B$12,MATCH(G1781,MCC_Lookup!$A$2:$A$12,0))</f>
        <v>Transportation</v>
      </c>
      <c r="N1781" s="1" t="str">
        <f>IF(TRIM(H1781)="","BLANK",IF(PROPER(TRIM(H1781))=TRIM(M1781),"MATCH","MISMATCH"))</f>
        <v>MATCH</v>
      </c>
      <c r="O1781" s="5" t="str">
        <f>INDEX([1]Employee!$C$2:$C$276,MATCH(B1781,[1]Employee!$A$2:$A$276,0))</f>
        <v>Sales &amp; Marketing</v>
      </c>
    </row>
    <row r="1782" spans="1:15">
      <c r="A1782" s="1" t="s">
        <v>3626</v>
      </c>
      <c r="B1782" s="1" t="s">
        <v>108</v>
      </c>
      <c r="C1782" s="1" t="s">
        <v>3627</v>
      </c>
      <c r="D1782" s="2">
        <v>46117</v>
      </c>
      <c r="E1782" s="2">
        <v>46121</v>
      </c>
      <c r="F1782" s="1" t="s">
        <v>65</v>
      </c>
      <c r="G1782" s="1" t="s">
        <v>18</v>
      </c>
      <c r="H1782" s="1" t="s">
        <v>517</v>
      </c>
      <c r="I1782" s="7">
        <v>452.1</v>
      </c>
      <c r="J1782" s="1" t="s">
        <v>38</v>
      </c>
      <c r="K1782" s="1"/>
      <c r="L1782" s="1" t="s">
        <v>39</v>
      </c>
      <c r="M1782" s="1" t="str">
        <f>INDEX(MCC_Lookup!$B$2:$B$12,MATCH(G1782,MCC_Lookup!$A$2:$A$12,0))</f>
        <v>Events</v>
      </c>
      <c r="N1782" s="1" t="str">
        <f>IF(TRIM(H1782)="","BLANK",IF(PROPER(TRIM(H1782))=TRIM(M1782),"MATCH","MISMATCH"))</f>
        <v>MATCH</v>
      </c>
      <c r="O1782" s="5" t="str">
        <f>INDEX([1]Employee!$C$2:$C$276,MATCH(B1782,[1]Employee!$A$2:$A$276,0))</f>
        <v>Sales &amp; Marketing</v>
      </c>
    </row>
    <row r="1783" spans="1:15">
      <c r="A1783" s="1" t="s">
        <v>3628</v>
      </c>
      <c r="B1783" s="1" t="s">
        <v>90</v>
      </c>
      <c r="C1783" s="1" t="s">
        <v>3629</v>
      </c>
      <c r="D1783" s="2">
        <v>46114</v>
      </c>
      <c r="E1783" s="2">
        <v>46121</v>
      </c>
      <c r="F1783" s="1" t="s">
        <v>65</v>
      </c>
      <c r="G1783" s="1" t="s">
        <v>18</v>
      </c>
      <c r="H1783" s="1" t="s">
        <v>19</v>
      </c>
      <c r="I1783" s="7">
        <v>176.94</v>
      </c>
      <c r="J1783" s="1" t="s">
        <v>38</v>
      </c>
      <c r="K1783" s="1"/>
      <c r="L1783" s="1" t="s">
        <v>48</v>
      </c>
      <c r="M1783" s="1" t="str">
        <f>INDEX(MCC_Lookup!$B$2:$B$12,MATCH(G1783,MCC_Lookup!$A$2:$A$12,0))</f>
        <v>Events</v>
      </c>
      <c r="N1783" s="1" t="str">
        <f>IF(TRIM(H1783)="","BLANK",IF(PROPER(TRIM(H1783))=TRIM(M1783),"MATCH","MISMATCH"))</f>
        <v>MATCH</v>
      </c>
      <c r="O1783" s="5" t="str">
        <f>INDEX([1]Employee!$C$2:$C$276,MATCH(B1783,[1]Employee!$A$2:$A$276,0))</f>
        <v>Sales &amp; Marketing</v>
      </c>
    </row>
    <row r="1784" spans="1:15">
      <c r="A1784" s="1" t="s">
        <v>3630</v>
      </c>
      <c r="B1784" s="1" t="s">
        <v>991</v>
      </c>
      <c r="C1784" s="1" t="s">
        <v>3631</v>
      </c>
      <c r="D1784" s="2">
        <v>46116</v>
      </c>
      <c r="E1784" s="2">
        <v>46121</v>
      </c>
      <c r="F1784" s="1" t="s">
        <v>52</v>
      </c>
      <c r="G1784" s="1" t="s">
        <v>15</v>
      </c>
      <c r="H1784" s="1" t="s">
        <v>403</v>
      </c>
      <c r="I1784" s="7">
        <v>53.03</v>
      </c>
      <c r="J1784" s="1" t="s">
        <v>38</v>
      </c>
      <c r="K1784" s="1"/>
      <c r="L1784" s="1" t="s">
        <v>39</v>
      </c>
      <c r="M1784" s="1" t="str">
        <f>INDEX(MCC_Lookup!$B$2:$B$12,MATCH(G1784,MCC_Lookup!$A$2:$A$12,0))</f>
        <v>Entertainment</v>
      </c>
      <c r="N1784" s="1" t="str">
        <f>IF(TRIM(H1784)="","BLANK",IF(PROPER(TRIM(H1784))=TRIM(M1784),"MATCH","MISMATCH"))</f>
        <v>MATCH</v>
      </c>
      <c r="O1784" s="5" t="str">
        <f>INDEX([1]Employee!$C$2:$C$276,MATCH(B1784,[1]Employee!$A$2:$A$276,0))</f>
        <v>Claims</v>
      </c>
    </row>
    <row r="1785" spans="1:15">
      <c r="A1785" s="1" t="s">
        <v>3632</v>
      </c>
      <c r="B1785" s="1" t="s">
        <v>190</v>
      </c>
      <c r="C1785" s="1" t="s">
        <v>3633</v>
      </c>
      <c r="D1785" s="2">
        <v>46116</v>
      </c>
      <c r="E1785" s="2">
        <v>46121</v>
      </c>
      <c r="F1785" s="1" t="s">
        <v>160</v>
      </c>
      <c r="G1785" s="1" t="s">
        <v>6</v>
      </c>
      <c r="H1785" s="1" t="s">
        <v>7</v>
      </c>
      <c r="I1785" s="7">
        <v>457.4</v>
      </c>
      <c r="J1785" s="1" t="s">
        <v>38</v>
      </c>
      <c r="K1785" s="1"/>
      <c r="L1785" s="1" t="s">
        <v>39</v>
      </c>
      <c r="M1785" s="1" t="str">
        <f>INDEX(MCC_Lookup!$B$2:$B$12,MATCH(G1785,MCC_Lookup!$A$2:$A$12,0))</f>
        <v>Lodging</v>
      </c>
      <c r="N1785" s="1" t="str">
        <f>IF(TRIM(H1785)="","BLANK",IF(PROPER(TRIM(H1785))=TRIM(M1785),"MATCH","MISMATCH"))</f>
        <v>MATCH</v>
      </c>
      <c r="O1785" s="5" t="str">
        <f>INDEX([1]Employee!$C$2:$C$276,MATCH(B1785,[1]Employee!$A$2:$A$276,0))</f>
        <v>Sales &amp; Marketing</v>
      </c>
    </row>
    <row r="1786" spans="1:15">
      <c r="A1786" s="1" t="s">
        <v>3634</v>
      </c>
      <c r="B1786" s="1" t="s">
        <v>3635</v>
      </c>
      <c r="C1786" s="1" t="s">
        <v>3636</v>
      </c>
      <c r="D1786" s="2">
        <v>46115</v>
      </c>
      <c r="E1786" s="2">
        <v>46121</v>
      </c>
      <c r="F1786" s="1" t="s">
        <v>56</v>
      </c>
      <c r="G1786" s="1" t="s">
        <v>4</v>
      </c>
      <c r="H1786" s="1" t="s">
        <v>5</v>
      </c>
      <c r="I1786" s="7">
        <v>269.81</v>
      </c>
      <c r="J1786" s="1" t="s">
        <v>38</v>
      </c>
      <c r="K1786" s="1"/>
      <c r="L1786" s="1" t="s">
        <v>39</v>
      </c>
      <c r="M1786" s="1" t="str">
        <f>INDEX(MCC_Lookup!$B$2:$B$12,MATCH(G1786,MCC_Lookup!$A$2:$A$12,0))</f>
        <v>Travel</v>
      </c>
      <c r="N1786" s="1" t="str">
        <f>IF(TRIM(H1786)="","BLANK",IF(PROPER(TRIM(H1786))=TRIM(M1786),"MATCH","MISMATCH"))</f>
        <v>MATCH</v>
      </c>
      <c r="O1786" s="5" t="str">
        <f>INDEX([1]Employee!$C$2:$C$276,MATCH(B1786,[1]Employee!$A$2:$A$276,0))</f>
        <v>Customer Support</v>
      </c>
    </row>
    <row r="1787" spans="1:15">
      <c r="A1787" s="1" t="s">
        <v>3637</v>
      </c>
      <c r="B1787" s="1" t="s">
        <v>475</v>
      </c>
      <c r="C1787" s="1" t="s">
        <v>3638</v>
      </c>
      <c r="D1787" s="2">
        <v>46121</v>
      </c>
      <c r="E1787" s="2">
        <v>46121</v>
      </c>
      <c r="F1787" s="1" t="s">
        <v>242</v>
      </c>
      <c r="G1787" s="1" t="s">
        <v>13</v>
      </c>
      <c r="H1787" s="1" t="s">
        <v>14</v>
      </c>
      <c r="I1787" s="7">
        <v>15.07</v>
      </c>
      <c r="J1787" s="1" t="s">
        <v>38</v>
      </c>
      <c r="K1787" s="1"/>
      <c r="L1787" s="1" t="s">
        <v>39</v>
      </c>
      <c r="M1787" s="1" t="str">
        <f>INDEX(MCC_Lookup!$B$2:$B$12,MATCH(G1787,MCC_Lookup!$A$2:$A$12,0))</f>
        <v>Software</v>
      </c>
      <c r="N1787" s="1" t="str">
        <f>IF(TRIM(H1787)="","BLANK",IF(PROPER(TRIM(H1787))=TRIM(M1787),"MATCH","MISMATCH"))</f>
        <v>MATCH</v>
      </c>
      <c r="O1787" s="5" t="str">
        <f>INDEX([1]Employee!$C$2:$C$276,MATCH(B1787,[1]Employee!$A$2:$A$276,0))</f>
        <v>Sales &amp; Marketing</v>
      </c>
    </row>
    <row r="1788" spans="1:15">
      <c r="A1788" s="1" t="s">
        <v>3639</v>
      </c>
      <c r="B1788" s="1" t="s">
        <v>550</v>
      </c>
      <c r="C1788" s="1" t="s">
        <v>3640</v>
      </c>
      <c r="D1788" s="2">
        <v>46120</v>
      </c>
      <c r="E1788" s="2">
        <v>46121</v>
      </c>
      <c r="F1788" s="1" t="s">
        <v>72</v>
      </c>
      <c r="G1788" s="1" t="s">
        <v>8</v>
      </c>
      <c r="H1788" s="1" t="s">
        <v>9</v>
      </c>
      <c r="I1788" s="7">
        <v>54.21</v>
      </c>
      <c r="J1788" s="1" t="s">
        <v>38</v>
      </c>
      <c r="K1788" s="1"/>
      <c r="L1788" s="1" t="s">
        <v>39</v>
      </c>
      <c r="M1788" s="1" t="str">
        <f>INDEX(MCC_Lookup!$B$2:$B$12,MATCH(G1788,MCC_Lookup!$A$2:$A$12,0))</f>
        <v>Transportation</v>
      </c>
      <c r="N1788" s="1" t="str">
        <f>IF(TRIM(H1788)="","BLANK",IF(PROPER(TRIM(H1788))=TRIM(M1788),"MATCH","MISMATCH"))</f>
        <v>MATCH</v>
      </c>
      <c r="O1788" s="5" t="str">
        <f>INDEX([1]Employee!$C$2:$C$276,MATCH(B1788,[1]Employee!$A$2:$A$276,0))</f>
        <v>Sales &amp; Marketing</v>
      </c>
    </row>
    <row r="1789" spans="1:15">
      <c r="A1789" s="1" t="s">
        <v>3641</v>
      </c>
      <c r="B1789" s="1" t="s">
        <v>152</v>
      </c>
      <c r="C1789" s="1" t="s">
        <v>3642</v>
      </c>
      <c r="D1789" s="2">
        <v>46116</v>
      </c>
      <c r="E1789" s="2">
        <v>46121</v>
      </c>
      <c r="F1789" s="1" t="s">
        <v>305</v>
      </c>
      <c r="G1789" s="1" t="s">
        <v>2</v>
      </c>
      <c r="H1789" s="1" t="s">
        <v>3</v>
      </c>
      <c r="I1789" s="7">
        <v>8.86</v>
      </c>
      <c r="J1789" s="1" t="s">
        <v>38</v>
      </c>
      <c r="K1789" s="1"/>
      <c r="L1789" s="1" t="s">
        <v>39</v>
      </c>
      <c r="M1789" s="1" t="str">
        <f>INDEX(MCC_Lookup!$B$2:$B$12,MATCH(G1789,MCC_Lookup!$A$2:$A$12,0))</f>
        <v>Meals</v>
      </c>
      <c r="N1789" s="1" t="str">
        <f>IF(TRIM(H1789)="","BLANK",IF(PROPER(TRIM(H1789))=TRIM(M1789),"MATCH","MISMATCH"))</f>
        <v>MATCH</v>
      </c>
      <c r="O1789" s="5" t="str">
        <f>INDEX([1]Employee!$C$2:$C$276,MATCH(B1789,[1]Employee!$A$2:$A$276,0))</f>
        <v>Sales &amp; Marketing</v>
      </c>
    </row>
    <row r="1790" spans="1:15">
      <c r="A1790" s="1" t="s">
        <v>3643</v>
      </c>
      <c r="B1790" s="1" t="s">
        <v>1650</v>
      </c>
      <c r="C1790" s="1" t="s">
        <v>3644</v>
      </c>
      <c r="D1790" s="2">
        <v>46111</v>
      </c>
      <c r="E1790" s="2">
        <v>46121</v>
      </c>
      <c r="F1790" s="1" t="s">
        <v>124</v>
      </c>
      <c r="G1790" s="1" t="s">
        <v>17</v>
      </c>
      <c r="H1790" s="1" t="s">
        <v>16</v>
      </c>
      <c r="I1790" s="7">
        <v>187.16</v>
      </c>
      <c r="J1790" s="1" t="s">
        <v>38</v>
      </c>
      <c r="K1790" s="1"/>
      <c r="L1790" s="1" t="s">
        <v>39</v>
      </c>
      <c r="M1790" s="1" t="str">
        <f>INDEX(MCC_Lookup!$B$2:$B$12,MATCH(G1790,MCC_Lookup!$A$2:$A$12,0))</f>
        <v>Entertainment</v>
      </c>
      <c r="N1790" s="1" t="str">
        <f>IF(TRIM(H1790)="","BLANK",IF(PROPER(TRIM(H1790))=TRIM(M1790),"MATCH","MISMATCH"))</f>
        <v>MATCH</v>
      </c>
      <c r="O1790" s="5" t="str">
        <f>INDEX([1]Employee!$C$2:$C$276,MATCH(B1790,[1]Employee!$A$2:$A$276,0))</f>
        <v>HR &amp; Events</v>
      </c>
    </row>
    <row r="1791" spans="1:15">
      <c r="A1791" s="1" t="s">
        <v>3645</v>
      </c>
      <c r="B1791" s="1" t="s">
        <v>129</v>
      </c>
      <c r="C1791" s="1" t="s">
        <v>3646</v>
      </c>
      <c r="D1791" s="2">
        <v>46117</v>
      </c>
      <c r="E1791" s="2">
        <v>46121</v>
      </c>
      <c r="F1791" s="1" t="s">
        <v>79</v>
      </c>
      <c r="G1791" s="1" t="s">
        <v>13</v>
      </c>
      <c r="H1791" s="1" t="s">
        <v>14</v>
      </c>
      <c r="I1791" s="7">
        <v>157.06</v>
      </c>
      <c r="J1791" s="1" t="s">
        <v>38</v>
      </c>
      <c r="K1791" s="1"/>
      <c r="L1791" s="1" t="s">
        <v>39</v>
      </c>
      <c r="M1791" s="1" t="str">
        <f>INDEX(MCC_Lookup!$B$2:$B$12,MATCH(G1791,MCC_Lookup!$A$2:$A$12,0))</f>
        <v>Software</v>
      </c>
      <c r="N1791" s="1" t="str">
        <f>IF(TRIM(H1791)="","BLANK",IF(PROPER(TRIM(H1791))=TRIM(M1791),"MATCH","MISMATCH"))</f>
        <v>MATCH</v>
      </c>
      <c r="O1791" s="5" t="str">
        <f>INDEX([1]Employee!$C$2:$C$276,MATCH(B1791,[1]Employee!$A$2:$A$276,0))</f>
        <v>Sales &amp; Marketing</v>
      </c>
    </row>
    <row r="1792" spans="1:15">
      <c r="A1792" s="1" t="s">
        <v>3647</v>
      </c>
      <c r="B1792" s="1" t="s">
        <v>1491</v>
      </c>
      <c r="C1792" s="1" t="s">
        <v>3648</v>
      </c>
      <c r="D1792" s="2">
        <v>46112</v>
      </c>
      <c r="E1792" s="2">
        <v>46121</v>
      </c>
      <c r="F1792" s="1" t="s">
        <v>201</v>
      </c>
      <c r="G1792" s="1" t="s">
        <v>4</v>
      </c>
      <c r="H1792" s="1" t="s">
        <v>57</v>
      </c>
      <c r="I1792" s="7">
        <v>249.31</v>
      </c>
      <c r="J1792" s="1" t="s">
        <v>38</v>
      </c>
      <c r="K1792" s="1"/>
      <c r="L1792" s="1" t="s">
        <v>39</v>
      </c>
      <c r="M1792" s="1" t="str">
        <f>INDEX(MCC_Lookup!$B$2:$B$12,MATCH(G1792,MCC_Lookup!$A$2:$A$12,0))</f>
        <v>Travel</v>
      </c>
      <c r="N1792" s="1" t="str">
        <f>IF(TRIM(H1792)="","BLANK",IF(PROPER(TRIM(H1792))=TRIM(M1792),"MATCH","MISMATCH"))</f>
        <v>MATCH</v>
      </c>
      <c r="O1792" s="5" t="str">
        <f>INDEX([1]Employee!$C$2:$C$276,MATCH(B1792,[1]Employee!$A$2:$A$276,0))</f>
        <v>Actuarial &amp; Risk</v>
      </c>
    </row>
    <row r="1793" spans="1:15">
      <c r="A1793" s="1" t="s">
        <v>3649</v>
      </c>
      <c r="B1793" s="1" t="s">
        <v>571</v>
      </c>
      <c r="C1793" s="1" t="s">
        <v>3650</v>
      </c>
      <c r="D1793" s="2">
        <v>46116</v>
      </c>
      <c r="E1793" s="2">
        <v>46121</v>
      </c>
      <c r="F1793" s="1" t="s">
        <v>95</v>
      </c>
      <c r="G1793" s="1" t="s">
        <v>6</v>
      </c>
      <c r="H1793" s="1" t="s">
        <v>7</v>
      </c>
      <c r="I1793" s="7">
        <v>316.72000000000003</v>
      </c>
      <c r="J1793" s="1" t="s">
        <v>38</v>
      </c>
      <c r="K1793" s="1"/>
      <c r="L1793" s="1" t="s">
        <v>39</v>
      </c>
      <c r="M1793" s="1" t="str">
        <f>INDEX(MCC_Lookup!$B$2:$B$12,MATCH(G1793,MCC_Lookup!$A$2:$A$12,0))</f>
        <v>Lodging</v>
      </c>
      <c r="N1793" s="1" t="str">
        <f>IF(TRIM(H1793)="","BLANK",IF(PROPER(TRIM(H1793))=TRIM(M1793),"MATCH","MISMATCH"))</f>
        <v>MATCH</v>
      </c>
      <c r="O1793" s="5" t="str">
        <f>INDEX([1]Employee!$C$2:$C$276,MATCH(B1793,[1]Employee!$A$2:$A$276,0))</f>
        <v>Finance</v>
      </c>
    </row>
    <row r="1794" spans="1:15">
      <c r="A1794" s="1" t="s">
        <v>3651</v>
      </c>
      <c r="B1794" s="1" t="s">
        <v>216</v>
      </c>
      <c r="C1794" s="1" t="s">
        <v>3652</v>
      </c>
      <c r="D1794" s="2">
        <v>46113</v>
      </c>
      <c r="E1794" s="2">
        <v>46121</v>
      </c>
      <c r="F1794" s="1" t="s">
        <v>43</v>
      </c>
      <c r="G1794" s="1" t="s">
        <v>2</v>
      </c>
      <c r="H1794" s="1" t="s">
        <v>3</v>
      </c>
      <c r="I1794" s="7">
        <v>9.1199999999999992</v>
      </c>
      <c r="J1794" s="1" t="s">
        <v>38</v>
      </c>
      <c r="K1794" s="1"/>
      <c r="L1794" s="1" t="s">
        <v>39</v>
      </c>
      <c r="M1794" s="1" t="str">
        <f>INDEX(MCC_Lookup!$B$2:$B$12,MATCH(G1794,MCC_Lookup!$A$2:$A$12,0))</f>
        <v>Meals</v>
      </c>
      <c r="N1794" s="1" t="str">
        <f>IF(TRIM(H1794)="","BLANK",IF(PROPER(TRIM(H1794))=TRIM(M1794),"MATCH","MISMATCH"))</f>
        <v>MATCH</v>
      </c>
      <c r="O1794" s="5" t="str">
        <f>INDEX([1]Employee!$C$2:$C$276,MATCH(B1794,[1]Employee!$A$2:$A$276,0))</f>
        <v>Sales &amp; Marketing</v>
      </c>
    </row>
    <row r="1795" spans="1:15">
      <c r="A1795" s="1" t="s">
        <v>3653</v>
      </c>
      <c r="B1795" s="1" t="s">
        <v>97</v>
      </c>
      <c r="C1795" s="1" t="s">
        <v>3654</v>
      </c>
      <c r="D1795" s="2">
        <v>46111</v>
      </c>
      <c r="E1795" s="2">
        <v>46121</v>
      </c>
      <c r="F1795" s="1" t="s">
        <v>52</v>
      </c>
      <c r="G1795" s="1" t="s">
        <v>15</v>
      </c>
      <c r="H1795" s="1" t="s">
        <v>16</v>
      </c>
      <c r="I1795" s="7">
        <v>25.34</v>
      </c>
      <c r="J1795" s="1" t="s">
        <v>38</v>
      </c>
      <c r="K1795" s="1"/>
      <c r="L1795" s="1" t="s">
        <v>39</v>
      </c>
      <c r="M1795" s="1" t="str">
        <f>INDEX(MCC_Lookup!$B$2:$B$12,MATCH(G1795,MCC_Lookup!$A$2:$A$12,0))</f>
        <v>Entertainment</v>
      </c>
      <c r="N1795" s="1" t="str">
        <f>IF(TRIM(H1795)="","BLANK",IF(PROPER(TRIM(H1795))=TRIM(M1795),"MATCH","MISMATCH"))</f>
        <v>MATCH</v>
      </c>
      <c r="O1795" s="5" t="str">
        <f>INDEX([1]Employee!$C$2:$C$276,MATCH(B1795,[1]Employee!$A$2:$A$276,0))</f>
        <v>Sales &amp; Marketing</v>
      </c>
    </row>
    <row r="1796" spans="1:15">
      <c r="A1796" s="1" t="s">
        <v>3655</v>
      </c>
      <c r="B1796" s="1" t="s">
        <v>512</v>
      </c>
      <c r="C1796" s="1"/>
      <c r="D1796" s="2">
        <v>46117</v>
      </c>
      <c r="E1796" s="2">
        <v>46122</v>
      </c>
      <c r="F1796" s="1" t="s">
        <v>109</v>
      </c>
      <c r="G1796" s="1" t="s">
        <v>18</v>
      </c>
      <c r="H1796" s="1" t="s">
        <v>19</v>
      </c>
      <c r="I1796" s="7">
        <v>223.21</v>
      </c>
      <c r="J1796" s="1" t="s">
        <v>38</v>
      </c>
      <c r="K1796" s="1"/>
      <c r="L1796" s="1" t="s">
        <v>39</v>
      </c>
      <c r="M1796" s="1" t="str">
        <f>INDEX(MCC_Lookup!$B$2:$B$12,MATCH(G1796,MCC_Lookup!$A$2:$A$12,0))</f>
        <v>Events</v>
      </c>
      <c r="N1796" s="1" t="str">
        <f>IF(TRIM(H1796)="","BLANK",IF(PROPER(TRIM(H1796))=TRIM(M1796),"MATCH","MISMATCH"))</f>
        <v>MATCH</v>
      </c>
      <c r="O1796" s="5" t="str">
        <f>INDEX([1]Employee!$C$2:$C$276,MATCH(B1796,[1]Employee!$A$2:$A$276,0))</f>
        <v>Sales &amp; Marketing</v>
      </c>
    </row>
    <row r="1797" spans="1:15">
      <c r="A1797" s="1" t="s">
        <v>3656</v>
      </c>
      <c r="B1797" s="1" t="s">
        <v>512</v>
      </c>
      <c r="C1797" s="1" t="s">
        <v>3657</v>
      </c>
      <c r="D1797" s="2">
        <v>46120</v>
      </c>
      <c r="E1797" s="2">
        <v>46122</v>
      </c>
      <c r="F1797" s="1" t="s">
        <v>201</v>
      </c>
      <c r="G1797" s="1" t="s">
        <v>4</v>
      </c>
      <c r="H1797" s="1" t="s">
        <v>5</v>
      </c>
      <c r="I1797" s="7">
        <v>647.23</v>
      </c>
      <c r="J1797" s="1" t="s">
        <v>38</v>
      </c>
      <c r="K1797" s="1"/>
      <c r="L1797" s="1" t="s">
        <v>39</v>
      </c>
      <c r="M1797" s="1" t="str">
        <f>INDEX(MCC_Lookup!$B$2:$B$12,MATCH(G1797,MCC_Lookup!$A$2:$A$12,0))</f>
        <v>Travel</v>
      </c>
      <c r="N1797" s="1" t="str">
        <f>IF(TRIM(H1797)="","BLANK",IF(PROPER(TRIM(H1797))=TRIM(M1797),"MATCH","MISMATCH"))</f>
        <v>MATCH</v>
      </c>
      <c r="O1797" s="5" t="str">
        <f>INDEX([1]Employee!$C$2:$C$276,MATCH(B1797,[1]Employee!$A$2:$A$276,0))</f>
        <v>Sales &amp; Marketing</v>
      </c>
    </row>
    <row r="1798" spans="1:15">
      <c r="A1798" s="1" t="s">
        <v>3658</v>
      </c>
      <c r="B1798" s="1" t="s">
        <v>136</v>
      </c>
      <c r="C1798" s="1" t="s">
        <v>3659</v>
      </c>
      <c r="D1798" s="2">
        <v>46122</v>
      </c>
      <c r="E1798" s="2">
        <v>46122</v>
      </c>
      <c r="F1798" s="1" t="s">
        <v>95</v>
      </c>
      <c r="G1798" s="1" t="s">
        <v>6</v>
      </c>
      <c r="H1798" s="1" t="s">
        <v>7</v>
      </c>
      <c r="I1798" s="7">
        <v>326.52</v>
      </c>
      <c r="J1798" s="1" t="s">
        <v>38</v>
      </c>
      <c r="K1798" s="1"/>
      <c r="L1798" s="1" t="s">
        <v>39</v>
      </c>
      <c r="M1798" s="1" t="str">
        <f>INDEX(MCC_Lookup!$B$2:$B$12,MATCH(G1798,MCC_Lookup!$A$2:$A$12,0))</f>
        <v>Lodging</v>
      </c>
      <c r="N1798" s="1" t="str">
        <f>IF(TRIM(H1798)="","BLANK",IF(PROPER(TRIM(H1798))=TRIM(M1798),"MATCH","MISMATCH"))</f>
        <v>MATCH</v>
      </c>
      <c r="O1798" s="5" t="str">
        <f>INDEX([1]Employee!$C$2:$C$276,MATCH(B1798,[1]Employee!$A$2:$A$276,0))</f>
        <v>Sales &amp; Marketing</v>
      </c>
    </row>
    <row r="1799" spans="1:15">
      <c r="A1799" s="1" t="s">
        <v>3660</v>
      </c>
      <c r="B1799" s="1" t="s">
        <v>2981</v>
      </c>
      <c r="C1799" s="1" t="s">
        <v>3661</v>
      </c>
      <c r="D1799" s="2">
        <v>46113</v>
      </c>
      <c r="E1799" s="2">
        <v>46122</v>
      </c>
      <c r="F1799" s="1" t="s">
        <v>72</v>
      </c>
      <c r="G1799" s="1" t="s">
        <v>8</v>
      </c>
      <c r="H1799" s="1" t="s">
        <v>9</v>
      </c>
      <c r="I1799" s="7">
        <v>31.41</v>
      </c>
      <c r="J1799" s="1" t="s">
        <v>38</v>
      </c>
      <c r="K1799" s="1"/>
      <c r="L1799" s="1" t="s">
        <v>39</v>
      </c>
      <c r="M1799" s="1" t="str">
        <f>INDEX(MCC_Lookup!$B$2:$B$12,MATCH(G1799,MCC_Lookup!$A$2:$A$12,0))</f>
        <v>Transportation</v>
      </c>
      <c r="N1799" s="1" t="str">
        <f>IF(TRIM(H1799)="","BLANK",IF(PROPER(TRIM(H1799))=TRIM(M1799),"MATCH","MISMATCH"))</f>
        <v>MATCH</v>
      </c>
      <c r="O1799" s="5" t="str">
        <f>INDEX([1]Employee!$C$2:$C$276,MATCH(B1799,[1]Employee!$A$2:$A$276,0))</f>
        <v>IT &amp; Platform Engineering</v>
      </c>
    </row>
    <row r="1800" spans="1:15">
      <c r="A1800" s="1" t="s">
        <v>3662</v>
      </c>
      <c r="B1800" s="1" t="s">
        <v>661</v>
      </c>
      <c r="C1800" s="1" t="s">
        <v>3663</v>
      </c>
      <c r="D1800" s="2">
        <v>46116</v>
      </c>
      <c r="E1800" s="2">
        <v>46122</v>
      </c>
      <c r="F1800" s="1" t="s">
        <v>79</v>
      </c>
      <c r="G1800" s="1" t="s">
        <v>13</v>
      </c>
      <c r="H1800" s="1" t="s">
        <v>14</v>
      </c>
      <c r="I1800" s="7">
        <v>115.48</v>
      </c>
      <c r="J1800" s="1" t="s">
        <v>38</v>
      </c>
      <c r="K1800" s="1"/>
      <c r="L1800" s="1" t="s">
        <v>39</v>
      </c>
      <c r="M1800" s="1" t="str">
        <f>INDEX(MCC_Lookup!$B$2:$B$12,MATCH(G1800,MCC_Lookup!$A$2:$A$12,0))</f>
        <v>Software</v>
      </c>
      <c r="N1800" s="1" t="str">
        <f>IF(TRIM(H1800)="","BLANK",IF(PROPER(TRIM(H1800))=TRIM(M1800),"MATCH","MISMATCH"))</f>
        <v>MATCH</v>
      </c>
      <c r="O1800" s="5" t="str">
        <f>INDEX([1]Employee!$C$2:$C$276,MATCH(B1800,[1]Employee!$A$2:$A$276,0))</f>
        <v>Sales &amp; Marketing</v>
      </c>
    </row>
    <row r="1801" spans="1:15">
      <c r="A1801" s="1" t="s">
        <v>3664</v>
      </c>
      <c r="B1801" s="1" t="s">
        <v>349</v>
      </c>
      <c r="C1801" s="1" t="s">
        <v>3665</v>
      </c>
      <c r="D1801" s="2">
        <v>46118</v>
      </c>
      <c r="E1801" s="2">
        <v>46122</v>
      </c>
      <c r="F1801" s="1" t="s">
        <v>65</v>
      </c>
      <c r="G1801" s="1" t="s">
        <v>18</v>
      </c>
      <c r="H1801" s="1"/>
      <c r="I1801" s="7">
        <v>432.1</v>
      </c>
      <c r="J1801" s="1" t="s">
        <v>38</v>
      </c>
      <c r="K1801" s="1"/>
      <c r="L1801" s="1" t="s">
        <v>39</v>
      </c>
      <c r="M1801" s="1" t="str">
        <f>INDEX(MCC_Lookup!$B$2:$B$12,MATCH(G1801,MCC_Lookup!$A$2:$A$12,0))</f>
        <v>Events</v>
      </c>
      <c r="N1801" s="1" t="str">
        <f>IF(TRIM(H1801)="","BLANK",IF(PROPER(TRIM(H1801))=TRIM(M1801),"MATCH","MISMATCH"))</f>
        <v>BLANK</v>
      </c>
      <c r="O1801" s="5" t="str">
        <f>INDEX([1]Employee!$C$2:$C$276,MATCH(B1801,[1]Employee!$A$2:$A$276,0))</f>
        <v>Sales &amp; Marketing</v>
      </c>
    </row>
    <row r="1802" spans="1:15">
      <c r="A1802" s="1" t="s">
        <v>3666</v>
      </c>
      <c r="B1802" s="1" t="s">
        <v>379</v>
      </c>
      <c r="C1802" s="1" t="s">
        <v>3667</v>
      </c>
      <c r="D1802" s="2">
        <v>46117</v>
      </c>
      <c r="E1802" s="2">
        <v>46122</v>
      </c>
      <c r="F1802" s="1" t="s">
        <v>116</v>
      </c>
      <c r="G1802" s="1" t="s">
        <v>2</v>
      </c>
      <c r="H1802" s="1" t="s">
        <v>3</v>
      </c>
      <c r="I1802" s="7">
        <v>17.399999999999999</v>
      </c>
      <c r="J1802" s="1" t="s">
        <v>38</v>
      </c>
      <c r="K1802" s="1"/>
      <c r="L1802" s="1" t="s">
        <v>39</v>
      </c>
      <c r="M1802" s="1" t="str">
        <f>INDEX(MCC_Lookup!$B$2:$B$12,MATCH(G1802,MCC_Lookup!$A$2:$A$12,0))</f>
        <v>Meals</v>
      </c>
      <c r="N1802" s="1" t="str">
        <f>IF(TRIM(H1802)="","BLANK",IF(PROPER(TRIM(H1802))=TRIM(M1802),"MATCH","MISMATCH"))</f>
        <v>MATCH</v>
      </c>
      <c r="O1802" s="5" t="str">
        <f>INDEX([1]Employee!$C$2:$C$276,MATCH(B1802,[1]Employee!$A$2:$A$276,0))</f>
        <v>Sales &amp; Marketing</v>
      </c>
    </row>
    <row r="1803" spans="1:15">
      <c r="A1803" s="1" t="s">
        <v>3668</v>
      </c>
      <c r="B1803" s="1" t="s">
        <v>379</v>
      </c>
      <c r="C1803" s="1" t="s">
        <v>3669</v>
      </c>
      <c r="D1803" s="2">
        <v>46122</v>
      </c>
      <c r="E1803" s="2">
        <v>46122</v>
      </c>
      <c r="F1803" s="1" t="s">
        <v>95</v>
      </c>
      <c r="G1803" s="1" t="s">
        <v>6</v>
      </c>
      <c r="H1803" s="1" t="s">
        <v>7</v>
      </c>
      <c r="I1803" s="7">
        <v>269.89999999999998</v>
      </c>
      <c r="J1803" s="1" t="s">
        <v>38</v>
      </c>
      <c r="K1803" s="1"/>
      <c r="L1803" s="1" t="s">
        <v>39</v>
      </c>
      <c r="M1803" s="1" t="str">
        <f>INDEX(MCC_Lookup!$B$2:$B$12,MATCH(G1803,MCC_Lookup!$A$2:$A$12,0))</f>
        <v>Lodging</v>
      </c>
      <c r="N1803" s="1" t="str">
        <f>IF(TRIM(H1803)="","BLANK",IF(PROPER(TRIM(H1803))=TRIM(M1803),"MATCH","MISMATCH"))</f>
        <v>MATCH</v>
      </c>
      <c r="O1803" s="5" t="str">
        <f>INDEX([1]Employee!$C$2:$C$276,MATCH(B1803,[1]Employee!$A$2:$A$276,0))</f>
        <v>Sales &amp; Marketing</v>
      </c>
    </row>
    <row r="1804" spans="1:15">
      <c r="A1804" s="1" t="s">
        <v>3670</v>
      </c>
      <c r="B1804" s="1" t="s">
        <v>915</v>
      </c>
      <c r="C1804" s="1" t="s">
        <v>3671</v>
      </c>
      <c r="D1804" s="2">
        <v>46120</v>
      </c>
      <c r="E1804" s="2">
        <v>46122</v>
      </c>
      <c r="F1804" s="1" t="s">
        <v>109</v>
      </c>
      <c r="G1804" s="1" t="s">
        <v>18</v>
      </c>
      <c r="H1804" s="1" t="s">
        <v>19</v>
      </c>
      <c r="I1804" s="7">
        <v>204.41</v>
      </c>
      <c r="J1804" s="1" t="s">
        <v>38</v>
      </c>
      <c r="K1804" s="1"/>
      <c r="L1804" s="1" t="s">
        <v>39</v>
      </c>
      <c r="M1804" s="1" t="str">
        <f>INDEX(MCC_Lookup!$B$2:$B$12,MATCH(G1804,MCC_Lookup!$A$2:$A$12,0))</f>
        <v>Events</v>
      </c>
      <c r="N1804" s="1" t="str">
        <f>IF(TRIM(H1804)="","BLANK",IF(PROPER(TRIM(H1804))=TRIM(M1804),"MATCH","MISMATCH"))</f>
        <v>MATCH</v>
      </c>
      <c r="O1804" s="5" t="str">
        <f>INDEX([1]Employee!$C$2:$C$276,MATCH(B1804,[1]Employee!$A$2:$A$276,0))</f>
        <v>Sales &amp; Marketing</v>
      </c>
    </row>
    <row r="1805" spans="1:15">
      <c r="A1805" s="1" t="s">
        <v>3672</v>
      </c>
      <c r="B1805" s="1" t="s">
        <v>810</v>
      </c>
      <c r="C1805" s="1" t="s">
        <v>3673</v>
      </c>
      <c r="D1805" s="2">
        <v>46122</v>
      </c>
      <c r="E1805" s="2">
        <v>46122</v>
      </c>
      <c r="F1805" s="1" t="s">
        <v>79</v>
      </c>
      <c r="G1805" s="1" t="s">
        <v>13</v>
      </c>
      <c r="H1805" s="1" t="s">
        <v>14</v>
      </c>
      <c r="I1805" s="7">
        <v>188.58</v>
      </c>
      <c r="J1805" s="1" t="s">
        <v>38</v>
      </c>
      <c r="K1805" s="1"/>
      <c r="L1805" s="1" t="s">
        <v>39</v>
      </c>
      <c r="M1805" s="1" t="str">
        <f>INDEX(MCC_Lookup!$B$2:$B$12,MATCH(G1805,MCC_Lookup!$A$2:$A$12,0))</f>
        <v>Software</v>
      </c>
      <c r="N1805" s="1" t="str">
        <f>IF(TRIM(H1805)="","BLANK",IF(PROPER(TRIM(H1805))=TRIM(M1805),"MATCH","MISMATCH"))</f>
        <v>MATCH</v>
      </c>
      <c r="O1805" s="5" t="str">
        <f>INDEX([1]Employee!$C$2:$C$276,MATCH(B1805,[1]Employee!$A$2:$A$276,0))</f>
        <v>Sales &amp; Marketing</v>
      </c>
    </row>
    <row r="1806" spans="1:15">
      <c r="A1806" s="1" t="s">
        <v>3674</v>
      </c>
      <c r="B1806" s="1" t="s">
        <v>810</v>
      </c>
      <c r="C1806" s="1"/>
      <c r="D1806" s="2">
        <v>46122</v>
      </c>
      <c r="E1806" s="2">
        <v>46122</v>
      </c>
      <c r="F1806" s="1" t="s">
        <v>43</v>
      </c>
      <c r="G1806" s="1" t="s">
        <v>2</v>
      </c>
      <c r="H1806" s="1" t="s">
        <v>3</v>
      </c>
      <c r="I1806" s="7">
        <v>6.09</v>
      </c>
      <c r="J1806" s="1" t="s">
        <v>111</v>
      </c>
      <c r="K1806" s="1" t="s">
        <v>112</v>
      </c>
      <c r="L1806" s="1" t="s">
        <v>39</v>
      </c>
      <c r="M1806" s="1" t="str">
        <f>INDEX(MCC_Lookup!$B$2:$B$12,MATCH(G1806,MCC_Lookup!$A$2:$A$12,0))</f>
        <v>Meals</v>
      </c>
      <c r="N1806" s="1" t="str">
        <f>IF(TRIM(H1806)="","BLANK",IF(PROPER(TRIM(H1806))=TRIM(M1806),"MATCH","MISMATCH"))</f>
        <v>MATCH</v>
      </c>
      <c r="O1806" s="5" t="str">
        <f>INDEX([1]Employee!$C$2:$C$276,MATCH(B1806,[1]Employee!$A$2:$A$276,0))</f>
        <v>Sales &amp; Marketing</v>
      </c>
    </row>
    <row r="1807" spans="1:15">
      <c r="A1807" s="1" t="s">
        <v>3675</v>
      </c>
      <c r="B1807" s="1" t="s">
        <v>346</v>
      </c>
      <c r="C1807" s="1" t="s">
        <v>3676</v>
      </c>
      <c r="D1807" s="2">
        <v>46120</v>
      </c>
      <c r="E1807" s="2">
        <v>46122</v>
      </c>
      <c r="F1807" s="1" t="s">
        <v>95</v>
      </c>
      <c r="G1807" s="1" t="s">
        <v>6</v>
      </c>
      <c r="H1807" s="1" t="s">
        <v>1476</v>
      </c>
      <c r="I1807" s="7">
        <v>131.09</v>
      </c>
      <c r="J1807" s="1" t="s">
        <v>38</v>
      </c>
      <c r="K1807" s="1"/>
      <c r="L1807" s="1" t="s">
        <v>39</v>
      </c>
      <c r="M1807" s="1" t="str">
        <f>INDEX(MCC_Lookup!$B$2:$B$12,MATCH(G1807,MCC_Lookup!$A$2:$A$12,0))</f>
        <v>Lodging</v>
      </c>
      <c r="N1807" s="1" t="str">
        <f>IF(TRIM(H1807)="","BLANK",IF(PROPER(TRIM(H1807))=TRIM(M1807),"MATCH","MISMATCH"))</f>
        <v>MATCH</v>
      </c>
      <c r="O1807" s="5" t="str">
        <f>INDEX([1]Employee!$C$2:$C$276,MATCH(B1807,[1]Employee!$A$2:$A$276,0))</f>
        <v>Actuarial &amp; Risk</v>
      </c>
    </row>
    <row r="1808" spans="1:15">
      <c r="A1808" s="1" t="s">
        <v>3677</v>
      </c>
      <c r="B1808" s="1" t="s">
        <v>899</v>
      </c>
      <c r="C1808" s="1"/>
      <c r="D1808" s="2">
        <v>46114</v>
      </c>
      <c r="E1808" s="2">
        <v>46122</v>
      </c>
      <c r="F1808" s="1" t="s">
        <v>259</v>
      </c>
      <c r="G1808" s="1" t="s">
        <v>20</v>
      </c>
      <c r="H1808" s="1" t="s">
        <v>19</v>
      </c>
      <c r="I1808" s="7">
        <v>325.52999999999997</v>
      </c>
      <c r="J1808" s="1" t="s">
        <v>38</v>
      </c>
      <c r="K1808" s="1"/>
      <c r="L1808" s="1" t="s">
        <v>39</v>
      </c>
      <c r="M1808" s="1" t="str">
        <f>INDEX(MCC_Lookup!$B$2:$B$12,MATCH(G1808,MCC_Lookup!$A$2:$A$12,0))</f>
        <v>Events</v>
      </c>
      <c r="N1808" s="1" t="str">
        <f>IF(TRIM(H1808)="","BLANK",IF(PROPER(TRIM(H1808))=TRIM(M1808),"MATCH","MISMATCH"))</f>
        <v>MATCH</v>
      </c>
      <c r="O1808" s="5" t="str">
        <f>INDEX([1]Employee!$C$2:$C$276,MATCH(B1808,[1]Employee!$A$2:$A$276,0))</f>
        <v>IT &amp; Platform Engineering</v>
      </c>
    </row>
    <row r="1809" spans="1:15">
      <c r="A1809" s="1" t="s">
        <v>3678</v>
      </c>
      <c r="B1809" s="1" t="s">
        <v>382</v>
      </c>
      <c r="C1809" s="1" t="s">
        <v>3679</v>
      </c>
      <c r="D1809" s="2">
        <v>46122</v>
      </c>
      <c r="E1809" s="2">
        <v>46122</v>
      </c>
      <c r="F1809" s="1" t="s">
        <v>120</v>
      </c>
      <c r="G1809" s="1" t="s">
        <v>12</v>
      </c>
      <c r="H1809" s="1"/>
      <c r="I1809" s="7">
        <v>279.39</v>
      </c>
      <c r="J1809" s="1" t="s">
        <v>38</v>
      </c>
      <c r="K1809" s="1"/>
      <c r="L1809" s="1" t="s">
        <v>39</v>
      </c>
      <c r="M1809" s="1" t="str">
        <f>INDEX(MCC_Lookup!$B$2:$B$12,MATCH(G1809,MCC_Lookup!$A$2:$A$12,0))</f>
        <v>Office Supplies</v>
      </c>
      <c r="N1809" s="1" t="str">
        <f>IF(TRIM(H1809)="","BLANK",IF(PROPER(TRIM(H1809))=TRIM(M1809),"MATCH","MISMATCH"))</f>
        <v>BLANK</v>
      </c>
      <c r="O1809" s="5" t="str">
        <f>INDEX([1]Employee!$C$2:$C$276,MATCH(B1809,[1]Employee!$A$2:$A$276,0))</f>
        <v>Sales &amp; Marketing</v>
      </c>
    </row>
    <row r="1810" spans="1:15">
      <c r="A1810" s="1" t="s">
        <v>3680</v>
      </c>
      <c r="B1810" s="1" t="s">
        <v>179</v>
      </c>
      <c r="C1810" s="1" t="s">
        <v>3681</v>
      </c>
      <c r="D1810" s="2">
        <v>46116</v>
      </c>
      <c r="E1810" s="2">
        <v>46122</v>
      </c>
      <c r="F1810" s="1" t="s">
        <v>160</v>
      </c>
      <c r="G1810" s="1" t="s">
        <v>6</v>
      </c>
      <c r="H1810" s="1" t="s">
        <v>7</v>
      </c>
      <c r="I1810" s="7">
        <v>189.08</v>
      </c>
      <c r="J1810" s="1" t="s">
        <v>38</v>
      </c>
      <c r="K1810" s="1"/>
      <c r="L1810" s="1" t="s">
        <v>39</v>
      </c>
      <c r="M1810" s="1" t="str">
        <f>INDEX(MCC_Lookup!$B$2:$B$12,MATCH(G1810,MCC_Lookup!$A$2:$A$12,0))</f>
        <v>Lodging</v>
      </c>
      <c r="N1810" s="1" t="str">
        <f>IF(TRIM(H1810)="","BLANK",IF(PROPER(TRIM(H1810))=TRIM(M1810),"MATCH","MISMATCH"))</f>
        <v>MATCH</v>
      </c>
      <c r="O1810" s="5" t="str">
        <f>INDEX([1]Employee!$C$2:$C$276,MATCH(B1810,[1]Employee!$A$2:$A$276,0))</f>
        <v>Claims</v>
      </c>
    </row>
    <row r="1811" spans="1:15">
      <c r="A1811" s="1" t="s">
        <v>3682</v>
      </c>
      <c r="B1811" s="1" t="s">
        <v>709</v>
      </c>
      <c r="C1811" s="1" t="s">
        <v>3683</v>
      </c>
      <c r="D1811" s="2">
        <v>46119</v>
      </c>
      <c r="E1811" s="2">
        <v>46122</v>
      </c>
      <c r="F1811" s="1" t="s">
        <v>69</v>
      </c>
      <c r="G1811" s="1" t="s">
        <v>8</v>
      </c>
      <c r="H1811" s="1" t="s">
        <v>494</v>
      </c>
      <c r="I1811" s="7">
        <v>32.549999999999997</v>
      </c>
      <c r="J1811" s="1" t="s">
        <v>38</v>
      </c>
      <c r="K1811" s="1"/>
      <c r="L1811" s="1" t="s">
        <v>39</v>
      </c>
      <c r="M1811" s="1" t="str">
        <f>INDEX(MCC_Lookup!$B$2:$B$12,MATCH(G1811,MCC_Lookup!$A$2:$A$12,0))</f>
        <v>Transportation</v>
      </c>
      <c r="N1811" s="1" t="str">
        <f>IF(TRIM(H1811)="","BLANK",IF(PROPER(TRIM(H1811))=TRIM(M1811),"MATCH","MISMATCH"))</f>
        <v>MATCH</v>
      </c>
      <c r="O1811" s="5" t="str">
        <f>INDEX([1]Employee!$C$2:$C$276,MATCH(B1811,[1]Employee!$A$2:$A$276,0))</f>
        <v>Underwriting</v>
      </c>
    </row>
    <row r="1812" spans="1:15">
      <c r="A1812" s="1" t="s">
        <v>3684</v>
      </c>
      <c r="B1812" s="1" t="s">
        <v>152</v>
      </c>
      <c r="C1812" s="1"/>
      <c r="D1812" s="2">
        <v>46112</v>
      </c>
      <c r="E1812" s="2">
        <v>46122</v>
      </c>
      <c r="F1812" s="1" t="s">
        <v>79</v>
      </c>
      <c r="G1812" s="1" t="s">
        <v>13</v>
      </c>
      <c r="H1812" s="1" t="s">
        <v>9</v>
      </c>
      <c r="I1812" s="7">
        <v>218.59</v>
      </c>
      <c r="J1812" s="1" t="s">
        <v>38</v>
      </c>
      <c r="K1812" s="1"/>
      <c r="L1812" s="1" t="s">
        <v>48</v>
      </c>
      <c r="M1812" s="1" t="str">
        <f>INDEX(MCC_Lookup!$B$2:$B$12,MATCH(G1812,MCC_Lookup!$A$2:$A$12,0))</f>
        <v>Software</v>
      </c>
      <c r="N1812" s="1" t="str">
        <f>IF(TRIM(H1812)="","BLANK",IF(PROPER(TRIM(H1812))=TRIM(M1812),"MATCH","MISMATCH"))</f>
        <v>MISMATCH</v>
      </c>
      <c r="O1812" s="5" t="str">
        <f>INDEX([1]Employee!$C$2:$C$276,MATCH(B1812,[1]Employee!$A$2:$A$276,0))</f>
        <v>Sales &amp; Marketing</v>
      </c>
    </row>
    <row r="1813" spans="1:15">
      <c r="A1813" s="1" t="s">
        <v>3685</v>
      </c>
      <c r="B1813" s="1" t="s">
        <v>1107</v>
      </c>
      <c r="C1813" s="1" t="s">
        <v>3686</v>
      </c>
      <c r="D1813" s="2">
        <v>46120</v>
      </c>
      <c r="E1813" s="2">
        <v>46122</v>
      </c>
      <c r="F1813" s="1" t="s">
        <v>160</v>
      </c>
      <c r="G1813" s="1" t="s">
        <v>6</v>
      </c>
      <c r="H1813" s="1" t="s">
        <v>7</v>
      </c>
      <c r="I1813" s="7">
        <v>288.24</v>
      </c>
      <c r="J1813" s="1" t="s">
        <v>38</v>
      </c>
      <c r="K1813" s="1"/>
      <c r="L1813" s="1" t="s">
        <v>39</v>
      </c>
      <c r="M1813" s="1" t="str">
        <f>INDEX(MCC_Lookup!$B$2:$B$12,MATCH(G1813,MCC_Lookup!$A$2:$A$12,0))</f>
        <v>Lodging</v>
      </c>
      <c r="N1813" s="1" t="str">
        <f>IF(TRIM(H1813)="","BLANK",IF(PROPER(TRIM(H1813))=TRIM(M1813),"MATCH","MISMATCH"))</f>
        <v>MATCH</v>
      </c>
      <c r="O1813" s="5" t="str">
        <f>INDEX([1]Employee!$C$2:$C$276,MATCH(B1813,[1]Employee!$A$2:$A$276,0))</f>
        <v>Claims</v>
      </c>
    </row>
    <row r="1814" spans="1:15">
      <c r="A1814" s="1" t="s">
        <v>3687</v>
      </c>
      <c r="B1814" s="1" t="s">
        <v>50</v>
      </c>
      <c r="C1814" s="1" t="s">
        <v>3688</v>
      </c>
      <c r="D1814" s="2">
        <v>46121</v>
      </c>
      <c r="E1814" s="2">
        <v>46122</v>
      </c>
      <c r="F1814" s="1" t="s">
        <v>160</v>
      </c>
      <c r="G1814" s="1" t="s">
        <v>6</v>
      </c>
      <c r="H1814" s="1" t="s">
        <v>7</v>
      </c>
      <c r="I1814" s="7">
        <v>188.82</v>
      </c>
      <c r="J1814" s="1" t="s">
        <v>38</v>
      </c>
      <c r="K1814" s="1"/>
      <c r="L1814" s="1" t="s">
        <v>39</v>
      </c>
      <c r="M1814" s="1" t="str">
        <f>INDEX(MCC_Lookup!$B$2:$B$12,MATCH(G1814,MCC_Lookup!$A$2:$A$12,0))</f>
        <v>Lodging</v>
      </c>
      <c r="N1814" s="1" t="str">
        <f>IF(TRIM(H1814)="","BLANK",IF(PROPER(TRIM(H1814))=TRIM(M1814),"MATCH","MISMATCH"))</f>
        <v>MATCH</v>
      </c>
      <c r="O1814" s="5" t="str">
        <f>INDEX([1]Employee!$C$2:$C$276,MATCH(B1814,[1]Employee!$A$2:$A$276,0))</f>
        <v>Sales &amp; Marketing</v>
      </c>
    </row>
    <row r="1815" spans="1:15">
      <c r="A1815" s="1" t="s">
        <v>3689</v>
      </c>
      <c r="B1815" s="1" t="s">
        <v>129</v>
      </c>
      <c r="C1815" s="1" t="s">
        <v>3690</v>
      </c>
      <c r="D1815" s="2">
        <v>46115</v>
      </c>
      <c r="E1815" s="2">
        <v>46122</v>
      </c>
      <c r="F1815" s="1" t="s">
        <v>65</v>
      </c>
      <c r="G1815" s="1" t="s">
        <v>18</v>
      </c>
      <c r="H1815" s="1" t="s">
        <v>19</v>
      </c>
      <c r="I1815" s="7">
        <v>138.97999999999999</v>
      </c>
      <c r="J1815" s="1" t="s">
        <v>38</v>
      </c>
      <c r="K1815" s="1"/>
      <c r="L1815" s="1" t="s">
        <v>39</v>
      </c>
      <c r="M1815" s="1" t="str">
        <f>INDEX(MCC_Lookup!$B$2:$B$12,MATCH(G1815,MCC_Lookup!$A$2:$A$12,0))</f>
        <v>Events</v>
      </c>
      <c r="N1815" s="1" t="str">
        <f>IF(TRIM(H1815)="","BLANK",IF(PROPER(TRIM(H1815))=TRIM(M1815),"MATCH","MISMATCH"))</f>
        <v>MATCH</v>
      </c>
      <c r="O1815" s="5" t="str">
        <f>INDEX([1]Employee!$C$2:$C$276,MATCH(B1815,[1]Employee!$A$2:$A$276,0))</f>
        <v>Sales &amp; Marketing</v>
      </c>
    </row>
    <row r="1816" spans="1:15">
      <c r="A1816" s="1" t="s">
        <v>3691</v>
      </c>
      <c r="B1816" s="1" t="s">
        <v>924</v>
      </c>
      <c r="C1816" s="1"/>
      <c r="D1816" s="2">
        <v>46116</v>
      </c>
      <c r="E1816" s="2">
        <v>46122</v>
      </c>
      <c r="F1816" s="1" t="s">
        <v>109</v>
      </c>
      <c r="G1816" s="1" t="s">
        <v>18</v>
      </c>
      <c r="H1816" s="1" t="s">
        <v>19</v>
      </c>
      <c r="I1816" s="7">
        <v>237.54</v>
      </c>
      <c r="J1816" s="1" t="s">
        <v>111</v>
      </c>
      <c r="K1816" s="1" t="s">
        <v>112</v>
      </c>
      <c r="L1816" s="1" t="s">
        <v>39</v>
      </c>
      <c r="M1816" s="1" t="str">
        <f>INDEX(MCC_Lookup!$B$2:$B$12,MATCH(G1816,MCC_Lookup!$A$2:$A$12,0))</f>
        <v>Events</v>
      </c>
      <c r="N1816" s="1" t="str">
        <f>IF(TRIM(H1816)="","BLANK",IF(PROPER(TRIM(H1816))=TRIM(M1816),"MATCH","MISMATCH"))</f>
        <v>MATCH</v>
      </c>
      <c r="O1816" s="5" t="str">
        <f>INDEX([1]Employee!$C$2:$C$276,MATCH(B1816,[1]Employee!$A$2:$A$276,0))</f>
        <v>HR &amp; Events</v>
      </c>
    </row>
    <row r="1817" spans="1:15">
      <c r="A1817" s="1" t="s">
        <v>3692</v>
      </c>
      <c r="B1817" s="1" t="s">
        <v>1634</v>
      </c>
      <c r="C1817" s="1" t="s">
        <v>3693</v>
      </c>
      <c r="D1817" s="2">
        <v>46117</v>
      </c>
      <c r="E1817" s="2">
        <v>46122</v>
      </c>
      <c r="F1817" s="1" t="s">
        <v>177</v>
      </c>
      <c r="G1817" s="1" t="s">
        <v>13</v>
      </c>
      <c r="H1817" s="1" t="s">
        <v>14</v>
      </c>
      <c r="I1817" s="7">
        <v>60.84</v>
      </c>
      <c r="J1817" s="1" t="s">
        <v>38</v>
      </c>
      <c r="K1817" s="1"/>
      <c r="L1817" s="1" t="s">
        <v>39</v>
      </c>
      <c r="M1817" s="1" t="str">
        <f>INDEX(MCC_Lookup!$B$2:$B$12,MATCH(G1817,MCC_Lookup!$A$2:$A$12,0))</f>
        <v>Software</v>
      </c>
      <c r="N1817" s="1" t="str">
        <f>IF(TRIM(H1817)="","BLANK",IF(PROPER(TRIM(H1817))=TRIM(M1817),"MATCH","MISMATCH"))</f>
        <v>MATCH</v>
      </c>
      <c r="O1817" s="5" t="str">
        <f>INDEX([1]Employee!$C$2:$C$276,MATCH(B1817,[1]Employee!$A$2:$A$276,0))</f>
        <v>Customer Support</v>
      </c>
    </row>
    <row r="1818" spans="1:15">
      <c r="A1818" s="1" t="s">
        <v>3694</v>
      </c>
      <c r="B1818" s="1" t="s">
        <v>888</v>
      </c>
      <c r="C1818" s="1" t="s">
        <v>3695</v>
      </c>
      <c r="D1818" s="2">
        <v>46121</v>
      </c>
      <c r="E1818" s="2">
        <v>46122</v>
      </c>
      <c r="F1818" s="1" t="s">
        <v>83</v>
      </c>
      <c r="G1818" s="1" t="s">
        <v>2</v>
      </c>
      <c r="H1818" s="1" t="s">
        <v>794</v>
      </c>
      <c r="I1818" s="7">
        <v>18.190000000000001</v>
      </c>
      <c r="J1818" s="1" t="s">
        <v>38</v>
      </c>
      <c r="K1818" s="1"/>
      <c r="L1818" s="1" t="s">
        <v>39</v>
      </c>
      <c r="M1818" s="1" t="str">
        <f>INDEX(MCC_Lookup!$B$2:$B$12,MATCH(G1818,MCC_Lookup!$A$2:$A$12,0))</f>
        <v>Meals</v>
      </c>
      <c r="N1818" s="1" t="str">
        <f>IF(TRIM(H1818)="","BLANK",IF(PROPER(TRIM(H1818))=TRIM(M1818),"MATCH","MISMATCH"))</f>
        <v>MATCH</v>
      </c>
      <c r="O1818" s="5" t="str">
        <f>INDEX([1]Employee!$C$2:$C$276,MATCH(B1818,[1]Employee!$A$2:$A$276,0))</f>
        <v>Claims</v>
      </c>
    </row>
    <row r="1819" spans="1:15">
      <c r="A1819" s="1" t="s">
        <v>3696</v>
      </c>
      <c r="B1819" s="1" t="s">
        <v>250</v>
      </c>
      <c r="C1819" s="1" t="s">
        <v>3697</v>
      </c>
      <c r="D1819" s="2">
        <v>46118</v>
      </c>
      <c r="E1819" s="2">
        <v>46123</v>
      </c>
      <c r="F1819" s="1" t="s">
        <v>43</v>
      </c>
      <c r="G1819" s="1" t="s">
        <v>2</v>
      </c>
      <c r="H1819" s="1" t="s">
        <v>3</v>
      </c>
      <c r="I1819" s="7">
        <v>18.82</v>
      </c>
      <c r="J1819" s="1" t="s">
        <v>38</v>
      </c>
      <c r="K1819" s="1"/>
      <c r="L1819" s="1" t="s">
        <v>39</v>
      </c>
      <c r="M1819" s="1" t="str">
        <f>INDEX(MCC_Lookup!$B$2:$B$12,MATCH(G1819,MCC_Lookup!$A$2:$A$12,0))</f>
        <v>Meals</v>
      </c>
      <c r="N1819" s="1" t="str">
        <f>IF(TRIM(H1819)="","BLANK",IF(PROPER(TRIM(H1819))=TRIM(M1819),"MATCH","MISMATCH"))</f>
        <v>MATCH</v>
      </c>
      <c r="O1819" s="5" t="str">
        <f>INDEX([1]Employee!$C$2:$C$276,MATCH(B1819,[1]Employee!$A$2:$A$276,0))</f>
        <v>Sales &amp; Marketing</v>
      </c>
    </row>
    <row r="1820" spans="1:15">
      <c r="A1820" s="1" t="s">
        <v>3698</v>
      </c>
      <c r="B1820" s="1" t="s">
        <v>1061</v>
      </c>
      <c r="C1820" s="1" t="s">
        <v>3699</v>
      </c>
      <c r="D1820" s="2">
        <v>46115</v>
      </c>
      <c r="E1820" s="2">
        <v>46123</v>
      </c>
      <c r="F1820" s="1" t="s">
        <v>160</v>
      </c>
      <c r="G1820" s="1" t="s">
        <v>6</v>
      </c>
      <c r="H1820" s="1" t="s">
        <v>228</v>
      </c>
      <c r="I1820" s="7">
        <v>478.77</v>
      </c>
      <c r="J1820" s="1" t="s">
        <v>38</v>
      </c>
      <c r="K1820" s="1"/>
      <c r="L1820" s="1" t="s">
        <v>39</v>
      </c>
      <c r="M1820" s="1" t="str">
        <f>INDEX(MCC_Lookup!$B$2:$B$12,MATCH(G1820,MCC_Lookup!$A$2:$A$12,0))</f>
        <v>Lodging</v>
      </c>
      <c r="N1820" s="1" t="str">
        <f>IF(TRIM(H1820)="","BLANK",IF(PROPER(TRIM(H1820))=TRIM(M1820),"MATCH","MISMATCH"))</f>
        <v>MATCH</v>
      </c>
      <c r="O1820" s="5" t="str">
        <f>INDEX([1]Employee!$C$2:$C$276,MATCH(B1820,[1]Employee!$A$2:$A$276,0))</f>
        <v>Claims</v>
      </c>
    </row>
    <row r="1821" spans="1:15">
      <c r="A1821" s="1" t="s">
        <v>3700</v>
      </c>
      <c r="B1821" s="1" t="s">
        <v>832</v>
      </c>
      <c r="C1821" s="1"/>
      <c r="D1821" s="2">
        <v>46113</v>
      </c>
      <c r="E1821" s="2">
        <v>46123</v>
      </c>
      <c r="F1821" s="1" t="s">
        <v>347</v>
      </c>
      <c r="G1821" s="1" t="s">
        <v>8</v>
      </c>
      <c r="H1821" s="1" t="s">
        <v>9</v>
      </c>
      <c r="I1821" s="7">
        <v>35.43</v>
      </c>
      <c r="J1821" s="1" t="s">
        <v>111</v>
      </c>
      <c r="K1821" s="1" t="s">
        <v>112</v>
      </c>
      <c r="L1821" s="1" t="s">
        <v>39</v>
      </c>
      <c r="M1821" s="1" t="str">
        <f>INDEX(MCC_Lookup!$B$2:$B$12,MATCH(G1821,MCC_Lookup!$A$2:$A$12,0))</f>
        <v>Transportation</v>
      </c>
      <c r="N1821" s="1" t="str">
        <f>IF(TRIM(H1821)="","BLANK",IF(PROPER(TRIM(H1821))=TRIM(M1821),"MATCH","MISMATCH"))</f>
        <v>MATCH</v>
      </c>
      <c r="O1821" s="5" t="str">
        <f>INDEX([1]Employee!$C$2:$C$276,MATCH(B1821,[1]Employee!$A$2:$A$276,0))</f>
        <v>Sales &amp; Marketing</v>
      </c>
    </row>
    <row r="1822" spans="1:15">
      <c r="A1822" s="1" t="s">
        <v>3701</v>
      </c>
      <c r="B1822" s="1" t="s">
        <v>413</v>
      </c>
      <c r="C1822" s="1" t="s">
        <v>3702</v>
      </c>
      <c r="D1822" s="2">
        <v>46120</v>
      </c>
      <c r="E1822" s="2">
        <v>46123</v>
      </c>
      <c r="F1822" s="1" t="s">
        <v>173</v>
      </c>
      <c r="G1822" s="1" t="s">
        <v>2</v>
      </c>
      <c r="H1822" s="1" t="s">
        <v>3</v>
      </c>
      <c r="I1822" s="7">
        <v>78.41</v>
      </c>
      <c r="J1822" s="1" t="s">
        <v>38</v>
      </c>
      <c r="K1822" s="1"/>
      <c r="L1822" s="1" t="s">
        <v>48</v>
      </c>
      <c r="M1822" s="1" t="str">
        <f>INDEX(MCC_Lookup!$B$2:$B$12,MATCH(G1822,MCC_Lookup!$A$2:$A$12,0))</f>
        <v>Meals</v>
      </c>
      <c r="N1822" s="1" t="str">
        <f>IF(TRIM(H1822)="","BLANK",IF(PROPER(TRIM(H1822))=TRIM(M1822),"MATCH","MISMATCH"))</f>
        <v>MATCH</v>
      </c>
      <c r="O1822" s="5" t="str">
        <f>INDEX([1]Employee!$C$2:$C$276,MATCH(B1822,[1]Employee!$A$2:$A$276,0))</f>
        <v>Claims</v>
      </c>
    </row>
    <row r="1823" spans="1:15">
      <c r="A1823" s="1" t="s">
        <v>3703</v>
      </c>
      <c r="B1823" s="1" t="s">
        <v>426</v>
      </c>
      <c r="C1823" s="1" t="s">
        <v>3704</v>
      </c>
      <c r="D1823" s="2">
        <v>46123</v>
      </c>
      <c r="E1823" s="2">
        <v>46123</v>
      </c>
      <c r="F1823" s="1" t="s">
        <v>79</v>
      </c>
      <c r="G1823" s="1" t="s">
        <v>13</v>
      </c>
      <c r="H1823" s="1" t="s">
        <v>419</v>
      </c>
      <c r="I1823" s="7">
        <v>236.1</v>
      </c>
      <c r="J1823" s="1" t="s">
        <v>38</v>
      </c>
      <c r="K1823" s="1"/>
      <c r="L1823" s="1" t="s">
        <v>48</v>
      </c>
      <c r="M1823" s="1" t="str">
        <f>INDEX(MCC_Lookup!$B$2:$B$12,MATCH(G1823,MCC_Lookup!$A$2:$A$12,0))</f>
        <v>Software</v>
      </c>
      <c r="N1823" s="1" t="str">
        <f>IF(TRIM(H1823)="","BLANK",IF(PROPER(TRIM(H1823))=TRIM(M1823),"MATCH","MISMATCH"))</f>
        <v>MATCH</v>
      </c>
      <c r="O1823" s="5" t="str">
        <f>INDEX([1]Employee!$C$2:$C$276,MATCH(B1823,[1]Employee!$A$2:$A$276,0))</f>
        <v>Sales &amp; Marketing</v>
      </c>
    </row>
    <row r="1824" spans="1:15">
      <c r="A1824" s="1" t="s">
        <v>3705</v>
      </c>
      <c r="B1824" s="1" t="s">
        <v>506</v>
      </c>
      <c r="C1824" s="1" t="s">
        <v>3706</v>
      </c>
      <c r="D1824" s="2">
        <v>46122</v>
      </c>
      <c r="E1824" s="2">
        <v>46123</v>
      </c>
      <c r="F1824" s="1" t="s">
        <v>65</v>
      </c>
      <c r="G1824" s="1" t="s">
        <v>18</v>
      </c>
      <c r="H1824" s="1" t="s">
        <v>312</v>
      </c>
      <c r="I1824" s="7">
        <v>325.8</v>
      </c>
      <c r="J1824" s="1" t="s">
        <v>38</v>
      </c>
      <c r="K1824" s="1"/>
      <c r="L1824" s="1" t="s">
        <v>39</v>
      </c>
      <c r="M1824" s="1" t="str">
        <f>INDEX(MCC_Lookup!$B$2:$B$12,MATCH(G1824,MCC_Lookup!$A$2:$A$12,0))</f>
        <v>Events</v>
      </c>
      <c r="N1824" s="1" t="str">
        <f>IF(TRIM(H1824)="","BLANK",IF(PROPER(TRIM(H1824))=TRIM(M1824),"MATCH","MISMATCH"))</f>
        <v>MATCH</v>
      </c>
      <c r="O1824" s="5" t="str">
        <f>INDEX([1]Employee!$C$2:$C$276,MATCH(B1824,[1]Employee!$A$2:$A$276,0))</f>
        <v>Executive &amp; Corporate</v>
      </c>
    </row>
    <row r="1825" spans="1:15">
      <c r="A1825" s="1" t="s">
        <v>3707</v>
      </c>
      <c r="B1825" s="1" t="s">
        <v>2598</v>
      </c>
      <c r="C1825" s="1" t="s">
        <v>3708</v>
      </c>
      <c r="D1825" s="2">
        <v>46121</v>
      </c>
      <c r="E1825" s="2">
        <v>46123</v>
      </c>
      <c r="F1825" s="1" t="s">
        <v>56</v>
      </c>
      <c r="G1825" s="1" t="s">
        <v>4</v>
      </c>
      <c r="H1825" s="1" t="s">
        <v>5</v>
      </c>
      <c r="I1825" s="7">
        <v>532.41999999999996</v>
      </c>
      <c r="J1825" s="1" t="s">
        <v>38</v>
      </c>
      <c r="K1825" s="1"/>
      <c r="L1825" s="1" t="s">
        <v>48</v>
      </c>
      <c r="M1825" s="1" t="str">
        <f>INDEX(MCC_Lookup!$B$2:$B$12,MATCH(G1825,MCC_Lookup!$A$2:$A$12,0))</f>
        <v>Travel</v>
      </c>
      <c r="N1825" s="1" t="str">
        <f>IF(TRIM(H1825)="","BLANK",IF(PROPER(TRIM(H1825))=TRIM(M1825),"MATCH","MISMATCH"))</f>
        <v>MATCH</v>
      </c>
      <c r="O1825" s="5" t="str">
        <f>INDEX([1]Employee!$C$2:$C$276,MATCH(B1825,[1]Employee!$A$2:$A$276,0))</f>
        <v>Underwriting</v>
      </c>
    </row>
    <row r="1826" spans="1:15">
      <c r="A1826" s="1" t="s">
        <v>3709</v>
      </c>
      <c r="B1826" s="1" t="s">
        <v>373</v>
      </c>
      <c r="C1826" s="1" t="s">
        <v>3710</v>
      </c>
      <c r="D1826" s="2">
        <v>46113</v>
      </c>
      <c r="E1826" s="2">
        <v>46123</v>
      </c>
      <c r="F1826" s="1" t="s">
        <v>120</v>
      </c>
      <c r="G1826" s="1" t="s">
        <v>12</v>
      </c>
      <c r="H1826" s="1" t="s">
        <v>11</v>
      </c>
      <c r="I1826" s="7">
        <v>35.15</v>
      </c>
      <c r="J1826" s="1" t="s">
        <v>38</v>
      </c>
      <c r="K1826" s="1"/>
      <c r="L1826" s="1" t="s">
        <v>39</v>
      </c>
      <c r="M1826" s="1" t="str">
        <f>INDEX(MCC_Lookup!$B$2:$B$12,MATCH(G1826,MCC_Lookup!$A$2:$A$12,0))</f>
        <v>Office Supplies</v>
      </c>
      <c r="N1826" s="1" t="str">
        <f>IF(TRIM(H1826)="","BLANK",IF(PROPER(TRIM(H1826))=TRIM(M1826),"MATCH","MISMATCH"))</f>
        <v>MATCH</v>
      </c>
      <c r="O1826" s="5" t="str">
        <f>INDEX([1]Employee!$C$2:$C$276,MATCH(B1826,[1]Employee!$A$2:$A$276,0))</f>
        <v>Sales &amp; Marketing</v>
      </c>
    </row>
    <row r="1827" spans="1:15">
      <c r="A1827" s="1" t="s">
        <v>3711</v>
      </c>
      <c r="B1827" s="1" t="s">
        <v>50</v>
      </c>
      <c r="C1827" s="1" t="s">
        <v>3712</v>
      </c>
      <c r="D1827" s="2">
        <v>46119</v>
      </c>
      <c r="E1827" s="2">
        <v>46123</v>
      </c>
      <c r="F1827" s="1" t="s">
        <v>56</v>
      </c>
      <c r="G1827" s="1" t="s">
        <v>4</v>
      </c>
      <c r="H1827" s="1" t="s">
        <v>5</v>
      </c>
      <c r="I1827" s="7">
        <v>641.44000000000005</v>
      </c>
      <c r="J1827" s="1" t="s">
        <v>38</v>
      </c>
      <c r="K1827" s="1"/>
      <c r="L1827" s="1" t="s">
        <v>48</v>
      </c>
      <c r="M1827" s="1" t="str">
        <f>INDEX(MCC_Lookup!$B$2:$B$12,MATCH(G1827,MCC_Lookup!$A$2:$A$12,0))</f>
        <v>Travel</v>
      </c>
      <c r="N1827" s="1" t="str">
        <f>IF(TRIM(H1827)="","BLANK",IF(PROPER(TRIM(H1827))=TRIM(M1827),"MATCH","MISMATCH"))</f>
        <v>MATCH</v>
      </c>
      <c r="O1827" s="5" t="str">
        <f>INDEX([1]Employee!$C$2:$C$276,MATCH(B1827,[1]Employee!$A$2:$A$276,0))</f>
        <v>Sales &amp; Marketing</v>
      </c>
    </row>
    <row r="1828" spans="1:15">
      <c r="A1828" s="1" t="s">
        <v>3713</v>
      </c>
      <c r="B1828" s="1" t="s">
        <v>1726</v>
      </c>
      <c r="C1828" s="1" t="s">
        <v>3714</v>
      </c>
      <c r="D1828" s="2">
        <v>46119</v>
      </c>
      <c r="E1828" s="2">
        <v>46123</v>
      </c>
      <c r="F1828" s="1" t="s">
        <v>109</v>
      </c>
      <c r="G1828" s="1" t="s">
        <v>18</v>
      </c>
      <c r="H1828" s="1" t="s">
        <v>517</v>
      </c>
      <c r="I1828" s="7">
        <v>69.66</v>
      </c>
      <c r="J1828" s="1" t="s">
        <v>38</v>
      </c>
      <c r="K1828" s="1"/>
      <c r="L1828" s="1" t="s">
        <v>39</v>
      </c>
      <c r="M1828" s="1" t="str">
        <f>INDEX(MCC_Lookup!$B$2:$B$12,MATCH(G1828,MCC_Lookup!$A$2:$A$12,0))</f>
        <v>Events</v>
      </c>
      <c r="N1828" s="1" t="str">
        <f>IF(TRIM(H1828)="","BLANK",IF(PROPER(TRIM(H1828))=TRIM(M1828),"MATCH","MISMATCH"))</f>
        <v>MATCH</v>
      </c>
      <c r="O1828" s="5" t="str">
        <f>INDEX([1]Employee!$C$2:$C$276,MATCH(B1828,[1]Employee!$A$2:$A$276,0))</f>
        <v>Customer Support</v>
      </c>
    </row>
    <row r="1829" spans="1:15">
      <c r="A1829" s="1" t="s">
        <v>3715</v>
      </c>
      <c r="B1829" s="1" t="s">
        <v>453</v>
      </c>
      <c r="C1829" s="1" t="s">
        <v>3716</v>
      </c>
      <c r="D1829" s="2">
        <v>46123</v>
      </c>
      <c r="E1829" s="2">
        <v>46123</v>
      </c>
      <c r="F1829" s="1" t="s">
        <v>201</v>
      </c>
      <c r="G1829" s="1" t="s">
        <v>4</v>
      </c>
      <c r="H1829" s="1" t="s">
        <v>5</v>
      </c>
      <c r="I1829" s="7">
        <v>500.96</v>
      </c>
      <c r="J1829" s="1" t="s">
        <v>38</v>
      </c>
      <c r="K1829" s="1"/>
      <c r="L1829" s="1" t="s">
        <v>39</v>
      </c>
      <c r="M1829" s="1" t="str">
        <f>INDEX(MCC_Lookup!$B$2:$B$12,MATCH(G1829,MCC_Lookup!$A$2:$A$12,0))</f>
        <v>Travel</v>
      </c>
      <c r="N1829" s="1" t="str">
        <f>IF(TRIM(H1829)="","BLANK",IF(PROPER(TRIM(H1829))=TRIM(M1829),"MATCH","MISMATCH"))</f>
        <v>MATCH</v>
      </c>
      <c r="O1829" s="5" t="str">
        <f>INDEX([1]Employee!$C$2:$C$276,MATCH(B1829,[1]Employee!$A$2:$A$276,0))</f>
        <v>IT &amp; Platform Engineering</v>
      </c>
    </row>
    <row r="1830" spans="1:15">
      <c r="A1830" s="1" t="s">
        <v>3717</v>
      </c>
      <c r="B1830" s="1" t="s">
        <v>687</v>
      </c>
      <c r="C1830" s="1" t="s">
        <v>3718</v>
      </c>
      <c r="D1830" s="2">
        <v>46119</v>
      </c>
      <c r="E1830" s="2">
        <v>46123</v>
      </c>
      <c r="F1830" s="1" t="s">
        <v>106</v>
      </c>
      <c r="G1830" s="1" t="s">
        <v>13</v>
      </c>
      <c r="H1830" s="1" t="s">
        <v>14</v>
      </c>
      <c r="I1830" s="7">
        <v>98.43</v>
      </c>
      <c r="J1830" s="1" t="s">
        <v>38</v>
      </c>
      <c r="K1830" s="1"/>
      <c r="L1830" s="1" t="s">
        <v>39</v>
      </c>
      <c r="M1830" s="1" t="str">
        <f>INDEX(MCC_Lookup!$B$2:$B$12,MATCH(G1830,MCC_Lookup!$A$2:$A$12,0))</f>
        <v>Software</v>
      </c>
      <c r="N1830" s="1" t="str">
        <f>IF(TRIM(H1830)="","BLANK",IF(PROPER(TRIM(H1830))=TRIM(M1830),"MATCH","MISMATCH"))</f>
        <v>MATCH</v>
      </c>
      <c r="O1830" s="5" t="str">
        <f>INDEX([1]Employee!$C$2:$C$276,MATCH(B1830,[1]Employee!$A$2:$A$276,0))</f>
        <v>Executive &amp; Corporate</v>
      </c>
    </row>
    <row r="1831" spans="1:15">
      <c r="A1831" s="1" t="s">
        <v>3719</v>
      </c>
      <c r="B1831" s="1" t="s">
        <v>677</v>
      </c>
      <c r="C1831" s="1" t="s">
        <v>3720</v>
      </c>
      <c r="D1831" s="2">
        <v>46113</v>
      </c>
      <c r="E1831" s="2">
        <v>46123</v>
      </c>
      <c r="F1831" s="1" t="s">
        <v>65</v>
      </c>
      <c r="G1831" s="1" t="s">
        <v>18</v>
      </c>
      <c r="H1831" s="1" t="s">
        <v>19</v>
      </c>
      <c r="I1831" s="7">
        <v>363.07</v>
      </c>
      <c r="J1831" s="1" t="s">
        <v>38</v>
      </c>
      <c r="K1831" s="1"/>
      <c r="L1831" s="1" t="s">
        <v>39</v>
      </c>
      <c r="M1831" s="1" t="str">
        <f>INDEX(MCC_Lookup!$B$2:$B$12,MATCH(G1831,MCC_Lookup!$A$2:$A$12,0))</f>
        <v>Events</v>
      </c>
      <c r="N1831" s="1" t="str">
        <f>IF(TRIM(H1831)="","BLANK",IF(PROPER(TRIM(H1831))=TRIM(M1831),"MATCH","MISMATCH"))</f>
        <v>MATCH</v>
      </c>
      <c r="O1831" s="5" t="str">
        <f>INDEX([1]Employee!$C$2:$C$276,MATCH(B1831,[1]Employee!$A$2:$A$276,0))</f>
        <v>Sales &amp; Marketing</v>
      </c>
    </row>
    <row r="1832" spans="1:15">
      <c r="A1832" s="1" t="s">
        <v>3721</v>
      </c>
      <c r="B1832" s="1" t="s">
        <v>902</v>
      </c>
      <c r="C1832" s="1" t="s">
        <v>3722</v>
      </c>
      <c r="D1832" s="2">
        <v>46120</v>
      </c>
      <c r="E1832" s="2">
        <v>46123</v>
      </c>
      <c r="F1832" s="1" t="s">
        <v>173</v>
      </c>
      <c r="G1832" s="1" t="s">
        <v>2</v>
      </c>
      <c r="H1832" s="1" t="s">
        <v>3</v>
      </c>
      <c r="I1832" s="7">
        <v>53.48</v>
      </c>
      <c r="J1832" s="1" t="s">
        <v>38</v>
      </c>
      <c r="K1832" s="1"/>
      <c r="L1832" s="1" t="s">
        <v>39</v>
      </c>
      <c r="M1832" s="1" t="str">
        <f>INDEX(MCC_Lookup!$B$2:$B$12,MATCH(G1832,MCC_Lookup!$A$2:$A$12,0))</f>
        <v>Meals</v>
      </c>
      <c r="N1832" s="1" t="str">
        <f>IF(TRIM(H1832)="","BLANK",IF(PROPER(TRIM(H1832))=TRIM(M1832),"MATCH","MISMATCH"))</f>
        <v>MATCH</v>
      </c>
      <c r="O1832" s="5" t="str">
        <f>INDEX([1]Employee!$C$2:$C$276,MATCH(B1832,[1]Employee!$A$2:$A$276,0))</f>
        <v>HR &amp; Events</v>
      </c>
    </row>
    <row r="1833" spans="1:15">
      <c r="A1833" s="1" t="s">
        <v>3723</v>
      </c>
      <c r="B1833" s="1" t="s">
        <v>472</v>
      </c>
      <c r="C1833" s="1" t="s">
        <v>3724</v>
      </c>
      <c r="D1833" s="2">
        <v>46120</v>
      </c>
      <c r="E1833" s="2">
        <v>46123</v>
      </c>
      <c r="F1833" s="1" t="s">
        <v>305</v>
      </c>
      <c r="G1833" s="1" t="s">
        <v>2</v>
      </c>
      <c r="H1833" s="1" t="s">
        <v>3</v>
      </c>
      <c r="I1833" s="7">
        <v>11.98</v>
      </c>
      <c r="J1833" s="1" t="s">
        <v>38</v>
      </c>
      <c r="K1833" s="1"/>
      <c r="L1833" s="1" t="s">
        <v>39</v>
      </c>
      <c r="M1833" s="1" t="str">
        <f>INDEX(MCC_Lookup!$B$2:$B$12,MATCH(G1833,MCC_Lookup!$A$2:$A$12,0))</f>
        <v>Meals</v>
      </c>
      <c r="N1833" s="1" t="str">
        <f>IF(TRIM(H1833)="","BLANK",IF(PROPER(TRIM(H1833))=TRIM(M1833),"MATCH","MISMATCH"))</f>
        <v>MATCH</v>
      </c>
      <c r="O1833" s="5" t="str">
        <f>INDEX([1]Employee!$C$2:$C$276,MATCH(B1833,[1]Employee!$A$2:$A$276,0))</f>
        <v>Sales &amp; Marketing</v>
      </c>
    </row>
    <row r="1834" spans="1:15">
      <c r="A1834" s="1" t="s">
        <v>3725</v>
      </c>
      <c r="B1834" s="1" t="s">
        <v>1188</v>
      </c>
      <c r="C1834" s="1" t="s">
        <v>3726</v>
      </c>
      <c r="D1834" s="2">
        <v>46121</v>
      </c>
      <c r="E1834" s="2">
        <v>46123</v>
      </c>
      <c r="F1834" s="1" t="s">
        <v>116</v>
      </c>
      <c r="G1834" s="1" t="s">
        <v>2</v>
      </c>
      <c r="H1834" s="1" t="s">
        <v>3</v>
      </c>
      <c r="I1834" s="7">
        <v>19.559999999999999</v>
      </c>
      <c r="J1834" s="1" t="s">
        <v>38</v>
      </c>
      <c r="K1834" s="1"/>
      <c r="L1834" s="1" t="s">
        <v>48</v>
      </c>
      <c r="M1834" s="1" t="str">
        <f>INDEX(MCC_Lookup!$B$2:$B$12,MATCH(G1834,MCC_Lookup!$A$2:$A$12,0))</f>
        <v>Meals</v>
      </c>
      <c r="N1834" s="1" t="str">
        <f>IF(TRIM(H1834)="","BLANK",IF(PROPER(TRIM(H1834))=TRIM(M1834),"MATCH","MISMATCH"))</f>
        <v>MATCH</v>
      </c>
      <c r="O1834" s="5" t="str">
        <f>INDEX([1]Employee!$C$2:$C$276,MATCH(B1834,[1]Employee!$A$2:$A$276,0))</f>
        <v>Executive &amp; Corporate</v>
      </c>
    </row>
    <row r="1835" spans="1:15">
      <c r="A1835" s="1" t="s">
        <v>3727</v>
      </c>
      <c r="B1835" s="1" t="s">
        <v>1504</v>
      </c>
      <c r="C1835" s="1" t="s">
        <v>3728</v>
      </c>
      <c r="D1835" s="2">
        <v>46122</v>
      </c>
      <c r="E1835" s="2">
        <v>46123</v>
      </c>
      <c r="F1835" s="1" t="s">
        <v>160</v>
      </c>
      <c r="G1835" s="1" t="s">
        <v>6</v>
      </c>
      <c r="H1835" s="1" t="s">
        <v>726</v>
      </c>
      <c r="I1835" s="7">
        <v>205.93</v>
      </c>
      <c r="J1835" s="1" t="s">
        <v>38</v>
      </c>
      <c r="K1835" s="1"/>
      <c r="L1835" s="1" t="s">
        <v>39</v>
      </c>
      <c r="M1835" s="1" t="str">
        <f>INDEX(MCC_Lookup!$B$2:$B$12,MATCH(G1835,MCC_Lookup!$A$2:$A$12,0))</f>
        <v>Lodging</v>
      </c>
      <c r="N1835" s="1" t="str">
        <f>IF(TRIM(H1835)="","BLANK",IF(PROPER(TRIM(H1835))=TRIM(M1835),"MATCH","MISMATCH"))</f>
        <v>MATCH</v>
      </c>
      <c r="O1835" s="5" t="str">
        <f>INDEX([1]Employee!$C$2:$C$276,MATCH(B1835,[1]Employee!$A$2:$A$276,0))</f>
        <v>Sales &amp; Marketing</v>
      </c>
    </row>
    <row r="1836" spans="1:15">
      <c r="A1836" s="1" t="s">
        <v>3729</v>
      </c>
      <c r="B1836" s="1" t="s">
        <v>104</v>
      </c>
      <c r="C1836" s="1" t="s">
        <v>3730</v>
      </c>
      <c r="D1836" s="2">
        <v>46121</v>
      </c>
      <c r="E1836" s="2">
        <v>46123</v>
      </c>
      <c r="F1836" s="1" t="s">
        <v>37</v>
      </c>
      <c r="G1836" s="1" t="s">
        <v>4</v>
      </c>
      <c r="H1836" s="1" t="s">
        <v>5</v>
      </c>
      <c r="I1836" s="7">
        <v>411.15</v>
      </c>
      <c r="J1836" s="1" t="s">
        <v>38</v>
      </c>
      <c r="K1836" s="1"/>
      <c r="L1836" s="1" t="s">
        <v>39</v>
      </c>
      <c r="M1836" s="1" t="str">
        <f>INDEX(MCC_Lookup!$B$2:$B$12,MATCH(G1836,MCC_Lookup!$A$2:$A$12,0))</f>
        <v>Travel</v>
      </c>
      <c r="N1836" s="1" t="str">
        <f>IF(TRIM(H1836)="","BLANK",IF(PROPER(TRIM(H1836))=TRIM(M1836),"MATCH","MISMATCH"))</f>
        <v>MATCH</v>
      </c>
      <c r="O1836" s="5" t="str">
        <f>INDEX([1]Employee!$C$2:$C$276,MATCH(B1836,[1]Employee!$A$2:$A$276,0))</f>
        <v>Sales &amp; Marketing</v>
      </c>
    </row>
    <row r="1837" spans="1:15">
      <c r="A1837" s="1" t="s">
        <v>3731</v>
      </c>
      <c r="B1837" s="1" t="s">
        <v>547</v>
      </c>
      <c r="C1837" s="1" t="s">
        <v>3732</v>
      </c>
      <c r="D1837" s="2">
        <v>46117</v>
      </c>
      <c r="E1837" s="2">
        <v>46123</v>
      </c>
      <c r="F1837" s="1" t="s">
        <v>120</v>
      </c>
      <c r="G1837" s="1" t="s">
        <v>12</v>
      </c>
      <c r="H1837" s="1" t="s">
        <v>11</v>
      </c>
      <c r="I1837" s="7">
        <v>107.03</v>
      </c>
      <c r="J1837" s="1" t="s">
        <v>38</v>
      </c>
      <c r="K1837" s="1"/>
      <c r="L1837" s="1" t="s">
        <v>39</v>
      </c>
      <c r="M1837" s="1" t="str">
        <f>INDEX(MCC_Lookup!$B$2:$B$12,MATCH(G1837,MCC_Lookup!$A$2:$A$12,0))</f>
        <v>Office Supplies</v>
      </c>
      <c r="N1837" s="1" t="str">
        <f>IF(TRIM(H1837)="","BLANK",IF(PROPER(TRIM(H1837))=TRIM(M1837),"MATCH","MISMATCH"))</f>
        <v>MATCH</v>
      </c>
      <c r="O1837" s="5" t="str">
        <f>INDEX([1]Employee!$C$2:$C$276,MATCH(B1837,[1]Employee!$A$2:$A$276,0))</f>
        <v>Sales &amp; Marketing</v>
      </c>
    </row>
    <row r="1838" spans="1:15">
      <c r="A1838" s="1" t="s">
        <v>3733</v>
      </c>
      <c r="B1838" s="1" t="s">
        <v>2812</v>
      </c>
      <c r="C1838" s="1" t="s">
        <v>3734</v>
      </c>
      <c r="D1838" s="2">
        <v>46120</v>
      </c>
      <c r="E1838" s="2">
        <v>46123</v>
      </c>
      <c r="F1838" s="1" t="s">
        <v>173</v>
      </c>
      <c r="G1838" s="1" t="s">
        <v>2</v>
      </c>
      <c r="H1838" s="1" t="s">
        <v>3</v>
      </c>
      <c r="I1838" s="7">
        <v>53.04</v>
      </c>
      <c r="J1838" s="1" t="s">
        <v>38</v>
      </c>
      <c r="K1838" s="1"/>
      <c r="L1838" s="1" t="s">
        <v>39</v>
      </c>
      <c r="M1838" s="1" t="str">
        <f>INDEX(MCC_Lookup!$B$2:$B$12,MATCH(G1838,MCC_Lookup!$A$2:$A$12,0))</f>
        <v>Meals</v>
      </c>
      <c r="N1838" s="1" t="str">
        <f>IF(TRIM(H1838)="","BLANK",IF(PROPER(TRIM(H1838))=TRIM(M1838),"MATCH","MISMATCH"))</f>
        <v>MATCH</v>
      </c>
      <c r="O1838" s="5" t="str">
        <f>INDEX([1]Employee!$C$2:$C$276,MATCH(B1838,[1]Employee!$A$2:$A$276,0))</f>
        <v>Customer Support</v>
      </c>
    </row>
    <row r="1839" spans="1:15">
      <c r="A1839" s="1" t="s">
        <v>3735</v>
      </c>
      <c r="B1839" s="1" t="s">
        <v>292</v>
      </c>
      <c r="C1839" s="1" t="s">
        <v>3736</v>
      </c>
      <c r="D1839" s="2">
        <v>46119</v>
      </c>
      <c r="E1839" s="2">
        <v>46124</v>
      </c>
      <c r="F1839" s="1" t="s">
        <v>305</v>
      </c>
      <c r="G1839" s="1" t="s">
        <v>2</v>
      </c>
      <c r="H1839" s="1" t="s">
        <v>3</v>
      </c>
      <c r="I1839" s="7">
        <v>9.31</v>
      </c>
      <c r="J1839" s="1" t="s">
        <v>38</v>
      </c>
      <c r="K1839" s="1"/>
      <c r="L1839" s="1" t="s">
        <v>39</v>
      </c>
      <c r="M1839" s="1" t="str">
        <f>INDEX(MCC_Lookup!$B$2:$B$12,MATCH(G1839,MCC_Lookup!$A$2:$A$12,0))</f>
        <v>Meals</v>
      </c>
      <c r="N1839" s="1" t="str">
        <f>IF(TRIM(H1839)="","BLANK",IF(PROPER(TRIM(H1839))=TRIM(M1839),"MATCH","MISMATCH"))</f>
        <v>MATCH</v>
      </c>
      <c r="O1839" s="5" t="str">
        <f>INDEX([1]Employee!$C$2:$C$276,MATCH(B1839,[1]Employee!$A$2:$A$276,0))</f>
        <v>Sales &amp; Marketing</v>
      </c>
    </row>
    <row r="1840" spans="1:15">
      <c r="A1840" s="1" t="s">
        <v>3737</v>
      </c>
      <c r="B1840" s="1" t="s">
        <v>175</v>
      </c>
      <c r="C1840" s="1" t="s">
        <v>3738</v>
      </c>
      <c r="D1840" s="2">
        <v>46120</v>
      </c>
      <c r="E1840" s="2">
        <v>46124</v>
      </c>
      <c r="F1840" s="1" t="s">
        <v>95</v>
      </c>
      <c r="G1840" s="1" t="s">
        <v>6</v>
      </c>
      <c r="H1840" s="1" t="s">
        <v>7</v>
      </c>
      <c r="I1840" s="7">
        <v>317.29000000000002</v>
      </c>
      <c r="J1840" s="1" t="s">
        <v>38</v>
      </c>
      <c r="K1840" s="1"/>
      <c r="L1840" s="1" t="s">
        <v>39</v>
      </c>
      <c r="M1840" s="1" t="str">
        <f>INDEX(MCC_Lookup!$B$2:$B$12,MATCH(G1840,MCC_Lookup!$A$2:$A$12,0))</f>
        <v>Lodging</v>
      </c>
      <c r="N1840" s="1" t="str">
        <f>IF(TRIM(H1840)="","BLANK",IF(PROPER(TRIM(H1840))=TRIM(M1840),"MATCH","MISMATCH"))</f>
        <v>MATCH</v>
      </c>
      <c r="O1840" s="5" t="str">
        <f>INDEX([1]Employee!$C$2:$C$276,MATCH(B1840,[1]Employee!$A$2:$A$276,0))</f>
        <v>Claims</v>
      </c>
    </row>
    <row r="1841" spans="1:15">
      <c r="A1841" s="1" t="s">
        <v>3739</v>
      </c>
      <c r="B1841" s="1" t="s">
        <v>156</v>
      </c>
      <c r="C1841" s="1" t="s">
        <v>3740</v>
      </c>
      <c r="D1841" s="2">
        <v>46121</v>
      </c>
      <c r="E1841" s="2">
        <v>46124</v>
      </c>
      <c r="F1841" s="1" t="s">
        <v>79</v>
      </c>
      <c r="G1841" s="1" t="s">
        <v>13</v>
      </c>
      <c r="H1841" s="1" t="s">
        <v>14</v>
      </c>
      <c r="I1841" s="7">
        <v>207.28</v>
      </c>
      <c r="J1841" s="1" t="s">
        <v>38</v>
      </c>
      <c r="K1841" s="1"/>
      <c r="L1841" s="1" t="s">
        <v>39</v>
      </c>
      <c r="M1841" s="1" t="str">
        <f>INDEX(MCC_Lookup!$B$2:$B$12,MATCH(G1841,MCC_Lookup!$A$2:$A$12,0))</f>
        <v>Software</v>
      </c>
      <c r="N1841" s="1" t="str">
        <f>IF(TRIM(H1841)="","BLANK",IF(PROPER(TRIM(H1841))=TRIM(M1841),"MATCH","MISMATCH"))</f>
        <v>MATCH</v>
      </c>
      <c r="O1841" s="5" t="str">
        <f>INDEX([1]Employee!$C$2:$C$276,MATCH(B1841,[1]Employee!$A$2:$A$276,0))</f>
        <v>Sales &amp; Marketing</v>
      </c>
    </row>
    <row r="1842" spans="1:15">
      <c r="A1842" s="1" t="s">
        <v>3741</v>
      </c>
      <c r="B1842" s="1" t="s">
        <v>836</v>
      </c>
      <c r="C1842" s="1" t="s">
        <v>3742</v>
      </c>
      <c r="D1842" s="2">
        <v>46120</v>
      </c>
      <c r="E1842" s="2">
        <v>46124</v>
      </c>
      <c r="F1842" s="1" t="s">
        <v>43</v>
      </c>
      <c r="G1842" s="1" t="s">
        <v>2</v>
      </c>
      <c r="H1842" s="1" t="s">
        <v>269</v>
      </c>
      <c r="I1842" s="7">
        <v>12.68</v>
      </c>
      <c r="J1842" s="1" t="s">
        <v>38</v>
      </c>
      <c r="K1842" s="1"/>
      <c r="L1842" s="1" t="s">
        <v>39</v>
      </c>
      <c r="M1842" s="1" t="str">
        <f>INDEX(MCC_Lookup!$B$2:$B$12,MATCH(G1842,MCC_Lookup!$A$2:$A$12,0))</f>
        <v>Meals</v>
      </c>
      <c r="N1842" s="1" t="str">
        <f>IF(TRIM(H1842)="","BLANK",IF(PROPER(TRIM(H1842))=TRIM(M1842),"MATCH","MISMATCH"))</f>
        <v>MISMATCH</v>
      </c>
      <c r="O1842" s="5" t="str">
        <f>INDEX([1]Employee!$C$2:$C$276,MATCH(B1842,[1]Employee!$A$2:$A$276,0))</f>
        <v>Sales &amp; Marketing</v>
      </c>
    </row>
    <row r="1843" spans="1:15">
      <c r="A1843" s="1" t="s">
        <v>3743</v>
      </c>
      <c r="B1843" s="1" t="s">
        <v>661</v>
      </c>
      <c r="C1843" s="1" t="s">
        <v>3744</v>
      </c>
      <c r="D1843" s="2">
        <v>46120</v>
      </c>
      <c r="E1843" s="2">
        <v>46124</v>
      </c>
      <c r="F1843" s="1" t="s">
        <v>43</v>
      </c>
      <c r="G1843" s="1" t="s">
        <v>2</v>
      </c>
      <c r="H1843" s="1" t="s">
        <v>3</v>
      </c>
      <c r="I1843" s="7">
        <v>12.03</v>
      </c>
      <c r="J1843" s="1" t="s">
        <v>38</v>
      </c>
      <c r="K1843" s="1"/>
      <c r="L1843" s="1" t="s">
        <v>39</v>
      </c>
      <c r="M1843" s="1" t="str">
        <f>INDEX(MCC_Lookup!$B$2:$B$12,MATCH(G1843,MCC_Lookup!$A$2:$A$12,0))</f>
        <v>Meals</v>
      </c>
      <c r="N1843" s="1" t="str">
        <f>IF(TRIM(H1843)="","BLANK",IF(PROPER(TRIM(H1843))=TRIM(M1843),"MATCH","MISMATCH"))</f>
        <v>MATCH</v>
      </c>
      <c r="O1843" s="5" t="str">
        <f>INDEX([1]Employee!$C$2:$C$276,MATCH(B1843,[1]Employee!$A$2:$A$276,0))</f>
        <v>Sales &amp; Marketing</v>
      </c>
    </row>
    <row r="1844" spans="1:15">
      <c r="A1844" s="1" t="s">
        <v>3745</v>
      </c>
      <c r="B1844" s="1" t="s">
        <v>846</v>
      </c>
      <c r="C1844" s="1" t="s">
        <v>3746</v>
      </c>
      <c r="D1844" s="2">
        <v>46118</v>
      </c>
      <c r="E1844" s="2">
        <v>46124</v>
      </c>
      <c r="F1844" s="1" t="s">
        <v>242</v>
      </c>
      <c r="G1844" s="1" t="s">
        <v>13</v>
      </c>
      <c r="H1844" s="1" t="s">
        <v>419</v>
      </c>
      <c r="I1844" s="7">
        <v>38.17</v>
      </c>
      <c r="J1844" s="1" t="s">
        <v>38</v>
      </c>
      <c r="K1844" s="1"/>
      <c r="L1844" s="1" t="s">
        <v>39</v>
      </c>
      <c r="M1844" s="1" t="str">
        <f>INDEX(MCC_Lookup!$B$2:$B$12,MATCH(G1844,MCC_Lookup!$A$2:$A$12,0))</f>
        <v>Software</v>
      </c>
      <c r="N1844" s="1" t="str">
        <f>IF(TRIM(H1844)="","BLANK",IF(PROPER(TRIM(H1844))=TRIM(M1844),"MATCH","MISMATCH"))</f>
        <v>MATCH</v>
      </c>
      <c r="O1844" s="5" t="str">
        <f>INDEX([1]Employee!$C$2:$C$276,MATCH(B1844,[1]Employee!$A$2:$A$276,0))</f>
        <v>Sales &amp; Marketing</v>
      </c>
    </row>
    <row r="1845" spans="1:15">
      <c r="A1845" s="1" t="s">
        <v>3747</v>
      </c>
      <c r="B1845" s="1" t="s">
        <v>71</v>
      </c>
      <c r="C1845" s="1" t="s">
        <v>3748</v>
      </c>
      <c r="D1845" s="2">
        <v>46123</v>
      </c>
      <c r="E1845" s="2">
        <v>46124</v>
      </c>
      <c r="F1845" s="1" t="s">
        <v>120</v>
      </c>
      <c r="G1845" s="1" t="s">
        <v>12</v>
      </c>
      <c r="H1845" s="1" t="s">
        <v>11</v>
      </c>
      <c r="I1845" s="7">
        <v>463.77</v>
      </c>
      <c r="J1845" s="1" t="s">
        <v>38</v>
      </c>
      <c r="K1845" s="1"/>
      <c r="L1845" s="1" t="s">
        <v>39</v>
      </c>
      <c r="M1845" s="1" t="str">
        <f>INDEX(MCC_Lookup!$B$2:$B$12,MATCH(G1845,MCC_Lookup!$A$2:$A$12,0))</f>
        <v>Office Supplies</v>
      </c>
      <c r="N1845" s="1" t="str">
        <f>IF(TRIM(H1845)="","BLANK",IF(PROPER(TRIM(H1845))=TRIM(M1845),"MATCH","MISMATCH"))</f>
        <v>MATCH</v>
      </c>
      <c r="O1845" s="5" t="str">
        <f>INDEX([1]Employee!$C$2:$C$276,MATCH(B1845,[1]Employee!$A$2:$A$276,0))</f>
        <v>Sales &amp; Marketing</v>
      </c>
    </row>
    <row r="1846" spans="1:15">
      <c r="A1846" s="1" t="s">
        <v>3749</v>
      </c>
      <c r="B1846" s="1" t="s">
        <v>196</v>
      </c>
      <c r="C1846" s="1" t="s">
        <v>3750</v>
      </c>
      <c r="D1846" s="2">
        <v>46115</v>
      </c>
      <c r="E1846" s="2">
        <v>46124</v>
      </c>
      <c r="F1846" s="1" t="s">
        <v>120</v>
      </c>
      <c r="G1846" s="1" t="s">
        <v>12</v>
      </c>
      <c r="H1846" s="1" t="s">
        <v>11</v>
      </c>
      <c r="I1846" s="7">
        <v>124.37</v>
      </c>
      <c r="J1846" s="1" t="s">
        <v>38</v>
      </c>
      <c r="K1846" s="1"/>
      <c r="L1846" s="1" t="s">
        <v>39</v>
      </c>
      <c r="M1846" s="1" t="str">
        <f>INDEX(MCC_Lookup!$B$2:$B$12,MATCH(G1846,MCC_Lookup!$A$2:$A$12,0))</f>
        <v>Office Supplies</v>
      </c>
      <c r="N1846" s="1" t="str">
        <f>IF(TRIM(H1846)="","BLANK",IF(PROPER(TRIM(H1846))=TRIM(M1846),"MATCH","MISMATCH"))</f>
        <v>MATCH</v>
      </c>
      <c r="O1846" s="5" t="str">
        <f>INDEX([1]Employee!$C$2:$C$276,MATCH(B1846,[1]Employee!$A$2:$A$276,0))</f>
        <v>Sales &amp; Marketing</v>
      </c>
    </row>
    <row r="1847" spans="1:15">
      <c r="A1847" s="1" t="s">
        <v>3751</v>
      </c>
      <c r="B1847" s="1" t="s">
        <v>815</v>
      </c>
      <c r="C1847" s="1" t="s">
        <v>3752</v>
      </c>
      <c r="D1847" s="2">
        <v>46120</v>
      </c>
      <c r="E1847" s="2">
        <v>46124</v>
      </c>
      <c r="F1847" s="1" t="s">
        <v>116</v>
      </c>
      <c r="G1847" s="1" t="s">
        <v>2</v>
      </c>
      <c r="H1847" s="1" t="s">
        <v>3</v>
      </c>
      <c r="I1847" s="7">
        <v>10.75</v>
      </c>
      <c r="J1847" s="1" t="s">
        <v>38</v>
      </c>
      <c r="K1847" s="1"/>
      <c r="L1847" s="1" t="s">
        <v>39</v>
      </c>
      <c r="M1847" s="1" t="str">
        <f>INDEX(MCC_Lookup!$B$2:$B$12,MATCH(G1847,MCC_Lookup!$A$2:$A$12,0))</f>
        <v>Meals</v>
      </c>
      <c r="N1847" s="1" t="str">
        <f>IF(TRIM(H1847)="","BLANK",IF(PROPER(TRIM(H1847))=TRIM(M1847),"MATCH","MISMATCH"))</f>
        <v>MATCH</v>
      </c>
      <c r="O1847" s="5" t="str">
        <f>INDEX([1]Employee!$C$2:$C$276,MATCH(B1847,[1]Employee!$A$2:$A$276,0))</f>
        <v>Claims</v>
      </c>
    </row>
    <row r="1848" spans="1:15">
      <c r="A1848" s="1" t="s">
        <v>3753</v>
      </c>
      <c r="B1848" s="1" t="s">
        <v>1188</v>
      </c>
      <c r="C1848" s="1"/>
      <c r="D1848" s="2">
        <v>46115</v>
      </c>
      <c r="E1848" s="2">
        <v>46124</v>
      </c>
      <c r="F1848" s="1" t="s">
        <v>347</v>
      </c>
      <c r="G1848" s="1" t="s">
        <v>8</v>
      </c>
      <c r="H1848" s="1" t="s">
        <v>9</v>
      </c>
      <c r="I1848" s="7">
        <v>53.37</v>
      </c>
      <c r="J1848" s="1" t="s">
        <v>38</v>
      </c>
      <c r="K1848" s="1"/>
      <c r="L1848" s="1" t="s">
        <v>39</v>
      </c>
      <c r="M1848" s="1" t="str">
        <f>INDEX(MCC_Lookup!$B$2:$B$12,MATCH(G1848,MCC_Lookup!$A$2:$A$12,0))</f>
        <v>Transportation</v>
      </c>
      <c r="N1848" s="1" t="str">
        <f>IF(TRIM(H1848)="","BLANK",IF(PROPER(TRIM(H1848))=TRIM(M1848),"MATCH","MISMATCH"))</f>
        <v>MATCH</v>
      </c>
      <c r="O1848" s="5" t="str">
        <f>INDEX([1]Employee!$C$2:$C$276,MATCH(B1848,[1]Employee!$A$2:$A$276,0))</f>
        <v>Executive &amp; Corporate</v>
      </c>
    </row>
    <row r="1849" spans="1:15">
      <c r="A1849" s="1" t="s">
        <v>3754</v>
      </c>
      <c r="B1849" s="1" t="s">
        <v>593</v>
      </c>
      <c r="C1849" s="1" t="s">
        <v>3755</v>
      </c>
      <c r="D1849" s="2">
        <v>46118</v>
      </c>
      <c r="E1849" s="2">
        <v>46124</v>
      </c>
      <c r="F1849" s="1" t="s">
        <v>124</v>
      </c>
      <c r="G1849" s="1" t="s">
        <v>17</v>
      </c>
      <c r="H1849" s="1" t="s">
        <v>16</v>
      </c>
      <c r="I1849" s="7">
        <v>214.66</v>
      </c>
      <c r="J1849" s="1" t="s">
        <v>38</v>
      </c>
      <c r="K1849" s="1"/>
      <c r="L1849" s="1" t="s">
        <v>39</v>
      </c>
      <c r="M1849" s="1" t="str">
        <f>INDEX(MCC_Lookup!$B$2:$B$12,MATCH(G1849,MCC_Lookup!$A$2:$A$12,0))</f>
        <v>Entertainment</v>
      </c>
      <c r="N1849" s="1" t="str">
        <f>IF(TRIM(H1849)="","BLANK",IF(PROPER(TRIM(H1849))=TRIM(M1849),"MATCH","MISMATCH"))</f>
        <v>MATCH</v>
      </c>
      <c r="O1849" s="5" t="str">
        <f>INDEX([1]Employee!$C$2:$C$276,MATCH(B1849,[1]Employee!$A$2:$A$276,0))</f>
        <v>Sales &amp; Marketing</v>
      </c>
    </row>
    <row r="1850" spans="1:15">
      <c r="A1850" s="1" t="s">
        <v>3756</v>
      </c>
      <c r="B1850" s="1" t="s">
        <v>593</v>
      </c>
      <c r="C1850" s="1"/>
      <c r="D1850" s="2">
        <v>46121</v>
      </c>
      <c r="E1850" s="2">
        <v>46124</v>
      </c>
      <c r="F1850" s="1" t="s">
        <v>99</v>
      </c>
      <c r="G1850" s="1" t="s">
        <v>2</v>
      </c>
      <c r="H1850" s="1" t="s">
        <v>138</v>
      </c>
      <c r="I1850" s="7">
        <v>126.64</v>
      </c>
      <c r="J1850" s="1" t="s">
        <v>38</v>
      </c>
      <c r="K1850" s="1"/>
      <c r="L1850" s="1" t="s">
        <v>39</v>
      </c>
      <c r="M1850" s="1" t="str">
        <f>INDEX(MCC_Lookup!$B$2:$B$12,MATCH(G1850,MCC_Lookup!$A$2:$A$12,0))</f>
        <v>Meals</v>
      </c>
      <c r="N1850" s="1" t="str">
        <f>IF(TRIM(H1850)="","BLANK",IF(PROPER(TRIM(H1850))=TRIM(M1850),"MATCH","MISMATCH"))</f>
        <v>MATCH</v>
      </c>
      <c r="O1850" s="5" t="str">
        <f>INDEX([1]Employee!$C$2:$C$276,MATCH(B1850,[1]Employee!$A$2:$A$276,0))</f>
        <v>Sales &amp; Marketing</v>
      </c>
    </row>
    <row r="1851" spans="1:15">
      <c r="A1851" s="1" t="s">
        <v>3757</v>
      </c>
      <c r="B1851" s="1" t="s">
        <v>171</v>
      </c>
      <c r="C1851" s="1" t="s">
        <v>3758</v>
      </c>
      <c r="D1851" s="2">
        <v>46118</v>
      </c>
      <c r="E1851" s="2">
        <v>46124</v>
      </c>
      <c r="F1851" s="1" t="s">
        <v>106</v>
      </c>
      <c r="G1851" s="1" t="s">
        <v>13</v>
      </c>
      <c r="H1851" s="1" t="s">
        <v>14</v>
      </c>
      <c r="I1851" s="7">
        <v>210.96</v>
      </c>
      <c r="J1851" s="1" t="s">
        <v>38</v>
      </c>
      <c r="K1851" s="1"/>
      <c r="L1851" s="1" t="s">
        <v>39</v>
      </c>
      <c r="M1851" s="1" t="str">
        <f>INDEX(MCC_Lookup!$B$2:$B$12,MATCH(G1851,MCC_Lookup!$A$2:$A$12,0))</f>
        <v>Software</v>
      </c>
      <c r="N1851" s="1" t="str">
        <f>IF(TRIM(H1851)="","BLANK",IF(PROPER(TRIM(H1851))=TRIM(M1851),"MATCH","MISMATCH"))</f>
        <v>MATCH</v>
      </c>
      <c r="O1851" s="5" t="str">
        <f>INDEX([1]Employee!$C$2:$C$276,MATCH(B1851,[1]Employee!$A$2:$A$276,0))</f>
        <v>Claims</v>
      </c>
    </row>
    <row r="1852" spans="1:15">
      <c r="A1852" s="1" t="s">
        <v>3759</v>
      </c>
      <c r="B1852" s="1" t="s">
        <v>433</v>
      </c>
      <c r="C1852" s="1" t="s">
        <v>3760</v>
      </c>
      <c r="D1852" s="2">
        <v>46121</v>
      </c>
      <c r="E1852" s="2">
        <v>46124</v>
      </c>
      <c r="F1852" s="1" t="s">
        <v>116</v>
      </c>
      <c r="G1852" s="1" t="s">
        <v>2</v>
      </c>
      <c r="H1852" s="1" t="s">
        <v>3</v>
      </c>
      <c r="I1852" s="7">
        <v>18.23</v>
      </c>
      <c r="J1852" s="1" t="s">
        <v>38</v>
      </c>
      <c r="K1852" s="1"/>
      <c r="L1852" s="1" t="s">
        <v>39</v>
      </c>
      <c r="M1852" s="1" t="str">
        <f>INDEX(MCC_Lookup!$B$2:$B$12,MATCH(G1852,MCC_Lookup!$A$2:$A$12,0))</f>
        <v>Meals</v>
      </c>
      <c r="N1852" s="1" t="str">
        <f>IF(TRIM(H1852)="","BLANK",IF(PROPER(TRIM(H1852))=TRIM(M1852),"MATCH","MISMATCH"))</f>
        <v>MATCH</v>
      </c>
      <c r="O1852" s="5" t="str">
        <f>INDEX([1]Employee!$C$2:$C$276,MATCH(B1852,[1]Employee!$A$2:$A$276,0))</f>
        <v>Sales &amp; Marketing</v>
      </c>
    </row>
    <row r="1853" spans="1:15">
      <c r="A1853" s="1" t="s">
        <v>3761</v>
      </c>
      <c r="B1853" s="1" t="s">
        <v>433</v>
      </c>
      <c r="C1853" s="1" t="s">
        <v>3762</v>
      </c>
      <c r="D1853" s="2">
        <v>46116</v>
      </c>
      <c r="E1853" s="2">
        <v>46124</v>
      </c>
      <c r="F1853" s="1" t="s">
        <v>124</v>
      </c>
      <c r="G1853" s="1" t="s">
        <v>17</v>
      </c>
      <c r="H1853" s="1" t="s">
        <v>16</v>
      </c>
      <c r="I1853" s="7">
        <v>202.34</v>
      </c>
      <c r="J1853" s="1" t="s">
        <v>38</v>
      </c>
      <c r="K1853" s="1"/>
      <c r="L1853" s="1" t="s">
        <v>39</v>
      </c>
      <c r="M1853" s="1" t="str">
        <f>INDEX(MCC_Lookup!$B$2:$B$12,MATCH(G1853,MCC_Lookup!$A$2:$A$12,0))</f>
        <v>Entertainment</v>
      </c>
      <c r="N1853" s="1" t="str">
        <f>IF(TRIM(H1853)="","BLANK",IF(PROPER(TRIM(H1853))=TRIM(M1853),"MATCH","MISMATCH"))</f>
        <v>MATCH</v>
      </c>
      <c r="O1853" s="5" t="str">
        <f>INDEX([1]Employee!$C$2:$C$276,MATCH(B1853,[1]Employee!$A$2:$A$276,0))</f>
        <v>Sales &amp; Marketing</v>
      </c>
    </row>
    <row r="1854" spans="1:15">
      <c r="A1854" s="1" t="s">
        <v>3763</v>
      </c>
      <c r="B1854" s="1" t="s">
        <v>506</v>
      </c>
      <c r="C1854" s="1" t="s">
        <v>3764</v>
      </c>
      <c r="D1854" s="2">
        <v>46124</v>
      </c>
      <c r="E1854" s="2">
        <v>46124</v>
      </c>
      <c r="F1854" s="1" t="s">
        <v>201</v>
      </c>
      <c r="G1854" s="1" t="s">
        <v>4</v>
      </c>
      <c r="H1854" s="1" t="s">
        <v>5</v>
      </c>
      <c r="I1854" s="7">
        <v>296.2</v>
      </c>
      <c r="J1854" s="1" t="s">
        <v>38</v>
      </c>
      <c r="K1854" s="1"/>
      <c r="L1854" s="1" t="s">
        <v>39</v>
      </c>
      <c r="M1854" s="1" t="str">
        <f>INDEX(MCC_Lookup!$B$2:$B$12,MATCH(G1854,MCC_Lookup!$A$2:$A$12,0))</f>
        <v>Travel</v>
      </c>
      <c r="N1854" s="1" t="str">
        <f>IF(TRIM(H1854)="","BLANK",IF(PROPER(TRIM(H1854))=TRIM(M1854),"MATCH","MISMATCH"))</f>
        <v>MATCH</v>
      </c>
      <c r="O1854" s="5" t="str">
        <f>INDEX([1]Employee!$C$2:$C$276,MATCH(B1854,[1]Employee!$A$2:$A$276,0))</f>
        <v>Executive &amp; Corporate</v>
      </c>
    </row>
    <row r="1855" spans="1:15">
      <c r="A1855" s="1" t="s">
        <v>3765</v>
      </c>
      <c r="B1855" s="1" t="s">
        <v>146</v>
      </c>
      <c r="C1855" s="1"/>
      <c r="D1855" s="2">
        <v>46116</v>
      </c>
      <c r="E1855" s="2">
        <v>46124</v>
      </c>
      <c r="F1855" s="1" t="s">
        <v>69</v>
      </c>
      <c r="G1855" s="1" t="s">
        <v>8</v>
      </c>
      <c r="H1855" s="1" t="s">
        <v>9</v>
      </c>
      <c r="I1855" s="7">
        <v>44.95</v>
      </c>
      <c r="J1855" s="1" t="s">
        <v>111</v>
      </c>
      <c r="K1855" s="1" t="s">
        <v>112</v>
      </c>
      <c r="L1855" s="1" t="s">
        <v>39</v>
      </c>
      <c r="M1855" s="1" t="str">
        <f>INDEX(MCC_Lookup!$B$2:$B$12,MATCH(G1855,MCC_Lookup!$A$2:$A$12,0))</f>
        <v>Transportation</v>
      </c>
      <c r="N1855" s="1" t="str">
        <f>IF(TRIM(H1855)="","BLANK",IF(PROPER(TRIM(H1855))=TRIM(M1855),"MATCH","MISMATCH"))</f>
        <v>MATCH</v>
      </c>
      <c r="O1855" s="5" t="str">
        <f>INDEX([1]Employee!$C$2:$C$276,MATCH(B1855,[1]Employee!$A$2:$A$276,0))</f>
        <v>HR &amp; Events</v>
      </c>
    </row>
    <row r="1856" spans="1:15">
      <c r="A1856" s="1" t="s">
        <v>3766</v>
      </c>
      <c r="B1856" s="1" t="s">
        <v>832</v>
      </c>
      <c r="C1856" s="1"/>
      <c r="D1856" s="2">
        <v>46117</v>
      </c>
      <c r="E1856" s="2">
        <v>46124</v>
      </c>
      <c r="F1856" s="1" t="s">
        <v>347</v>
      </c>
      <c r="G1856" s="1" t="s">
        <v>8</v>
      </c>
      <c r="H1856" s="1" t="s">
        <v>9</v>
      </c>
      <c r="I1856" s="7">
        <v>49.1</v>
      </c>
      <c r="J1856" s="1" t="s">
        <v>38</v>
      </c>
      <c r="K1856" s="1"/>
      <c r="L1856" s="1" t="s">
        <v>39</v>
      </c>
      <c r="M1856" s="1" t="str">
        <f>INDEX(MCC_Lookup!$B$2:$B$12,MATCH(G1856,MCC_Lookup!$A$2:$A$12,0))</f>
        <v>Transportation</v>
      </c>
      <c r="N1856" s="1" t="str">
        <f>IF(TRIM(H1856)="","BLANK",IF(PROPER(TRIM(H1856))=TRIM(M1856),"MATCH","MISMATCH"))</f>
        <v>MATCH</v>
      </c>
      <c r="O1856" s="5" t="str">
        <f>INDEX([1]Employee!$C$2:$C$276,MATCH(B1856,[1]Employee!$A$2:$A$276,0))</f>
        <v>Sales &amp; Marketing</v>
      </c>
    </row>
    <row r="1857" spans="1:15">
      <c r="A1857" s="1" t="s">
        <v>3767</v>
      </c>
      <c r="B1857" s="1" t="s">
        <v>810</v>
      </c>
      <c r="C1857" s="1" t="s">
        <v>3768</v>
      </c>
      <c r="D1857" s="2">
        <v>46122</v>
      </c>
      <c r="E1857" s="2">
        <v>46124</v>
      </c>
      <c r="F1857" s="1" t="s">
        <v>106</v>
      </c>
      <c r="G1857" s="1" t="s">
        <v>13</v>
      </c>
      <c r="H1857" s="1" t="s">
        <v>14</v>
      </c>
      <c r="I1857" s="7">
        <v>50.99</v>
      </c>
      <c r="J1857" s="1" t="s">
        <v>38</v>
      </c>
      <c r="K1857" s="1"/>
      <c r="L1857" s="1" t="s">
        <v>39</v>
      </c>
      <c r="M1857" s="1" t="str">
        <f>INDEX(MCC_Lookup!$B$2:$B$12,MATCH(G1857,MCC_Lookup!$A$2:$A$12,0))</f>
        <v>Software</v>
      </c>
      <c r="N1857" s="1" t="str">
        <f>IF(TRIM(H1857)="","BLANK",IF(PROPER(TRIM(H1857))=TRIM(M1857),"MATCH","MISMATCH"))</f>
        <v>MATCH</v>
      </c>
      <c r="O1857" s="5" t="str">
        <f>INDEX([1]Employee!$C$2:$C$276,MATCH(B1857,[1]Employee!$A$2:$A$276,0))</f>
        <v>Sales &amp; Marketing</v>
      </c>
    </row>
    <row r="1858" spans="1:15">
      <c r="A1858" s="1" t="s">
        <v>3769</v>
      </c>
      <c r="B1858" s="1" t="s">
        <v>136</v>
      </c>
      <c r="C1858" s="1"/>
      <c r="D1858" s="2">
        <v>46119</v>
      </c>
      <c r="E1858" s="2">
        <v>46124</v>
      </c>
      <c r="F1858" s="1" t="s">
        <v>65</v>
      </c>
      <c r="G1858" s="1" t="s">
        <v>18</v>
      </c>
      <c r="H1858" s="1" t="s">
        <v>19</v>
      </c>
      <c r="I1858" s="7">
        <v>287.88</v>
      </c>
      <c r="J1858" s="1" t="s">
        <v>38</v>
      </c>
      <c r="K1858" s="1"/>
      <c r="L1858" s="1" t="s">
        <v>39</v>
      </c>
      <c r="M1858" s="1" t="str">
        <f>INDEX(MCC_Lookup!$B$2:$B$12,MATCH(G1858,MCC_Lookup!$A$2:$A$12,0))</f>
        <v>Events</v>
      </c>
      <c r="N1858" s="1" t="str">
        <f>IF(TRIM(H1858)="","BLANK",IF(PROPER(TRIM(H1858))=TRIM(M1858),"MATCH","MISMATCH"))</f>
        <v>MATCH</v>
      </c>
      <c r="O1858" s="5" t="str">
        <f>INDEX([1]Employee!$C$2:$C$276,MATCH(B1858,[1]Employee!$A$2:$A$276,0))</f>
        <v>Sales &amp; Marketing</v>
      </c>
    </row>
    <row r="1859" spans="1:15">
      <c r="A1859" s="1" t="s">
        <v>3770</v>
      </c>
      <c r="B1859" s="1" t="s">
        <v>71</v>
      </c>
      <c r="C1859" s="1" t="s">
        <v>3771</v>
      </c>
      <c r="D1859" s="2">
        <v>46121</v>
      </c>
      <c r="E1859" s="2">
        <v>46125</v>
      </c>
      <c r="F1859" s="1" t="s">
        <v>83</v>
      </c>
      <c r="G1859" s="1" t="s">
        <v>2</v>
      </c>
      <c r="H1859" s="1" t="s">
        <v>3</v>
      </c>
      <c r="I1859" s="7">
        <v>12.66</v>
      </c>
      <c r="J1859" s="1" t="s">
        <v>38</v>
      </c>
      <c r="K1859" s="1"/>
      <c r="L1859" s="1" t="s">
        <v>39</v>
      </c>
      <c r="M1859" s="1" t="str">
        <f>INDEX(MCC_Lookup!$B$2:$B$12,MATCH(G1859,MCC_Lookup!$A$2:$A$12,0))</f>
        <v>Meals</v>
      </c>
      <c r="N1859" s="1" t="str">
        <f>IF(TRIM(H1859)="","BLANK",IF(PROPER(TRIM(H1859))=TRIM(M1859),"MATCH","MISMATCH"))</f>
        <v>MATCH</v>
      </c>
      <c r="O1859" s="5" t="str">
        <f>INDEX([1]Employee!$C$2:$C$276,MATCH(B1859,[1]Employee!$A$2:$A$276,0))</f>
        <v>Sales &amp; Marketing</v>
      </c>
    </row>
    <row r="1860" spans="1:15">
      <c r="A1860" s="1" t="s">
        <v>3772</v>
      </c>
      <c r="B1860" s="1" t="s">
        <v>54</v>
      </c>
      <c r="C1860" s="1"/>
      <c r="D1860" s="2">
        <v>46120</v>
      </c>
      <c r="E1860" s="2">
        <v>46125</v>
      </c>
      <c r="F1860" s="1" t="s">
        <v>177</v>
      </c>
      <c r="G1860" s="1" t="s">
        <v>13</v>
      </c>
      <c r="H1860" s="1" t="s">
        <v>419</v>
      </c>
      <c r="I1860" s="7">
        <v>25.03</v>
      </c>
      <c r="J1860" s="1" t="s">
        <v>38</v>
      </c>
      <c r="K1860" s="1"/>
      <c r="L1860" s="1" t="s">
        <v>39</v>
      </c>
      <c r="M1860" s="1" t="str">
        <f>INDEX(MCC_Lookup!$B$2:$B$12,MATCH(G1860,MCC_Lookup!$A$2:$A$12,0))</f>
        <v>Software</v>
      </c>
      <c r="N1860" s="1" t="str">
        <f>IF(TRIM(H1860)="","BLANK",IF(PROPER(TRIM(H1860))=TRIM(M1860),"MATCH","MISMATCH"))</f>
        <v>MATCH</v>
      </c>
      <c r="O1860" s="5" t="str">
        <f>INDEX([1]Employee!$C$2:$C$276,MATCH(B1860,[1]Employee!$A$2:$A$276,0))</f>
        <v>Sales &amp; Marketing</v>
      </c>
    </row>
    <row r="1861" spans="1:15">
      <c r="A1861" s="1" t="s">
        <v>3773</v>
      </c>
      <c r="B1861" s="1" t="s">
        <v>349</v>
      </c>
      <c r="C1861" s="1" t="s">
        <v>3774</v>
      </c>
      <c r="D1861" s="2">
        <v>46119</v>
      </c>
      <c r="E1861" s="2">
        <v>46125</v>
      </c>
      <c r="F1861" s="1" t="s">
        <v>92</v>
      </c>
      <c r="G1861" s="1" t="s">
        <v>10</v>
      </c>
      <c r="H1861" s="1" t="s">
        <v>11</v>
      </c>
      <c r="I1861" s="7">
        <v>27.21</v>
      </c>
      <c r="J1861" s="1" t="s">
        <v>38</v>
      </c>
      <c r="K1861" s="1"/>
      <c r="L1861" s="1" t="s">
        <v>48</v>
      </c>
      <c r="M1861" s="1" t="str">
        <f>INDEX(MCC_Lookup!$B$2:$B$12,MATCH(G1861,MCC_Lookup!$A$2:$A$12,0))</f>
        <v>Office Supplies</v>
      </c>
      <c r="N1861" s="1" t="str">
        <f>IF(TRIM(H1861)="","BLANK",IF(PROPER(TRIM(H1861))=TRIM(M1861),"MATCH","MISMATCH"))</f>
        <v>MATCH</v>
      </c>
      <c r="O1861" s="5" t="str">
        <f>INDEX([1]Employee!$C$2:$C$276,MATCH(B1861,[1]Employee!$A$2:$A$276,0))</f>
        <v>Sales &amp; Marketing</v>
      </c>
    </row>
    <row r="1862" spans="1:15">
      <c r="A1862" s="1" t="s">
        <v>3775</v>
      </c>
      <c r="B1862" s="1" t="s">
        <v>349</v>
      </c>
      <c r="C1862" s="1"/>
      <c r="D1862" s="2">
        <v>46119</v>
      </c>
      <c r="E1862" s="2">
        <v>46125</v>
      </c>
      <c r="F1862" s="1" t="s">
        <v>116</v>
      </c>
      <c r="G1862" s="1" t="s">
        <v>2</v>
      </c>
      <c r="H1862" s="1" t="s">
        <v>3</v>
      </c>
      <c r="I1862" s="7">
        <v>21.83</v>
      </c>
      <c r="J1862" s="1" t="s">
        <v>38</v>
      </c>
      <c r="K1862" s="1"/>
      <c r="L1862" s="1" t="s">
        <v>39</v>
      </c>
      <c r="M1862" s="1" t="str">
        <f>INDEX(MCC_Lookup!$B$2:$B$12,MATCH(G1862,MCC_Lookup!$A$2:$A$12,0))</f>
        <v>Meals</v>
      </c>
      <c r="N1862" s="1" t="str">
        <f>IF(TRIM(H1862)="","BLANK",IF(PROPER(TRIM(H1862))=TRIM(M1862),"MATCH","MISMATCH"))</f>
        <v>MATCH</v>
      </c>
      <c r="O1862" s="5" t="str">
        <f>INDEX([1]Employee!$C$2:$C$276,MATCH(B1862,[1]Employee!$A$2:$A$276,0))</f>
        <v>Sales &amp; Marketing</v>
      </c>
    </row>
    <row r="1863" spans="1:15">
      <c r="A1863" s="1" t="s">
        <v>3776</v>
      </c>
      <c r="B1863" s="1" t="s">
        <v>1302</v>
      </c>
      <c r="C1863" s="1" t="s">
        <v>3777</v>
      </c>
      <c r="D1863" s="2">
        <v>46119</v>
      </c>
      <c r="E1863" s="2">
        <v>46125</v>
      </c>
      <c r="F1863" s="1" t="s">
        <v>47</v>
      </c>
      <c r="G1863" s="1" t="s">
        <v>6</v>
      </c>
      <c r="H1863" s="1" t="s">
        <v>7</v>
      </c>
      <c r="I1863" s="7">
        <v>239.64</v>
      </c>
      <c r="J1863" s="1" t="s">
        <v>38</v>
      </c>
      <c r="K1863" s="1"/>
      <c r="L1863" s="1" t="s">
        <v>48</v>
      </c>
      <c r="M1863" s="1" t="str">
        <f>INDEX(MCC_Lookup!$B$2:$B$12,MATCH(G1863,MCC_Lookup!$A$2:$A$12,0))</f>
        <v>Lodging</v>
      </c>
      <c r="N1863" s="1" t="str">
        <f>IF(TRIM(H1863)="","BLANK",IF(PROPER(TRIM(H1863))=TRIM(M1863),"MATCH","MISMATCH"))</f>
        <v>MATCH</v>
      </c>
      <c r="O1863" s="5" t="str">
        <f>INDEX([1]Employee!$C$2:$C$276,MATCH(B1863,[1]Employee!$A$2:$A$276,0))</f>
        <v>HR &amp; Events</v>
      </c>
    </row>
    <row r="1864" spans="1:15">
      <c r="A1864" s="1" t="s">
        <v>3778</v>
      </c>
      <c r="B1864" s="1" t="s">
        <v>90</v>
      </c>
      <c r="C1864" s="1" t="s">
        <v>3779</v>
      </c>
      <c r="D1864" s="2">
        <v>46117</v>
      </c>
      <c r="E1864" s="2">
        <v>46125</v>
      </c>
      <c r="F1864" s="1" t="s">
        <v>2418</v>
      </c>
      <c r="G1864" s="1" t="s">
        <v>2</v>
      </c>
      <c r="H1864" s="1" t="s">
        <v>3</v>
      </c>
      <c r="I1864" s="7">
        <v>11.9</v>
      </c>
      <c r="J1864" s="1" t="s">
        <v>38</v>
      </c>
      <c r="K1864" s="1"/>
      <c r="L1864" s="1" t="s">
        <v>39</v>
      </c>
      <c r="M1864" s="1" t="str">
        <f>INDEX(MCC_Lookup!$B$2:$B$12,MATCH(G1864,MCC_Lookup!$A$2:$A$12,0))</f>
        <v>Meals</v>
      </c>
      <c r="N1864" s="1" t="str">
        <f>IF(TRIM(H1864)="","BLANK",IF(PROPER(TRIM(H1864))=TRIM(M1864),"MATCH","MISMATCH"))</f>
        <v>MATCH</v>
      </c>
      <c r="O1864" s="5" t="str">
        <f>INDEX([1]Employee!$C$2:$C$276,MATCH(B1864,[1]Employee!$A$2:$A$276,0))</f>
        <v>Sales &amp; Marketing</v>
      </c>
    </row>
    <row r="1865" spans="1:15">
      <c r="A1865" s="1" t="s">
        <v>3780</v>
      </c>
      <c r="B1865" s="1" t="s">
        <v>179</v>
      </c>
      <c r="C1865" s="1" t="s">
        <v>3781</v>
      </c>
      <c r="D1865" s="2">
        <v>46122</v>
      </c>
      <c r="E1865" s="2">
        <v>46125</v>
      </c>
      <c r="F1865" s="1" t="s">
        <v>201</v>
      </c>
      <c r="G1865" s="1" t="s">
        <v>4</v>
      </c>
      <c r="H1865" s="1" t="s">
        <v>5</v>
      </c>
      <c r="I1865" s="7">
        <v>697.54</v>
      </c>
      <c r="J1865" s="1" t="s">
        <v>38</v>
      </c>
      <c r="K1865" s="1"/>
      <c r="L1865" s="1" t="s">
        <v>48</v>
      </c>
      <c r="M1865" s="1" t="str">
        <f>INDEX(MCC_Lookup!$B$2:$B$12,MATCH(G1865,MCC_Lookup!$A$2:$A$12,0))</f>
        <v>Travel</v>
      </c>
      <c r="N1865" s="1" t="str">
        <f>IF(TRIM(H1865)="","BLANK",IF(PROPER(TRIM(H1865))=TRIM(M1865),"MATCH","MISMATCH"))</f>
        <v>MATCH</v>
      </c>
      <c r="O1865" s="5" t="str">
        <f>INDEX([1]Employee!$C$2:$C$276,MATCH(B1865,[1]Employee!$A$2:$A$276,0))</f>
        <v>Claims</v>
      </c>
    </row>
    <row r="1866" spans="1:15">
      <c r="A1866" s="1" t="s">
        <v>3782</v>
      </c>
      <c r="B1866" s="1" t="s">
        <v>187</v>
      </c>
      <c r="C1866" s="1" t="s">
        <v>3783</v>
      </c>
      <c r="D1866" s="2">
        <v>46117</v>
      </c>
      <c r="E1866" s="2">
        <v>46125</v>
      </c>
      <c r="F1866" s="1" t="s">
        <v>177</v>
      </c>
      <c r="G1866" s="1" t="s">
        <v>13</v>
      </c>
      <c r="H1866" s="1" t="s">
        <v>14</v>
      </c>
      <c r="I1866" s="7">
        <v>22.58</v>
      </c>
      <c r="J1866" s="1" t="s">
        <v>38</v>
      </c>
      <c r="K1866" s="1"/>
      <c r="L1866" s="1" t="s">
        <v>39</v>
      </c>
      <c r="M1866" s="1" t="str">
        <f>INDEX(MCC_Lookup!$B$2:$B$12,MATCH(G1866,MCC_Lookup!$A$2:$A$12,0))</f>
        <v>Software</v>
      </c>
      <c r="N1866" s="1" t="str">
        <f>IF(TRIM(H1866)="","BLANK",IF(PROPER(TRIM(H1866))=TRIM(M1866),"MATCH","MISMATCH"))</f>
        <v>MATCH</v>
      </c>
      <c r="O1866" s="5" t="str">
        <f>INDEX([1]Employee!$C$2:$C$276,MATCH(B1866,[1]Employee!$A$2:$A$276,0))</f>
        <v>HR &amp; Events</v>
      </c>
    </row>
    <row r="1867" spans="1:15">
      <c r="A1867" s="1" t="s">
        <v>3784</v>
      </c>
      <c r="B1867" s="1" t="s">
        <v>1821</v>
      </c>
      <c r="C1867" s="1" t="s">
        <v>3785</v>
      </c>
      <c r="D1867" s="2">
        <v>46120</v>
      </c>
      <c r="E1867" s="2">
        <v>46125</v>
      </c>
      <c r="F1867" s="1" t="s">
        <v>124</v>
      </c>
      <c r="G1867" s="1" t="s">
        <v>17</v>
      </c>
      <c r="H1867" s="1" t="s">
        <v>16</v>
      </c>
      <c r="I1867" s="7">
        <v>204.58</v>
      </c>
      <c r="J1867" s="1" t="s">
        <v>38</v>
      </c>
      <c r="K1867" s="1"/>
      <c r="L1867" s="1" t="s">
        <v>39</v>
      </c>
      <c r="M1867" s="1" t="str">
        <f>INDEX(MCC_Lookup!$B$2:$B$12,MATCH(G1867,MCC_Lookup!$A$2:$A$12,0))</f>
        <v>Entertainment</v>
      </c>
      <c r="N1867" s="1" t="str">
        <f>IF(TRIM(H1867)="","BLANK",IF(PROPER(TRIM(H1867))=TRIM(M1867),"MATCH","MISMATCH"))</f>
        <v>MATCH</v>
      </c>
      <c r="O1867" s="5" t="str">
        <f>INDEX([1]Employee!$C$2:$C$276,MATCH(B1867,[1]Employee!$A$2:$A$276,0))</f>
        <v>Finance</v>
      </c>
    </row>
    <row r="1868" spans="1:15">
      <c r="A1868" s="1" t="s">
        <v>3786</v>
      </c>
      <c r="B1868" s="1" t="s">
        <v>738</v>
      </c>
      <c r="C1868" s="1" t="s">
        <v>3787</v>
      </c>
      <c r="D1868" s="2">
        <v>46118</v>
      </c>
      <c r="E1868" s="2">
        <v>46125</v>
      </c>
      <c r="F1868" s="1" t="s">
        <v>109</v>
      </c>
      <c r="G1868" s="1" t="s">
        <v>18</v>
      </c>
      <c r="H1868" s="1" t="s">
        <v>312</v>
      </c>
      <c r="I1868" s="7">
        <v>210.51</v>
      </c>
      <c r="J1868" s="1" t="s">
        <v>38</v>
      </c>
      <c r="K1868" s="1"/>
      <c r="L1868" s="1" t="s">
        <v>39</v>
      </c>
      <c r="M1868" s="1" t="str">
        <f>INDEX(MCC_Lookup!$B$2:$B$12,MATCH(G1868,MCC_Lookup!$A$2:$A$12,0))</f>
        <v>Events</v>
      </c>
      <c r="N1868" s="1" t="str">
        <f>IF(TRIM(H1868)="","BLANK",IF(PROPER(TRIM(H1868))=TRIM(M1868),"MATCH","MISMATCH"))</f>
        <v>MATCH</v>
      </c>
      <c r="O1868" s="5" t="str">
        <f>INDEX([1]Employee!$C$2:$C$276,MATCH(B1868,[1]Employee!$A$2:$A$276,0))</f>
        <v>Sales &amp; Marketing</v>
      </c>
    </row>
    <row r="1869" spans="1:15">
      <c r="A1869" s="1" t="s">
        <v>3788</v>
      </c>
      <c r="B1869" s="1" t="s">
        <v>2997</v>
      </c>
      <c r="C1869" s="1" t="s">
        <v>3789</v>
      </c>
      <c r="D1869" s="2">
        <v>46120</v>
      </c>
      <c r="E1869" s="2">
        <v>46125</v>
      </c>
      <c r="F1869" s="1" t="s">
        <v>242</v>
      </c>
      <c r="G1869" s="1" t="s">
        <v>13</v>
      </c>
      <c r="H1869" s="1" t="s">
        <v>14</v>
      </c>
      <c r="I1869" s="7">
        <v>59.89</v>
      </c>
      <c r="J1869" s="1" t="s">
        <v>38</v>
      </c>
      <c r="K1869" s="1"/>
      <c r="L1869" s="1" t="s">
        <v>39</v>
      </c>
      <c r="M1869" s="1" t="str">
        <f>INDEX(MCC_Lookup!$B$2:$B$12,MATCH(G1869,MCC_Lookup!$A$2:$A$12,0))</f>
        <v>Software</v>
      </c>
      <c r="N1869" s="1" t="str">
        <f>IF(TRIM(H1869)="","BLANK",IF(PROPER(TRIM(H1869))=TRIM(M1869),"MATCH","MISMATCH"))</f>
        <v>MATCH</v>
      </c>
      <c r="O1869" s="5" t="str">
        <f>INDEX([1]Employee!$C$2:$C$276,MATCH(B1869,[1]Employee!$A$2:$A$276,0))</f>
        <v>Finance</v>
      </c>
    </row>
    <row r="1870" spans="1:15">
      <c r="A1870" s="1" t="s">
        <v>3790</v>
      </c>
      <c r="B1870" s="1" t="s">
        <v>2824</v>
      </c>
      <c r="C1870" s="1" t="s">
        <v>3791</v>
      </c>
      <c r="D1870" s="2">
        <v>46119</v>
      </c>
      <c r="E1870" s="2">
        <v>46125</v>
      </c>
      <c r="F1870" s="1" t="s">
        <v>99</v>
      </c>
      <c r="G1870" s="1" t="s">
        <v>2</v>
      </c>
      <c r="H1870" s="1" t="s">
        <v>3</v>
      </c>
      <c r="I1870" s="7">
        <v>111.24</v>
      </c>
      <c r="J1870" s="1" t="s">
        <v>38</v>
      </c>
      <c r="K1870" s="1"/>
      <c r="L1870" s="1" t="s">
        <v>39</v>
      </c>
      <c r="M1870" s="1" t="str">
        <f>INDEX(MCC_Lookup!$B$2:$B$12,MATCH(G1870,MCC_Lookup!$A$2:$A$12,0))</f>
        <v>Meals</v>
      </c>
      <c r="N1870" s="1" t="str">
        <f>IF(TRIM(H1870)="","BLANK",IF(PROPER(TRIM(H1870))=TRIM(M1870),"MATCH","MISMATCH"))</f>
        <v>MATCH</v>
      </c>
      <c r="O1870" s="5" t="str">
        <f>INDEX([1]Employee!$C$2:$C$276,MATCH(B1870,[1]Employee!$A$2:$A$276,0))</f>
        <v>Finance</v>
      </c>
    </row>
    <row r="1871" spans="1:15">
      <c r="A1871" s="1" t="s">
        <v>3792</v>
      </c>
      <c r="B1871" s="1" t="s">
        <v>448</v>
      </c>
      <c r="C1871" s="1" t="s">
        <v>3793</v>
      </c>
      <c r="D1871" s="2">
        <v>46123</v>
      </c>
      <c r="E1871" s="2">
        <v>46125</v>
      </c>
      <c r="F1871" s="1" t="s">
        <v>95</v>
      </c>
      <c r="G1871" s="1" t="s">
        <v>6</v>
      </c>
      <c r="H1871" s="1" t="s">
        <v>19</v>
      </c>
      <c r="I1871" s="7">
        <v>188.24</v>
      </c>
      <c r="J1871" s="1" t="s">
        <v>38</v>
      </c>
      <c r="K1871" s="1"/>
      <c r="L1871" s="1" t="s">
        <v>39</v>
      </c>
      <c r="M1871" s="1" t="str">
        <f>INDEX(MCC_Lookup!$B$2:$B$12,MATCH(G1871,MCC_Lookup!$A$2:$A$12,0))</f>
        <v>Lodging</v>
      </c>
      <c r="N1871" s="1" t="str">
        <f>IF(TRIM(H1871)="","BLANK",IF(PROPER(TRIM(H1871))=TRIM(M1871),"MATCH","MISMATCH"))</f>
        <v>MISMATCH</v>
      </c>
      <c r="O1871" s="5" t="str">
        <f>INDEX([1]Employee!$C$2:$C$276,MATCH(B1871,[1]Employee!$A$2:$A$276,0))</f>
        <v>Sales &amp; Marketing</v>
      </c>
    </row>
    <row r="1872" spans="1:15">
      <c r="A1872" s="1" t="s">
        <v>3794</v>
      </c>
      <c r="B1872" s="1" t="s">
        <v>224</v>
      </c>
      <c r="C1872" s="1"/>
      <c r="D1872" s="2">
        <v>46120</v>
      </c>
      <c r="E1872" s="2">
        <v>46125</v>
      </c>
      <c r="F1872" s="1" t="s">
        <v>173</v>
      </c>
      <c r="G1872" s="1" t="s">
        <v>2</v>
      </c>
      <c r="H1872" s="1" t="s">
        <v>3</v>
      </c>
      <c r="I1872" s="7">
        <v>46.62</v>
      </c>
      <c r="J1872" s="1" t="s">
        <v>111</v>
      </c>
      <c r="K1872" s="1" t="s">
        <v>112</v>
      </c>
      <c r="L1872" s="1" t="s">
        <v>39</v>
      </c>
      <c r="M1872" s="1" t="str">
        <f>INDEX(MCC_Lookup!$B$2:$B$12,MATCH(G1872,MCC_Lookup!$A$2:$A$12,0))</f>
        <v>Meals</v>
      </c>
      <c r="N1872" s="1" t="str">
        <f>IF(TRIM(H1872)="","BLANK",IF(PROPER(TRIM(H1872))=TRIM(M1872),"MATCH","MISMATCH"))</f>
        <v>MATCH</v>
      </c>
      <c r="O1872" s="5" t="str">
        <f>INDEX([1]Employee!$C$2:$C$276,MATCH(B1872,[1]Employee!$A$2:$A$276,0))</f>
        <v>Finance</v>
      </c>
    </row>
    <row r="1873" spans="1:15">
      <c r="A1873" s="1" t="s">
        <v>3795</v>
      </c>
      <c r="B1873" s="1" t="s">
        <v>255</v>
      </c>
      <c r="C1873" s="1"/>
      <c r="D1873" s="2">
        <v>46125</v>
      </c>
      <c r="E1873" s="2">
        <v>46125</v>
      </c>
      <c r="F1873" s="1" t="s">
        <v>92</v>
      </c>
      <c r="G1873" s="1" t="s">
        <v>10</v>
      </c>
      <c r="H1873" s="1" t="s">
        <v>11</v>
      </c>
      <c r="I1873" s="7">
        <v>127.2</v>
      </c>
      <c r="J1873" s="1" t="s">
        <v>38</v>
      </c>
      <c r="K1873" s="1"/>
      <c r="L1873" s="1" t="s">
        <v>39</v>
      </c>
      <c r="M1873" s="1" t="str">
        <f>INDEX(MCC_Lookup!$B$2:$B$12,MATCH(G1873,MCC_Lookup!$A$2:$A$12,0))</f>
        <v>Office Supplies</v>
      </c>
      <c r="N1873" s="1" t="str">
        <f>IF(TRIM(H1873)="","BLANK",IF(PROPER(TRIM(H1873))=TRIM(M1873),"MATCH","MISMATCH"))</f>
        <v>MATCH</v>
      </c>
      <c r="O1873" s="5" t="str">
        <f>INDEX([1]Employee!$C$2:$C$276,MATCH(B1873,[1]Employee!$A$2:$A$276,0))</f>
        <v>Claims</v>
      </c>
    </row>
    <row r="1874" spans="1:15">
      <c r="A1874" s="1" t="s">
        <v>3796</v>
      </c>
      <c r="B1874" s="1" t="s">
        <v>475</v>
      </c>
      <c r="C1874" s="1" t="s">
        <v>3797</v>
      </c>
      <c r="D1874" s="2">
        <v>46118</v>
      </c>
      <c r="E1874" s="2">
        <v>46125</v>
      </c>
      <c r="F1874" s="1" t="s">
        <v>83</v>
      </c>
      <c r="G1874" s="1" t="s">
        <v>2</v>
      </c>
      <c r="H1874" s="1" t="s">
        <v>3</v>
      </c>
      <c r="I1874" s="7">
        <v>23.94</v>
      </c>
      <c r="J1874" s="1" t="s">
        <v>38</v>
      </c>
      <c r="K1874" s="1"/>
      <c r="L1874" s="1" t="s">
        <v>39</v>
      </c>
      <c r="M1874" s="1" t="str">
        <f>INDEX(MCC_Lookup!$B$2:$B$12,MATCH(G1874,MCC_Lookup!$A$2:$A$12,0))</f>
        <v>Meals</v>
      </c>
      <c r="N1874" s="1" t="str">
        <f>IF(TRIM(H1874)="","BLANK",IF(PROPER(TRIM(H1874))=TRIM(M1874),"MATCH","MISMATCH"))</f>
        <v>MATCH</v>
      </c>
      <c r="O1874" s="5" t="str">
        <f>INDEX([1]Employee!$C$2:$C$276,MATCH(B1874,[1]Employee!$A$2:$A$276,0))</f>
        <v>Sales &amp; Marketing</v>
      </c>
    </row>
    <row r="1875" spans="1:15">
      <c r="A1875" s="1" t="s">
        <v>3798</v>
      </c>
      <c r="B1875" s="1" t="s">
        <v>469</v>
      </c>
      <c r="C1875" s="1"/>
      <c r="D1875" s="2">
        <v>46117</v>
      </c>
      <c r="E1875" s="2">
        <v>46125</v>
      </c>
      <c r="F1875" s="1" t="s">
        <v>259</v>
      </c>
      <c r="G1875" s="1" t="s">
        <v>20</v>
      </c>
      <c r="H1875" s="1" t="s">
        <v>19</v>
      </c>
      <c r="I1875" s="7">
        <v>342.35</v>
      </c>
      <c r="J1875" s="1" t="s">
        <v>111</v>
      </c>
      <c r="K1875" s="1" t="s">
        <v>127</v>
      </c>
      <c r="L1875" s="1" t="s">
        <v>39</v>
      </c>
      <c r="M1875" s="1" t="str">
        <f>INDEX(MCC_Lookup!$B$2:$B$12,MATCH(G1875,MCC_Lookup!$A$2:$A$12,0))</f>
        <v>Events</v>
      </c>
      <c r="N1875" s="1" t="str">
        <f>IF(TRIM(H1875)="","BLANK",IF(PROPER(TRIM(H1875))=TRIM(M1875),"MATCH","MISMATCH"))</f>
        <v>MATCH</v>
      </c>
      <c r="O1875" s="5" t="str">
        <f>INDEX([1]Employee!$C$2:$C$276,MATCH(B1875,[1]Employee!$A$2:$A$276,0))</f>
        <v>Sales &amp; Marketing</v>
      </c>
    </row>
    <row r="1876" spans="1:15">
      <c r="A1876" s="1" t="s">
        <v>3799</v>
      </c>
      <c r="B1876" s="1" t="s">
        <v>846</v>
      </c>
      <c r="C1876" s="1" t="s">
        <v>3800</v>
      </c>
      <c r="D1876" s="2">
        <v>46115</v>
      </c>
      <c r="E1876" s="2">
        <v>46125</v>
      </c>
      <c r="F1876" s="1" t="s">
        <v>120</v>
      </c>
      <c r="G1876" s="1" t="s">
        <v>12</v>
      </c>
      <c r="H1876" s="1" t="s">
        <v>11</v>
      </c>
      <c r="I1876" s="7">
        <v>131.71</v>
      </c>
      <c r="J1876" s="1" t="s">
        <v>38</v>
      </c>
      <c r="K1876" s="1"/>
      <c r="L1876" s="1" t="s">
        <v>39</v>
      </c>
      <c r="M1876" s="1" t="str">
        <f>INDEX(MCC_Lookup!$B$2:$B$12,MATCH(G1876,MCC_Lookup!$A$2:$A$12,0))</f>
        <v>Office Supplies</v>
      </c>
      <c r="N1876" s="1" t="str">
        <f>IF(TRIM(H1876)="","BLANK",IF(PROPER(TRIM(H1876))=TRIM(M1876),"MATCH","MISMATCH"))</f>
        <v>MATCH</v>
      </c>
      <c r="O1876" s="5" t="str">
        <f>INDEX([1]Employee!$C$2:$C$276,MATCH(B1876,[1]Employee!$A$2:$A$276,0))</f>
        <v>Sales &amp; Marketing</v>
      </c>
    </row>
    <row r="1877" spans="1:15">
      <c r="A1877" s="1" t="s">
        <v>3801</v>
      </c>
      <c r="B1877" s="1" t="s">
        <v>687</v>
      </c>
      <c r="C1877" s="1" t="s">
        <v>3802</v>
      </c>
      <c r="D1877" s="2">
        <v>46116</v>
      </c>
      <c r="E1877" s="2">
        <v>46125</v>
      </c>
      <c r="F1877" s="1" t="s">
        <v>83</v>
      </c>
      <c r="G1877" s="1" t="s">
        <v>2</v>
      </c>
      <c r="H1877" s="1" t="s">
        <v>3</v>
      </c>
      <c r="I1877" s="7">
        <v>13.84</v>
      </c>
      <c r="J1877" s="1" t="s">
        <v>38</v>
      </c>
      <c r="K1877" s="1"/>
      <c r="L1877" s="1" t="s">
        <v>39</v>
      </c>
      <c r="M1877" s="1" t="str">
        <f>INDEX(MCC_Lookup!$B$2:$B$12,MATCH(G1877,MCC_Lookup!$A$2:$A$12,0))</f>
        <v>Meals</v>
      </c>
      <c r="N1877" s="1" t="str">
        <f>IF(TRIM(H1877)="","BLANK",IF(PROPER(TRIM(H1877))=TRIM(M1877),"MATCH","MISMATCH"))</f>
        <v>MATCH</v>
      </c>
      <c r="O1877" s="5" t="str">
        <f>INDEX([1]Employee!$C$2:$C$276,MATCH(B1877,[1]Employee!$A$2:$A$276,0))</f>
        <v>Executive &amp; Corporate</v>
      </c>
    </row>
    <row r="1878" spans="1:15">
      <c r="A1878" s="1" t="s">
        <v>3803</v>
      </c>
      <c r="B1878" s="1" t="s">
        <v>1642</v>
      </c>
      <c r="C1878" s="1" t="s">
        <v>3804</v>
      </c>
      <c r="D1878" s="2">
        <v>46118</v>
      </c>
      <c r="E1878" s="2">
        <v>46125</v>
      </c>
      <c r="F1878" s="1" t="s">
        <v>173</v>
      </c>
      <c r="G1878" s="1" t="s">
        <v>2</v>
      </c>
      <c r="H1878" s="1" t="s">
        <v>3</v>
      </c>
      <c r="I1878" s="7">
        <v>85.09</v>
      </c>
      <c r="J1878" s="1" t="s">
        <v>38</v>
      </c>
      <c r="K1878" s="1"/>
      <c r="L1878" s="1" t="s">
        <v>39</v>
      </c>
      <c r="M1878" s="1" t="str">
        <f>INDEX(MCC_Lookup!$B$2:$B$12,MATCH(G1878,MCC_Lookup!$A$2:$A$12,0))</f>
        <v>Meals</v>
      </c>
      <c r="N1878" s="1" t="str">
        <f>IF(TRIM(H1878)="","BLANK",IF(PROPER(TRIM(H1878))=TRIM(M1878),"MATCH","MISMATCH"))</f>
        <v>MATCH</v>
      </c>
      <c r="O1878" s="5" t="str">
        <f>INDEX([1]Employee!$C$2:$C$276,MATCH(B1878,[1]Employee!$A$2:$A$276,0))</f>
        <v>Underwriting</v>
      </c>
    </row>
    <row r="1879" spans="1:15">
      <c r="A1879" s="1" t="s">
        <v>3805</v>
      </c>
      <c r="B1879" s="1" t="s">
        <v>149</v>
      </c>
      <c r="C1879" s="1" t="s">
        <v>3806</v>
      </c>
      <c r="D1879" s="2">
        <v>46115</v>
      </c>
      <c r="E1879" s="2">
        <v>46125</v>
      </c>
      <c r="F1879" s="1" t="s">
        <v>347</v>
      </c>
      <c r="G1879" s="1" t="s">
        <v>8</v>
      </c>
      <c r="H1879" s="1"/>
      <c r="I1879" s="7">
        <v>33.03</v>
      </c>
      <c r="J1879" s="1" t="s">
        <v>38</v>
      </c>
      <c r="K1879" s="1"/>
      <c r="L1879" s="1" t="s">
        <v>39</v>
      </c>
      <c r="M1879" s="1" t="str">
        <f>INDEX(MCC_Lookup!$B$2:$B$12,MATCH(G1879,MCC_Lookup!$A$2:$A$12,0))</f>
        <v>Transportation</v>
      </c>
      <c r="N1879" s="1" t="str">
        <f>IF(TRIM(H1879)="","BLANK",IF(PROPER(TRIM(H1879))=TRIM(M1879),"MATCH","MISMATCH"))</f>
        <v>BLANK</v>
      </c>
      <c r="O1879" s="5" t="str">
        <f>INDEX([1]Employee!$C$2:$C$276,MATCH(B1879,[1]Employee!$A$2:$A$276,0))</f>
        <v>Sales &amp; Marketing</v>
      </c>
    </row>
    <row r="1880" spans="1:15">
      <c r="A1880" s="1" t="s">
        <v>3807</v>
      </c>
      <c r="B1880" s="1" t="s">
        <v>149</v>
      </c>
      <c r="C1880" s="1" t="s">
        <v>3808</v>
      </c>
      <c r="D1880" s="2">
        <v>46115</v>
      </c>
      <c r="E1880" s="2">
        <v>46125</v>
      </c>
      <c r="F1880" s="1" t="s">
        <v>205</v>
      </c>
      <c r="G1880" s="1" t="s">
        <v>2</v>
      </c>
      <c r="H1880" s="1" t="s">
        <v>154</v>
      </c>
      <c r="I1880" s="7">
        <v>23.61</v>
      </c>
      <c r="J1880" s="1" t="s">
        <v>38</v>
      </c>
      <c r="K1880" s="1"/>
      <c r="L1880" s="1" t="s">
        <v>39</v>
      </c>
      <c r="M1880" s="1" t="str">
        <f>INDEX(MCC_Lookup!$B$2:$B$12,MATCH(G1880,MCC_Lookup!$A$2:$A$12,0))</f>
        <v>Meals</v>
      </c>
      <c r="N1880" s="1" t="str">
        <f>IF(TRIM(H1880)="","BLANK",IF(PROPER(TRIM(H1880))=TRIM(M1880),"MATCH","MISMATCH"))</f>
        <v>MATCH</v>
      </c>
      <c r="O1880" s="5" t="str">
        <f>INDEX([1]Employee!$C$2:$C$276,MATCH(B1880,[1]Employee!$A$2:$A$276,0))</f>
        <v>Sales &amp; Marketing</v>
      </c>
    </row>
    <row r="1881" spans="1:15">
      <c r="A1881" s="1" t="s">
        <v>3809</v>
      </c>
      <c r="B1881" s="1" t="s">
        <v>87</v>
      </c>
      <c r="C1881" s="1" t="s">
        <v>3810</v>
      </c>
      <c r="D1881" s="2">
        <v>46123</v>
      </c>
      <c r="E1881" s="2">
        <v>46125</v>
      </c>
      <c r="F1881" s="1" t="s">
        <v>259</v>
      </c>
      <c r="G1881" s="1" t="s">
        <v>20</v>
      </c>
      <c r="H1881" s="1" t="s">
        <v>19</v>
      </c>
      <c r="I1881" s="7">
        <v>604.74</v>
      </c>
      <c r="J1881" s="1" t="s">
        <v>38</v>
      </c>
      <c r="K1881" s="1"/>
      <c r="L1881" s="1" t="s">
        <v>39</v>
      </c>
      <c r="M1881" s="1" t="str">
        <f>INDEX(MCC_Lookup!$B$2:$B$12,MATCH(G1881,MCC_Lookup!$A$2:$A$12,0))</f>
        <v>Events</v>
      </c>
      <c r="N1881" s="1" t="str">
        <f>IF(TRIM(H1881)="","BLANK",IF(PROPER(TRIM(H1881))=TRIM(M1881),"MATCH","MISMATCH"))</f>
        <v>MATCH</v>
      </c>
      <c r="O1881" s="5" t="str">
        <f>INDEX([1]Employee!$C$2:$C$276,MATCH(B1881,[1]Employee!$A$2:$A$276,0))</f>
        <v>HR &amp; Events</v>
      </c>
    </row>
    <row r="1882" spans="1:15">
      <c r="A1882" s="1" t="s">
        <v>3811</v>
      </c>
      <c r="B1882" s="1" t="s">
        <v>1107</v>
      </c>
      <c r="C1882" s="1" t="s">
        <v>3812</v>
      </c>
      <c r="D1882" s="2">
        <v>46116</v>
      </c>
      <c r="E1882" s="2">
        <v>46125</v>
      </c>
      <c r="F1882" s="1" t="s">
        <v>52</v>
      </c>
      <c r="G1882" s="1" t="s">
        <v>15</v>
      </c>
      <c r="H1882" s="1" t="s">
        <v>16</v>
      </c>
      <c r="I1882" s="7">
        <v>37.06</v>
      </c>
      <c r="J1882" s="1" t="s">
        <v>38</v>
      </c>
      <c r="K1882" s="1"/>
      <c r="L1882" s="1" t="s">
        <v>39</v>
      </c>
      <c r="M1882" s="1" t="str">
        <f>INDEX(MCC_Lookup!$B$2:$B$12,MATCH(G1882,MCC_Lookup!$A$2:$A$12,0))</f>
        <v>Entertainment</v>
      </c>
      <c r="N1882" s="1" t="str">
        <f>IF(TRIM(H1882)="","BLANK",IF(PROPER(TRIM(H1882))=TRIM(M1882),"MATCH","MISMATCH"))</f>
        <v>MATCH</v>
      </c>
      <c r="O1882" s="5" t="str">
        <f>INDEX([1]Employee!$C$2:$C$276,MATCH(B1882,[1]Employee!$A$2:$A$276,0))</f>
        <v>Claims</v>
      </c>
    </row>
    <row r="1883" spans="1:15">
      <c r="A1883" s="1" t="s">
        <v>3813</v>
      </c>
      <c r="B1883" s="1" t="s">
        <v>81</v>
      </c>
      <c r="C1883" s="1" t="s">
        <v>3814</v>
      </c>
      <c r="D1883" s="2">
        <v>46122</v>
      </c>
      <c r="E1883" s="2">
        <v>46125</v>
      </c>
      <c r="F1883" s="1" t="s">
        <v>160</v>
      </c>
      <c r="G1883" s="1" t="s">
        <v>6</v>
      </c>
      <c r="H1883" s="1" t="s">
        <v>3</v>
      </c>
      <c r="I1883" s="7">
        <v>461.61</v>
      </c>
      <c r="J1883" s="1" t="s">
        <v>38</v>
      </c>
      <c r="K1883" s="1"/>
      <c r="L1883" s="1" t="s">
        <v>39</v>
      </c>
      <c r="M1883" s="1" t="str">
        <f>INDEX(MCC_Lookup!$B$2:$B$12,MATCH(G1883,MCC_Lookup!$A$2:$A$12,0))</f>
        <v>Lodging</v>
      </c>
      <c r="N1883" s="1" t="str">
        <f>IF(TRIM(H1883)="","BLANK",IF(PROPER(TRIM(H1883))=TRIM(M1883),"MATCH","MISMATCH"))</f>
        <v>MISMATCH</v>
      </c>
      <c r="O1883" s="5" t="str">
        <f>INDEX([1]Employee!$C$2:$C$276,MATCH(B1883,[1]Employee!$A$2:$A$276,0))</f>
        <v>Sales &amp; Marketing</v>
      </c>
    </row>
    <row r="1884" spans="1:15">
      <c r="A1884" s="1" t="s">
        <v>3815</v>
      </c>
      <c r="B1884" s="1" t="s">
        <v>1175</v>
      </c>
      <c r="C1884" s="1" t="s">
        <v>3816</v>
      </c>
      <c r="D1884" s="2">
        <v>46125</v>
      </c>
      <c r="E1884" s="2">
        <v>46126</v>
      </c>
      <c r="F1884" s="1" t="s">
        <v>65</v>
      </c>
      <c r="G1884" s="1" t="s">
        <v>18</v>
      </c>
      <c r="H1884" s="1" t="s">
        <v>19</v>
      </c>
      <c r="I1884" s="7">
        <v>214.9</v>
      </c>
      <c r="J1884" s="1" t="s">
        <v>38</v>
      </c>
      <c r="K1884" s="1"/>
      <c r="L1884" s="1" t="s">
        <v>39</v>
      </c>
      <c r="M1884" s="1" t="str">
        <f>INDEX(MCC_Lookup!$B$2:$B$12,MATCH(G1884,MCC_Lookup!$A$2:$A$12,0))</f>
        <v>Events</v>
      </c>
      <c r="N1884" s="1" t="str">
        <f>IF(TRIM(H1884)="","BLANK",IF(PROPER(TRIM(H1884))=TRIM(M1884),"MATCH","MISMATCH"))</f>
        <v>MATCH</v>
      </c>
      <c r="O1884" s="5" t="str">
        <f>INDEX([1]Employee!$C$2:$C$276,MATCH(B1884,[1]Employee!$A$2:$A$276,0))</f>
        <v>Underwriting</v>
      </c>
    </row>
    <row r="1885" spans="1:15">
      <c r="A1885" s="1" t="s">
        <v>3817</v>
      </c>
      <c r="B1885" s="1" t="s">
        <v>1552</v>
      </c>
      <c r="C1885" s="1" t="s">
        <v>3818</v>
      </c>
      <c r="D1885" s="2">
        <v>46124</v>
      </c>
      <c r="E1885" s="2">
        <v>46126</v>
      </c>
      <c r="F1885" s="1" t="s">
        <v>160</v>
      </c>
      <c r="G1885" s="1" t="s">
        <v>6</v>
      </c>
      <c r="H1885" s="1" t="s">
        <v>7</v>
      </c>
      <c r="I1885" s="7">
        <v>415.92</v>
      </c>
      <c r="J1885" s="1" t="s">
        <v>38</v>
      </c>
      <c r="K1885" s="1"/>
      <c r="L1885" s="1" t="s">
        <v>39</v>
      </c>
      <c r="M1885" s="1" t="str">
        <f>INDEX(MCC_Lookup!$B$2:$B$12,MATCH(G1885,MCC_Lookup!$A$2:$A$12,0))</f>
        <v>Lodging</v>
      </c>
      <c r="N1885" s="1" t="str">
        <f>IF(TRIM(H1885)="","BLANK",IF(PROPER(TRIM(H1885))=TRIM(M1885),"MATCH","MISMATCH"))</f>
        <v>MATCH</v>
      </c>
      <c r="O1885" s="5" t="str">
        <f>INDEX([1]Employee!$C$2:$C$276,MATCH(B1885,[1]Employee!$A$2:$A$276,0))</f>
        <v>Underwriting</v>
      </c>
    </row>
    <row r="1886" spans="1:15">
      <c r="A1886" s="1" t="s">
        <v>3819</v>
      </c>
      <c r="B1886" s="1" t="s">
        <v>216</v>
      </c>
      <c r="C1886" s="1" t="s">
        <v>3820</v>
      </c>
      <c r="D1886" s="2">
        <v>46126</v>
      </c>
      <c r="E1886" s="2">
        <v>46126</v>
      </c>
      <c r="F1886" s="1" t="s">
        <v>56</v>
      </c>
      <c r="G1886" s="1" t="s">
        <v>4</v>
      </c>
      <c r="H1886" s="1" t="s">
        <v>5</v>
      </c>
      <c r="I1886" s="7">
        <v>205.12</v>
      </c>
      <c r="J1886" s="1" t="s">
        <v>38</v>
      </c>
      <c r="K1886" s="1"/>
      <c r="L1886" s="1" t="s">
        <v>48</v>
      </c>
      <c r="M1886" s="1" t="str">
        <f>INDEX(MCC_Lookup!$B$2:$B$12,MATCH(G1886,MCC_Lookup!$A$2:$A$12,0))</f>
        <v>Travel</v>
      </c>
      <c r="N1886" s="1" t="str">
        <f>IF(TRIM(H1886)="","BLANK",IF(PROPER(TRIM(H1886))=TRIM(M1886),"MATCH","MISMATCH"))</f>
        <v>MATCH</v>
      </c>
      <c r="O1886" s="5" t="str">
        <f>INDEX([1]Employee!$C$2:$C$276,MATCH(B1886,[1]Employee!$A$2:$A$276,0))</f>
        <v>Sales &amp; Marketing</v>
      </c>
    </row>
    <row r="1887" spans="1:15">
      <c r="A1887" s="1" t="s">
        <v>3821</v>
      </c>
      <c r="B1887" s="1" t="s">
        <v>317</v>
      </c>
      <c r="C1887" s="1" t="s">
        <v>3822</v>
      </c>
      <c r="D1887" s="2">
        <v>46121</v>
      </c>
      <c r="E1887" s="2">
        <v>46126</v>
      </c>
      <c r="F1887" s="1" t="s">
        <v>201</v>
      </c>
      <c r="G1887" s="1" t="s">
        <v>4</v>
      </c>
      <c r="H1887" s="1" t="s">
        <v>57</v>
      </c>
      <c r="I1887" s="7">
        <v>340.13</v>
      </c>
      <c r="J1887" s="1" t="s">
        <v>38</v>
      </c>
      <c r="K1887" s="1"/>
      <c r="L1887" s="1" t="s">
        <v>39</v>
      </c>
      <c r="M1887" s="1" t="str">
        <f>INDEX(MCC_Lookup!$B$2:$B$12,MATCH(G1887,MCC_Lookup!$A$2:$A$12,0))</f>
        <v>Travel</v>
      </c>
      <c r="N1887" s="1" t="str">
        <f>IF(TRIM(H1887)="","BLANK",IF(PROPER(TRIM(H1887))=TRIM(M1887),"MATCH","MISMATCH"))</f>
        <v>MATCH</v>
      </c>
      <c r="O1887" s="5" t="str">
        <f>INDEX([1]Employee!$C$2:$C$276,MATCH(B1887,[1]Employee!$A$2:$A$276,0))</f>
        <v>Sales &amp; Marketing</v>
      </c>
    </row>
    <row r="1888" spans="1:15">
      <c r="A1888" s="1" t="s">
        <v>3823</v>
      </c>
      <c r="B1888" s="1" t="s">
        <v>104</v>
      </c>
      <c r="C1888" s="1"/>
      <c r="D1888" s="2">
        <v>46116</v>
      </c>
      <c r="E1888" s="2">
        <v>46126</v>
      </c>
      <c r="F1888" s="1" t="s">
        <v>124</v>
      </c>
      <c r="G1888" s="1" t="s">
        <v>17</v>
      </c>
      <c r="H1888" s="1"/>
      <c r="I1888" s="7">
        <v>96.94</v>
      </c>
      <c r="J1888" s="1" t="s">
        <v>111</v>
      </c>
      <c r="K1888" s="1" t="s">
        <v>229</v>
      </c>
      <c r="L1888" s="1" t="s">
        <v>39</v>
      </c>
      <c r="M1888" s="1" t="str">
        <f>INDEX(MCC_Lookup!$B$2:$B$12,MATCH(G1888,MCC_Lookup!$A$2:$A$12,0))</f>
        <v>Entertainment</v>
      </c>
      <c r="N1888" s="1" t="str">
        <f>IF(TRIM(H1888)="","BLANK",IF(PROPER(TRIM(H1888))=TRIM(M1888),"MATCH","MISMATCH"))</f>
        <v>BLANK</v>
      </c>
      <c r="O1888" s="5" t="str">
        <f>INDEX([1]Employee!$C$2:$C$276,MATCH(B1888,[1]Employee!$A$2:$A$276,0))</f>
        <v>Sales &amp; Marketing</v>
      </c>
    </row>
    <row r="1889" spans="1:15">
      <c r="A1889" s="1" t="s">
        <v>3824</v>
      </c>
      <c r="B1889" s="1" t="s">
        <v>3825</v>
      </c>
      <c r="C1889" s="1"/>
      <c r="D1889" s="2">
        <v>46118</v>
      </c>
      <c r="E1889" s="2">
        <v>46126</v>
      </c>
      <c r="F1889" s="1" t="s">
        <v>309</v>
      </c>
      <c r="G1889" s="1" t="s">
        <v>6</v>
      </c>
      <c r="H1889" s="1" t="s">
        <v>7</v>
      </c>
      <c r="I1889" s="7">
        <v>425.83</v>
      </c>
      <c r="J1889" s="1" t="s">
        <v>38</v>
      </c>
      <c r="K1889" s="1"/>
      <c r="L1889" s="1" t="s">
        <v>39</v>
      </c>
      <c r="M1889" s="1" t="str">
        <f>INDEX(MCC_Lookup!$B$2:$B$12,MATCH(G1889,MCC_Lookup!$A$2:$A$12,0))</f>
        <v>Lodging</v>
      </c>
      <c r="N1889" s="1" t="str">
        <f>IF(TRIM(H1889)="","BLANK",IF(PROPER(TRIM(H1889))=TRIM(M1889),"MATCH","MISMATCH"))</f>
        <v>MATCH</v>
      </c>
      <c r="O1889" s="5" t="str">
        <f>INDEX([1]Employee!$C$2:$C$276,MATCH(B1889,[1]Employee!$A$2:$A$276,0))</f>
        <v>Customer Support</v>
      </c>
    </row>
    <row r="1890" spans="1:15">
      <c r="A1890" s="1" t="s">
        <v>3826</v>
      </c>
      <c r="B1890" s="1" t="s">
        <v>475</v>
      </c>
      <c r="C1890" s="1" t="s">
        <v>3827</v>
      </c>
      <c r="D1890" s="2">
        <v>46126</v>
      </c>
      <c r="E1890" s="2">
        <v>46126</v>
      </c>
      <c r="F1890" s="1" t="s">
        <v>76</v>
      </c>
      <c r="G1890" s="1" t="s">
        <v>13</v>
      </c>
      <c r="H1890" s="1" t="s">
        <v>14</v>
      </c>
      <c r="I1890" s="7">
        <v>197.21</v>
      </c>
      <c r="J1890" s="1" t="s">
        <v>38</v>
      </c>
      <c r="K1890" s="1"/>
      <c r="L1890" s="1" t="s">
        <v>39</v>
      </c>
      <c r="M1890" s="1" t="str">
        <f>INDEX(MCC_Lookup!$B$2:$B$12,MATCH(G1890,MCC_Lookup!$A$2:$A$12,0))</f>
        <v>Software</v>
      </c>
      <c r="N1890" s="1" t="str">
        <f>IF(TRIM(H1890)="","BLANK",IF(PROPER(TRIM(H1890))=TRIM(M1890),"MATCH","MISMATCH"))</f>
        <v>MATCH</v>
      </c>
      <c r="O1890" s="5" t="str">
        <f>INDEX([1]Employee!$C$2:$C$276,MATCH(B1890,[1]Employee!$A$2:$A$276,0))</f>
        <v>Sales &amp; Marketing</v>
      </c>
    </row>
    <row r="1891" spans="1:15">
      <c r="A1891" s="1" t="s">
        <v>3828</v>
      </c>
      <c r="B1891" s="1" t="s">
        <v>244</v>
      </c>
      <c r="C1891" s="1" t="s">
        <v>3829</v>
      </c>
      <c r="D1891" s="2">
        <v>46121</v>
      </c>
      <c r="E1891" s="2">
        <v>46126</v>
      </c>
      <c r="F1891" s="1" t="s">
        <v>52</v>
      </c>
      <c r="G1891" s="1" t="s">
        <v>15</v>
      </c>
      <c r="H1891" s="1" t="s">
        <v>16</v>
      </c>
      <c r="I1891" s="7">
        <v>33.130000000000003</v>
      </c>
      <c r="J1891" s="1" t="s">
        <v>38</v>
      </c>
      <c r="K1891" s="1"/>
      <c r="L1891" s="1" t="s">
        <v>39</v>
      </c>
      <c r="M1891" s="1" t="str">
        <f>INDEX(MCC_Lookup!$B$2:$B$12,MATCH(G1891,MCC_Lookup!$A$2:$A$12,0))</f>
        <v>Entertainment</v>
      </c>
      <c r="N1891" s="1" t="str">
        <f>IF(TRIM(H1891)="","BLANK",IF(PROPER(TRIM(H1891))=TRIM(M1891),"MATCH","MISMATCH"))</f>
        <v>MATCH</v>
      </c>
      <c r="O1891" s="5" t="str">
        <f>INDEX([1]Employee!$C$2:$C$276,MATCH(B1891,[1]Employee!$A$2:$A$276,0))</f>
        <v>Sales &amp; Marketing</v>
      </c>
    </row>
    <row r="1892" spans="1:15">
      <c r="A1892" s="1" t="s">
        <v>3830</v>
      </c>
      <c r="B1892" s="1" t="s">
        <v>597</v>
      </c>
      <c r="C1892" s="1"/>
      <c r="D1892" s="2">
        <v>46125</v>
      </c>
      <c r="E1892" s="2">
        <v>46126</v>
      </c>
      <c r="F1892" s="1" t="s">
        <v>106</v>
      </c>
      <c r="G1892" s="1" t="s">
        <v>13</v>
      </c>
      <c r="H1892" s="1" t="s">
        <v>14</v>
      </c>
      <c r="I1892" s="7">
        <v>183.48</v>
      </c>
      <c r="J1892" s="1" t="s">
        <v>38</v>
      </c>
      <c r="K1892" s="1"/>
      <c r="L1892" s="1" t="s">
        <v>39</v>
      </c>
      <c r="M1892" s="1" t="str">
        <f>INDEX(MCC_Lookup!$B$2:$B$12,MATCH(G1892,MCC_Lookup!$A$2:$A$12,0))</f>
        <v>Software</v>
      </c>
      <c r="N1892" s="1" t="str">
        <f>IF(TRIM(H1892)="","BLANK",IF(PROPER(TRIM(H1892))=TRIM(M1892),"MATCH","MISMATCH"))</f>
        <v>MATCH</v>
      </c>
      <c r="O1892" s="5" t="str">
        <f>INDEX([1]Employee!$C$2:$C$276,MATCH(B1892,[1]Employee!$A$2:$A$276,0))</f>
        <v>Sales &amp; Marketing</v>
      </c>
    </row>
    <row r="1893" spans="1:15">
      <c r="A1893" s="1" t="s">
        <v>3831</v>
      </c>
      <c r="B1893" s="1" t="s">
        <v>597</v>
      </c>
      <c r="C1893" s="1"/>
      <c r="D1893" s="2">
        <v>46116</v>
      </c>
      <c r="E1893" s="2">
        <v>46126</v>
      </c>
      <c r="F1893" s="1" t="s">
        <v>116</v>
      </c>
      <c r="G1893" s="1" t="s">
        <v>2</v>
      </c>
      <c r="H1893" s="1" t="s">
        <v>3</v>
      </c>
      <c r="I1893" s="7">
        <v>9.8800000000000008</v>
      </c>
      <c r="J1893" s="1" t="s">
        <v>38</v>
      </c>
      <c r="K1893" s="1"/>
      <c r="L1893" s="1" t="s">
        <v>39</v>
      </c>
      <c r="M1893" s="1" t="str">
        <f>INDEX(MCC_Lookup!$B$2:$B$12,MATCH(G1893,MCC_Lookup!$A$2:$A$12,0))</f>
        <v>Meals</v>
      </c>
      <c r="N1893" s="1" t="str">
        <f>IF(TRIM(H1893)="","BLANK",IF(PROPER(TRIM(H1893))=TRIM(M1893),"MATCH","MISMATCH"))</f>
        <v>MATCH</v>
      </c>
      <c r="O1893" s="5" t="str">
        <f>INDEX([1]Employee!$C$2:$C$276,MATCH(B1893,[1]Employee!$A$2:$A$276,0))</f>
        <v>Sales &amp; Marketing</v>
      </c>
    </row>
    <row r="1894" spans="1:15">
      <c r="A1894" s="1" t="s">
        <v>3832</v>
      </c>
      <c r="B1894" s="1" t="s">
        <v>129</v>
      </c>
      <c r="C1894" s="1" t="s">
        <v>3833</v>
      </c>
      <c r="D1894" s="2">
        <v>46116</v>
      </c>
      <c r="E1894" s="2">
        <v>46126</v>
      </c>
      <c r="F1894" s="1" t="s">
        <v>99</v>
      </c>
      <c r="G1894" s="1" t="s">
        <v>2</v>
      </c>
      <c r="H1894" s="1" t="s">
        <v>3</v>
      </c>
      <c r="I1894" s="7">
        <v>69.989999999999995</v>
      </c>
      <c r="J1894" s="1" t="s">
        <v>38</v>
      </c>
      <c r="K1894" s="1"/>
      <c r="L1894" s="1" t="s">
        <v>39</v>
      </c>
      <c r="M1894" s="1" t="str">
        <f>INDEX(MCC_Lookup!$B$2:$B$12,MATCH(G1894,MCC_Lookup!$A$2:$A$12,0))</f>
        <v>Meals</v>
      </c>
      <c r="N1894" s="1" t="str">
        <f>IF(TRIM(H1894)="","BLANK",IF(PROPER(TRIM(H1894))=TRIM(M1894),"MATCH","MISMATCH"))</f>
        <v>MATCH</v>
      </c>
      <c r="O1894" s="5" t="str">
        <f>INDEX([1]Employee!$C$2:$C$276,MATCH(B1894,[1]Employee!$A$2:$A$276,0))</f>
        <v>Sales &amp; Marketing</v>
      </c>
    </row>
    <row r="1895" spans="1:15">
      <c r="A1895" s="1" t="s">
        <v>3834</v>
      </c>
      <c r="B1895" s="1" t="s">
        <v>129</v>
      </c>
      <c r="C1895" s="1" t="s">
        <v>3835</v>
      </c>
      <c r="D1895" s="2">
        <v>46122</v>
      </c>
      <c r="E1895" s="2">
        <v>46126</v>
      </c>
      <c r="F1895" s="1" t="s">
        <v>79</v>
      </c>
      <c r="G1895" s="1" t="s">
        <v>13</v>
      </c>
      <c r="H1895" s="1" t="s">
        <v>14</v>
      </c>
      <c r="I1895" s="7">
        <v>93.6</v>
      </c>
      <c r="J1895" s="1" t="s">
        <v>38</v>
      </c>
      <c r="K1895" s="1"/>
      <c r="L1895" s="1" t="s">
        <v>39</v>
      </c>
      <c r="M1895" s="1" t="str">
        <f>INDEX(MCC_Lookup!$B$2:$B$12,MATCH(G1895,MCC_Lookup!$A$2:$A$12,0))</f>
        <v>Software</v>
      </c>
      <c r="N1895" s="1" t="str">
        <f>IF(TRIM(H1895)="","BLANK",IF(PROPER(TRIM(H1895))=TRIM(M1895),"MATCH","MISMATCH"))</f>
        <v>MATCH</v>
      </c>
      <c r="O1895" s="5" t="str">
        <f>INDEX([1]Employee!$C$2:$C$276,MATCH(B1895,[1]Employee!$A$2:$A$276,0))</f>
        <v>Sales &amp; Marketing</v>
      </c>
    </row>
    <row r="1896" spans="1:15">
      <c r="A1896" s="1" t="s">
        <v>3836</v>
      </c>
      <c r="B1896" s="1" t="s">
        <v>50</v>
      </c>
      <c r="C1896" s="1" t="s">
        <v>3837</v>
      </c>
      <c r="D1896" s="2">
        <v>46118</v>
      </c>
      <c r="E1896" s="2">
        <v>46126</v>
      </c>
      <c r="F1896" s="1" t="s">
        <v>79</v>
      </c>
      <c r="G1896" s="1" t="s">
        <v>13</v>
      </c>
      <c r="H1896" s="1" t="s">
        <v>192</v>
      </c>
      <c r="I1896" s="7">
        <v>155.38</v>
      </c>
      <c r="J1896" s="1" t="s">
        <v>38</v>
      </c>
      <c r="K1896" s="1"/>
      <c r="L1896" s="1" t="s">
        <v>39</v>
      </c>
      <c r="M1896" s="1" t="str">
        <f>INDEX(MCC_Lookup!$B$2:$B$12,MATCH(G1896,MCC_Lookup!$A$2:$A$12,0))</f>
        <v>Software</v>
      </c>
      <c r="N1896" s="1" t="str">
        <f>IF(TRIM(H1896)="","BLANK",IF(PROPER(TRIM(H1896))=TRIM(M1896),"MATCH","MISMATCH"))</f>
        <v>MATCH</v>
      </c>
      <c r="O1896" s="5" t="str">
        <f>INDEX([1]Employee!$C$2:$C$276,MATCH(B1896,[1]Employee!$A$2:$A$276,0))</f>
        <v>Sales &amp; Marketing</v>
      </c>
    </row>
    <row r="1897" spans="1:15">
      <c r="A1897" s="1" t="s">
        <v>3838</v>
      </c>
      <c r="B1897" s="1" t="s">
        <v>512</v>
      </c>
      <c r="C1897" s="1" t="s">
        <v>3839</v>
      </c>
      <c r="D1897" s="2">
        <v>46121</v>
      </c>
      <c r="E1897" s="2">
        <v>46126</v>
      </c>
      <c r="F1897" s="1" t="s">
        <v>106</v>
      </c>
      <c r="G1897" s="1" t="s">
        <v>13</v>
      </c>
      <c r="H1897" s="1" t="s">
        <v>470</v>
      </c>
      <c r="I1897" s="7">
        <v>164.15</v>
      </c>
      <c r="J1897" s="1" t="s">
        <v>38</v>
      </c>
      <c r="K1897" s="1"/>
      <c r="L1897" s="1" t="s">
        <v>39</v>
      </c>
      <c r="M1897" s="1" t="str">
        <f>INDEX(MCC_Lookup!$B$2:$B$12,MATCH(G1897,MCC_Lookup!$A$2:$A$12,0))</f>
        <v>Software</v>
      </c>
      <c r="N1897" s="1" t="str">
        <f>IF(TRIM(H1897)="","BLANK",IF(PROPER(TRIM(H1897))=TRIM(M1897),"MATCH","MISMATCH"))</f>
        <v>MATCH</v>
      </c>
      <c r="O1897" s="5" t="str">
        <f>INDEX([1]Employee!$C$2:$C$276,MATCH(B1897,[1]Employee!$A$2:$A$276,0))</f>
        <v>Sales &amp; Marketing</v>
      </c>
    </row>
    <row r="1898" spans="1:15">
      <c r="A1898" s="1" t="s">
        <v>3840</v>
      </c>
      <c r="B1898" s="1" t="s">
        <v>182</v>
      </c>
      <c r="C1898" s="1" t="s">
        <v>3841</v>
      </c>
      <c r="D1898" s="2">
        <v>46121</v>
      </c>
      <c r="E1898" s="2">
        <v>46126</v>
      </c>
      <c r="F1898" s="1" t="s">
        <v>69</v>
      </c>
      <c r="G1898" s="1" t="s">
        <v>8</v>
      </c>
      <c r="H1898" s="1" t="s">
        <v>9</v>
      </c>
      <c r="I1898" s="7">
        <v>39.97</v>
      </c>
      <c r="J1898" s="1" t="s">
        <v>38</v>
      </c>
      <c r="K1898" s="1"/>
      <c r="L1898" s="1" t="s">
        <v>39</v>
      </c>
      <c r="M1898" s="1" t="str">
        <f>INDEX(MCC_Lookup!$B$2:$B$12,MATCH(G1898,MCC_Lookup!$A$2:$A$12,0))</f>
        <v>Transportation</v>
      </c>
      <c r="N1898" s="1" t="str">
        <f>IF(TRIM(H1898)="","BLANK",IF(PROPER(TRIM(H1898))=TRIM(M1898),"MATCH","MISMATCH"))</f>
        <v>MATCH</v>
      </c>
      <c r="O1898" s="5" t="str">
        <f>INDEX([1]Employee!$C$2:$C$276,MATCH(B1898,[1]Employee!$A$2:$A$276,0))</f>
        <v>Sales &amp; Marketing</v>
      </c>
    </row>
    <row r="1899" spans="1:15">
      <c r="A1899" s="1" t="s">
        <v>3842</v>
      </c>
      <c r="B1899" s="1" t="s">
        <v>1302</v>
      </c>
      <c r="C1899" s="1" t="s">
        <v>3843</v>
      </c>
      <c r="D1899" s="2">
        <v>46118</v>
      </c>
      <c r="E1899" s="2">
        <v>46126</v>
      </c>
      <c r="F1899" s="1" t="s">
        <v>120</v>
      </c>
      <c r="G1899" s="1" t="s">
        <v>12</v>
      </c>
      <c r="H1899" s="1" t="s">
        <v>11</v>
      </c>
      <c r="I1899" s="7">
        <v>374.88</v>
      </c>
      <c r="J1899" s="1" t="s">
        <v>38</v>
      </c>
      <c r="K1899" s="1"/>
      <c r="L1899" s="1" t="s">
        <v>39</v>
      </c>
      <c r="M1899" s="1" t="str">
        <f>INDEX(MCC_Lookup!$B$2:$B$12,MATCH(G1899,MCC_Lookup!$A$2:$A$12,0))</f>
        <v>Office Supplies</v>
      </c>
      <c r="N1899" s="1" t="str">
        <f>IF(TRIM(H1899)="","BLANK",IF(PROPER(TRIM(H1899))=TRIM(M1899),"MATCH","MISMATCH"))</f>
        <v>MATCH</v>
      </c>
      <c r="O1899" s="5" t="str">
        <f>INDEX([1]Employee!$C$2:$C$276,MATCH(B1899,[1]Employee!$A$2:$A$276,0))</f>
        <v>HR &amp; Events</v>
      </c>
    </row>
    <row r="1900" spans="1:15">
      <c r="A1900" s="1" t="s">
        <v>3844</v>
      </c>
      <c r="B1900" s="1" t="s">
        <v>1302</v>
      </c>
      <c r="C1900" s="1" t="s">
        <v>3845</v>
      </c>
      <c r="D1900" s="2">
        <v>46126</v>
      </c>
      <c r="E1900" s="2">
        <v>46126</v>
      </c>
      <c r="F1900" s="1" t="s">
        <v>173</v>
      </c>
      <c r="G1900" s="1" t="s">
        <v>2</v>
      </c>
      <c r="H1900" s="1" t="s">
        <v>154</v>
      </c>
      <c r="I1900" s="7">
        <v>75.069999999999993</v>
      </c>
      <c r="J1900" s="1" t="s">
        <v>38</v>
      </c>
      <c r="K1900" s="1"/>
      <c r="L1900" s="1" t="s">
        <v>39</v>
      </c>
      <c r="M1900" s="1" t="str">
        <f>INDEX(MCC_Lookup!$B$2:$B$12,MATCH(G1900,MCC_Lookup!$A$2:$A$12,0))</f>
        <v>Meals</v>
      </c>
      <c r="N1900" s="1" t="str">
        <f>IF(TRIM(H1900)="","BLANK",IF(PROPER(TRIM(H1900))=TRIM(M1900),"MATCH","MISMATCH"))</f>
        <v>MATCH</v>
      </c>
      <c r="O1900" s="5" t="str">
        <f>INDEX([1]Employee!$C$2:$C$276,MATCH(B1900,[1]Employee!$A$2:$A$276,0))</f>
        <v>HR &amp; Events</v>
      </c>
    </row>
    <row r="1901" spans="1:15">
      <c r="A1901" s="1" t="s">
        <v>3846</v>
      </c>
      <c r="B1901" s="1" t="s">
        <v>1488</v>
      </c>
      <c r="C1901" s="1" t="s">
        <v>3847</v>
      </c>
      <c r="D1901" s="2">
        <v>46119</v>
      </c>
      <c r="E1901" s="2">
        <v>46127</v>
      </c>
      <c r="F1901" s="1" t="s">
        <v>79</v>
      </c>
      <c r="G1901" s="1" t="s">
        <v>13</v>
      </c>
      <c r="H1901" s="1" t="s">
        <v>14</v>
      </c>
      <c r="I1901" s="7">
        <v>223.73</v>
      </c>
      <c r="J1901" s="1" t="s">
        <v>38</v>
      </c>
      <c r="K1901" s="1"/>
      <c r="L1901" s="1" t="s">
        <v>39</v>
      </c>
      <c r="M1901" s="1" t="str">
        <f>INDEX(MCC_Lookup!$B$2:$B$12,MATCH(G1901,MCC_Lookup!$A$2:$A$12,0))</f>
        <v>Software</v>
      </c>
      <c r="N1901" s="1" t="str">
        <f>IF(TRIM(H1901)="","BLANK",IF(PROPER(TRIM(H1901))=TRIM(M1901),"MATCH","MISMATCH"))</f>
        <v>MATCH</v>
      </c>
      <c r="O1901" s="5" t="str">
        <f>INDEX([1]Employee!$C$2:$C$276,MATCH(B1901,[1]Employee!$A$2:$A$276,0))</f>
        <v>Claims</v>
      </c>
    </row>
    <row r="1902" spans="1:15">
      <c r="A1902" s="1" t="s">
        <v>3848</v>
      </c>
      <c r="B1902" s="1" t="s">
        <v>129</v>
      </c>
      <c r="C1902" s="1"/>
      <c r="D1902" s="2">
        <v>46119</v>
      </c>
      <c r="E1902" s="2">
        <v>46127</v>
      </c>
      <c r="F1902" s="1" t="s">
        <v>106</v>
      </c>
      <c r="G1902" s="1" t="s">
        <v>13</v>
      </c>
      <c r="H1902" s="1" t="s">
        <v>14</v>
      </c>
      <c r="I1902" s="7">
        <v>156.15</v>
      </c>
      <c r="J1902" s="1" t="s">
        <v>38</v>
      </c>
      <c r="K1902" s="1"/>
      <c r="L1902" s="1" t="s">
        <v>39</v>
      </c>
      <c r="M1902" s="1" t="str">
        <f>INDEX(MCC_Lookup!$B$2:$B$12,MATCH(G1902,MCC_Lookup!$A$2:$A$12,0))</f>
        <v>Software</v>
      </c>
      <c r="N1902" s="1" t="str">
        <f>IF(TRIM(H1902)="","BLANK",IF(PROPER(TRIM(H1902))=TRIM(M1902),"MATCH","MISMATCH"))</f>
        <v>MATCH</v>
      </c>
      <c r="O1902" s="5" t="str">
        <f>INDEX([1]Employee!$C$2:$C$276,MATCH(B1902,[1]Employee!$A$2:$A$276,0))</f>
        <v>Sales &amp; Marketing</v>
      </c>
    </row>
    <row r="1903" spans="1:15">
      <c r="A1903" s="1" t="s">
        <v>3849</v>
      </c>
      <c r="B1903" s="1" t="s">
        <v>3233</v>
      </c>
      <c r="C1903" s="1"/>
      <c r="D1903" s="2">
        <v>46124</v>
      </c>
      <c r="E1903" s="2">
        <v>46127</v>
      </c>
      <c r="F1903" s="1" t="s">
        <v>72</v>
      </c>
      <c r="G1903" s="1" t="s">
        <v>8</v>
      </c>
      <c r="H1903" s="1" t="s">
        <v>494</v>
      </c>
      <c r="I1903" s="7">
        <v>56.47</v>
      </c>
      <c r="J1903" s="1" t="s">
        <v>38</v>
      </c>
      <c r="K1903" s="1"/>
      <c r="L1903" s="1" t="s">
        <v>39</v>
      </c>
      <c r="M1903" s="1" t="str">
        <f>INDEX(MCC_Lookup!$B$2:$B$12,MATCH(G1903,MCC_Lookup!$A$2:$A$12,0))</f>
        <v>Transportation</v>
      </c>
      <c r="N1903" s="1" t="str">
        <f>IF(TRIM(H1903)="","BLANK",IF(PROPER(TRIM(H1903))=TRIM(M1903),"MATCH","MISMATCH"))</f>
        <v>MATCH</v>
      </c>
      <c r="O1903" s="5" t="str">
        <f>INDEX([1]Employee!$C$2:$C$276,MATCH(B1903,[1]Employee!$A$2:$A$276,0))</f>
        <v>Underwriting</v>
      </c>
    </row>
    <row r="1904" spans="1:15">
      <c r="A1904" s="1" t="s">
        <v>3850</v>
      </c>
      <c r="B1904" s="1" t="s">
        <v>67</v>
      </c>
      <c r="C1904" s="1" t="s">
        <v>3851</v>
      </c>
      <c r="D1904" s="2">
        <v>46119</v>
      </c>
      <c r="E1904" s="2">
        <v>46127</v>
      </c>
      <c r="F1904" s="1" t="s">
        <v>69</v>
      </c>
      <c r="G1904" s="1" t="s">
        <v>8</v>
      </c>
      <c r="H1904" s="1" t="s">
        <v>9</v>
      </c>
      <c r="I1904" s="7">
        <v>14.31</v>
      </c>
      <c r="J1904" s="1" t="s">
        <v>38</v>
      </c>
      <c r="K1904" s="1"/>
      <c r="L1904" s="1" t="s">
        <v>39</v>
      </c>
      <c r="M1904" s="1" t="str">
        <f>INDEX(MCC_Lookup!$B$2:$B$12,MATCH(G1904,MCC_Lookup!$A$2:$A$12,0))</f>
        <v>Transportation</v>
      </c>
      <c r="N1904" s="1" t="str">
        <f>IF(TRIM(H1904)="","BLANK",IF(PROPER(TRIM(H1904))=TRIM(M1904),"MATCH","MISMATCH"))</f>
        <v>MATCH</v>
      </c>
      <c r="O1904" s="5" t="str">
        <f>INDEX([1]Employee!$C$2:$C$276,MATCH(B1904,[1]Employee!$A$2:$A$276,0))</f>
        <v>Sales &amp; Marketing</v>
      </c>
    </row>
    <row r="1905" spans="1:15">
      <c r="A1905" s="1" t="s">
        <v>3852</v>
      </c>
      <c r="B1905" s="1" t="s">
        <v>716</v>
      </c>
      <c r="C1905" s="1" t="s">
        <v>3853</v>
      </c>
      <c r="D1905" s="2">
        <v>46118</v>
      </c>
      <c r="E1905" s="2">
        <v>46127</v>
      </c>
      <c r="F1905" s="1" t="s">
        <v>124</v>
      </c>
      <c r="G1905" s="1" t="s">
        <v>17</v>
      </c>
      <c r="H1905" s="1" t="s">
        <v>690</v>
      </c>
      <c r="I1905" s="7">
        <v>171.63</v>
      </c>
      <c r="J1905" s="1" t="s">
        <v>38</v>
      </c>
      <c r="K1905" s="1"/>
      <c r="L1905" s="1" t="s">
        <v>39</v>
      </c>
      <c r="M1905" s="1" t="str">
        <f>INDEX(MCC_Lookup!$B$2:$B$12,MATCH(G1905,MCC_Lookup!$A$2:$A$12,0))</f>
        <v>Entertainment</v>
      </c>
      <c r="N1905" s="1" t="str">
        <f>IF(TRIM(H1905)="","BLANK",IF(PROPER(TRIM(H1905))=TRIM(M1905),"MATCH","MISMATCH"))</f>
        <v>MATCH</v>
      </c>
      <c r="O1905" s="5" t="str">
        <f>INDEX([1]Employee!$C$2:$C$276,MATCH(B1905,[1]Employee!$A$2:$A$276,0))</f>
        <v>Claims</v>
      </c>
    </row>
    <row r="1906" spans="1:15">
      <c r="A1906" s="1" t="s">
        <v>3854</v>
      </c>
      <c r="B1906" s="1" t="s">
        <v>772</v>
      </c>
      <c r="C1906" s="1"/>
      <c r="D1906" s="2">
        <v>46125</v>
      </c>
      <c r="E1906" s="2">
        <v>46127</v>
      </c>
      <c r="F1906" s="1" t="s">
        <v>37</v>
      </c>
      <c r="G1906" s="1" t="s">
        <v>4</v>
      </c>
      <c r="H1906" s="1" t="s">
        <v>5</v>
      </c>
      <c r="I1906" s="7">
        <v>129.13999999999999</v>
      </c>
      <c r="J1906" s="1" t="s">
        <v>38</v>
      </c>
      <c r="K1906" s="1"/>
      <c r="L1906" s="1" t="s">
        <v>39</v>
      </c>
      <c r="M1906" s="1" t="str">
        <f>INDEX(MCC_Lookup!$B$2:$B$12,MATCH(G1906,MCC_Lookup!$A$2:$A$12,0))</f>
        <v>Travel</v>
      </c>
      <c r="N1906" s="1" t="str">
        <f>IF(TRIM(H1906)="","BLANK",IF(PROPER(TRIM(H1906))=TRIM(M1906),"MATCH","MISMATCH"))</f>
        <v>MATCH</v>
      </c>
      <c r="O1906" s="5" t="str">
        <f>INDEX([1]Employee!$C$2:$C$276,MATCH(B1906,[1]Employee!$A$2:$A$276,0))</f>
        <v>Underwriting</v>
      </c>
    </row>
    <row r="1907" spans="1:15">
      <c r="A1907" s="1" t="s">
        <v>3855</v>
      </c>
      <c r="B1907" s="1" t="s">
        <v>640</v>
      </c>
      <c r="C1907" s="1"/>
      <c r="D1907" s="2">
        <v>46125</v>
      </c>
      <c r="E1907" s="2">
        <v>46127</v>
      </c>
      <c r="F1907" s="1" t="s">
        <v>37</v>
      </c>
      <c r="G1907" s="1" t="s">
        <v>4</v>
      </c>
      <c r="H1907" s="1" t="s">
        <v>57</v>
      </c>
      <c r="I1907" s="7">
        <v>341.34</v>
      </c>
      <c r="J1907" s="1" t="s">
        <v>38</v>
      </c>
      <c r="K1907" s="1"/>
      <c r="L1907" s="1" t="s">
        <v>39</v>
      </c>
      <c r="M1907" s="1" t="str">
        <f>INDEX(MCC_Lookup!$B$2:$B$12,MATCH(G1907,MCC_Lookup!$A$2:$A$12,0))</f>
        <v>Travel</v>
      </c>
      <c r="N1907" s="1" t="str">
        <f>IF(TRIM(H1907)="","BLANK",IF(PROPER(TRIM(H1907))=TRIM(M1907),"MATCH","MISMATCH"))</f>
        <v>MATCH</v>
      </c>
      <c r="O1907" s="5" t="str">
        <f>INDEX([1]Employee!$C$2:$C$276,MATCH(B1907,[1]Employee!$A$2:$A$276,0))</f>
        <v>Underwriting</v>
      </c>
    </row>
    <row r="1908" spans="1:15">
      <c r="A1908" s="1" t="s">
        <v>3856</v>
      </c>
      <c r="B1908" s="1" t="s">
        <v>855</v>
      </c>
      <c r="C1908" s="1"/>
      <c r="D1908" s="2">
        <v>46123</v>
      </c>
      <c r="E1908" s="2">
        <v>46127</v>
      </c>
      <c r="F1908" s="1" t="s">
        <v>65</v>
      </c>
      <c r="G1908" s="1" t="s">
        <v>18</v>
      </c>
      <c r="H1908" s="1" t="s">
        <v>19</v>
      </c>
      <c r="I1908" s="7">
        <v>81.87</v>
      </c>
      <c r="J1908" s="1" t="s">
        <v>38</v>
      </c>
      <c r="K1908" s="1"/>
      <c r="L1908" s="1" t="s">
        <v>39</v>
      </c>
      <c r="M1908" s="1" t="str">
        <f>INDEX(MCC_Lookup!$B$2:$B$12,MATCH(G1908,MCC_Lookup!$A$2:$A$12,0))</f>
        <v>Events</v>
      </c>
      <c r="N1908" s="1" t="str">
        <f>IF(TRIM(H1908)="","BLANK",IF(PROPER(TRIM(H1908))=TRIM(M1908),"MATCH","MISMATCH"))</f>
        <v>MATCH</v>
      </c>
      <c r="O1908" s="5" t="str">
        <f>INDEX([1]Employee!$C$2:$C$276,MATCH(B1908,[1]Employee!$A$2:$A$276,0))</f>
        <v>Underwriting</v>
      </c>
    </row>
    <row r="1909" spans="1:15">
      <c r="A1909" s="1" t="s">
        <v>3857</v>
      </c>
      <c r="B1909" s="1" t="s">
        <v>550</v>
      </c>
      <c r="C1909" s="1" t="s">
        <v>3858</v>
      </c>
      <c r="D1909" s="2">
        <v>46126</v>
      </c>
      <c r="E1909" s="2">
        <v>46127</v>
      </c>
      <c r="F1909" s="1" t="s">
        <v>43</v>
      </c>
      <c r="G1909" s="1" t="s">
        <v>2</v>
      </c>
      <c r="H1909" s="1" t="s">
        <v>3</v>
      </c>
      <c r="I1909" s="7">
        <v>23.39</v>
      </c>
      <c r="J1909" s="1" t="s">
        <v>38</v>
      </c>
      <c r="K1909" s="1"/>
      <c r="L1909" s="1" t="s">
        <v>39</v>
      </c>
      <c r="M1909" s="1" t="str">
        <f>INDEX(MCC_Lookup!$B$2:$B$12,MATCH(G1909,MCC_Lookup!$A$2:$A$12,0))</f>
        <v>Meals</v>
      </c>
      <c r="N1909" s="1" t="str">
        <f>IF(TRIM(H1909)="","BLANK",IF(PROPER(TRIM(H1909))=TRIM(M1909),"MATCH","MISMATCH"))</f>
        <v>MATCH</v>
      </c>
      <c r="O1909" s="5" t="str">
        <f>INDEX([1]Employee!$C$2:$C$276,MATCH(B1909,[1]Employee!$A$2:$A$276,0))</f>
        <v>Sales &amp; Marketing</v>
      </c>
    </row>
    <row r="1910" spans="1:15">
      <c r="A1910" s="1" t="s">
        <v>3859</v>
      </c>
      <c r="B1910" s="1" t="s">
        <v>277</v>
      </c>
      <c r="C1910" s="1" t="s">
        <v>3860</v>
      </c>
      <c r="D1910" s="2">
        <v>46118</v>
      </c>
      <c r="E1910" s="2">
        <v>46127</v>
      </c>
      <c r="F1910" s="1" t="s">
        <v>259</v>
      </c>
      <c r="G1910" s="1" t="s">
        <v>20</v>
      </c>
      <c r="H1910" s="1" t="s">
        <v>19</v>
      </c>
      <c r="I1910" s="7">
        <v>188.45</v>
      </c>
      <c r="J1910" s="1" t="s">
        <v>38</v>
      </c>
      <c r="K1910" s="1"/>
      <c r="L1910" s="1" t="s">
        <v>39</v>
      </c>
      <c r="M1910" s="1" t="str">
        <f>INDEX(MCC_Lookup!$B$2:$B$12,MATCH(G1910,MCC_Lookup!$A$2:$A$12,0))</f>
        <v>Events</v>
      </c>
      <c r="N1910" s="1" t="str">
        <f>IF(TRIM(H1910)="","BLANK",IF(PROPER(TRIM(H1910))=TRIM(M1910),"MATCH","MISMATCH"))</f>
        <v>MATCH</v>
      </c>
      <c r="O1910" s="5" t="str">
        <f>INDEX([1]Employee!$C$2:$C$276,MATCH(B1910,[1]Employee!$A$2:$A$276,0))</f>
        <v>Claims</v>
      </c>
    </row>
    <row r="1911" spans="1:15">
      <c r="A1911" s="1" t="s">
        <v>3861</v>
      </c>
      <c r="B1911" s="1" t="s">
        <v>190</v>
      </c>
      <c r="C1911" s="1"/>
      <c r="D1911" s="2">
        <v>46121</v>
      </c>
      <c r="E1911" s="2">
        <v>46127</v>
      </c>
      <c r="F1911" s="1" t="s">
        <v>37</v>
      </c>
      <c r="G1911" s="1" t="s">
        <v>4</v>
      </c>
      <c r="H1911" s="1" t="s">
        <v>5</v>
      </c>
      <c r="I1911" s="7">
        <v>190.81</v>
      </c>
      <c r="J1911" s="1" t="s">
        <v>111</v>
      </c>
      <c r="K1911" s="1" t="s">
        <v>161</v>
      </c>
      <c r="L1911" s="1" t="s">
        <v>39</v>
      </c>
      <c r="M1911" s="1" t="str">
        <f>INDEX(MCC_Lookup!$B$2:$B$12,MATCH(G1911,MCC_Lookup!$A$2:$A$12,0))</f>
        <v>Travel</v>
      </c>
      <c r="N1911" s="1" t="str">
        <f>IF(TRIM(H1911)="","BLANK",IF(PROPER(TRIM(H1911))=TRIM(M1911),"MATCH","MISMATCH"))</f>
        <v>MATCH</v>
      </c>
      <c r="O1911" s="5" t="str">
        <f>INDEX([1]Employee!$C$2:$C$276,MATCH(B1911,[1]Employee!$A$2:$A$276,0))</f>
        <v>Sales &amp; Marketing</v>
      </c>
    </row>
    <row r="1912" spans="1:15">
      <c r="A1912" s="1" t="s">
        <v>3862</v>
      </c>
      <c r="B1912" s="1" t="s">
        <v>122</v>
      </c>
      <c r="C1912" s="1" t="s">
        <v>3863</v>
      </c>
      <c r="D1912" s="2">
        <v>46126</v>
      </c>
      <c r="E1912" s="2">
        <v>46127</v>
      </c>
      <c r="F1912" s="1" t="s">
        <v>37</v>
      </c>
      <c r="G1912" s="1" t="s">
        <v>4</v>
      </c>
      <c r="H1912" s="1" t="s">
        <v>5</v>
      </c>
      <c r="I1912" s="7">
        <v>161.16999999999999</v>
      </c>
      <c r="J1912" s="1" t="s">
        <v>38</v>
      </c>
      <c r="K1912" s="1"/>
      <c r="L1912" s="1" t="s">
        <v>39</v>
      </c>
      <c r="M1912" s="1" t="str">
        <f>INDEX(MCC_Lookup!$B$2:$B$12,MATCH(G1912,MCC_Lookup!$A$2:$A$12,0))</f>
        <v>Travel</v>
      </c>
      <c r="N1912" s="1" t="str">
        <f>IF(TRIM(H1912)="","BLANK",IF(PROPER(TRIM(H1912))=TRIM(M1912),"MATCH","MISMATCH"))</f>
        <v>MATCH</v>
      </c>
      <c r="O1912" s="5" t="str">
        <f>INDEX([1]Employee!$C$2:$C$276,MATCH(B1912,[1]Employee!$A$2:$A$276,0))</f>
        <v>Sales &amp; Marketing</v>
      </c>
    </row>
    <row r="1913" spans="1:15">
      <c r="A1913" s="1" t="s">
        <v>3864</v>
      </c>
      <c r="B1913" s="1" t="s">
        <v>250</v>
      </c>
      <c r="C1913" s="1" t="s">
        <v>3865</v>
      </c>
      <c r="D1913" s="2">
        <v>46118</v>
      </c>
      <c r="E1913" s="2">
        <v>46127</v>
      </c>
      <c r="F1913" s="1" t="s">
        <v>177</v>
      </c>
      <c r="G1913" s="1" t="s">
        <v>13</v>
      </c>
      <c r="H1913" s="1" t="s">
        <v>14</v>
      </c>
      <c r="I1913" s="7">
        <v>26.36</v>
      </c>
      <c r="J1913" s="1" t="s">
        <v>38</v>
      </c>
      <c r="K1913" s="1"/>
      <c r="L1913" s="1" t="s">
        <v>39</v>
      </c>
      <c r="M1913" s="1" t="str">
        <f>INDEX(MCC_Lookup!$B$2:$B$12,MATCH(G1913,MCC_Lookup!$A$2:$A$12,0))</f>
        <v>Software</v>
      </c>
      <c r="N1913" s="1" t="str">
        <f>IF(TRIM(H1913)="","BLANK",IF(PROPER(TRIM(H1913))=TRIM(M1913),"MATCH","MISMATCH"))</f>
        <v>MATCH</v>
      </c>
      <c r="O1913" s="5" t="str">
        <f>INDEX([1]Employee!$C$2:$C$276,MATCH(B1913,[1]Employee!$A$2:$A$276,0))</f>
        <v>Sales &amp; Marketing</v>
      </c>
    </row>
    <row r="1914" spans="1:15">
      <c r="A1914" s="1" t="s">
        <v>3866</v>
      </c>
      <c r="B1914" s="1" t="s">
        <v>643</v>
      </c>
      <c r="C1914" s="1" t="s">
        <v>3867</v>
      </c>
      <c r="D1914" s="2">
        <v>46122</v>
      </c>
      <c r="E1914" s="2">
        <v>46127</v>
      </c>
      <c r="F1914" s="1" t="s">
        <v>47</v>
      </c>
      <c r="G1914" s="1" t="s">
        <v>6</v>
      </c>
      <c r="H1914" s="1" t="s">
        <v>7</v>
      </c>
      <c r="I1914" s="7">
        <v>288.25</v>
      </c>
      <c r="J1914" s="1" t="s">
        <v>38</v>
      </c>
      <c r="K1914" s="1"/>
      <c r="L1914" s="1" t="s">
        <v>39</v>
      </c>
      <c r="M1914" s="1" t="str">
        <f>INDEX(MCC_Lookup!$B$2:$B$12,MATCH(G1914,MCC_Lookup!$A$2:$A$12,0))</f>
        <v>Lodging</v>
      </c>
      <c r="N1914" s="1" t="str">
        <f>IF(TRIM(H1914)="","BLANK",IF(PROPER(TRIM(H1914))=TRIM(M1914),"MATCH","MISMATCH"))</f>
        <v>MATCH</v>
      </c>
      <c r="O1914" s="5" t="str">
        <f>INDEX([1]Employee!$C$2:$C$276,MATCH(B1914,[1]Employee!$A$2:$A$276,0))</f>
        <v>Sales &amp; Marketing</v>
      </c>
    </row>
    <row r="1915" spans="1:15">
      <c r="A1915" s="1" t="s">
        <v>3868</v>
      </c>
      <c r="B1915" s="1" t="s">
        <v>133</v>
      </c>
      <c r="C1915" s="1" t="s">
        <v>3869</v>
      </c>
      <c r="D1915" s="2">
        <v>46117</v>
      </c>
      <c r="E1915" s="2">
        <v>46127</v>
      </c>
      <c r="F1915" s="1" t="s">
        <v>56</v>
      </c>
      <c r="G1915" s="1" t="s">
        <v>4</v>
      </c>
      <c r="H1915" s="1" t="s">
        <v>734</v>
      </c>
      <c r="I1915" s="7">
        <v>439.31</v>
      </c>
      <c r="J1915" s="1" t="s">
        <v>38</v>
      </c>
      <c r="K1915" s="1"/>
      <c r="L1915" s="1" t="s">
        <v>39</v>
      </c>
      <c r="M1915" s="1" t="str">
        <f>INDEX(MCC_Lookup!$B$2:$B$12,MATCH(G1915,MCC_Lookup!$A$2:$A$12,0))</f>
        <v>Travel</v>
      </c>
      <c r="N1915" s="1" t="str">
        <f>IF(TRIM(H1915)="","BLANK",IF(PROPER(TRIM(H1915))=TRIM(M1915),"MATCH","MISMATCH"))</f>
        <v>MATCH</v>
      </c>
      <c r="O1915" s="5" t="str">
        <f>INDEX([1]Employee!$C$2:$C$276,MATCH(B1915,[1]Employee!$A$2:$A$276,0))</f>
        <v>Finance</v>
      </c>
    </row>
    <row r="1916" spans="1:15">
      <c r="A1916" s="1" t="s">
        <v>3870</v>
      </c>
      <c r="B1916" s="1" t="s">
        <v>317</v>
      </c>
      <c r="C1916" s="1"/>
      <c r="D1916" s="2">
        <v>46127</v>
      </c>
      <c r="E1916" s="2">
        <v>46127</v>
      </c>
      <c r="F1916" s="1" t="s">
        <v>43</v>
      </c>
      <c r="G1916" s="1" t="s">
        <v>2</v>
      </c>
      <c r="H1916" s="1" t="s">
        <v>3</v>
      </c>
      <c r="I1916" s="7">
        <v>19.059999999999999</v>
      </c>
      <c r="J1916" s="1" t="s">
        <v>111</v>
      </c>
      <c r="K1916" s="1" t="s">
        <v>229</v>
      </c>
      <c r="L1916" s="1" t="s">
        <v>39</v>
      </c>
      <c r="M1916" s="1" t="str">
        <f>INDEX(MCC_Lookup!$B$2:$B$12,MATCH(G1916,MCC_Lookup!$A$2:$A$12,0))</f>
        <v>Meals</v>
      </c>
      <c r="N1916" s="1" t="str">
        <f>IF(TRIM(H1916)="","BLANK",IF(PROPER(TRIM(H1916))=TRIM(M1916),"MATCH","MISMATCH"))</f>
        <v>MATCH</v>
      </c>
      <c r="O1916" s="5" t="str">
        <f>INDEX([1]Employee!$C$2:$C$276,MATCH(B1916,[1]Employee!$A$2:$A$276,0))</f>
        <v>Sales &amp; Marketing</v>
      </c>
    </row>
    <row r="1917" spans="1:15">
      <c r="A1917" s="1" t="s">
        <v>3871</v>
      </c>
      <c r="B1917" s="1" t="s">
        <v>373</v>
      </c>
      <c r="C1917" s="1" t="s">
        <v>3872</v>
      </c>
      <c r="D1917" s="2">
        <v>46119</v>
      </c>
      <c r="E1917" s="2">
        <v>46127</v>
      </c>
      <c r="F1917" s="1" t="s">
        <v>79</v>
      </c>
      <c r="G1917" s="1" t="s">
        <v>13</v>
      </c>
      <c r="H1917" s="1" t="s">
        <v>14</v>
      </c>
      <c r="I1917" s="7">
        <v>166.65</v>
      </c>
      <c r="J1917" s="1" t="s">
        <v>38</v>
      </c>
      <c r="K1917" s="1"/>
      <c r="L1917" s="1" t="s">
        <v>39</v>
      </c>
      <c r="M1917" s="1" t="str">
        <f>INDEX(MCC_Lookup!$B$2:$B$12,MATCH(G1917,MCC_Lookup!$A$2:$A$12,0))</f>
        <v>Software</v>
      </c>
      <c r="N1917" s="1" t="str">
        <f>IF(TRIM(H1917)="","BLANK",IF(PROPER(TRIM(H1917))=TRIM(M1917),"MATCH","MISMATCH"))</f>
        <v>MATCH</v>
      </c>
      <c r="O1917" s="5" t="str">
        <f>INDEX([1]Employee!$C$2:$C$276,MATCH(B1917,[1]Employee!$A$2:$A$276,0))</f>
        <v>Sales &amp; Marketing</v>
      </c>
    </row>
    <row r="1918" spans="1:15">
      <c r="A1918" s="1" t="s">
        <v>3873</v>
      </c>
      <c r="B1918" s="1" t="s">
        <v>661</v>
      </c>
      <c r="C1918" s="1" t="s">
        <v>3874</v>
      </c>
      <c r="D1918" s="2">
        <v>46117</v>
      </c>
      <c r="E1918" s="2">
        <v>46127</v>
      </c>
      <c r="F1918" s="1" t="s">
        <v>99</v>
      </c>
      <c r="G1918" s="1" t="s">
        <v>2</v>
      </c>
      <c r="H1918" s="1" t="s">
        <v>3</v>
      </c>
      <c r="I1918" s="7">
        <v>85.64</v>
      </c>
      <c r="J1918" s="1" t="s">
        <v>38</v>
      </c>
      <c r="K1918" s="1"/>
      <c r="L1918" s="1" t="s">
        <v>48</v>
      </c>
      <c r="M1918" s="1" t="str">
        <f>INDEX(MCC_Lookup!$B$2:$B$12,MATCH(G1918,MCC_Lookup!$A$2:$A$12,0))</f>
        <v>Meals</v>
      </c>
      <c r="N1918" s="1" t="str">
        <f>IF(TRIM(H1918)="","BLANK",IF(PROPER(TRIM(H1918))=TRIM(M1918),"MATCH","MISMATCH"))</f>
        <v>MATCH</v>
      </c>
      <c r="O1918" s="5" t="str">
        <f>INDEX([1]Employee!$C$2:$C$276,MATCH(B1918,[1]Employee!$A$2:$A$276,0))</f>
        <v>Sales &amp; Marketing</v>
      </c>
    </row>
    <row r="1919" spans="1:15">
      <c r="A1919" s="1" t="s">
        <v>3875</v>
      </c>
      <c r="B1919" s="1" t="s">
        <v>1422</v>
      </c>
      <c r="C1919" s="1" t="s">
        <v>3876</v>
      </c>
      <c r="D1919" s="2">
        <v>46118</v>
      </c>
      <c r="E1919" s="2">
        <v>46127</v>
      </c>
      <c r="F1919" s="1" t="s">
        <v>242</v>
      </c>
      <c r="G1919" s="1" t="s">
        <v>13</v>
      </c>
      <c r="H1919" s="1" t="s">
        <v>470</v>
      </c>
      <c r="I1919" s="7">
        <v>56</v>
      </c>
      <c r="J1919" s="1" t="s">
        <v>38</v>
      </c>
      <c r="K1919" s="1"/>
      <c r="L1919" s="1" t="s">
        <v>39</v>
      </c>
      <c r="M1919" s="1" t="str">
        <f>INDEX(MCC_Lookup!$B$2:$B$12,MATCH(G1919,MCC_Lookup!$A$2:$A$12,0))</f>
        <v>Software</v>
      </c>
      <c r="N1919" s="1" t="str">
        <f>IF(TRIM(H1919)="","BLANK",IF(PROPER(TRIM(H1919))=TRIM(M1919),"MATCH","MISMATCH"))</f>
        <v>MATCH</v>
      </c>
      <c r="O1919" s="5" t="str">
        <f>INDEX([1]Employee!$C$2:$C$276,MATCH(B1919,[1]Employee!$A$2:$A$276,0))</f>
        <v>Underwriting</v>
      </c>
    </row>
    <row r="1920" spans="1:15">
      <c r="A1920" s="1" t="s">
        <v>3877</v>
      </c>
      <c r="B1920" s="1" t="s">
        <v>114</v>
      </c>
      <c r="C1920" s="1"/>
      <c r="D1920" s="2">
        <v>46118</v>
      </c>
      <c r="E1920" s="2">
        <v>46127</v>
      </c>
      <c r="F1920" s="1" t="s">
        <v>65</v>
      </c>
      <c r="G1920" s="1" t="s">
        <v>18</v>
      </c>
      <c r="H1920" s="1" t="s">
        <v>19</v>
      </c>
      <c r="I1920" s="7">
        <v>97.99</v>
      </c>
      <c r="J1920" s="1" t="s">
        <v>111</v>
      </c>
      <c r="K1920" s="1" t="s">
        <v>161</v>
      </c>
      <c r="L1920" s="1" t="s">
        <v>39</v>
      </c>
      <c r="M1920" s="1" t="str">
        <f>INDEX(MCC_Lookup!$B$2:$B$12,MATCH(G1920,MCC_Lookup!$A$2:$A$12,0))</f>
        <v>Events</v>
      </c>
      <c r="N1920" s="1" t="str">
        <f>IF(TRIM(H1920)="","BLANK",IF(PROPER(TRIM(H1920))=TRIM(M1920),"MATCH","MISMATCH"))</f>
        <v>MATCH</v>
      </c>
      <c r="O1920" s="5" t="str">
        <f>INDEX([1]Employee!$C$2:$C$276,MATCH(B1920,[1]Employee!$A$2:$A$276,0))</f>
        <v>Underwriting</v>
      </c>
    </row>
    <row r="1921" spans="1:15">
      <c r="A1921" s="1" t="s">
        <v>3878</v>
      </c>
      <c r="B1921" s="1" t="s">
        <v>346</v>
      </c>
      <c r="C1921" s="1"/>
      <c r="D1921" s="2">
        <v>46125</v>
      </c>
      <c r="E1921" s="2">
        <v>46127</v>
      </c>
      <c r="F1921" s="1" t="s">
        <v>37</v>
      </c>
      <c r="G1921" s="1" t="s">
        <v>4</v>
      </c>
      <c r="H1921" s="1" t="s">
        <v>5</v>
      </c>
      <c r="I1921" s="7">
        <v>215.01</v>
      </c>
      <c r="J1921" s="1" t="s">
        <v>111</v>
      </c>
      <c r="K1921" s="1" t="s">
        <v>112</v>
      </c>
      <c r="L1921" s="1" t="s">
        <v>48</v>
      </c>
      <c r="M1921" s="1" t="str">
        <f>INDEX(MCC_Lookup!$B$2:$B$12,MATCH(G1921,MCC_Lookup!$A$2:$A$12,0))</f>
        <v>Travel</v>
      </c>
      <c r="N1921" s="1" t="str">
        <f>IF(TRIM(H1921)="","BLANK",IF(PROPER(TRIM(H1921))=TRIM(M1921),"MATCH","MISMATCH"))</f>
        <v>MATCH</v>
      </c>
      <c r="O1921" s="5" t="str">
        <f>INDEX([1]Employee!$C$2:$C$276,MATCH(B1921,[1]Employee!$A$2:$A$276,0))</f>
        <v>Actuarial &amp; Risk</v>
      </c>
    </row>
    <row r="1922" spans="1:15">
      <c r="A1922" s="1" t="s">
        <v>3879</v>
      </c>
      <c r="B1922" s="1" t="s">
        <v>346</v>
      </c>
      <c r="C1922" s="1" t="s">
        <v>3880</v>
      </c>
      <c r="D1922" s="2">
        <v>46123</v>
      </c>
      <c r="E1922" s="2">
        <v>46127</v>
      </c>
      <c r="F1922" s="1" t="s">
        <v>43</v>
      </c>
      <c r="G1922" s="1" t="s">
        <v>2</v>
      </c>
      <c r="H1922" s="1" t="s">
        <v>3</v>
      </c>
      <c r="I1922" s="7">
        <v>13.01</v>
      </c>
      <c r="J1922" s="1" t="s">
        <v>38</v>
      </c>
      <c r="K1922" s="1"/>
      <c r="L1922" s="1" t="s">
        <v>39</v>
      </c>
      <c r="M1922" s="1" t="str">
        <f>INDEX(MCC_Lookup!$B$2:$B$12,MATCH(G1922,MCC_Lookup!$A$2:$A$12,0))</f>
        <v>Meals</v>
      </c>
      <c r="N1922" s="1" t="str">
        <f>IF(TRIM(H1922)="","BLANK",IF(PROPER(TRIM(H1922))=TRIM(M1922),"MATCH","MISMATCH"))</f>
        <v>MATCH</v>
      </c>
      <c r="O1922" s="5" t="str">
        <f>INDEX([1]Employee!$C$2:$C$276,MATCH(B1922,[1]Employee!$A$2:$A$276,0))</f>
        <v>Actuarial &amp; Risk</v>
      </c>
    </row>
    <row r="1923" spans="1:15">
      <c r="A1923" s="1" t="s">
        <v>3881</v>
      </c>
      <c r="B1923" s="1" t="s">
        <v>314</v>
      </c>
      <c r="C1923" s="1"/>
      <c r="D1923" s="2">
        <v>46124</v>
      </c>
      <c r="E1923" s="2">
        <v>46127</v>
      </c>
      <c r="F1923" s="1" t="s">
        <v>99</v>
      </c>
      <c r="G1923" s="1" t="s">
        <v>2</v>
      </c>
      <c r="H1923" s="1" t="s">
        <v>794</v>
      </c>
      <c r="I1923" s="7">
        <v>39.880000000000003</v>
      </c>
      <c r="J1923" s="1" t="s">
        <v>38</v>
      </c>
      <c r="K1923" s="1"/>
      <c r="L1923" s="1" t="s">
        <v>39</v>
      </c>
      <c r="M1923" s="1" t="str">
        <f>INDEX(MCC_Lookup!$B$2:$B$12,MATCH(G1923,MCC_Lookup!$A$2:$A$12,0))</f>
        <v>Meals</v>
      </c>
      <c r="N1923" s="1" t="str">
        <f>IF(TRIM(H1923)="","BLANK",IF(PROPER(TRIM(H1923))=TRIM(M1923),"MATCH","MISMATCH"))</f>
        <v>MATCH</v>
      </c>
      <c r="O1923" s="5" t="str">
        <f>INDEX([1]Employee!$C$2:$C$276,MATCH(B1923,[1]Employee!$A$2:$A$276,0))</f>
        <v>Sales &amp; Marketing</v>
      </c>
    </row>
    <row r="1924" spans="1:15">
      <c r="A1924" s="1" t="s">
        <v>3882</v>
      </c>
      <c r="B1924" s="1" t="s">
        <v>667</v>
      </c>
      <c r="C1924" s="1" t="s">
        <v>3883</v>
      </c>
      <c r="D1924" s="2">
        <v>46122</v>
      </c>
      <c r="E1924" s="2">
        <v>46127</v>
      </c>
      <c r="F1924" s="1" t="s">
        <v>177</v>
      </c>
      <c r="G1924" s="1" t="s">
        <v>13</v>
      </c>
      <c r="H1924" s="1" t="s">
        <v>11</v>
      </c>
      <c r="I1924" s="7">
        <v>36.51</v>
      </c>
      <c r="J1924" s="1" t="s">
        <v>38</v>
      </c>
      <c r="K1924" s="1"/>
      <c r="L1924" s="1" t="s">
        <v>39</v>
      </c>
      <c r="M1924" s="1" t="str">
        <f>INDEX(MCC_Lookup!$B$2:$B$12,MATCH(G1924,MCC_Lookup!$A$2:$A$12,0))</f>
        <v>Software</v>
      </c>
      <c r="N1924" s="1" t="str">
        <f>IF(TRIM(H1924)="","BLANK",IF(PROPER(TRIM(H1924))=TRIM(M1924),"MATCH","MISMATCH"))</f>
        <v>MISMATCH</v>
      </c>
      <c r="O1924" s="5" t="str">
        <f>INDEX([1]Employee!$C$2:$C$276,MATCH(B1924,[1]Employee!$A$2:$A$276,0))</f>
        <v>Sales &amp; Marketing</v>
      </c>
    </row>
    <row r="1925" spans="1:15">
      <c r="A1925" s="1" t="s">
        <v>3884</v>
      </c>
      <c r="B1925" s="1" t="s">
        <v>108</v>
      </c>
      <c r="C1925" s="1" t="s">
        <v>3885</v>
      </c>
      <c r="D1925" s="2">
        <v>46122</v>
      </c>
      <c r="E1925" s="2">
        <v>46128</v>
      </c>
      <c r="F1925" s="1" t="s">
        <v>61</v>
      </c>
      <c r="G1925" s="1" t="s">
        <v>13</v>
      </c>
      <c r="H1925" s="1" t="s">
        <v>14</v>
      </c>
      <c r="I1925" s="7">
        <v>61.55</v>
      </c>
      <c r="J1925" s="1" t="s">
        <v>38</v>
      </c>
      <c r="K1925" s="1"/>
      <c r="L1925" s="1" t="s">
        <v>39</v>
      </c>
      <c r="M1925" s="1" t="str">
        <f>INDEX(MCC_Lookup!$B$2:$B$12,MATCH(G1925,MCC_Lookup!$A$2:$A$12,0))</f>
        <v>Software</v>
      </c>
      <c r="N1925" s="1" t="str">
        <f>IF(TRIM(H1925)="","BLANK",IF(PROPER(TRIM(H1925))=TRIM(M1925),"MATCH","MISMATCH"))</f>
        <v>MATCH</v>
      </c>
      <c r="O1925" s="5" t="str">
        <f>INDEX([1]Employee!$C$2:$C$276,MATCH(B1925,[1]Employee!$A$2:$A$276,0))</f>
        <v>Sales &amp; Marketing</v>
      </c>
    </row>
    <row r="1926" spans="1:15">
      <c r="A1926" s="1" t="s">
        <v>3886</v>
      </c>
      <c r="B1926" s="1" t="s">
        <v>761</v>
      </c>
      <c r="C1926" s="1" t="s">
        <v>3887</v>
      </c>
      <c r="D1926" s="2">
        <v>46123</v>
      </c>
      <c r="E1926" s="2">
        <v>46128</v>
      </c>
      <c r="F1926" s="1" t="s">
        <v>106</v>
      </c>
      <c r="G1926" s="1" t="s">
        <v>13</v>
      </c>
      <c r="H1926" s="1" t="s">
        <v>14</v>
      </c>
      <c r="I1926" s="7">
        <v>49.01</v>
      </c>
      <c r="J1926" s="1" t="s">
        <v>38</v>
      </c>
      <c r="K1926" s="1"/>
      <c r="L1926" s="1" t="s">
        <v>39</v>
      </c>
      <c r="M1926" s="1" t="str">
        <f>INDEX(MCC_Lookup!$B$2:$B$12,MATCH(G1926,MCC_Lookup!$A$2:$A$12,0))</f>
        <v>Software</v>
      </c>
      <c r="N1926" s="1" t="str">
        <f>IF(TRIM(H1926)="","BLANK",IF(PROPER(TRIM(H1926))=TRIM(M1926),"MATCH","MISMATCH"))</f>
        <v>MATCH</v>
      </c>
      <c r="O1926" s="5" t="str">
        <f>INDEX([1]Employee!$C$2:$C$276,MATCH(B1926,[1]Employee!$A$2:$A$276,0))</f>
        <v>Finance</v>
      </c>
    </row>
    <row r="1927" spans="1:15">
      <c r="A1927" s="1" t="s">
        <v>3888</v>
      </c>
      <c r="B1927" s="1" t="s">
        <v>1302</v>
      </c>
      <c r="C1927" s="1" t="s">
        <v>3889</v>
      </c>
      <c r="D1927" s="2">
        <v>46126</v>
      </c>
      <c r="E1927" s="2">
        <v>46128</v>
      </c>
      <c r="F1927" s="1" t="s">
        <v>173</v>
      </c>
      <c r="G1927" s="1" t="s">
        <v>2</v>
      </c>
      <c r="H1927" s="1" t="s">
        <v>16</v>
      </c>
      <c r="I1927" s="7">
        <v>56.42</v>
      </c>
      <c r="J1927" s="1" t="s">
        <v>38</v>
      </c>
      <c r="K1927" s="1"/>
      <c r="L1927" s="1" t="s">
        <v>48</v>
      </c>
      <c r="M1927" s="1" t="str">
        <f>INDEX(MCC_Lookup!$B$2:$B$12,MATCH(G1927,MCC_Lookup!$A$2:$A$12,0))</f>
        <v>Meals</v>
      </c>
      <c r="N1927" s="1" t="str">
        <f>IF(TRIM(H1927)="","BLANK",IF(PROPER(TRIM(H1927))=TRIM(M1927),"MATCH","MISMATCH"))</f>
        <v>MISMATCH</v>
      </c>
      <c r="O1927" s="5" t="str">
        <f>INDEX([1]Employee!$C$2:$C$276,MATCH(B1927,[1]Employee!$A$2:$A$276,0))</f>
        <v>HR &amp; Events</v>
      </c>
    </row>
    <row r="1928" spans="1:15">
      <c r="A1928" s="1" t="s">
        <v>3890</v>
      </c>
      <c r="B1928" s="1" t="s">
        <v>1252</v>
      </c>
      <c r="C1928" s="1" t="s">
        <v>3891</v>
      </c>
      <c r="D1928" s="2">
        <v>46123</v>
      </c>
      <c r="E1928" s="2">
        <v>46128</v>
      </c>
      <c r="F1928" s="1" t="s">
        <v>43</v>
      </c>
      <c r="G1928" s="1" t="s">
        <v>2</v>
      </c>
      <c r="H1928" s="1" t="s">
        <v>3</v>
      </c>
      <c r="I1928" s="7">
        <v>19.38</v>
      </c>
      <c r="J1928" s="1" t="s">
        <v>38</v>
      </c>
      <c r="K1928" s="1"/>
      <c r="L1928" s="1" t="s">
        <v>39</v>
      </c>
      <c r="M1928" s="1" t="str">
        <f>INDEX(MCC_Lookup!$B$2:$B$12,MATCH(G1928,MCC_Lookup!$A$2:$A$12,0))</f>
        <v>Meals</v>
      </c>
      <c r="N1928" s="1" t="str">
        <f>IF(TRIM(H1928)="","BLANK",IF(PROPER(TRIM(H1928))=TRIM(M1928),"MATCH","MISMATCH"))</f>
        <v>MATCH</v>
      </c>
      <c r="O1928" s="5" t="str">
        <f>INDEX([1]Employee!$C$2:$C$276,MATCH(B1928,[1]Employee!$A$2:$A$276,0))</f>
        <v>Underwriting</v>
      </c>
    </row>
    <row r="1929" spans="1:15">
      <c r="A1929" s="1" t="s">
        <v>3892</v>
      </c>
      <c r="B1929" s="1" t="s">
        <v>54</v>
      </c>
      <c r="C1929" s="1" t="s">
        <v>3893</v>
      </c>
      <c r="D1929" s="2">
        <v>46123</v>
      </c>
      <c r="E1929" s="2">
        <v>46128</v>
      </c>
      <c r="F1929" s="1" t="s">
        <v>95</v>
      </c>
      <c r="G1929" s="1" t="s">
        <v>6</v>
      </c>
      <c r="H1929" s="1" t="s">
        <v>7</v>
      </c>
      <c r="I1929" s="7">
        <v>145.32</v>
      </c>
      <c r="J1929" s="1" t="s">
        <v>38</v>
      </c>
      <c r="K1929" s="1"/>
      <c r="L1929" s="1" t="s">
        <v>48</v>
      </c>
      <c r="M1929" s="1" t="str">
        <f>INDEX(MCC_Lookup!$B$2:$B$12,MATCH(G1929,MCC_Lookup!$A$2:$A$12,0))</f>
        <v>Lodging</v>
      </c>
      <c r="N1929" s="1" t="str">
        <f>IF(TRIM(H1929)="","BLANK",IF(PROPER(TRIM(H1929))=TRIM(M1929),"MATCH","MISMATCH"))</f>
        <v>MATCH</v>
      </c>
      <c r="O1929" s="5" t="str">
        <f>INDEX([1]Employee!$C$2:$C$276,MATCH(B1929,[1]Employee!$A$2:$A$276,0))</f>
        <v>Sales &amp; Marketing</v>
      </c>
    </row>
    <row r="1930" spans="1:15">
      <c r="A1930" s="1" t="s">
        <v>3894</v>
      </c>
      <c r="B1930" s="1" t="s">
        <v>240</v>
      </c>
      <c r="C1930" s="1"/>
      <c r="D1930" s="2">
        <v>46124</v>
      </c>
      <c r="E1930" s="2">
        <v>46128</v>
      </c>
      <c r="F1930" s="1" t="s">
        <v>106</v>
      </c>
      <c r="G1930" s="1" t="s">
        <v>13</v>
      </c>
      <c r="H1930" s="1" t="s">
        <v>14</v>
      </c>
      <c r="I1930" s="7">
        <v>76.03</v>
      </c>
      <c r="J1930" s="1" t="s">
        <v>38</v>
      </c>
      <c r="K1930" s="1"/>
      <c r="L1930" s="1" t="s">
        <v>39</v>
      </c>
      <c r="M1930" s="1" t="str">
        <f>INDEX(MCC_Lookup!$B$2:$B$12,MATCH(G1930,MCC_Lookup!$A$2:$A$12,0))</f>
        <v>Software</v>
      </c>
      <c r="N1930" s="1" t="str">
        <f>IF(TRIM(H1930)="","BLANK",IF(PROPER(TRIM(H1930))=TRIM(M1930),"MATCH","MISMATCH"))</f>
        <v>MATCH</v>
      </c>
      <c r="O1930" s="5" t="str">
        <f>INDEX([1]Employee!$C$2:$C$276,MATCH(B1930,[1]Employee!$A$2:$A$276,0))</f>
        <v>Claims</v>
      </c>
    </row>
    <row r="1931" spans="1:15">
      <c r="A1931" s="1" t="s">
        <v>3895</v>
      </c>
      <c r="B1931" s="1" t="s">
        <v>1504</v>
      </c>
      <c r="C1931" s="1"/>
      <c r="D1931" s="2">
        <v>46127</v>
      </c>
      <c r="E1931" s="2">
        <v>46128</v>
      </c>
      <c r="F1931" s="1" t="s">
        <v>43</v>
      </c>
      <c r="G1931" s="1" t="s">
        <v>2</v>
      </c>
      <c r="H1931" s="1" t="s">
        <v>3</v>
      </c>
      <c r="I1931" s="7">
        <v>15.2</v>
      </c>
      <c r="J1931" s="1" t="s">
        <v>38</v>
      </c>
      <c r="K1931" s="1"/>
      <c r="L1931" s="1" t="s">
        <v>39</v>
      </c>
      <c r="M1931" s="1" t="str">
        <f>INDEX(MCC_Lookup!$B$2:$B$12,MATCH(G1931,MCC_Lookup!$A$2:$A$12,0))</f>
        <v>Meals</v>
      </c>
      <c r="N1931" s="1" t="str">
        <f>IF(TRIM(H1931)="","BLANK",IF(PROPER(TRIM(H1931))=TRIM(M1931),"MATCH","MISMATCH"))</f>
        <v>MATCH</v>
      </c>
      <c r="O1931" s="5" t="str">
        <f>INDEX([1]Employee!$C$2:$C$276,MATCH(B1931,[1]Employee!$A$2:$A$276,0))</f>
        <v>Sales &amp; Marketing</v>
      </c>
    </row>
    <row r="1932" spans="1:15">
      <c r="A1932" s="1" t="s">
        <v>3896</v>
      </c>
      <c r="B1932" s="1" t="s">
        <v>915</v>
      </c>
      <c r="C1932" s="1"/>
      <c r="D1932" s="2">
        <v>46127</v>
      </c>
      <c r="E1932" s="2">
        <v>46128</v>
      </c>
      <c r="F1932" s="1" t="s">
        <v>116</v>
      </c>
      <c r="G1932" s="1" t="s">
        <v>2</v>
      </c>
      <c r="H1932" s="1" t="s">
        <v>3</v>
      </c>
      <c r="I1932" s="7">
        <v>12.85</v>
      </c>
      <c r="J1932" s="1" t="s">
        <v>38</v>
      </c>
      <c r="K1932" s="1"/>
      <c r="L1932" s="1" t="s">
        <v>39</v>
      </c>
      <c r="M1932" s="1" t="str">
        <f>INDEX(MCC_Lookup!$B$2:$B$12,MATCH(G1932,MCC_Lookup!$A$2:$A$12,0))</f>
        <v>Meals</v>
      </c>
      <c r="N1932" s="1" t="str">
        <f>IF(TRIM(H1932)="","BLANK",IF(PROPER(TRIM(H1932))=TRIM(M1932),"MATCH","MISMATCH"))</f>
        <v>MATCH</v>
      </c>
      <c r="O1932" s="5" t="str">
        <f>INDEX([1]Employee!$C$2:$C$276,MATCH(B1932,[1]Employee!$A$2:$A$276,0))</f>
        <v>Sales &amp; Marketing</v>
      </c>
    </row>
    <row r="1933" spans="1:15">
      <c r="A1933" s="1" t="s">
        <v>3897</v>
      </c>
      <c r="B1933" s="1" t="s">
        <v>706</v>
      </c>
      <c r="C1933" s="1" t="s">
        <v>3898</v>
      </c>
      <c r="D1933" s="2">
        <v>46120</v>
      </c>
      <c r="E1933" s="2">
        <v>46128</v>
      </c>
      <c r="F1933" s="1" t="s">
        <v>69</v>
      </c>
      <c r="G1933" s="1" t="s">
        <v>8</v>
      </c>
      <c r="H1933" s="1" t="s">
        <v>9</v>
      </c>
      <c r="I1933" s="7">
        <v>41.28</v>
      </c>
      <c r="J1933" s="1" t="s">
        <v>38</v>
      </c>
      <c r="K1933" s="1"/>
      <c r="L1933" s="1" t="s">
        <v>39</v>
      </c>
      <c r="M1933" s="1" t="str">
        <f>INDEX(MCC_Lookup!$B$2:$B$12,MATCH(G1933,MCC_Lookup!$A$2:$A$12,0))</f>
        <v>Transportation</v>
      </c>
      <c r="N1933" s="1" t="str">
        <f>IF(TRIM(H1933)="","BLANK",IF(PROPER(TRIM(H1933))=TRIM(M1933),"MATCH","MISMATCH"))</f>
        <v>MATCH</v>
      </c>
      <c r="O1933" s="5" t="str">
        <f>INDEX([1]Employee!$C$2:$C$276,MATCH(B1933,[1]Employee!$A$2:$A$276,0))</f>
        <v>Underwriting</v>
      </c>
    </row>
    <row r="1934" spans="1:15">
      <c r="A1934" s="1" t="s">
        <v>3899</v>
      </c>
      <c r="B1934" s="1" t="s">
        <v>667</v>
      </c>
      <c r="C1934" s="1" t="s">
        <v>3900</v>
      </c>
      <c r="D1934" s="2">
        <v>46125</v>
      </c>
      <c r="E1934" s="2">
        <v>46128</v>
      </c>
      <c r="F1934" s="1" t="s">
        <v>106</v>
      </c>
      <c r="G1934" s="1" t="s">
        <v>13</v>
      </c>
      <c r="H1934" s="1" t="s">
        <v>14</v>
      </c>
      <c r="I1934" s="7">
        <v>192.3</v>
      </c>
      <c r="J1934" s="1" t="s">
        <v>38</v>
      </c>
      <c r="K1934" s="1"/>
      <c r="L1934" s="1" t="s">
        <v>39</v>
      </c>
      <c r="M1934" s="1" t="str">
        <f>INDEX(MCC_Lookup!$B$2:$B$12,MATCH(G1934,MCC_Lookup!$A$2:$A$12,0))</f>
        <v>Software</v>
      </c>
      <c r="N1934" s="1" t="str">
        <f>IF(TRIM(H1934)="","BLANK",IF(PROPER(TRIM(H1934))=TRIM(M1934),"MATCH","MISMATCH"))</f>
        <v>MATCH</v>
      </c>
      <c r="O1934" s="5" t="str">
        <f>INDEX([1]Employee!$C$2:$C$276,MATCH(B1934,[1]Employee!$A$2:$A$276,0))</f>
        <v>Sales &amp; Marketing</v>
      </c>
    </row>
    <row r="1935" spans="1:15">
      <c r="A1935" s="1" t="s">
        <v>3901</v>
      </c>
      <c r="B1935" s="1" t="s">
        <v>667</v>
      </c>
      <c r="C1935" s="1" t="s">
        <v>3902</v>
      </c>
      <c r="D1935" s="2">
        <v>46120</v>
      </c>
      <c r="E1935" s="2">
        <v>46128</v>
      </c>
      <c r="F1935" s="1" t="s">
        <v>173</v>
      </c>
      <c r="G1935" s="1" t="s">
        <v>2</v>
      </c>
      <c r="H1935" s="1" t="s">
        <v>3</v>
      </c>
      <c r="I1935" s="7">
        <v>75.569999999999993</v>
      </c>
      <c r="J1935" s="1" t="s">
        <v>38</v>
      </c>
      <c r="K1935" s="1"/>
      <c r="L1935" s="1" t="s">
        <v>39</v>
      </c>
      <c r="M1935" s="1" t="str">
        <f>INDEX(MCC_Lookup!$B$2:$B$12,MATCH(G1935,MCC_Lookup!$A$2:$A$12,0))</f>
        <v>Meals</v>
      </c>
      <c r="N1935" s="1" t="str">
        <f>IF(TRIM(H1935)="","BLANK",IF(PROPER(TRIM(H1935))=TRIM(M1935),"MATCH","MISMATCH"))</f>
        <v>MATCH</v>
      </c>
      <c r="O1935" s="5" t="str">
        <f>INDEX([1]Employee!$C$2:$C$276,MATCH(B1935,[1]Employee!$A$2:$A$276,0))</f>
        <v>Sales &amp; Marketing</v>
      </c>
    </row>
    <row r="1936" spans="1:15">
      <c r="A1936" s="1" t="s">
        <v>3903</v>
      </c>
      <c r="B1936" s="1" t="s">
        <v>373</v>
      </c>
      <c r="C1936" s="1" t="s">
        <v>3904</v>
      </c>
      <c r="D1936" s="2">
        <v>46118</v>
      </c>
      <c r="E1936" s="2">
        <v>46128</v>
      </c>
      <c r="F1936" s="1" t="s">
        <v>95</v>
      </c>
      <c r="G1936" s="1" t="s">
        <v>6</v>
      </c>
      <c r="H1936" s="1" t="s">
        <v>7</v>
      </c>
      <c r="I1936" s="7">
        <v>238.23</v>
      </c>
      <c r="J1936" s="1" t="s">
        <v>38</v>
      </c>
      <c r="K1936" s="1"/>
      <c r="L1936" s="1" t="s">
        <v>39</v>
      </c>
      <c r="M1936" s="1" t="str">
        <f>INDEX(MCC_Lookup!$B$2:$B$12,MATCH(G1936,MCC_Lookup!$A$2:$A$12,0))</f>
        <v>Lodging</v>
      </c>
      <c r="N1936" s="1" t="str">
        <f>IF(TRIM(H1936)="","BLANK",IF(PROPER(TRIM(H1936))=TRIM(M1936),"MATCH","MISMATCH"))</f>
        <v>MATCH</v>
      </c>
      <c r="O1936" s="5" t="str">
        <f>INDEX([1]Employee!$C$2:$C$276,MATCH(B1936,[1]Employee!$A$2:$A$276,0))</f>
        <v>Sales &amp; Marketing</v>
      </c>
    </row>
    <row r="1937" spans="1:15">
      <c r="A1937" s="1" t="s">
        <v>3905</v>
      </c>
      <c r="B1937" s="1" t="s">
        <v>433</v>
      </c>
      <c r="C1937" s="1" t="s">
        <v>3906</v>
      </c>
      <c r="D1937" s="2">
        <v>46119</v>
      </c>
      <c r="E1937" s="2">
        <v>46128</v>
      </c>
      <c r="F1937" s="1" t="s">
        <v>43</v>
      </c>
      <c r="G1937" s="1" t="s">
        <v>2</v>
      </c>
      <c r="H1937" s="1" t="s">
        <v>3</v>
      </c>
      <c r="I1937" s="7">
        <v>24.89</v>
      </c>
      <c r="J1937" s="1" t="s">
        <v>38</v>
      </c>
      <c r="K1937" s="1"/>
      <c r="L1937" s="1" t="s">
        <v>39</v>
      </c>
      <c r="M1937" s="1" t="str">
        <f>INDEX(MCC_Lookup!$B$2:$B$12,MATCH(G1937,MCC_Lookup!$A$2:$A$12,0))</f>
        <v>Meals</v>
      </c>
      <c r="N1937" s="1" t="str">
        <f>IF(TRIM(H1937)="","BLANK",IF(PROPER(TRIM(H1937))=TRIM(M1937),"MATCH","MISMATCH"))</f>
        <v>MATCH</v>
      </c>
      <c r="O1937" s="5" t="str">
        <f>INDEX([1]Employee!$C$2:$C$276,MATCH(B1937,[1]Employee!$A$2:$A$276,0))</f>
        <v>Sales &amp; Marketing</v>
      </c>
    </row>
    <row r="1938" spans="1:15">
      <c r="A1938" s="1" t="s">
        <v>3907</v>
      </c>
      <c r="B1938" s="1" t="s">
        <v>1170</v>
      </c>
      <c r="C1938" s="1" t="s">
        <v>3908</v>
      </c>
      <c r="D1938" s="2">
        <v>46122</v>
      </c>
      <c r="E1938" s="2">
        <v>46128</v>
      </c>
      <c r="F1938" s="1" t="s">
        <v>52</v>
      </c>
      <c r="G1938" s="1" t="s">
        <v>15</v>
      </c>
      <c r="H1938" s="1" t="s">
        <v>16</v>
      </c>
      <c r="I1938" s="7">
        <v>32.36</v>
      </c>
      <c r="J1938" s="1" t="s">
        <v>38</v>
      </c>
      <c r="K1938" s="1"/>
      <c r="L1938" s="1" t="s">
        <v>39</v>
      </c>
      <c r="M1938" s="1" t="str">
        <f>INDEX(MCC_Lookup!$B$2:$B$12,MATCH(G1938,MCC_Lookup!$A$2:$A$12,0))</f>
        <v>Entertainment</v>
      </c>
      <c r="N1938" s="1" t="str">
        <f>IF(TRIM(H1938)="","BLANK",IF(PROPER(TRIM(H1938))=TRIM(M1938),"MATCH","MISMATCH"))</f>
        <v>MATCH</v>
      </c>
      <c r="O1938" s="5" t="str">
        <f>INDEX([1]Employee!$C$2:$C$276,MATCH(B1938,[1]Employee!$A$2:$A$276,0))</f>
        <v>Finance</v>
      </c>
    </row>
    <row r="1939" spans="1:15">
      <c r="A1939" s="1" t="s">
        <v>3909</v>
      </c>
      <c r="B1939" s="1" t="s">
        <v>382</v>
      </c>
      <c r="C1939" s="1" t="s">
        <v>3910</v>
      </c>
      <c r="D1939" s="2">
        <v>46128</v>
      </c>
      <c r="E1939" s="2">
        <v>46128</v>
      </c>
      <c r="F1939" s="1" t="s">
        <v>47</v>
      </c>
      <c r="G1939" s="1" t="s">
        <v>6</v>
      </c>
      <c r="H1939" s="1" t="s">
        <v>726</v>
      </c>
      <c r="I1939" s="7">
        <v>416.37</v>
      </c>
      <c r="J1939" s="1" t="s">
        <v>38</v>
      </c>
      <c r="K1939" s="1"/>
      <c r="L1939" s="1" t="s">
        <v>48</v>
      </c>
      <c r="M1939" s="1" t="str">
        <f>INDEX(MCC_Lookup!$B$2:$B$12,MATCH(G1939,MCC_Lookup!$A$2:$A$12,0))</f>
        <v>Lodging</v>
      </c>
      <c r="N1939" s="1" t="str">
        <f>IF(TRIM(H1939)="","BLANK",IF(PROPER(TRIM(H1939))=TRIM(M1939),"MATCH","MISMATCH"))</f>
        <v>MATCH</v>
      </c>
      <c r="O1939" s="5" t="str">
        <f>INDEX([1]Employee!$C$2:$C$276,MATCH(B1939,[1]Employee!$A$2:$A$276,0))</f>
        <v>Sales &amp; Marketing</v>
      </c>
    </row>
    <row r="1940" spans="1:15">
      <c r="A1940" s="1" t="s">
        <v>3911</v>
      </c>
      <c r="B1940" s="1" t="s">
        <v>317</v>
      </c>
      <c r="C1940" s="1" t="s">
        <v>3912</v>
      </c>
      <c r="D1940" s="2">
        <v>46128</v>
      </c>
      <c r="E1940" s="2">
        <v>46128</v>
      </c>
      <c r="F1940" s="1" t="s">
        <v>347</v>
      </c>
      <c r="G1940" s="1" t="s">
        <v>8</v>
      </c>
      <c r="H1940" s="1"/>
      <c r="I1940" s="7">
        <v>17.489999999999998</v>
      </c>
      <c r="J1940" s="1" t="s">
        <v>38</v>
      </c>
      <c r="K1940" s="1"/>
      <c r="L1940" s="1" t="s">
        <v>39</v>
      </c>
      <c r="M1940" s="1" t="str">
        <f>INDEX(MCC_Lookup!$B$2:$B$12,MATCH(G1940,MCC_Lookup!$A$2:$A$12,0))</f>
        <v>Transportation</v>
      </c>
      <c r="N1940" s="1" t="str">
        <f>IF(TRIM(H1940)="","BLANK",IF(PROPER(TRIM(H1940))=TRIM(M1940),"MATCH","MISMATCH"))</f>
        <v>BLANK</v>
      </c>
      <c r="O1940" s="5" t="str">
        <f>INDEX([1]Employee!$C$2:$C$276,MATCH(B1940,[1]Employee!$A$2:$A$276,0))</f>
        <v>Sales &amp; Marketing</v>
      </c>
    </row>
    <row r="1941" spans="1:15">
      <c r="A1941" s="1" t="s">
        <v>3913</v>
      </c>
      <c r="B1941" s="1" t="s">
        <v>738</v>
      </c>
      <c r="C1941" s="1" t="s">
        <v>3914</v>
      </c>
      <c r="D1941" s="2">
        <v>46127</v>
      </c>
      <c r="E1941" s="2">
        <v>46128</v>
      </c>
      <c r="F1941" s="1" t="s">
        <v>201</v>
      </c>
      <c r="G1941" s="1" t="s">
        <v>4</v>
      </c>
      <c r="H1941" s="1" t="s">
        <v>5</v>
      </c>
      <c r="I1941" s="7">
        <v>217.19</v>
      </c>
      <c r="J1941" s="1" t="s">
        <v>38</v>
      </c>
      <c r="K1941" s="1"/>
      <c r="L1941" s="1" t="s">
        <v>39</v>
      </c>
      <c r="M1941" s="1" t="str">
        <f>INDEX(MCC_Lookup!$B$2:$B$12,MATCH(G1941,MCC_Lookup!$A$2:$A$12,0))</f>
        <v>Travel</v>
      </c>
      <c r="N1941" s="1" t="str">
        <f>IF(TRIM(H1941)="","BLANK",IF(PROPER(TRIM(H1941))=TRIM(M1941),"MATCH","MISMATCH"))</f>
        <v>MATCH</v>
      </c>
      <c r="O1941" s="5" t="str">
        <f>INDEX([1]Employee!$C$2:$C$276,MATCH(B1941,[1]Employee!$A$2:$A$276,0))</f>
        <v>Sales &amp; Marketing</v>
      </c>
    </row>
    <row r="1942" spans="1:15">
      <c r="A1942" s="1" t="s">
        <v>3915</v>
      </c>
      <c r="B1942" s="1" t="s">
        <v>261</v>
      </c>
      <c r="C1942" s="1" t="s">
        <v>3916</v>
      </c>
      <c r="D1942" s="2">
        <v>46126</v>
      </c>
      <c r="E1942" s="2">
        <v>46128</v>
      </c>
      <c r="F1942" s="1" t="s">
        <v>2059</v>
      </c>
      <c r="G1942" s="1" t="s">
        <v>13</v>
      </c>
      <c r="H1942" s="1" t="s">
        <v>14</v>
      </c>
      <c r="I1942" s="7">
        <v>116.21</v>
      </c>
      <c r="J1942" s="1" t="s">
        <v>38</v>
      </c>
      <c r="K1942" s="1"/>
      <c r="L1942" s="1" t="s">
        <v>48</v>
      </c>
      <c r="M1942" s="1" t="str">
        <f>INDEX(MCC_Lookup!$B$2:$B$12,MATCH(G1942,MCC_Lookup!$A$2:$A$12,0))</f>
        <v>Software</v>
      </c>
      <c r="N1942" s="1" t="str">
        <f>IF(TRIM(H1942)="","BLANK",IF(PROPER(TRIM(H1942))=TRIM(M1942),"MATCH","MISMATCH"))</f>
        <v>MATCH</v>
      </c>
      <c r="O1942" s="5" t="str">
        <f>INDEX([1]Employee!$C$2:$C$276,MATCH(B1942,[1]Employee!$A$2:$A$276,0))</f>
        <v>Sales &amp; Marketing</v>
      </c>
    </row>
    <row r="1943" spans="1:15">
      <c r="A1943" s="1" t="s">
        <v>3917</v>
      </c>
      <c r="B1943" s="1" t="s">
        <v>684</v>
      </c>
      <c r="C1943" s="1" t="s">
        <v>3918</v>
      </c>
      <c r="D1943" s="2">
        <v>46121</v>
      </c>
      <c r="E1943" s="2">
        <v>46128</v>
      </c>
      <c r="F1943" s="1" t="s">
        <v>83</v>
      </c>
      <c r="G1943" s="1" t="s">
        <v>2</v>
      </c>
      <c r="H1943" s="1" t="s">
        <v>3</v>
      </c>
      <c r="I1943" s="7">
        <v>11.38</v>
      </c>
      <c r="J1943" s="1" t="s">
        <v>38</v>
      </c>
      <c r="K1943" s="1"/>
      <c r="L1943" s="1" t="s">
        <v>39</v>
      </c>
      <c r="M1943" s="1" t="str">
        <f>INDEX(MCC_Lookup!$B$2:$B$12,MATCH(G1943,MCC_Lookup!$A$2:$A$12,0))</f>
        <v>Meals</v>
      </c>
      <c r="N1943" s="1" t="str">
        <f>IF(TRIM(H1943)="","BLANK",IF(PROPER(TRIM(H1943))=TRIM(M1943),"MATCH","MISMATCH"))</f>
        <v>MATCH</v>
      </c>
      <c r="O1943" s="5" t="str">
        <f>INDEX([1]Employee!$C$2:$C$276,MATCH(B1943,[1]Employee!$A$2:$A$276,0))</f>
        <v>Underwriting</v>
      </c>
    </row>
    <row r="1944" spans="1:15">
      <c r="A1944" s="1" t="s">
        <v>3919</v>
      </c>
      <c r="B1944" s="1" t="s">
        <v>681</v>
      </c>
      <c r="C1944" s="1" t="s">
        <v>3920</v>
      </c>
      <c r="D1944" s="2">
        <v>46120</v>
      </c>
      <c r="E1944" s="2">
        <v>46128</v>
      </c>
      <c r="F1944" s="1" t="s">
        <v>83</v>
      </c>
      <c r="G1944" s="1" t="s">
        <v>2</v>
      </c>
      <c r="H1944" s="1" t="s">
        <v>3</v>
      </c>
      <c r="I1944" s="7">
        <v>9.83</v>
      </c>
      <c r="J1944" s="1" t="s">
        <v>38</v>
      </c>
      <c r="K1944" s="1"/>
      <c r="L1944" s="1" t="s">
        <v>39</v>
      </c>
      <c r="M1944" s="1" t="str">
        <f>INDEX(MCC_Lookup!$B$2:$B$12,MATCH(G1944,MCC_Lookup!$A$2:$A$12,0))</f>
        <v>Meals</v>
      </c>
      <c r="N1944" s="1" t="str">
        <f>IF(TRIM(H1944)="","BLANK",IF(PROPER(TRIM(H1944))=TRIM(M1944),"MATCH","MISMATCH"))</f>
        <v>MATCH</v>
      </c>
      <c r="O1944" s="5" t="str">
        <f>INDEX([1]Employee!$C$2:$C$276,MATCH(B1944,[1]Employee!$A$2:$A$276,0))</f>
        <v>Underwriting</v>
      </c>
    </row>
    <row r="1945" spans="1:15">
      <c r="A1945" s="1" t="s">
        <v>3921</v>
      </c>
      <c r="B1945" s="1" t="s">
        <v>227</v>
      </c>
      <c r="C1945" s="1" t="s">
        <v>3922</v>
      </c>
      <c r="D1945" s="2">
        <v>46124</v>
      </c>
      <c r="E1945" s="2">
        <v>46128</v>
      </c>
      <c r="F1945" s="1" t="s">
        <v>177</v>
      </c>
      <c r="G1945" s="1" t="s">
        <v>13</v>
      </c>
      <c r="H1945" s="1" t="s">
        <v>419</v>
      </c>
      <c r="I1945" s="7">
        <v>68.87</v>
      </c>
      <c r="J1945" s="1" t="s">
        <v>38</v>
      </c>
      <c r="K1945" s="1"/>
      <c r="L1945" s="1" t="s">
        <v>39</v>
      </c>
      <c r="M1945" s="1" t="str">
        <f>INDEX(MCC_Lookup!$B$2:$B$12,MATCH(G1945,MCC_Lookup!$A$2:$A$12,0))</f>
        <v>Software</v>
      </c>
      <c r="N1945" s="1" t="str">
        <f>IF(TRIM(H1945)="","BLANK",IF(PROPER(TRIM(H1945))=TRIM(M1945),"MATCH","MISMATCH"))</f>
        <v>MATCH</v>
      </c>
      <c r="O1945" s="5" t="str">
        <f>INDEX([1]Employee!$C$2:$C$276,MATCH(B1945,[1]Employee!$A$2:$A$276,0))</f>
        <v>Claims</v>
      </c>
    </row>
    <row r="1946" spans="1:15">
      <c r="A1946" s="1" t="s">
        <v>3923</v>
      </c>
      <c r="B1946" s="1" t="s">
        <v>67</v>
      </c>
      <c r="C1946" s="1" t="s">
        <v>3924</v>
      </c>
      <c r="D1946" s="2">
        <v>46126</v>
      </c>
      <c r="E1946" s="2">
        <v>46128</v>
      </c>
      <c r="F1946" s="1" t="s">
        <v>47</v>
      </c>
      <c r="G1946" s="1" t="s">
        <v>6</v>
      </c>
      <c r="H1946" s="1" t="s">
        <v>7</v>
      </c>
      <c r="I1946" s="7">
        <v>364.88</v>
      </c>
      <c r="J1946" s="1" t="s">
        <v>38</v>
      </c>
      <c r="K1946" s="1"/>
      <c r="L1946" s="1" t="s">
        <v>39</v>
      </c>
      <c r="M1946" s="1" t="str">
        <f>INDEX(MCC_Lookup!$B$2:$B$12,MATCH(G1946,MCC_Lookup!$A$2:$A$12,0))</f>
        <v>Lodging</v>
      </c>
      <c r="N1946" s="1" t="str">
        <f>IF(TRIM(H1946)="","BLANK",IF(PROPER(TRIM(H1946))=TRIM(M1946),"MATCH","MISMATCH"))</f>
        <v>MATCH</v>
      </c>
      <c r="O1946" s="5" t="str">
        <f>INDEX([1]Employee!$C$2:$C$276,MATCH(B1946,[1]Employee!$A$2:$A$276,0))</f>
        <v>Sales &amp; Marketing</v>
      </c>
    </row>
    <row r="1947" spans="1:15">
      <c r="A1947" s="1" t="s">
        <v>3925</v>
      </c>
      <c r="B1947" s="1" t="s">
        <v>810</v>
      </c>
      <c r="C1947" s="1"/>
      <c r="D1947" s="2">
        <v>46118</v>
      </c>
      <c r="E1947" s="2">
        <v>46128</v>
      </c>
      <c r="F1947" s="1" t="s">
        <v>69</v>
      </c>
      <c r="G1947" s="1" t="s">
        <v>8</v>
      </c>
      <c r="H1947" s="1" t="s">
        <v>9</v>
      </c>
      <c r="I1947" s="7">
        <v>49.77</v>
      </c>
      <c r="J1947" s="1" t="s">
        <v>111</v>
      </c>
      <c r="K1947" s="1" t="s">
        <v>229</v>
      </c>
      <c r="L1947" s="1" t="s">
        <v>39</v>
      </c>
      <c r="M1947" s="1" t="str">
        <f>INDEX(MCC_Lookup!$B$2:$B$12,MATCH(G1947,MCC_Lookup!$A$2:$A$12,0))</f>
        <v>Transportation</v>
      </c>
      <c r="N1947" s="1" t="str">
        <f>IF(TRIM(H1947)="","BLANK",IF(PROPER(TRIM(H1947))=TRIM(M1947),"MATCH","MISMATCH"))</f>
        <v>MATCH</v>
      </c>
      <c r="O1947" s="5" t="str">
        <f>INDEX([1]Employee!$C$2:$C$276,MATCH(B1947,[1]Employee!$A$2:$A$276,0))</f>
        <v>Sales &amp; Marketing</v>
      </c>
    </row>
    <row r="1948" spans="1:15">
      <c r="A1948" s="1" t="s">
        <v>3926</v>
      </c>
      <c r="B1948" s="1" t="s">
        <v>821</v>
      </c>
      <c r="C1948" s="1" t="s">
        <v>3927</v>
      </c>
      <c r="D1948" s="2">
        <v>46124</v>
      </c>
      <c r="E1948" s="2">
        <v>46128</v>
      </c>
      <c r="F1948" s="1" t="s">
        <v>201</v>
      </c>
      <c r="G1948" s="1" t="s">
        <v>4</v>
      </c>
      <c r="H1948" s="1" t="s">
        <v>5</v>
      </c>
      <c r="I1948" s="7">
        <v>278.39</v>
      </c>
      <c r="J1948" s="1" t="s">
        <v>38</v>
      </c>
      <c r="K1948" s="1"/>
      <c r="L1948" s="1" t="s">
        <v>39</v>
      </c>
      <c r="M1948" s="1" t="str">
        <f>INDEX(MCC_Lookup!$B$2:$B$12,MATCH(G1948,MCC_Lookup!$A$2:$A$12,0))</f>
        <v>Travel</v>
      </c>
      <c r="N1948" s="1" t="str">
        <f>IF(TRIM(H1948)="","BLANK",IF(PROPER(TRIM(H1948))=TRIM(M1948),"MATCH","MISMATCH"))</f>
        <v>MATCH</v>
      </c>
      <c r="O1948" s="5" t="str">
        <f>INDEX([1]Employee!$C$2:$C$276,MATCH(B1948,[1]Employee!$A$2:$A$276,0))</f>
        <v>Claims</v>
      </c>
    </row>
    <row r="1949" spans="1:15">
      <c r="A1949" s="1" t="s">
        <v>3928</v>
      </c>
      <c r="B1949" s="1" t="s">
        <v>210</v>
      </c>
      <c r="C1949" s="1" t="s">
        <v>3929</v>
      </c>
      <c r="D1949" s="2">
        <v>46126</v>
      </c>
      <c r="E1949" s="2">
        <v>46128</v>
      </c>
      <c r="F1949" s="1" t="s">
        <v>43</v>
      </c>
      <c r="G1949" s="1" t="s">
        <v>2</v>
      </c>
      <c r="H1949" s="1" t="s">
        <v>3</v>
      </c>
      <c r="I1949" s="7">
        <v>21.04</v>
      </c>
      <c r="J1949" s="1" t="s">
        <v>38</v>
      </c>
      <c r="K1949" s="1"/>
      <c r="L1949" s="1" t="s">
        <v>39</v>
      </c>
      <c r="M1949" s="1" t="str">
        <f>INDEX(MCC_Lookup!$B$2:$B$12,MATCH(G1949,MCC_Lookup!$A$2:$A$12,0))</f>
        <v>Meals</v>
      </c>
      <c r="N1949" s="1" t="str">
        <f>IF(TRIM(H1949)="","BLANK",IF(PROPER(TRIM(H1949))=TRIM(M1949),"MATCH","MISMATCH"))</f>
        <v>MATCH</v>
      </c>
      <c r="O1949" s="5" t="str">
        <f>INDEX([1]Employee!$C$2:$C$276,MATCH(B1949,[1]Employee!$A$2:$A$276,0))</f>
        <v>Sales &amp; Marketing</v>
      </c>
    </row>
    <row r="1950" spans="1:15">
      <c r="A1950" s="1" t="s">
        <v>3930</v>
      </c>
      <c r="B1950" s="1" t="s">
        <v>553</v>
      </c>
      <c r="C1950" s="1" t="s">
        <v>3931</v>
      </c>
      <c r="D1950" s="2">
        <v>46124</v>
      </c>
      <c r="E1950" s="2">
        <v>46128</v>
      </c>
      <c r="F1950" s="1" t="s">
        <v>61</v>
      </c>
      <c r="G1950" s="1" t="s">
        <v>13</v>
      </c>
      <c r="H1950" s="1" t="s">
        <v>14</v>
      </c>
      <c r="I1950" s="7">
        <v>52.78</v>
      </c>
      <c r="J1950" s="1" t="s">
        <v>38</v>
      </c>
      <c r="K1950" s="1"/>
      <c r="L1950" s="1" t="s">
        <v>39</v>
      </c>
      <c r="M1950" s="1" t="str">
        <f>INDEX(MCC_Lookup!$B$2:$B$12,MATCH(G1950,MCC_Lookup!$A$2:$A$12,0))</f>
        <v>Software</v>
      </c>
      <c r="N1950" s="1" t="str">
        <f>IF(TRIM(H1950)="","BLANK",IF(PROPER(TRIM(H1950))=TRIM(M1950),"MATCH","MISMATCH"))</f>
        <v>MATCH</v>
      </c>
      <c r="O1950" s="5" t="str">
        <f>INDEX([1]Employee!$C$2:$C$276,MATCH(B1950,[1]Employee!$A$2:$A$276,0))</f>
        <v>Claims</v>
      </c>
    </row>
    <row r="1951" spans="1:15">
      <c r="A1951" s="1" t="s">
        <v>3932</v>
      </c>
      <c r="B1951" s="1" t="s">
        <v>1206</v>
      </c>
      <c r="C1951" s="1" t="s">
        <v>3933</v>
      </c>
      <c r="D1951" s="2">
        <v>46120</v>
      </c>
      <c r="E1951" s="2">
        <v>46129</v>
      </c>
      <c r="F1951" s="1" t="s">
        <v>43</v>
      </c>
      <c r="G1951" s="1" t="s">
        <v>2</v>
      </c>
      <c r="H1951" s="1" t="s">
        <v>3</v>
      </c>
      <c r="I1951" s="7">
        <v>12.34</v>
      </c>
      <c r="J1951" s="1" t="s">
        <v>38</v>
      </c>
      <c r="K1951" s="1"/>
      <c r="L1951" s="1" t="s">
        <v>39</v>
      </c>
      <c r="M1951" s="1" t="str">
        <f>INDEX(MCC_Lookup!$B$2:$B$12,MATCH(G1951,MCC_Lookup!$A$2:$A$12,0))</f>
        <v>Meals</v>
      </c>
      <c r="N1951" s="1" t="str">
        <f>IF(TRIM(H1951)="","BLANK",IF(PROPER(TRIM(H1951))=TRIM(M1951),"MATCH","MISMATCH"))</f>
        <v>MATCH</v>
      </c>
      <c r="O1951" s="5" t="str">
        <f>INDEX([1]Employee!$C$2:$C$276,MATCH(B1951,[1]Employee!$A$2:$A$276,0))</f>
        <v>Customer Support</v>
      </c>
    </row>
    <row r="1952" spans="1:15">
      <c r="A1952" s="1" t="s">
        <v>3934</v>
      </c>
      <c r="B1952" s="1" t="s">
        <v>1107</v>
      </c>
      <c r="C1952" s="1"/>
      <c r="D1952" s="2">
        <v>46124</v>
      </c>
      <c r="E1952" s="2">
        <v>46129</v>
      </c>
      <c r="F1952" s="1" t="s">
        <v>79</v>
      </c>
      <c r="G1952" s="1" t="s">
        <v>13</v>
      </c>
      <c r="H1952" s="1" t="s">
        <v>14</v>
      </c>
      <c r="I1952" s="7">
        <v>106.91</v>
      </c>
      <c r="J1952" s="1" t="s">
        <v>111</v>
      </c>
      <c r="K1952" s="1" t="s">
        <v>161</v>
      </c>
      <c r="L1952" s="1" t="s">
        <v>39</v>
      </c>
      <c r="M1952" s="1" t="str">
        <f>INDEX(MCC_Lookup!$B$2:$B$12,MATCH(G1952,MCC_Lookup!$A$2:$A$12,0))</f>
        <v>Software</v>
      </c>
      <c r="N1952" s="1" t="str">
        <f>IF(TRIM(H1952)="","BLANK",IF(PROPER(TRIM(H1952))=TRIM(M1952),"MATCH","MISMATCH"))</f>
        <v>MATCH</v>
      </c>
      <c r="O1952" s="5" t="str">
        <f>INDEX([1]Employee!$C$2:$C$276,MATCH(B1952,[1]Employee!$A$2:$A$276,0))</f>
        <v>Claims</v>
      </c>
    </row>
    <row r="1953" spans="1:15">
      <c r="A1953" s="1" t="s">
        <v>3935</v>
      </c>
      <c r="B1953" s="1" t="s">
        <v>314</v>
      </c>
      <c r="C1953" s="1" t="s">
        <v>3936</v>
      </c>
      <c r="D1953" s="2">
        <v>46119</v>
      </c>
      <c r="E1953" s="2">
        <v>46129</v>
      </c>
      <c r="F1953" s="1" t="s">
        <v>124</v>
      </c>
      <c r="G1953" s="1" t="s">
        <v>17</v>
      </c>
      <c r="H1953" s="1" t="s">
        <v>16</v>
      </c>
      <c r="I1953" s="7">
        <v>99.18</v>
      </c>
      <c r="J1953" s="1" t="s">
        <v>38</v>
      </c>
      <c r="K1953" s="1"/>
      <c r="L1953" s="1" t="s">
        <v>39</v>
      </c>
      <c r="M1953" s="1" t="str">
        <f>INDEX(MCC_Lookup!$B$2:$B$12,MATCH(G1953,MCC_Lookup!$A$2:$A$12,0))</f>
        <v>Entertainment</v>
      </c>
      <c r="N1953" s="1" t="str">
        <f>IF(TRIM(H1953)="","BLANK",IF(PROPER(TRIM(H1953))=TRIM(M1953),"MATCH","MISMATCH"))</f>
        <v>MATCH</v>
      </c>
      <c r="O1953" s="5" t="str">
        <f>INDEX([1]Employee!$C$2:$C$276,MATCH(B1953,[1]Employee!$A$2:$A$276,0))</f>
        <v>Sales &amp; Marketing</v>
      </c>
    </row>
    <row r="1954" spans="1:15">
      <c r="A1954" s="1" t="s">
        <v>3937</v>
      </c>
      <c r="B1954" s="1" t="s">
        <v>104</v>
      </c>
      <c r="C1954" s="1"/>
      <c r="D1954" s="2">
        <v>46119</v>
      </c>
      <c r="E1954" s="2">
        <v>46129</v>
      </c>
      <c r="F1954" s="1" t="s">
        <v>65</v>
      </c>
      <c r="G1954" s="1" t="s">
        <v>18</v>
      </c>
      <c r="H1954" s="1" t="s">
        <v>19</v>
      </c>
      <c r="I1954" s="7">
        <v>505.56</v>
      </c>
      <c r="J1954" s="1" t="s">
        <v>38</v>
      </c>
      <c r="K1954" s="1"/>
      <c r="L1954" s="1" t="s">
        <v>39</v>
      </c>
      <c r="M1954" s="1" t="str">
        <f>INDEX(MCC_Lookup!$B$2:$B$12,MATCH(G1954,MCC_Lookup!$A$2:$A$12,0))</f>
        <v>Events</v>
      </c>
      <c r="N1954" s="1" t="str">
        <f>IF(TRIM(H1954)="","BLANK",IF(PROPER(TRIM(H1954))=TRIM(M1954),"MATCH","MISMATCH"))</f>
        <v>MATCH</v>
      </c>
      <c r="O1954" s="5" t="str">
        <f>INDEX([1]Employee!$C$2:$C$276,MATCH(B1954,[1]Employee!$A$2:$A$276,0))</f>
        <v>Sales &amp; Marketing</v>
      </c>
    </row>
    <row r="1955" spans="1:15">
      <c r="A1955" s="1" t="s">
        <v>3938</v>
      </c>
      <c r="B1955" s="1" t="s">
        <v>156</v>
      </c>
      <c r="C1955" s="1" t="s">
        <v>3939</v>
      </c>
      <c r="D1955" s="2">
        <v>46120</v>
      </c>
      <c r="E1955" s="2">
        <v>46129</v>
      </c>
      <c r="F1955" s="1" t="s">
        <v>83</v>
      </c>
      <c r="G1955" s="1" t="s">
        <v>2</v>
      </c>
      <c r="H1955" s="1" t="s">
        <v>3</v>
      </c>
      <c r="I1955" s="7">
        <v>16.77</v>
      </c>
      <c r="J1955" s="1" t="s">
        <v>38</v>
      </c>
      <c r="K1955" s="1"/>
      <c r="L1955" s="1" t="s">
        <v>39</v>
      </c>
      <c r="M1955" s="1" t="str">
        <f>INDEX(MCC_Lookup!$B$2:$B$12,MATCH(G1955,MCC_Lookup!$A$2:$A$12,0))</f>
        <v>Meals</v>
      </c>
      <c r="N1955" s="1" t="str">
        <f>IF(TRIM(H1955)="","BLANK",IF(PROPER(TRIM(H1955))=TRIM(M1955),"MATCH","MISMATCH"))</f>
        <v>MATCH</v>
      </c>
      <c r="O1955" s="5" t="str">
        <f>INDEX([1]Employee!$C$2:$C$276,MATCH(B1955,[1]Employee!$A$2:$A$276,0))</f>
        <v>Sales &amp; Marketing</v>
      </c>
    </row>
    <row r="1956" spans="1:15">
      <c r="A1956" s="1" t="s">
        <v>3940</v>
      </c>
      <c r="B1956" s="1" t="s">
        <v>564</v>
      </c>
      <c r="C1956" s="1" t="s">
        <v>3941</v>
      </c>
      <c r="D1956" s="2">
        <v>46119</v>
      </c>
      <c r="E1956" s="2">
        <v>46129</v>
      </c>
      <c r="F1956" s="1" t="s">
        <v>47</v>
      </c>
      <c r="G1956" s="1" t="s">
        <v>6</v>
      </c>
      <c r="H1956" s="1" t="s">
        <v>7</v>
      </c>
      <c r="I1956" s="7">
        <v>215.39</v>
      </c>
      <c r="J1956" s="1" t="s">
        <v>38</v>
      </c>
      <c r="K1956" s="1"/>
      <c r="L1956" s="1" t="s">
        <v>39</v>
      </c>
      <c r="M1956" s="1" t="str">
        <f>INDEX(MCC_Lookup!$B$2:$B$12,MATCH(G1956,MCC_Lookup!$A$2:$A$12,0))</f>
        <v>Lodging</v>
      </c>
      <c r="N1956" s="1" t="str">
        <f>IF(TRIM(H1956)="","BLANK",IF(PROPER(TRIM(H1956))=TRIM(M1956),"MATCH","MISMATCH"))</f>
        <v>MATCH</v>
      </c>
      <c r="O1956" s="5" t="str">
        <f>INDEX([1]Employee!$C$2:$C$276,MATCH(B1956,[1]Employee!$A$2:$A$276,0))</f>
        <v>Sales &amp; Marketing</v>
      </c>
    </row>
    <row r="1957" spans="1:15">
      <c r="A1957" s="1" t="s">
        <v>3942</v>
      </c>
      <c r="B1957" s="1" t="s">
        <v>564</v>
      </c>
      <c r="C1957" s="1" t="s">
        <v>3943</v>
      </c>
      <c r="D1957" s="2">
        <v>46128</v>
      </c>
      <c r="E1957" s="2">
        <v>46129</v>
      </c>
      <c r="F1957" s="1" t="s">
        <v>242</v>
      </c>
      <c r="G1957" s="1" t="s">
        <v>13</v>
      </c>
      <c r="H1957" s="1" t="s">
        <v>14</v>
      </c>
      <c r="I1957" s="7">
        <v>29.15</v>
      </c>
      <c r="J1957" s="1" t="s">
        <v>38</v>
      </c>
      <c r="K1957" s="1"/>
      <c r="L1957" s="1" t="s">
        <v>39</v>
      </c>
      <c r="M1957" s="1" t="str">
        <f>INDEX(MCC_Lookup!$B$2:$B$12,MATCH(G1957,MCC_Lookup!$A$2:$A$12,0))</f>
        <v>Software</v>
      </c>
      <c r="N1957" s="1" t="str">
        <f>IF(TRIM(H1957)="","BLANK",IF(PROPER(TRIM(H1957))=TRIM(M1957),"MATCH","MISMATCH"))</f>
        <v>MATCH</v>
      </c>
      <c r="O1957" s="5" t="str">
        <f>INDEX([1]Employee!$C$2:$C$276,MATCH(B1957,[1]Employee!$A$2:$A$276,0))</f>
        <v>Sales &amp; Marketing</v>
      </c>
    </row>
    <row r="1958" spans="1:15">
      <c r="A1958" s="1" t="s">
        <v>3944</v>
      </c>
      <c r="B1958" s="1" t="s">
        <v>50</v>
      </c>
      <c r="C1958" s="1" t="s">
        <v>3945</v>
      </c>
      <c r="D1958" s="2">
        <v>46127</v>
      </c>
      <c r="E1958" s="2">
        <v>46129</v>
      </c>
      <c r="F1958" s="1" t="s">
        <v>65</v>
      </c>
      <c r="G1958" s="1" t="s">
        <v>18</v>
      </c>
      <c r="H1958" s="1" t="s">
        <v>19</v>
      </c>
      <c r="I1958" s="7">
        <v>126.3</v>
      </c>
      <c r="J1958" s="1" t="s">
        <v>38</v>
      </c>
      <c r="K1958" s="1"/>
      <c r="L1958" s="1" t="s">
        <v>39</v>
      </c>
      <c r="M1958" s="1" t="str">
        <f>INDEX(MCC_Lookup!$B$2:$B$12,MATCH(G1958,MCC_Lookup!$A$2:$A$12,0))</f>
        <v>Events</v>
      </c>
      <c r="N1958" s="1" t="str">
        <f>IF(TRIM(H1958)="","BLANK",IF(PROPER(TRIM(H1958))=TRIM(M1958),"MATCH","MISMATCH"))</f>
        <v>MATCH</v>
      </c>
      <c r="O1958" s="5" t="str">
        <f>INDEX([1]Employee!$C$2:$C$276,MATCH(B1958,[1]Employee!$A$2:$A$276,0))</f>
        <v>Sales &amp; Marketing</v>
      </c>
    </row>
    <row r="1959" spans="1:15">
      <c r="A1959" s="1" t="s">
        <v>3946</v>
      </c>
      <c r="B1959" s="1" t="s">
        <v>1637</v>
      </c>
      <c r="C1959" s="1" t="s">
        <v>3947</v>
      </c>
      <c r="D1959" s="2">
        <v>46123</v>
      </c>
      <c r="E1959" s="2">
        <v>46129</v>
      </c>
      <c r="F1959" s="1" t="s">
        <v>92</v>
      </c>
      <c r="G1959" s="1" t="s">
        <v>10</v>
      </c>
      <c r="H1959" s="1" t="s">
        <v>295</v>
      </c>
      <c r="I1959" s="7">
        <v>97.52</v>
      </c>
      <c r="J1959" s="1" t="s">
        <v>38</v>
      </c>
      <c r="K1959" s="1"/>
      <c r="L1959" s="1" t="s">
        <v>39</v>
      </c>
      <c r="M1959" s="1" t="str">
        <f>INDEX(MCC_Lookup!$B$2:$B$12,MATCH(G1959,MCC_Lookup!$A$2:$A$12,0))</f>
        <v>Office Supplies</v>
      </c>
      <c r="N1959" s="1" t="str">
        <f>IF(TRIM(H1959)="","BLANK",IF(PROPER(TRIM(H1959))=TRIM(M1959),"MATCH","MISMATCH"))</f>
        <v>MATCH</v>
      </c>
      <c r="O1959" s="5" t="str">
        <f>INDEX([1]Employee!$C$2:$C$276,MATCH(B1959,[1]Employee!$A$2:$A$276,0))</f>
        <v>Underwriting</v>
      </c>
    </row>
    <row r="1960" spans="1:15">
      <c r="A1960" s="1" t="s">
        <v>3948</v>
      </c>
      <c r="B1960" s="1" t="s">
        <v>515</v>
      </c>
      <c r="C1960" s="1" t="s">
        <v>3949</v>
      </c>
      <c r="D1960" s="2">
        <v>46121</v>
      </c>
      <c r="E1960" s="2">
        <v>46129</v>
      </c>
      <c r="F1960" s="1" t="s">
        <v>92</v>
      </c>
      <c r="G1960" s="1" t="s">
        <v>10</v>
      </c>
      <c r="H1960" s="1" t="s">
        <v>9</v>
      </c>
      <c r="I1960" s="7">
        <v>134.33000000000001</v>
      </c>
      <c r="J1960" s="1" t="s">
        <v>38</v>
      </c>
      <c r="K1960" s="1"/>
      <c r="L1960" s="1" t="s">
        <v>39</v>
      </c>
      <c r="M1960" s="1" t="str">
        <f>INDEX(MCC_Lookup!$B$2:$B$12,MATCH(G1960,MCC_Lookup!$A$2:$A$12,0))</f>
        <v>Office Supplies</v>
      </c>
      <c r="N1960" s="1" t="str">
        <f>IF(TRIM(H1960)="","BLANK",IF(PROPER(TRIM(H1960))=TRIM(M1960),"MATCH","MISMATCH"))</f>
        <v>MISMATCH</v>
      </c>
      <c r="O1960" s="5" t="str">
        <f>INDEX([1]Employee!$C$2:$C$276,MATCH(B1960,[1]Employee!$A$2:$A$276,0))</f>
        <v>Actuarial &amp; Risk</v>
      </c>
    </row>
    <row r="1961" spans="1:15">
      <c r="A1961" s="1" t="s">
        <v>3950</v>
      </c>
      <c r="B1961" s="1" t="s">
        <v>199</v>
      </c>
      <c r="C1961" s="1" t="s">
        <v>3951</v>
      </c>
      <c r="D1961" s="2">
        <v>46123</v>
      </c>
      <c r="E1961" s="2">
        <v>46129</v>
      </c>
      <c r="F1961" s="1" t="s">
        <v>69</v>
      </c>
      <c r="G1961" s="1" t="s">
        <v>8</v>
      </c>
      <c r="H1961" s="1" t="s">
        <v>9</v>
      </c>
      <c r="I1961" s="7">
        <v>27.97</v>
      </c>
      <c r="J1961" s="1" t="s">
        <v>38</v>
      </c>
      <c r="K1961" s="1"/>
      <c r="L1961" s="1" t="s">
        <v>39</v>
      </c>
      <c r="M1961" s="1" t="str">
        <f>INDEX(MCC_Lookup!$B$2:$B$12,MATCH(G1961,MCC_Lookup!$A$2:$A$12,0))</f>
        <v>Transportation</v>
      </c>
      <c r="N1961" s="1" t="str">
        <f>IF(TRIM(H1961)="","BLANK",IF(PROPER(TRIM(H1961))=TRIM(M1961),"MATCH","MISMATCH"))</f>
        <v>MATCH</v>
      </c>
      <c r="O1961" s="5" t="str">
        <f>INDEX([1]Employee!$C$2:$C$276,MATCH(B1961,[1]Employee!$A$2:$A$276,0))</f>
        <v>Sales &amp; Marketing</v>
      </c>
    </row>
    <row r="1962" spans="1:15">
      <c r="A1962" s="1" t="s">
        <v>3952</v>
      </c>
      <c r="B1962" s="1" t="s">
        <v>1061</v>
      </c>
      <c r="C1962" s="1" t="s">
        <v>3953</v>
      </c>
      <c r="D1962" s="2">
        <v>46125</v>
      </c>
      <c r="E1962" s="2">
        <v>46130</v>
      </c>
      <c r="F1962" s="1" t="s">
        <v>92</v>
      </c>
      <c r="G1962" s="1" t="s">
        <v>10</v>
      </c>
      <c r="H1962" s="1" t="s">
        <v>295</v>
      </c>
      <c r="I1962" s="7">
        <v>121.69</v>
      </c>
      <c r="J1962" s="1" t="s">
        <v>38</v>
      </c>
      <c r="K1962" s="1"/>
      <c r="L1962" s="1" t="s">
        <v>39</v>
      </c>
      <c r="M1962" s="1" t="str">
        <f>INDEX(MCC_Lookup!$B$2:$B$12,MATCH(G1962,MCC_Lookup!$A$2:$A$12,0))</f>
        <v>Office Supplies</v>
      </c>
      <c r="N1962" s="1" t="str">
        <f>IF(TRIM(H1962)="","BLANK",IF(PROPER(TRIM(H1962))=TRIM(M1962),"MATCH","MISMATCH"))</f>
        <v>MATCH</v>
      </c>
      <c r="O1962" s="5" t="str">
        <f>INDEX([1]Employee!$C$2:$C$276,MATCH(B1962,[1]Employee!$A$2:$A$276,0))</f>
        <v>Claims</v>
      </c>
    </row>
    <row r="1963" spans="1:15">
      <c r="A1963" s="1" t="s">
        <v>3954</v>
      </c>
      <c r="B1963" s="1" t="s">
        <v>317</v>
      </c>
      <c r="C1963" s="1" t="s">
        <v>3955</v>
      </c>
      <c r="D1963" s="2">
        <v>46129</v>
      </c>
      <c r="E1963" s="2">
        <v>46130</v>
      </c>
      <c r="F1963" s="1" t="s">
        <v>305</v>
      </c>
      <c r="G1963" s="1" t="s">
        <v>2</v>
      </c>
      <c r="H1963" s="1" t="s">
        <v>154</v>
      </c>
      <c r="I1963" s="7">
        <v>10.02</v>
      </c>
      <c r="J1963" s="1" t="s">
        <v>38</v>
      </c>
      <c r="K1963" s="1"/>
      <c r="L1963" s="1" t="s">
        <v>39</v>
      </c>
      <c r="M1963" s="1" t="str">
        <f>INDEX(MCC_Lookup!$B$2:$B$12,MATCH(G1963,MCC_Lookup!$A$2:$A$12,0))</f>
        <v>Meals</v>
      </c>
      <c r="N1963" s="1" t="str">
        <f>IF(TRIM(H1963)="","BLANK",IF(PROPER(TRIM(H1963))=TRIM(M1963),"MATCH","MISMATCH"))</f>
        <v>MATCH</v>
      </c>
      <c r="O1963" s="5" t="str">
        <f>INDEX([1]Employee!$C$2:$C$276,MATCH(B1963,[1]Employee!$A$2:$A$276,0))</f>
        <v>Sales &amp; Marketing</v>
      </c>
    </row>
    <row r="1964" spans="1:15">
      <c r="A1964" s="1" t="s">
        <v>3956</v>
      </c>
      <c r="B1964" s="1" t="s">
        <v>108</v>
      </c>
      <c r="C1964" s="1" t="s">
        <v>3957</v>
      </c>
      <c r="D1964" s="2">
        <v>46122</v>
      </c>
      <c r="E1964" s="2">
        <v>46130</v>
      </c>
      <c r="F1964" s="1" t="s">
        <v>83</v>
      </c>
      <c r="G1964" s="1" t="s">
        <v>2</v>
      </c>
      <c r="H1964" s="1" t="s">
        <v>3</v>
      </c>
      <c r="I1964" s="7">
        <v>24.77</v>
      </c>
      <c r="J1964" s="1" t="s">
        <v>38</v>
      </c>
      <c r="K1964" s="1"/>
      <c r="L1964" s="1" t="s">
        <v>48</v>
      </c>
      <c r="M1964" s="1" t="str">
        <f>INDEX(MCC_Lookup!$B$2:$B$12,MATCH(G1964,MCC_Lookup!$A$2:$A$12,0))</f>
        <v>Meals</v>
      </c>
      <c r="N1964" s="1" t="str">
        <f>IF(TRIM(H1964)="","BLANK",IF(PROPER(TRIM(H1964))=TRIM(M1964),"MATCH","MISMATCH"))</f>
        <v>MATCH</v>
      </c>
      <c r="O1964" s="5" t="str">
        <f>INDEX([1]Employee!$C$2:$C$276,MATCH(B1964,[1]Employee!$A$2:$A$276,0))</f>
        <v>Sales &amp; Marketing</v>
      </c>
    </row>
    <row r="1965" spans="1:15">
      <c r="A1965" s="1" t="s">
        <v>3958</v>
      </c>
      <c r="B1965" s="1" t="s">
        <v>140</v>
      </c>
      <c r="C1965" s="1" t="s">
        <v>3959</v>
      </c>
      <c r="D1965" s="2">
        <v>46125</v>
      </c>
      <c r="E1965" s="2">
        <v>46130</v>
      </c>
      <c r="F1965" s="1" t="s">
        <v>61</v>
      </c>
      <c r="G1965" s="1" t="s">
        <v>13</v>
      </c>
      <c r="H1965" s="1" t="s">
        <v>14</v>
      </c>
      <c r="I1965" s="7">
        <v>72.23</v>
      </c>
      <c r="J1965" s="1" t="s">
        <v>38</v>
      </c>
      <c r="K1965" s="1"/>
      <c r="L1965" s="1" t="s">
        <v>39</v>
      </c>
      <c r="M1965" s="1" t="str">
        <f>INDEX(MCC_Lookup!$B$2:$B$12,MATCH(G1965,MCC_Lookup!$A$2:$A$12,0))</f>
        <v>Software</v>
      </c>
      <c r="N1965" s="1" t="str">
        <f>IF(TRIM(H1965)="","BLANK",IF(PROPER(TRIM(H1965))=TRIM(M1965),"MATCH","MISMATCH"))</f>
        <v>MATCH</v>
      </c>
      <c r="O1965" s="5" t="str">
        <f>INDEX([1]Employee!$C$2:$C$276,MATCH(B1965,[1]Employee!$A$2:$A$276,0))</f>
        <v>Finance</v>
      </c>
    </row>
    <row r="1966" spans="1:15">
      <c r="A1966" s="1" t="s">
        <v>3960</v>
      </c>
      <c r="B1966" s="1" t="s">
        <v>499</v>
      </c>
      <c r="C1966" s="1" t="s">
        <v>3961</v>
      </c>
      <c r="D1966" s="2">
        <v>46125</v>
      </c>
      <c r="E1966" s="2">
        <v>46130</v>
      </c>
      <c r="F1966" s="1" t="s">
        <v>201</v>
      </c>
      <c r="G1966" s="1" t="s">
        <v>4</v>
      </c>
      <c r="H1966" s="1" t="s">
        <v>5</v>
      </c>
      <c r="I1966" s="7">
        <v>314.51</v>
      </c>
      <c r="J1966" s="1" t="s">
        <v>38</v>
      </c>
      <c r="K1966" s="1"/>
      <c r="L1966" s="1" t="s">
        <v>39</v>
      </c>
      <c r="M1966" s="1" t="str">
        <f>INDEX(MCC_Lookup!$B$2:$B$12,MATCH(G1966,MCC_Lookup!$A$2:$A$12,0))</f>
        <v>Travel</v>
      </c>
      <c r="N1966" s="1" t="str">
        <f>IF(TRIM(H1966)="","BLANK",IF(PROPER(TRIM(H1966))=TRIM(M1966),"MATCH","MISMATCH"))</f>
        <v>MATCH</v>
      </c>
      <c r="O1966" s="5" t="str">
        <f>INDEX([1]Employee!$C$2:$C$276,MATCH(B1966,[1]Employee!$A$2:$A$276,0))</f>
        <v>Sales &amp; Marketing</v>
      </c>
    </row>
    <row r="1967" spans="1:15">
      <c r="A1967" s="1" t="s">
        <v>3962</v>
      </c>
      <c r="B1967" s="1" t="s">
        <v>506</v>
      </c>
      <c r="C1967" s="1" t="s">
        <v>3963</v>
      </c>
      <c r="D1967" s="2">
        <v>46125</v>
      </c>
      <c r="E1967" s="2">
        <v>46130</v>
      </c>
      <c r="F1967" s="1" t="s">
        <v>173</v>
      </c>
      <c r="G1967" s="1" t="s">
        <v>2</v>
      </c>
      <c r="H1967" s="1" t="s">
        <v>3</v>
      </c>
      <c r="I1967" s="7">
        <v>76.180000000000007</v>
      </c>
      <c r="J1967" s="1" t="s">
        <v>38</v>
      </c>
      <c r="K1967" s="1"/>
      <c r="L1967" s="1" t="s">
        <v>39</v>
      </c>
      <c r="M1967" s="1" t="str">
        <f>INDEX(MCC_Lookup!$B$2:$B$12,MATCH(G1967,MCC_Lookup!$A$2:$A$12,0))</f>
        <v>Meals</v>
      </c>
      <c r="N1967" s="1" t="str">
        <f>IF(TRIM(H1967)="","BLANK",IF(PROPER(TRIM(H1967))=TRIM(M1967),"MATCH","MISMATCH"))</f>
        <v>MATCH</v>
      </c>
      <c r="O1967" s="5" t="str">
        <f>INDEX([1]Employee!$C$2:$C$276,MATCH(B1967,[1]Employee!$A$2:$A$276,0))</f>
        <v>Executive &amp; Corporate</v>
      </c>
    </row>
    <row r="1968" spans="1:15">
      <c r="A1968" s="1" t="s">
        <v>3964</v>
      </c>
      <c r="B1968" s="1" t="s">
        <v>1128</v>
      </c>
      <c r="C1968" s="1" t="s">
        <v>3965</v>
      </c>
      <c r="D1968" s="2">
        <v>46127</v>
      </c>
      <c r="E1968" s="2">
        <v>46130</v>
      </c>
      <c r="F1968" s="1" t="s">
        <v>259</v>
      </c>
      <c r="G1968" s="1" t="s">
        <v>20</v>
      </c>
      <c r="H1968" s="1" t="s">
        <v>19</v>
      </c>
      <c r="I1968" s="7">
        <v>201.03</v>
      </c>
      <c r="J1968" s="1" t="s">
        <v>38</v>
      </c>
      <c r="K1968" s="1"/>
      <c r="L1968" s="1" t="s">
        <v>39</v>
      </c>
      <c r="M1968" s="1" t="str">
        <f>INDEX(MCC_Lookup!$B$2:$B$12,MATCH(G1968,MCC_Lookup!$A$2:$A$12,0))</f>
        <v>Events</v>
      </c>
      <c r="N1968" s="1" t="str">
        <f>IF(TRIM(H1968)="","BLANK",IF(PROPER(TRIM(H1968))=TRIM(M1968),"MATCH","MISMATCH"))</f>
        <v>MATCH</v>
      </c>
      <c r="O1968" s="5" t="str">
        <f>INDEX([1]Employee!$C$2:$C$276,MATCH(B1968,[1]Employee!$A$2:$A$276,0))</f>
        <v>Customer Support</v>
      </c>
    </row>
    <row r="1969" spans="1:15">
      <c r="A1969" s="1" t="s">
        <v>3966</v>
      </c>
      <c r="B1969" s="1" t="s">
        <v>199</v>
      </c>
      <c r="C1969" s="1" t="s">
        <v>3967</v>
      </c>
      <c r="D1969" s="2">
        <v>46128</v>
      </c>
      <c r="E1969" s="2">
        <v>46130</v>
      </c>
      <c r="F1969" s="1" t="s">
        <v>305</v>
      </c>
      <c r="G1969" s="1" t="s">
        <v>2</v>
      </c>
      <c r="H1969" s="1" t="s">
        <v>3</v>
      </c>
      <c r="I1969" s="7">
        <v>17.38</v>
      </c>
      <c r="J1969" s="1" t="s">
        <v>38</v>
      </c>
      <c r="K1969" s="1"/>
      <c r="L1969" s="1" t="s">
        <v>39</v>
      </c>
      <c r="M1969" s="1" t="str">
        <f>INDEX(MCC_Lookup!$B$2:$B$12,MATCH(G1969,MCC_Lookup!$A$2:$A$12,0))</f>
        <v>Meals</v>
      </c>
      <c r="N1969" s="1" t="str">
        <f>IF(TRIM(H1969)="","BLANK",IF(PROPER(TRIM(H1969))=TRIM(M1969),"MATCH","MISMATCH"))</f>
        <v>MATCH</v>
      </c>
      <c r="O1969" s="5" t="str">
        <f>INDEX([1]Employee!$C$2:$C$276,MATCH(B1969,[1]Employee!$A$2:$A$276,0))</f>
        <v>Sales &amp; Marketing</v>
      </c>
    </row>
    <row r="1970" spans="1:15">
      <c r="A1970" s="1" t="s">
        <v>3968</v>
      </c>
      <c r="B1970" s="1" t="s">
        <v>1110</v>
      </c>
      <c r="C1970" s="1"/>
      <c r="D1970" s="2">
        <v>46123</v>
      </c>
      <c r="E1970" s="2">
        <v>46130</v>
      </c>
      <c r="F1970" s="1" t="s">
        <v>109</v>
      </c>
      <c r="G1970" s="1" t="s">
        <v>18</v>
      </c>
      <c r="H1970" s="1" t="s">
        <v>19</v>
      </c>
      <c r="I1970" s="7">
        <v>191.96</v>
      </c>
      <c r="J1970" s="1" t="s">
        <v>38</v>
      </c>
      <c r="K1970" s="1"/>
      <c r="L1970" s="1" t="s">
        <v>39</v>
      </c>
      <c r="M1970" s="1" t="str">
        <f>INDEX(MCC_Lookup!$B$2:$B$12,MATCH(G1970,MCC_Lookup!$A$2:$A$12,0))</f>
        <v>Events</v>
      </c>
      <c r="N1970" s="1" t="str">
        <f>IF(TRIM(H1970)="","BLANK",IF(PROPER(TRIM(H1970))=TRIM(M1970),"MATCH","MISMATCH"))</f>
        <v>MATCH</v>
      </c>
      <c r="O1970" s="5" t="str">
        <f>INDEX([1]Employee!$C$2:$C$276,MATCH(B1970,[1]Employee!$A$2:$A$276,0))</f>
        <v>Executive &amp; Corporate</v>
      </c>
    </row>
    <row r="1971" spans="1:15">
      <c r="A1971" s="1" t="s">
        <v>3969</v>
      </c>
      <c r="B1971" s="1" t="s">
        <v>475</v>
      </c>
      <c r="C1971" s="1" t="s">
        <v>3970</v>
      </c>
      <c r="D1971" s="2">
        <v>46129</v>
      </c>
      <c r="E1971" s="2">
        <v>46130</v>
      </c>
      <c r="F1971" s="1" t="s">
        <v>116</v>
      </c>
      <c r="G1971" s="1" t="s">
        <v>2</v>
      </c>
      <c r="H1971" s="1" t="s">
        <v>794</v>
      </c>
      <c r="I1971" s="7">
        <v>14.89</v>
      </c>
      <c r="J1971" s="1" t="s">
        <v>38</v>
      </c>
      <c r="K1971" s="1"/>
      <c r="L1971" s="1" t="s">
        <v>39</v>
      </c>
      <c r="M1971" s="1" t="str">
        <f>INDEX(MCC_Lookup!$B$2:$B$12,MATCH(G1971,MCC_Lookup!$A$2:$A$12,0))</f>
        <v>Meals</v>
      </c>
      <c r="N1971" s="1" t="str">
        <f>IF(TRIM(H1971)="","BLANK",IF(PROPER(TRIM(H1971))=TRIM(M1971),"MATCH","MISMATCH"))</f>
        <v>MATCH</v>
      </c>
      <c r="O1971" s="5" t="str">
        <f>INDEX([1]Employee!$C$2:$C$276,MATCH(B1971,[1]Employee!$A$2:$A$276,0))</f>
        <v>Sales &amp; Marketing</v>
      </c>
    </row>
    <row r="1972" spans="1:15">
      <c r="A1972" s="1" t="s">
        <v>3971</v>
      </c>
      <c r="B1972" s="1" t="s">
        <v>472</v>
      </c>
      <c r="C1972" s="1" t="s">
        <v>3972</v>
      </c>
      <c r="D1972" s="2">
        <v>46126</v>
      </c>
      <c r="E1972" s="2">
        <v>46130</v>
      </c>
      <c r="F1972" s="1" t="s">
        <v>259</v>
      </c>
      <c r="G1972" s="1" t="s">
        <v>20</v>
      </c>
      <c r="H1972" s="1" t="s">
        <v>19</v>
      </c>
      <c r="I1972" s="7">
        <v>663.54</v>
      </c>
      <c r="J1972" s="1" t="s">
        <v>38</v>
      </c>
      <c r="K1972" s="1"/>
      <c r="L1972" s="1" t="s">
        <v>39</v>
      </c>
      <c r="M1972" s="1" t="str">
        <f>INDEX(MCC_Lookup!$B$2:$B$12,MATCH(G1972,MCC_Lookup!$A$2:$A$12,0))</f>
        <v>Events</v>
      </c>
      <c r="N1972" s="1" t="str">
        <f>IF(TRIM(H1972)="","BLANK",IF(PROPER(TRIM(H1972))=TRIM(M1972),"MATCH","MISMATCH"))</f>
        <v>MATCH</v>
      </c>
      <c r="O1972" s="5" t="str">
        <f>INDEX([1]Employee!$C$2:$C$276,MATCH(B1972,[1]Employee!$A$2:$A$276,0))</f>
        <v>Sales &amp; Marketing</v>
      </c>
    </row>
    <row r="1973" spans="1:15">
      <c r="A1973" s="1" t="s">
        <v>3973</v>
      </c>
      <c r="B1973" s="1" t="s">
        <v>448</v>
      </c>
      <c r="C1973" s="1" t="s">
        <v>3974</v>
      </c>
      <c r="D1973" s="2">
        <v>46123</v>
      </c>
      <c r="E1973" s="2">
        <v>46130</v>
      </c>
      <c r="F1973" s="1" t="s">
        <v>116</v>
      </c>
      <c r="G1973" s="1" t="s">
        <v>2</v>
      </c>
      <c r="H1973" s="1" t="s">
        <v>3</v>
      </c>
      <c r="I1973" s="7">
        <v>11.8</v>
      </c>
      <c r="J1973" s="1" t="s">
        <v>38</v>
      </c>
      <c r="K1973" s="1"/>
      <c r="L1973" s="1" t="s">
        <v>39</v>
      </c>
      <c r="M1973" s="1" t="str">
        <f>INDEX(MCC_Lookup!$B$2:$B$12,MATCH(G1973,MCC_Lookup!$A$2:$A$12,0))</f>
        <v>Meals</v>
      </c>
      <c r="N1973" s="1" t="str">
        <f>IF(TRIM(H1973)="","BLANK",IF(PROPER(TRIM(H1973))=TRIM(M1973),"MATCH","MISMATCH"))</f>
        <v>MATCH</v>
      </c>
      <c r="O1973" s="5" t="str">
        <f>INDEX([1]Employee!$C$2:$C$276,MATCH(B1973,[1]Employee!$A$2:$A$276,0))</f>
        <v>Sales &amp; Marketing</v>
      </c>
    </row>
    <row r="1974" spans="1:15">
      <c r="A1974" s="1" t="s">
        <v>3975</v>
      </c>
      <c r="B1974" s="1" t="s">
        <v>1208</v>
      </c>
      <c r="C1974" s="1" t="s">
        <v>3976</v>
      </c>
      <c r="D1974" s="2">
        <v>46129</v>
      </c>
      <c r="E1974" s="2">
        <v>46130</v>
      </c>
      <c r="F1974" s="1" t="s">
        <v>52</v>
      </c>
      <c r="G1974" s="1" t="s">
        <v>15</v>
      </c>
      <c r="H1974" s="1" t="s">
        <v>16</v>
      </c>
      <c r="I1974" s="7">
        <v>54.27</v>
      </c>
      <c r="J1974" s="1" t="s">
        <v>38</v>
      </c>
      <c r="K1974" s="1"/>
      <c r="L1974" s="1" t="s">
        <v>39</v>
      </c>
      <c r="M1974" s="1" t="str">
        <f>INDEX(MCC_Lookup!$B$2:$B$12,MATCH(G1974,MCC_Lookup!$A$2:$A$12,0))</f>
        <v>Entertainment</v>
      </c>
      <c r="N1974" s="1" t="str">
        <f>IF(TRIM(H1974)="","BLANK",IF(PROPER(TRIM(H1974))=TRIM(M1974),"MATCH","MISMATCH"))</f>
        <v>MATCH</v>
      </c>
      <c r="O1974" s="5" t="str">
        <f>INDEX([1]Employee!$C$2:$C$276,MATCH(B1974,[1]Employee!$A$2:$A$276,0))</f>
        <v>HR &amp; Events</v>
      </c>
    </row>
    <row r="1975" spans="1:15">
      <c r="A1975" s="1" t="s">
        <v>3977</v>
      </c>
      <c r="B1975" s="1" t="s">
        <v>261</v>
      </c>
      <c r="C1975" s="1" t="s">
        <v>3978</v>
      </c>
      <c r="D1975" s="2">
        <v>46127</v>
      </c>
      <c r="E1975" s="2">
        <v>46130</v>
      </c>
      <c r="F1975" s="1" t="s">
        <v>106</v>
      </c>
      <c r="G1975" s="1" t="s">
        <v>13</v>
      </c>
      <c r="H1975" s="1" t="s">
        <v>470</v>
      </c>
      <c r="I1975" s="7">
        <v>128.02000000000001</v>
      </c>
      <c r="J1975" s="1" t="s">
        <v>38</v>
      </c>
      <c r="K1975" s="1"/>
      <c r="L1975" s="1" t="s">
        <v>39</v>
      </c>
      <c r="M1975" s="1" t="str">
        <f>INDEX(MCC_Lookup!$B$2:$B$12,MATCH(G1975,MCC_Lookup!$A$2:$A$12,0))</f>
        <v>Software</v>
      </c>
      <c r="N1975" s="1" t="str">
        <f>IF(TRIM(H1975)="","BLANK",IF(PROPER(TRIM(H1975))=TRIM(M1975),"MATCH","MISMATCH"))</f>
        <v>MATCH</v>
      </c>
      <c r="O1975" s="5" t="str">
        <f>INDEX([1]Employee!$C$2:$C$276,MATCH(B1975,[1]Employee!$A$2:$A$276,0))</f>
        <v>Sales &amp; Marketing</v>
      </c>
    </row>
    <row r="1976" spans="1:15">
      <c r="A1976" s="1" t="s">
        <v>3979</v>
      </c>
      <c r="B1976" s="1" t="s">
        <v>261</v>
      </c>
      <c r="C1976" s="1" t="s">
        <v>3980</v>
      </c>
      <c r="D1976" s="2">
        <v>46127</v>
      </c>
      <c r="E1976" s="2">
        <v>46130</v>
      </c>
      <c r="F1976" s="1" t="s">
        <v>242</v>
      </c>
      <c r="G1976" s="1" t="s">
        <v>13</v>
      </c>
      <c r="H1976" s="1" t="s">
        <v>14</v>
      </c>
      <c r="I1976" s="7">
        <v>24.77</v>
      </c>
      <c r="J1976" s="1" t="s">
        <v>38</v>
      </c>
      <c r="K1976" s="1"/>
      <c r="L1976" s="1" t="s">
        <v>48</v>
      </c>
      <c r="M1976" s="1" t="str">
        <f>INDEX(MCC_Lookup!$B$2:$B$12,MATCH(G1976,MCC_Lookup!$A$2:$A$12,0))</f>
        <v>Software</v>
      </c>
      <c r="N1976" s="1" t="str">
        <f>IF(TRIM(H1976)="","BLANK",IF(PROPER(TRIM(H1976))=TRIM(M1976),"MATCH","MISMATCH"))</f>
        <v>MATCH</v>
      </c>
      <c r="O1976" s="5" t="str">
        <f>INDEX([1]Employee!$C$2:$C$276,MATCH(B1976,[1]Employee!$A$2:$A$276,0))</f>
        <v>Sales &amp; Marketing</v>
      </c>
    </row>
    <row r="1977" spans="1:15">
      <c r="A1977" s="1" t="s">
        <v>3981</v>
      </c>
      <c r="B1977" s="1" t="s">
        <v>382</v>
      </c>
      <c r="C1977" s="1" t="s">
        <v>3982</v>
      </c>
      <c r="D1977" s="2">
        <v>46128</v>
      </c>
      <c r="E1977" s="2">
        <v>46130</v>
      </c>
      <c r="F1977" s="1" t="s">
        <v>47</v>
      </c>
      <c r="G1977" s="1" t="s">
        <v>6</v>
      </c>
      <c r="H1977" s="1" t="s">
        <v>7</v>
      </c>
      <c r="I1977" s="7">
        <v>318.45999999999998</v>
      </c>
      <c r="J1977" s="1" t="s">
        <v>38</v>
      </c>
      <c r="K1977" s="1"/>
      <c r="L1977" s="1" t="s">
        <v>39</v>
      </c>
      <c r="M1977" s="1" t="str">
        <f>INDEX(MCC_Lookup!$B$2:$B$12,MATCH(G1977,MCC_Lookup!$A$2:$A$12,0))</f>
        <v>Lodging</v>
      </c>
      <c r="N1977" s="1" t="str">
        <f>IF(TRIM(H1977)="","BLANK",IF(PROPER(TRIM(H1977))=TRIM(M1977),"MATCH","MISMATCH"))</f>
        <v>MATCH</v>
      </c>
      <c r="O1977" s="5" t="str">
        <f>INDEX([1]Employee!$C$2:$C$276,MATCH(B1977,[1]Employee!$A$2:$A$276,0))</f>
        <v>Sales &amp; Marketing</v>
      </c>
    </row>
    <row r="1978" spans="1:15">
      <c r="A1978" s="1" t="s">
        <v>3983</v>
      </c>
      <c r="B1978" s="1" t="s">
        <v>63</v>
      </c>
      <c r="C1978" s="1" t="s">
        <v>3984</v>
      </c>
      <c r="D1978" s="2">
        <v>46130</v>
      </c>
      <c r="E1978" s="2">
        <v>46130</v>
      </c>
      <c r="F1978" s="1" t="s">
        <v>120</v>
      </c>
      <c r="G1978" s="1" t="s">
        <v>12</v>
      </c>
      <c r="H1978" s="1" t="s">
        <v>11</v>
      </c>
      <c r="I1978" s="7">
        <v>382.53</v>
      </c>
      <c r="J1978" s="1" t="s">
        <v>38</v>
      </c>
      <c r="K1978" s="1"/>
      <c r="L1978" s="1" t="s">
        <v>39</v>
      </c>
      <c r="M1978" s="1" t="str">
        <f>INDEX(MCC_Lookup!$B$2:$B$12,MATCH(G1978,MCC_Lookup!$A$2:$A$12,0))</f>
        <v>Office Supplies</v>
      </c>
      <c r="N1978" s="1" t="str">
        <f>IF(TRIM(H1978)="","BLANK",IF(PROPER(TRIM(H1978))=TRIM(M1978),"MATCH","MISMATCH"))</f>
        <v>MATCH</v>
      </c>
      <c r="O1978" s="5" t="str">
        <f>INDEX([1]Employee!$C$2:$C$276,MATCH(B1978,[1]Employee!$A$2:$A$276,0))</f>
        <v>Sales &amp; Marketing</v>
      </c>
    </row>
    <row r="1979" spans="1:15">
      <c r="A1979" s="1" t="s">
        <v>3985</v>
      </c>
      <c r="B1979" s="1" t="s">
        <v>433</v>
      </c>
      <c r="C1979" s="1" t="s">
        <v>3986</v>
      </c>
      <c r="D1979" s="2">
        <v>46127</v>
      </c>
      <c r="E1979" s="2">
        <v>46130</v>
      </c>
      <c r="F1979" s="1" t="s">
        <v>65</v>
      </c>
      <c r="G1979" s="1" t="s">
        <v>18</v>
      </c>
      <c r="H1979" s="1" t="s">
        <v>19</v>
      </c>
      <c r="I1979" s="7">
        <v>387.36</v>
      </c>
      <c r="J1979" s="1" t="s">
        <v>38</v>
      </c>
      <c r="K1979" s="1"/>
      <c r="L1979" s="1" t="s">
        <v>48</v>
      </c>
      <c r="M1979" s="1" t="str">
        <f>INDEX(MCC_Lookup!$B$2:$B$12,MATCH(G1979,MCC_Lookup!$A$2:$A$12,0))</f>
        <v>Events</v>
      </c>
      <c r="N1979" s="1" t="str">
        <f>IF(TRIM(H1979)="","BLANK",IF(PROPER(TRIM(H1979))=TRIM(M1979),"MATCH","MISMATCH"))</f>
        <v>MATCH</v>
      </c>
      <c r="O1979" s="5" t="str">
        <f>INDEX([1]Employee!$C$2:$C$276,MATCH(B1979,[1]Employee!$A$2:$A$276,0))</f>
        <v>Sales &amp; Marketing</v>
      </c>
    </row>
    <row r="1980" spans="1:15">
      <c r="A1980" s="1" t="s">
        <v>3987</v>
      </c>
      <c r="B1980" s="1" t="s">
        <v>196</v>
      </c>
      <c r="C1980" s="1" t="s">
        <v>3988</v>
      </c>
      <c r="D1980" s="2">
        <v>46123</v>
      </c>
      <c r="E1980" s="2">
        <v>46131</v>
      </c>
      <c r="F1980" s="1" t="s">
        <v>61</v>
      </c>
      <c r="G1980" s="1" t="s">
        <v>13</v>
      </c>
      <c r="H1980" s="1" t="s">
        <v>14</v>
      </c>
      <c r="I1980" s="7">
        <v>57.45</v>
      </c>
      <c r="J1980" s="1" t="s">
        <v>38</v>
      </c>
      <c r="K1980" s="1"/>
      <c r="L1980" s="1" t="s">
        <v>48</v>
      </c>
      <c r="M1980" s="1" t="str">
        <f>INDEX(MCC_Lookup!$B$2:$B$12,MATCH(G1980,MCC_Lookup!$A$2:$A$12,0))</f>
        <v>Software</v>
      </c>
      <c r="N1980" s="1" t="str">
        <f>IF(TRIM(H1980)="","BLANK",IF(PROPER(TRIM(H1980))=TRIM(M1980),"MATCH","MISMATCH"))</f>
        <v>MATCH</v>
      </c>
      <c r="O1980" s="5" t="str">
        <f>INDEX([1]Employee!$C$2:$C$276,MATCH(B1980,[1]Employee!$A$2:$A$276,0))</f>
        <v>Sales &amp; Marketing</v>
      </c>
    </row>
    <row r="1981" spans="1:15">
      <c r="A1981" s="1" t="s">
        <v>3989</v>
      </c>
      <c r="B1981" s="1" t="s">
        <v>741</v>
      </c>
      <c r="C1981" s="1" t="s">
        <v>3990</v>
      </c>
      <c r="D1981" s="2">
        <v>46127</v>
      </c>
      <c r="E1981" s="2">
        <v>46131</v>
      </c>
      <c r="F1981" s="1" t="s">
        <v>116</v>
      </c>
      <c r="G1981" s="1" t="s">
        <v>2</v>
      </c>
      <c r="H1981" s="1" t="s">
        <v>154</v>
      </c>
      <c r="I1981" s="7">
        <v>21.17</v>
      </c>
      <c r="J1981" s="1" t="s">
        <v>38</v>
      </c>
      <c r="K1981" s="1"/>
      <c r="L1981" s="1" t="s">
        <v>39</v>
      </c>
      <c r="M1981" s="1" t="str">
        <f>INDEX(MCC_Lookup!$B$2:$B$12,MATCH(G1981,MCC_Lookup!$A$2:$A$12,0))</f>
        <v>Meals</v>
      </c>
      <c r="N1981" s="1" t="str">
        <f>IF(TRIM(H1981)="","BLANK",IF(PROPER(TRIM(H1981))=TRIM(M1981),"MATCH","MISMATCH"))</f>
        <v>MATCH</v>
      </c>
      <c r="O1981" s="5" t="str">
        <f>INDEX([1]Employee!$C$2:$C$276,MATCH(B1981,[1]Employee!$A$2:$A$276,0))</f>
        <v>Customer Support</v>
      </c>
    </row>
    <row r="1982" spans="1:15">
      <c r="A1982" s="1" t="s">
        <v>3991</v>
      </c>
      <c r="B1982" s="1" t="s">
        <v>661</v>
      </c>
      <c r="C1982" s="1" t="s">
        <v>3992</v>
      </c>
      <c r="D1982" s="2">
        <v>46123</v>
      </c>
      <c r="E1982" s="2">
        <v>46131</v>
      </c>
      <c r="F1982" s="1" t="s">
        <v>37</v>
      </c>
      <c r="G1982" s="1" t="s">
        <v>4</v>
      </c>
      <c r="H1982" s="1" t="s">
        <v>5</v>
      </c>
      <c r="I1982" s="7">
        <v>183.4</v>
      </c>
      <c r="J1982" s="1" t="s">
        <v>38</v>
      </c>
      <c r="K1982" s="1"/>
      <c r="L1982" s="1" t="s">
        <v>39</v>
      </c>
      <c r="M1982" s="1" t="str">
        <f>INDEX(MCC_Lookup!$B$2:$B$12,MATCH(G1982,MCC_Lookup!$A$2:$A$12,0))</f>
        <v>Travel</v>
      </c>
      <c r="N1982" s="1" t="str">
        <f>IF(TRIM(H1982)="","BLANK",IF(PROPER(TRIM(H1982))=TRIM(M1982),"MATCH","MISMATCH"))</f>
        <v>MATCH</v>
      </c>
      <c r="O1982" s="5" t="str">
        <f>INDEX([1]Employee!$C$2:$C$276,MATCH(B1982,[1]Employee!$A$2:$A$276,0))</f>
        <v>Sales &amp; Marketing</v>
      </c>
    </row>
    <row r="1983" spans="1:15">
      <c r="A1983" s="1" t="s">
        <v>3993</v>
      </c>
      <c r="B1983" s="1" t="s">
        <v>349</v>
      </c>
      <c r="C1983" s="1" t="s">
        <v>3994</v>
      </c>
      <c r="D1983" s="2">
        <v>46131</v>
      </c>
      <c r="E1983" s="2">
        <v>46131</v>
      </c>
      <c r="F1983" s="1" t="s">
        <v>79</v>
      </c>
      <c r="G1983" s="1" t="s">
        <v>13</v>
      </c>
      <c r="H1983" s="1" t="s">
        <v>11</v>
      </c>
      <c r="I1983" s="7">
        <v>144.24</v>
      </c>
      <c r="J1983" s="1" t="s">
        <v>38</v>
      </c>
      <c r="K1983" s="1"/>
      <c r="L1983" s="1" t="s">
        <v>39</v>
      </c>
      <c r="M1983" s="1" t="str">
        <f>INDEX(MCC_Lookup!$B$2:$B$12,MATCH(G1983,MCC_Lookup!$A$2:$A$12,0))</f>
        <v>Software</v>
      </c>
      <c r="N1983" s="1" t="str">
        <f>IF(TRIM(H1983)="","BLANK",IF(PROPER(TRIM(H1983))=TRIM(M1983),"MATCH","MISMATCH"))</f>
        <v>MISMATCH</v>
      </c>
      <c r="O1983" s="5" t="str">
        <f>INDEX([1]Employee!$C$2:$C$276,MATCH(B1983,[1]Employee!$A$2:$A$276,0))</f>
        <v>Sales &amp; Marketing</v>
      </c>
    </row>
    <row r="1984" spans="1:15">
      <c r="A1984" s="1" t="s">
        <v>3995</v>
      </c>
      <c r="B1984" s="1" t="s">
        <v>423</v>
      </c>
      <c r="C1984" s="1"/>
      <c r="D1984" s="2">
        <v>46124</v>
      </c>
      <c r="E1984" s="2">
        <v>46131</v>
      </c>
      <c r="F1984" s="1" t="s">
        <v>214</v>
      </c>
      <c r="G1984" s="1" t="s">
        <v>2</v>
      </c>
      <c r="H1984" s="1" t="s">
        <v>3</v>
      </c>
      <c r="I1984" s="7">
        <v>22.32</v>
      </c>
      <c r="J1984" s="1" t="s">
        <v>38</v>
      </c>
      <c r="K1984" s="1"/>
      <c r="L1984" s="1" t="s">
        <v>48</v>
      </c>
      <c r="M1984" s="1" t="str">
        <f>INDEX(MCC_Lookup!$B$2:$B$12,MATCH(G1984,MCC_Lookup!$A$2:$A$12,0))</f>
        <v>Meals</v>
      </c>
      <c r="N1984" s="1" t="str">
        <f>IF(TRIM(H1984)="","BLANK",IF(PROPER(TRIM(H1984))=TRIM(M1984),"MATCH","MISMATCH"))</f>
        <v>MATCH</v>
      </c>
      <c r="O1984" s="5" t="str">
        <f>INDEX([1]Employee!$C$2:$C$276,MATCH(B1984,[1]Employee!$A$2:$A$276,0))</f>
        <v>Underwriting</v>
      </c>
    </row>
    <row r="1985" spans="1:15">
      <c r="A1985" s="1" t="s">
        <v>3996</v>
      </c>
      <c r="B1985" s="1" t="s">
        <v>651</v>
      </c>
      <c r="C1985" s="1" t="s">
        <v>3997</v>
      </c>
      <c r="D1985" s="2">
        <v>46125</v>
      </c>
      <c r="E1985" s="2">
        <v>46131</v>
      </c>
      <c r="F1985" s="1" t="s">
        <v>106</v>
      </c>
      <c r="G1985" s="1" t="s">
        <v>13</v>
      </c>
      <c r="H1985" s="1" t="s">
        <v>14</v>
      </c>
      <c r="I1985" s="7">
        <v>194.59</v>
      </c>
      <c r="J1985" s="1" t="s">
        <v>38</v>
      </c>
      <c r="K1985" s="1"/>
      <c r="L1985" s="1" t="s">
        <v>39</v>
      </c>
      <c r="M1985" s="1" t="str">
        <f>INDEX(MCC_Lookup!$B$2:$B$12,MATCH(G1985,MCC_Lookup!$A$2:$A$12,0))</f>
        <v>Software</v>
      </c>
      <c r="N1985" s="1" t="str">
        <f>IF(TRIM(H1985)="","BLANK",IF(PROPER(TRIM(H1985))=TRIM(M1985),"MATCH","MISMATCH"))</f>
        <v>MATCH</v>
      </c>
      <c r="O1985" s="5" t="str">
        <f>INDEX([1]Employee!$C$2:$C$276,MATCH(B1985,[1]Employee!$A$2:$A$276,0))</f>
        <v>IT &amp; Platform Engineering</v>
      </c>
    </row>
    <row r="1986" spans="1:15">
      <c r="A1986" s="1" t="s">
        <v>3998</v>
      </c>
      <c r="B1986" s="1" t="s">
        <v>558</v>
      </c>
      <c r="C1986" s="1" t="s">
        <v>3999</v>
      </c>
      <c r="D1986" s="2">
        <v>46127</v>
      </c>
      <c r="E1986" s="2">
        <v>46131</v>
      </c>
      <c r="F1986" s="1" t="s">
        <v>201</v>
      </c>
      <c r="G1986" s="1" t="s">
        <v>4</v>
      </c>
      <c r="H1986" s="1" t="s">
        <v>5</v>
      </c>
      <c r="I1986" s="7">
        <v>190.81</v>
      </c>
      <c r="J1986" s="1" t="s">
        <v>38</v>
      </c>
      <c r="K1986" s="1"/>
      <c r="L1986" s="1" t="s">
        <v>39</v>
      </c>
      <c r="M1986" s="1" t="str">
        <f>INDEX(MCC_Lookup!$B$2:$B$12,MATCH(G1986,MCC_Lookup!$A$2:$A$12,0))</f>
        <v>Travel</v>
      </c>
      <c r="N1986" s="1" t="str">
        <f>IF(TRIM(H1986)="","BLANK",IF(PROPER(TRIM(H1986))=TRIM(M1986),"MATCH","MISMATCH"))</f>
        <v>MATCH</v>
      </c>
      <c r="O1986" s="5" t="str">
        <f>INDEX([1]Employee!$C$2:$C$276,MATCH(B1986,[1]Employee!$A$2:$A$276,0))</f>
        <v>Claims</v>
      </c>
    </row>
    <row r="1987" spans="1:15">
      <c r="A1987" s="1" t="s">
        <v>4000</v>
      </c>
      <c r="B1987" s="1" t="s">
        <v>244</v>
      </c>
      <c r="C1987" s="1" t="s">
        <v>4001</v>
      </c>
      <c r="D1987" s="2">
        <v>46124</v>
      </c>
      <c r="E1987" s="2">
        <v>46131</v>
      </c>
      <c r="F1987" s="1" t="s">
        <v>305</v>
      </c>
      <c r="G1987" s="1" t="s">
        <v>2</v>
      </c>
      <c r="H1987" s="1" t="s">
        <v>154</v>
      </c>
      <c r="I1987" s="7">
        <v>8.44</v>
      </c>
      <c r="J1987" s="1" t="s">
        <v>38</v>
      </c>
      <c r="K1987" s="1"/>
      <c r="L1987" s="1" t="s">
        <v>39</v>
      </c>
      <c r="M1987" s="1" t="str">
        <f>INDEX(MCC_Lookup!$B$2:$B$12,MATCH(G1987,MCC_Lookup!$A$2:$A$12,0))</f>
        <v>Meals</v>
      </c>
      <c r="N1987" s="1" t="str">
        <f>IF(TRIM(H1987)="","BLANK",IF(PROPER(TRIM(H1987))=TRIM(M1987),"MATCH","MISMATCH"))</f>
        <v>MATCH</v>
      </c>
      <c r="O1987" s="5" t="str">
        <f>INDEX([1]Employee!$C$2:$C$276,MATCH(B1987,[1]Employee!$A$2:$A$276,0))</f>
        <v>Sales &amp; Marketing</v>
      </c>
    </row>
    <row r="1988" spans="1:15">
      <c r="A1988" s="1" t="s">
        <v>4002</v>
      </c>
      <c r="B1988" s="1" t="s">
        <v>210</v>
      </c>
      <c r="C1988" s="1" t="s">
        <v>4003</v>
      </c>
      <c r="D1988" s="2">
        <v>46127</v>
      </c>
      <c r="E1988" s="2">
        <v>46131</v>
      </c>
      <c r="F1988" s="1" t="s">
        <v>95</v>
      </c>
      <c r="G1988" s="1" t="s">
        <v>6</v>
      </c>
      <c r="H1988" s="1" t="s">
        <v>228</v>
      </c>
      <c r="I1988" s="7">
        <v>344.63</v>
      </c>
      <c r="J1988" s="1" t="s">
        <v>38</v>
      </c>
      <c r="K1988" s="1"/>
      <c r="L1988" s="1" t="s">
        <v>39</v>
      </c>
      <c r="M1988" s="1" t="str">
        <f>INDEX(MCC_Lookup!$B$2:$B$12,MATCH(G1988,MCC_Lookup!$A$2:$A$12,0))</f>
        <v>Lodging</v>
      </c>
      <c r="N1988" s="1" t="str">
        <f>IF(TRIM(H1988)="","BLANK",IF(PROPER(TRIM(H1988))=TRIM(M1988),"MATCH","MISMATCH"))</f>
        <v>MATCH</v>
      </c>
      <c r="O1988" s="5" t="str">
        <f>INDEX([1]Employee!$C$2:$C$276,MATCH(B1988,[1]Employee!$A$2:$A$276,0))</f>
        <v>Sales &amp; Marketing</v>
      </c>
    </row>
    <row r="1989" spans="1:15">
      <c r="A1989" s="1" t="s">
        <v>4004</v>
      </c>
      <c r="B1989" s="1" t="s">
        <v>461</v>
      </c>
      <c r="C1989" s="1" t="s">
        <v>4005</v>
      </c>
      <c r="D1989" s="2">
        <v>46129</v>
      </c>
      <c r="E1989" s="2">
        <v>46131</v>
      </c>
      <c r="F1989" s="1" t="s">
        <v>47</v>
      </c>
      <c r="G1989" s="1" t="s">
        <v>6</v>
      </c>
      <c r="H1989" s="1" t="s">
        <v>7</v>
      </c>
      <c r="I1989" s="7">
        <v>228.31</v>
      </c>
      <c r="J1989" s="1" t="s">
        <v>38</v>
      </c>
      <c r="K1989" s="1"/>
      <c r="L1989" s="1" t="s">
        <v>39</v>
      </c>
      <c r="M1989" s="1" t="str">
        <f>INDEX(MCC_Lookup!$B$2:$B$12,MATCH(G1989,MCC_Lookup!$A$2:$A$12,0))</f>
        <v>Lodging</v>
      </c>
      <c r="N1989" s="1" t="str">
        <f>IF(TRIM(H1989)="","BLANK",IF(PROPER(TRIM(H1989))=TRIM(M1989),"MATCH","MISMATCH"))</f>
        <v>MATCH</v>
      </c>
      <c r="O1989" s="5" t="str">
        <f>INDEX([1]Employee!$C$2:$C$276,MATCH(B1989,[1]Employee!$A$2:$A$276,0))</f>
        <v>Finance</v>
      </c>
    </row>
    <row r="1990" spans="1:15">
      <c r="A1990" s="1" t="s">
        <v>4006</v>
      </c>
      <c r="B1990" s="1" t="s">
        <v>448</v>
      </c>
      <c r="C1990" s="1" t="s">
        <v>4007</v>
      </c>
      <c r="D1990" s="2">
        <v>46130</v>
      </c>
      <c r="E1990" s="2">
        <v>46131</v>
      </c>
      <c r="F1990" s="1" t="s">
        <v>120</v>
      </c>
      <c r="G1990" s="1" t="s">
        <v>12</v>
      </c>
      <c r="H1990" s="1" t="s">
        <v>11</v>
      </c>
      <c r="I1990" s="7">
        <v>206.43</v>
      </c>
      <c r="J1990" s="1" t="s">
        <v>38</v>
      </c>
      <c r="K1990" s="1"/>
      <c r="L1990" s="1" t="s">
        <v>39</v>
      </c>
      <c r="M1990" s="1" t="str">
        <f>INDEX(MCC_Lookup!$B$2:$B$12,MATCH(G1990,MCC_Lookup!$A$2:$A$12,0))</f>
        <v>Office Supplies</v>
      </c>
      <c r="N1990" s="1" t="str">
        <f>IF(TRIM(H1990)="","BLANK",IF(PROPER(TRIM(H1990))=TRIM(M1990),"MATCH","MISMATCH"))</f>
        <v>MATCH</v>
      </c>
      <c r="O1990" s="5" t="str">
        <f>INDEX([1]Employee!$C$2:$C$276,MATCH(B1990,[1]Employee!$A$2:$A$276,0))</f>
        <v>Sales &amp; Marketing</v>
      </c>
    </row>
    <row r="1991" spans="1:15">
      <c r="A1991" s="1" t="s">
        <v>4008</v>
      </c>
      <c r="B1991" s="1" t="s">
        <v>1110</v>
      </c>
      <c r="C1991" s="1" t="s">
        <v>4009</v>
      </c>
      <c r="D1991" s="2">
        <v>46123</v>
      </c>
      <c r="E1991" s="2">
        <v>46131</v>
      </c>
      <c r="F1991" s="1" t="s">
        <v>61</v>
      </c>
      <c r="G1991" s="1" t="s">
        <v>13</v>
      </c>
      <c r="H1991" s="1" t="s">
        <v>14</v>
      </c>
      <c r="I1991" s="7">
        <v>81.760000000000005</v>
      </c>
      <c r="J1991" s="1" t="s">
        <v>38</v>
      </c>
      <c r="K1991" s="1"/>
      <c r="L1991" s="1" t="s">
        <v>39</v>
      </c>
      <c r="M1991" s="1" t="str">
        <f>INDEX(MCC_Lookup!$B$2:$B$12,MATCH(G1991,MCC_Lookup!$A$2:$A$12,0))</f>
        <v>Software</v>
      </c>
      <c r="N1991" s="1" t="str">
        <f>IF(TRIM(H1991)="","BLANK",IF(PROPER(TRIM(H1991))=TRIM(M1991),"MATCH","MISMATCH"))</f>
        <v>MATCH</v>
      </c>
      <c r="O1991" s="5" t="str">
        <f>INDEX([1]Employee!$C$2:$C$276,MATCH(B1991,[1]Employee!$A$2:$A$276,0))</f>
        <v>Executive &amp; Corporate</v>
      </c>
    </row>
    <row r="1992" spans="1:15">
      <c r="A1992" s="1" t="s">
        <v>4010</v>
      </c>
      <c r="B1992" s="1" t="s">
        <v>472</v>
      </c>
      <c r="C1992" s="1" t="s">
        <v>4011</v>
      </c>
      <c r="D1992" s="2">
        <v>46130</v>
      </c>
      <c r="E1992" s="2">
        <v>46131</v>
      </c>
      <c r="F1992" s="1" t="s">
        <v>56</v>
      </c>
      <c r="G1992" s="1" t="s">
        <v>4</v>
      </c>
      <c r="H1992" s="1" t="s">
        <v>5</v>
      </c>
      <c r="I1992" s="7">
        <v>227.44</v>
      </c>
      <c r="J1992" s="1" t="s">
        <v>38</v>
      </c>
      <c r="K1992" s="1"/>
      <c r="L1992" s="1" t="s">
        <v>39</v>
      </c>
      <c r="M1992" s="1" t="str">
        <f>INDEX(MCC_Lookup!$B$2:$B$12,MATCH(G1992,MCC_Lookup!$A$2:$A$12,0))</f>
        <v>Travel</v>
      </c>
      <c r="N1992" s="1" t="str">
        <f>IF(TRIM(H1992)="","BLANK",IF(PROPER(TRIM(H1992))=TRIM(M1992),"MATCH","MISMATCH"))</f>
        <v>MATCH</v>
      </c>
      <c r="O1992" s="5" t="str">
        <f>INDEX([1]Employee!$C$2:$C$276,MATCH(B1992,[1]Employee!$A$2:$A$276,0))</f>
        <v>Sales &amp; Marketing</v>
      </c>
    </row>
    <row r="1993" spans="1:15">
      <c r="A1993" s="1" t="s">
        <v>4012</v>
      </c>
      <c r="B1993" s="1" t="s">
        <v>2997</v>
      </c>
      <c r="C1993" s="1" t="s">
        <v>4013</v>
      </c>
      <c r="D1993" s="2">
        <v>46123</v>
      </c>
      <c r="E1993" s="2">
        <v>46131</v>
      </c>
      <c r="F1993" s="1" t="s">
        <v>347</v>
      </c>
      <c r="G1993" s="1" t="s">
        <v>8</v>
      </c>
      <c r="H1993" s="1" t="s">
        <v>9</v>
      </c>
      <c r="I1993" s="7">
        <v>40.520000000000003</v>
      </c>
      <c r="J1993" s="1" t="s">
        <v>38</v>
      </c>
      <c r="K1993" s="1"/>
      <c r="L1993" s="1" t="s">
        <v>39</v>
      </c>
      <c r="M1993" s="1" t="str">
        <f>INDEX(MCC_Lookup!$B$2:$B$12,MATCH(G1993,MCC_Lookup!$A$2:$A$12,0))</f>
        <v>Transportation</v>
      </c>
      <c r="N1993" s="1" t="str">
        <f>IF(TRIM(H1993)="","BLANK",IF(PROPER(TRIM(H1993))=TRIM(M1993),"MATCH","MISMATCH"))</f>
        <v>MATCH</v>
      </c>
      <c r="O1993" s="5" t="str">
        <f>INDEX([1]Employee!$C$2:$C$276,MATCH(B1993,[1]Employee!$A$2:$A$276,0))</f>
        <v>Finance</v>
      </c>
    </row>
    <row r="1994" spans="1:15">
      <c r="A1994" s="1" t="s">
        <v>4014</v>
      </c>
      <c r="B1994" s="1" t="s">
        <v>772</v>
      </c>
      <c r="C1994" s="1" t="s">
        <v>4015</v>
      </c>
      <c r="D1994" s="2">
        <v>46121</v>
      </c>
      <c r="E1994" s="2">
        <v>46131</v>
      </c>
      <c r="F1994" s="1" t="s">
        <v>69</v>
      </c>
      <c r="G1994" s="1" t="s">
        <v>8</v>
      </c>
      <c r="H1994" s="1" t="s">
        <v>494</v>
      </c>
      <c r="I1994" s="7">
        <v>17.690000000000001</v>
      </c>
      <c r="J1994" s="1" t="s">
        <v>38</v>
      </c>
      <c r="K1994" s="1"/>
      <c r="L1994" s="1" t="s">
        <v>39</v>
      </c>
      <c r="M1994" s="1" t="str">
        <f>INDEX(MCC_Lookup!$B$2:$B$12,MATCH(G1994,MCC_Lookup!$A$2:$A$12,0))</f>
        <v>Transportation</v>
      </c>
      <c r="N1994" s="1" t="str">
        <f>IF(TRIM(H1994)="","BLANK",IF(PROPER(TRIM(H1994))=TRIM(M1994),"MATCH","MISMATCH"))</f>
        <v>MATCH</v>
      </c>
      <c r="O1994" s="5" t="str">
        <f>INDEX([1]Employee!$C$2:$C$276,MATCH(B1994,[1]Employee!$A$2:$A$276,0))</f>
        <v>Underwriting</v>
      </c>
    </row>
    <row r="1995" spans="1:15">
      <c r="A1995" s="1" t="s">
        <v>4016</v>
      </c>
      <c r="B1995" s="1" t="s">
        <v>756</v>
      </c>
      <c r="C1995" s="1" t="s">
        <v>4017</v>
      </c>
      <c r="D1995" s="2">
        <v>46123</v>
      </c>
      <c r="E1995" s="2">
        <v>46131</v>
      </c>
      <c r="F1995" s="1" t="s">
        <v>242</v>
      </c>
      <c r="G1995" s="1" t="s">
        <v>13</v>
      </c>
      <c r="H1995" s="1" t="s">
        <v>14</v>
      </c>
      <c r="I1995" s="7">
        <v>47.84</v>
      </c>
      <c r="J1995" s="1" t="s">
        <v>38</v>
      </c>
      <c r="K1995" s="1"/>
      <c r="L1995" s="1" t="s">
        <v>39</v>
      </c>
      <c r="M1995" s="1" t="str">
        <f>INDEX(MCC_Lookup!$B$2:$B$12,MATCH(G1995,MCC_Lookup!$A$2:$A$12,0))</f>
        <v>Software</v>
      </c>
      <c r="N1995" s="1" t="str">
        <f>IF(TRIM(H1995)="","BLANK",IF(PROPER(TRIM(H1995))=TRIM(M1995),"MATCH","MISMATCH"))</f>
        <v>MATCH</v>
      </c>
      <c r="O1995" s="5" t="str">
        <f>INDEX([1]Employee!$C$2:$C$276,MATCH(B1995,[1]Employee!$A$2:$A$276,0))</f>
        <v>Claims</v>
      </c>
    </row>
    <row r="1996" spans="1:15">
      <c r="A1996" s="1" t="s">
        <v>4018</v>
      </c>
      <c r="B1996" s="1" t="s">
        <v>2598</v>
      </c>
      <c r="C1996" s="1" t="s">
        <v>4019</v>
      </c>
      <c r="D1996" s="2">
        <v>46127</v>
      </c>
      <c r="E1996" s="2">
        <v>46132</v>
      </c>
      <c r="F1996" s="1" t="s">
        <v>43</v>
      </c>
      <c r="G1996" s="1" t="s">
        <v>2</v>
      </c>
      <c r="H1996" s="1" t="s">
        <v>3</v>
      </c>
      <c r="I1996" s="7">
        <v>19.559999999999999</v>
      </c>
      <c r="J1996" s="1" t="s">
        <v>38</v>
      </c>
      <c r="K1996" s="1"/>
      <c r="L1996" s="1" t="s">
        <v>39</v>
      </c>
      <c r="M1996" s="1" t="str">
        <f>INDEX(MCC_Lookup!$B$2:$B$12,MATCH(G1996,MCC_Lookup!$A$2:$A$12,0))</f>
        <v>Meals</v>
      </c>
      <c r="N1996" s="1" t="str">
        <f>IF(TRIM(H1996)="","BLANK",IF(PROPER(TRIM(H1996))=TRIM(M1996),"MATCH","MISMATCH"))</f>
        <v>MATCH</v>
      </c>
      <c r="O1996" s="5" t="str">
        <f>INDEX([1]Employee!$C$2:$C$276,MATCH(B1996,[1]Employee!$A$2:$A$276,0))</f>
        <v>Underwriting</v>
      </c>
    </row>
    <row r="1997" spans="1:15">
      <c r="A1997" s="1" t="s">
        <v>4020</v>
      </c>
      <c r="B1997" s="1" t="s">
        <v>413</v>
      </c>
      <c r="C1997" s="1" t="s">
        <v>4021</v>
      </c>
      <c r="D1997" s="2">
        <v>46122</v>
      </c>
      <c r="E1997" s="2">
        <v>46132</v>
      </c>
      <c r="F1997" s="1" t="s">
        <v>177</v>
      </c>
      <c r="G1997" s="1" t="s">
        <v>13</v>
      </c>
      <c r="H1997" s="1" t="s">
        <v>14</v>
      </c>
      <c r="I1997" s="7">
        <v>38.520000000000003</v>
      </c>
      <c r="J1997" s="1" t="s">
        <v>38</v>
      </c>
      <c r="K1997" s="1"/>
      <c r="L1997" s="1" t="s">
        <v>39</v>
      </c>
      <c r="M1997" s="1" t="str">
        <f>INDEX(MCC_Lookup!$B$2:$B$12,MATCH(G1997,MCC_Lookup!$A$2:$A$12,0))</f>
        <v>Software</v>
      </c>
      <c r="N1997" s="1" t="str">
        <f>IF(TRIM(H1997)="","BLANK",IF(PROPER(TRIM(H1997))=TRIM(M1997),"MATCH","MISMATCH"))</f>
        <v>MATCH</v>
      </c>
      <c r="O1997" s="5" t="str">
        <f>INDEX([1]Employee!$C$2:$C$276,MATCH(B1997,[1]Employee!$A$2:$A$276,0))</f>
        <v>Claims</v>
      </c>
    </row>
    <row r="1998" spans="1:15">
      <c r="A1998" s="1" t="s">
        <v>4022</v>
      </c>
      <c r="B1998" s="1" t="s">
        <v>756</v>
      </c>
      <c r="C1998" s="1"/>
      <c r="D1998" s="2">
        <v>46127</v>
      </c>
      <c r="E1998" s="2">
        <v>46132</v>
      </c>
      <c r="F1998" s="1" t="s">
        <v>362</v>
      </c>
      <c r="G1998" s="1" t="s">
        <v>2</v>
      </c>
      <c r="H1998" s="1" t="s">
        <v>3</v>
      </c>
      <c r="I1998" s="7">
        <v>92.64</v>
      </c>
      <c r="J1998" s="1" t="s">
        <v>38</v>
      </c>
      <c r="K1998" s="1"/>
      <c r="L1998" s="1" t="s">
        <v>48</v>
      </c>
      <c r="M1998" s="1" t="str">
        <f>INDEX(MCC_Lookup!$B$2:$B$12,MATCH(G1998,MCC_Lookup!$A$2:$A$12,0))</f>
        <v>Meals</v>
      </c>
      <c r="N1998" s="1" t="str">
        <f>IF(TRIM(H1998)="","BLANK",IF(PROPER(TRIM(H1998))=TRIM(M1998),"MATCH","MISMATCH"))</f>
        <v>MATCH</v>
      </c>
      <c r="O1998" s="5" t="str">
        <f>INDEX([1]Employee!$C$2:$C$276,MATCH(B1998,[1]Employee!$A$2:$A$276,0))</f>
        <v>Claims</v>
      </c>
    </row>
    <row r="1999" spans="1:15">
      <c r="A1999" s="1" t="s">
        <v>4023</v>
      </c>
      <c r="B1999" s="1" t="s">
        <v>2046</v>
      </c>
      <c r="C1999" s="1" t="s">
        <v>4024</v>
      </c>
      <c r="D1999" s="2">
        <v>46122</v>
      </c>
      <c r="E1999" s="2">
        <v>46132</v>
      </c>
      <c r="F1999" s="1" t="s">
        <v>305</v>
      </c>
      <c r="G1999" s="1" t="s">
        <v>2</v>
      </c>
      <c r="H1999" s="1" t="s">
        <v>3</v>
      </c>
      <c r="I1999" s="7">
        <v>10.57</v>
      </c>
      <c r="J1999" s="1" t="s">
        <v>38</v>
      </c>
      <c r="K1999" s="1"/>
      <c r="L1999" s="1" t="s">
        <v>48</v>
      </c>
      <c r="M1999" s="1" t="str">
        <f>INDEX(MCC_Lookup!$B$2:$B$12,MATCH(G1999,MCC_Lookup!$A$2:$A$12,0))</f>
        <v>Meals</v>
      </c>
      <c r="N1999" s="1" t="str">
        <f>IF(TRIM(H1999)="","BLANK",IF(PROPER(TRIM(H1999))=TRIM(M1999),"MATCH","MISMATCH"))</f>
        <v>MATCH</v>
      </c>
      <c r="O1999" s="5" t="str">
        <f>INDEX([1]Employee!$C$2:$C$276,MATCH(B1999,[1]Employee!$A$2:$A$276,0))</f>
        <v>Claims</v>
      </c>
    </row>
    <row r="2000" spans="1:15">
      <c r="A2000" s="1" t="s">
        <v>4025</v>
      </c>
      <c r="B2000" s="1" t="s">
        <v>1116</v>
      </c>
      <c r="C2000" s="1" t="s">
        <v>4026</v>
      </c>
      <c r="D2000" s="2">
        <v>46129</v>
      </c>
      <c r="E2000" s="2">
        <v>46132</v>
      </c>
      <c r="F2000" s="1" t="s">
        <v>120</v>
      </c>
      <c r="G2000" s="1" t="s">
        <v>12</v>
      </c>
      <c r="H2000" s="1" t="s">
        <v>11</v>
      </c>
      <c r="I2000" s="7">
        <v>317.52999999999997</v>
      </c>
      <c r="J2000" s="1" t="s">
        <v>38</v>
      </c>
      <c r="K2000" s="1"/>
      <c r="L2000" s="1" t="s">
        <v>39</v>
      </c>
      <c r="M2000" s="1" t="str">
        <f>INDEX(MCC_Lookup!$B$2:$B$12,MATCH(G2000,MCC_Lookup!$A$2:$A$12,0))</f>
        <v>Office Supplies</v>
      </c>
      <c r="N2000" s="1" t="str">
        <f>IF(TRIM(H2000)="","BLANK",IF(PROPER(TRIM(H2000))=TRIM(M2000),"MATCH","MISMATCH"))</f>
        <v>MATCH</v>
      </c>
      <c r="O2000" s="5" t="str">
        <f>INDEX([1]Employee!$C$2:$C$276,MATCH(B2000,[1]Employee!$A$2:$A$276,0))</f>
        <v>Underwriting</v>
      </c>
    </row>
    <row r="2001" spans="1:15">
      <c r="A2001" s="1" t="s">
        <v>4027</v>
      </c>
      <c r="B2001" s="1" t="s">
        <v>81</v>
      </c>
      <c r="C2001" s="1" t="s">
        <v>4028</v>
      </c>
      <c r="D2001" s="2">
        <v>46129</v>
      </c>
      <c r="E2001" s="2">
        <v>46132</v>
      </c>
      <c r="F2001" s="1" t="s">
        <v>37</v>
      </c>
      <c r="G2001" s="1" t="s">
        <v>4</v>
      </c>
      <c r="H2001" s="1" t="s">
        <v>5</v>
      </c>
      <c r="I2001" s="7">
        <v>163.66999999999999</v>
      </c>
      <c r="J2001" s="1" t="s">
        <v>38</v>
      </c>
      <c r="K2001" s="1"/>
      <c r="L2001" s="1" t="s">
        <v>48</v>
      </c>
      <c r="M2001" s="1" t="str">
        <f>INDEX(MCC_Lookup!$B$2:$B$12,MATCH(G2001,MCC_Lookup!$A$2:$A$12,0))</f>
        <v>Travel</v>
      </c>
      <c r="N2001" s="1" t="str">
        <f>IF(TRIM(H2001)="","BLANK",IF(PROPER(TRIM(H2001))=TRIM(M2001),"MATCH","MISMATCH"))</f>
        <v>MATCH</v>
      </c>
      <c r="O2001" s="5" t="str">
        <f>INDEX([1]Employee!$C$2:$C$276,MATCH(B2001,[1]Employee!$A$2:$A$276,0))</f>
        <v>Sales &amp; Marketing</v>
      </c>
    </row>
    <row r="2002" spans="1:15">
      <c r="A2002" s="1" t="s">
        <v>4029</v>
      </c>
      <c r="B2002" s="1" t="s">
        <v>297</v>
      </c>
      <c r="C2002" s="1" t="s">
        <v>4030</v>
      </c>
      <c r="D2002" s="2">
        <v>46125</v>
      </c>
      <c r="E2002" s="2">
        <v>46132</v>
      </c>
      <c r="F2002" s="1" t="s">
        <v>69</v>
      </c>
      <c r="G2002" s="1" t="s">
        <v>8</v>
      </c>
      <c r="H2002" s="1" t="s">
        <v>9</v>
      </c>
      <c r="I2002" s="7">
        <v>22.6</v>
      </c>
      <c r="J2002" s="1" t="s">
        <v>38</v>
      </c>
      <c r="K2002" s="1"/>
      <c r="L2002" s="1" t="s">
        <v>39</v>
      </c>
      <c r="M2002" s="1" t="str">
        <f>INDEX(MCC_Lookup!$B$2:$B$12,MATCH(G2002,MCC_Lookup!$A$2:$A$12,0))</f>
        <v>Transportation</v>
      </c>
      <c r="N2002" s="1" t="str">
        <f>IF(TRIM(H2002)="","BLANK",IF(PROPER(TRIM(H2002))=TRIM(M2002),"MATCH","MISMATCH"))</f>
        <v>MATCH</v>
      </c>
      <c r="O2002" s="5" t="str">
        <f>INDEX([1]Employee!$C$2:$C$276,MATCH(B2002,[1]Employee!$A$2:$A$276,0))</f>
        <v>Underwriting</v>
      </c>
    </row>
    <row r="2003" spans="1:15">
      <c r="A2003" s="1" t="s">
        <v>4031</v>
      </c>
      <c r="B2003" s="1" t="s">
        <v>868</v>
      </c>
      <c r="C2003" s="1" t="s">
        <v>4032</v>
      </c>
      <c r="D2003" s="2">
        <v>46125</v>
      </c>
      <c r="E2003" s="2">
        <v>46132</v>
      </c>
      <c r="F2003" s="1" t="s">
        <v>52</v>
      </c>
      <c r="G2003" s="1" t="s">
        <v>15</v>
      </c>
      <c r="H2003" s="1" t="s">
        <v>16</v>
      </c>
      <c r="I2003" s="7">
        <v>46.49</v>
      </c>
      <c r="J2003" s="1" t="s">
        <v>38</v>
      </c>
      <c r="K2003" s="1"/>
      <c r="L2003" s="1" t="s">
        <v>39</v>
      </c>
      <c r="M2003" s="1" t="str">
        <f>INDEX(MCC_Lookup!$B$2:$B$12,MATCH(G2003,MCC_Lookup!$A$2:$A$12,0))</f>
        <v>Entertainment</v>
      </c>
      <c r="N2003" s="1" t="str">
        <f>IF(TRIM(H2003)="","BLANK",IF(PROPER(TRIM(H2003))=TRIM(M2003),"MATCH","MISMATCH"))</f>
        <v>MATCH</v>
      </c>
      <c r="O2003" s="5" t="str">
        <f>INDEX([1]Employee!$C$2:$C$276,MATCH(B2003,[1]Employee!$A$2:$A$276,0))</f>
        <v>Sales &amp; Marketing</v>
      </c>
    </row>
    <row r="2004" spans="1:15">
      <c r="A2004" s="1" t="s">
        <v>4033</v>
      </c>
      <c r="B2004" s="1" t="s">
        <v>763</v>
      </c>
      <c r="C2004" s="1"/>
      <c r="D2004" s="2">
        <v>46122</v>
      </c>
      <c r="E2004" s="2">
        <v>46132</v>
      </c>
      <c r="F2004" s="1" t="s">
        <v>99</v>
      </c>
      <c r="G2004" s="1" t="s">
        <v>2</v>
      </c>
      <c r="H2004" s="1" t="s">
        <v>138</v>
      </c>
      <c r="I2004" s="7">
        <v>46.93</v>
      </c>
      <c r="J2004" s="1" t="s">
        <v>38</v>
      </c>
      <c r="K2004" s="1"/>
      <c r="L2004" s="1" t="s">
        <v>39</v>
      </c>
      <c r="M2004" s="1" t="str">
        <f>INDEX(MCC_Lookup!$B$2:$B$12,MATCH(G2004,MCC_Lookup!$A$2:$A$12,0))</f>
        <v>Meals</v>
      </c>
      <c r="N2004" s="1" t="str">
        <f>IF(TRIM(H2004)="","BLANK",IF(PROPER(TRIM(H2004))=TRIM(M2004),"MATCH","MISMATCH"))</f>
        <v>MATCH</v>
      </c>
      <c r="O2004" s="5" t="str">
        <f>INDEX([1]Employee!$C$2:$C$276,MATCH(B2004,[1]Employee!$A$2:$A$276,0))</f>
        <v>Executive &amp; Corporate</v>
      </c>
    </row>
    <row r="2005" spans="1:15">
      <c r="A2005" s="1" t="s">
        <v>4034</v>
      </c>
      <c r="B2005" s="1" t="s">
        <v>553</v>
      </c>
      <c r="C2005" s="1" t="s">
        <v>4035</v>
      </c>
      <c r="D2005" s="2">
        <v>46127</v>
      </c>
      <c r="E2005" s="2">
        <v>46132</v>
      </c>
      <c r="F2005" s="1" t="s">
        <v>160</v>
      </c>
      <c r="G2005" s="1" t="s">
        <v>6</v>
      </c>
      <c r="H2005" s="1" t="s">
        <v>7</v>
      </c>
      <c r="I2005" s="7">
        <v>316.58</v>
      </c>
      <c r="J2005" s="1" t="s">
        <v>38</v>
      </c>
      <c r="K2005" s="1"/>
      <c r="L2005" s="1" t="s">
        <v>39</v>
      </c>
      <c r="M2005" s="1" t="str">
        <f>INDEX(MCC_Lookup!$B$2:$B$12,MATCH(G2005,MCC_Lookup!$A$2:$A$12,0))</f>
        <v>Lodging</v>
      </c>
      <c r="N2005" s="1" t="str">
        <f>IF(TRIM(H2005)="","BLANK",IF(PROPER(TRIM(H2005))=TRIM(M2005),"MATCH","MISMATCH"))</f>
        <v>MATCH</v>
      </c>
      <c r="O2005" s="5" t="str">
        <f>INDEX([1]Employee!$C$2:$C$276,MATCH(B2005,[1]Employee!$A$2:$A$276,0))</f>
        <v>Claims</v>
      </c>
    </row>
    <row r="2006" spans="1:15">
      <c r="A2006" s="1" t="s">
        <v>4036</v>
      </c>
      <c r="B2006" s="1" t="s">
        <v>1632</v>
      </c>
      <c r="C2006" s="1" t="s">
        <v>4037</v>
      </c>
      <c r="D2006" s="2">
        <v>46124</v>
      </c>
      <c r="E2006" s="2">
        <v>46132</v>
      </c>
      <c r="F2006" s="1" t="s">
        <v>305</v>
      </c>
      <c r="G2006" s="1" t="s">
        <v>2</v>
      </c>
      <c r="H2006" s="1" t="s">
        <v>3</v>
      </c>
      <c r="I2006" s="7">
        <v>13.11</v>
      </c>
      <c r="J2006" s="1" t="s">
        <v>38</v>
      </c>
      <c r="K2006" s="1"/>
      <c r="L2006" s="1" t="s">
        <v>39</v>
      </c>
      <c r="M2006" s="1" t="str">
        <f>INDEX(MCC_Lookup!$B$2:$B$12,MATCH(G2006,MCC_Lookup!$A$2:$A$12,0))</f>
        <v>Meals</v>
      </c>
      <c r="N2006" s="1" t="str">
        <f>IF(TRIM(H2006)="","BLANK",IF(PROPER(TRIM(H2006))=TRIM(M2006),"MATCH","MISMATCH"))</f>
        <v>MATCH</v>
      </c>
      <c r="O2006" s="5" t="str">
        <f>INDEX([1]Employee!$C$2:$C$276,MATCH(B2006,[1]Employee!$A$2:$A$276,0))</f>
        <v>HR &amp; Events</v>
      </c>
    </row>
    <row r="2007" spans="1:15">
      <c r="A2007" s="1" t="s">
        <v>4038</v>
      </c>
      <c r="B2007" s="1" t="s">
        <v>207</v>
      </c>
      <c r="C2007" s="1" t="s">
        <v>4039</v>
      </c>
      <c r="D2007" s="2">
        <v>46126</v>
      </c>
      <c r="E2007" s="2">
        <v>46132</v>
      </c>
      <c r="F2007" s="1" t="s">
        <v>95</v>
      </c>
      <c r="G2007" s="1" t="s">
        <v>6</v>
      </c>
      <c r="H2007" s="1" t="s">
        <v>726</v>
      </c>
      <c r="I2007" s="7">
        <v>353.96</v>
      </c>
      <c r="J2007" s="1" t="s">
        <v>38</v>
      </c>
      <c r="K2007" s="1"/>
      <c r="L2007" s="1" t="s">
        <v>39</v>
      </c>
      <c r="M2007" s="1" t="str">
        <f>INDEX(MCC_Lookup!$B$2:$B$12,MATCH(G2007,MCC_Lookup!$A$2:$A$12,0))</f>
        <v>Lodging</v>
      </c>
      <c r="N2007" s="1" t="str">
        <f>IF(TRIM(H2007)="","BLANK",IF(PROPER(TRIM(H2007))=TRIM(M2007),"MATCH","MISMATCH"))</f>
        <v>MATCH</v>
      </c>
      <c r="O2007" s="5" t="str">
        <f>INDEX([1]Employee!$C$2:$C$276,MATCH(B2007,[1]Employee!$A$2:$A$276,0))</f>
        <v>Claims</v>
      </c>
    </row>
    <row r="2008" spans="1:15">
      <c r="A2008" s="1" t="s">
        <v>4040</v>
      </c>
      <c r="B2008" s="1" t="s">
        <v>391</v>
      </c>
      <c r="C2008" s="1" t="s">
        <v>4041</v>
      </c>
      <c r="D2008" s="2">
        <v>46123</v>
      </c>
      <c r="E2008" s="2">
        <v>46132</v>
      </c>
      <c r="F2008" s="1" t="s">
        <v>242</v>
      </c>
      <c r="G2008" s="1" t="s">
        <v>13</v>
      </c>
      <c r="H2008" s="1" t="s">
        <v>470</v>
      </c>
      <c r="I2008" s="7">
        <v>19.72</v>
      </c>
      <c r="J2008" s="1" t="s">
        <v>38</v>
      </c>
      <c r="K2008" s="1"/>
      <c r="L2008" s="1" t="s">
        <v>39</v>
      </c>
      <c r="M2008" s="1" t="str">
        <f>INDEX(MCC_Lookup!$B$2:$B$12,MATCH(G2008,MCC_Lookup!$A$2:$A$12,0))</f>
        <v>Software</v>
      </c>
      <c r="N2008" s="1" t="str">
        <f>IF(TRIM(H2008)="","BLANK",IF(PROPER(TRIM(H2008))=TRIM(M2008),"MATCH","MISMATCH"))</f>
        <v>MATCH</v>
      </c>
      <c r="O2008" s="5" t="str">
        <f>INDEX([1]Employee!$C$2:$C$276,MATCH(B2008,[1]Employee!$A$2:$A$276,0))</f>
        <v>Customer Support</v>
      </c>
    </row>
    <row r="2009" spans="1:15">
      <c r="A2009" s="1" t="s">
        <v>4042</v>
      </c>
      <c r="B2009" s="1" t="s">
        <v>136</v>
      </c>
      <c r="C2009" s="1" t="s">
        <v>4043</v>
      </c>
      <c r="D2009" s="2">
        <v>46129</v>
      </c>
      <c r="E2009" s="2">
        <v>46132</v>
      </c>
      <c r="F2009" s="1" t="s">
        <v>37</v>
      </c>
      <c r="G2009" s="1" t="s">
        <v>4</v>
      </c>
      <c r="H2009" s="1" t="s">
        <v>734</v>
      </c>
      <c r="I2009" s="7">
        <v>176.1</v>
      </c>
      <c r="J2009" s="1" t="s">
        <v>38</v>
      </c>
      <c r="K2009" s="1"/>
      <c r="L2009" s="1" t="s">
        <v>39</v>
      </c>
      <c r="M2009" s="1" t="str">
        <f>INDEX(MCC_Lookup!$B$2:$B$12,MATCH(G2009,MCC_Lookup!$A$2:$A$12,0))</f>
        <v>Travel</v>
      </c>
      <c r="N2009" s="1" t="str">
        <f>IF(TRIM(H2009)="","BLANK",IF(PROPER(TRIM(H2009))=TRIM(M2009),"MATCH","MISMATCH"))</f>
        <v>MATCH</v>
      </c>
      <c r="O2009" s="5" t="str">
        <f>INDEX([1]Employee!$C$2:$C$276,MATCH(B2009,[1]Employee!$A$2:$A$276,0))</f>
        <v>Sales &amp; Marketing</v>
      </c>
    </row>
    <row r="2010" spans="1:15">
      <c r="A2010" s="1" t="s">
        <v>4044</v>
      </c>
      <c r="B2010" s="1" t="s">
        <v>915</v>
      </c>
      <c r="C2010" s="1"/>
      <c r="D2010" s="2">
        <v>46122</v>
      </c>
      <c r="E2010" s="2">
        <v>46132</v>
      </c>
      <c r="F2010" s="1" t="s">
        <v>347</v>
      </c>
      <c r="G2010" s="1" t="s">
        <v>8</v>
      </c>
      <c r="H2010" s="1" t="s">
        <v>9</v>
      </c>
      <c r="I2010" s="7">
        <v>43.71</v>
      </c>
      <c r="J2010" s="1" t="s">
        <v>38</v>
      </c>
      <c r="K2010" s="1"/>
      <c r="L2010" s="1" t="s">
        <v>39</v>
      </c>
      <c r="M2010" s="1" t="str">
        <f>INDEX(MCC_Lookup!$B$2:$B$12,MATCH(G2010,MCC_Lookup!$A$2:$A$12,0))</f>
        <v>Transportation</v>
      </c>
      <c r="N2010" s="1" t="str">
        <f>IF(TRIM(H2010)="","BLANK",IF(PROPER(TRIM(H2010))=TRIM(M2010),"MATCH","MISMATCH"))</f>
        <v>MATCH</v>
      </c>
      <c r="O2010" s="5" t="str">
        <f>INDEX([1]Employee!$C$2:$C$276,MATCH(B2010,[1]Employee!$A$2:$A$276,0))</f>
        <v>Sales &amp; Marketing</v>
      </c>
    </row>
    <row r="2011" spans="1:15">
      <c r="A2011" s="1" t="s">
        <v>4045</v>
      </c>
      <c r="B2011" s="1" t="s">
        <v>673</v>
      </c>
      <c r="C2011" s="1" t="s">
        <v>4046</v>
      </c>
      <c r="D2011" s="2">
        <v>46133</v>
      </c>
      <c r="E2011" s="2">
        <v>46133</v>
      </c>
      <c r="F2011" s="1" t="s">
        <v>242</v>
      </c>
      <c r="G2011" s="1" t="s">
        <v>13</v>
      </c>
      <c r="H2011" s="1" t="s">
        <v>14</v>
      </c>
      <c r="I2011" s="7">
        <v>55.57</v>
      </c>
      <c r="J2011" s="1" t="s">
        <v>38</v>
      </c>
      <c r="K2011" s="1"/>
      <c r="L2011" s="1" t="s">
        <v>39</v>
      </c>
      <c r="M2011" s="1" t="str">
        <f>INDEX(MCC_Lookup!$B$2:$B$12,MATCH(G2011,MCC_Lookup!$A$2:$A$12,0))</f>
        <v>Software</v>
      </c>
      <c r="N2011" s="1" t="str">
        <f>IF(TRIM(H2011)="","BLANK",IF(PROPER(TRIM(H2011))=TRIM(M2011),"MATCH","MISMATCH"))</f>
        <v>MATCH</v>
      </c>
      <c r="O2011" s="5" t="str">
        <f>INDEX([1]Employee!$C$2:$C$276,MATCH(B2011,[1]Employee!$A$2:$A$276,0))</f>
        <v>HR &amp; Events</v>
      </c>
    </row>
    <row r="2012" spans="1:15">
      <c r="A2012" s="1" t="s">
        <v>4047</v>
      </c>
      <c r="B2012" s="1" t="s">
        <v>542</v>
      </c>
      <c r="C2012" s="1" t="s">
        <v>4048</v>
      </c>
      <c r="D2012" s="2">
        <v>46128</v>
      </c>
      <c r="E2012" s="2">
        <v>46133</v>
      </c>
      <c r="F2012" s="1" t="s">
        <v>120</v>
      </c>
      <c r="G2012" s="1" t="s">
        <v>12</v>
      </c>
      <c r="H2012" s="1" t="s">
        <v>11</v>
      </c>
      <c r="I2012" s="7">
        <v>427.84</v>
      </c>
      <c r="J2012" s="1" t="s">
        <v>38</v>
      </c>
      <c r="K2012" s="1"/>
      <c r="L2012" s="1" t="s">
        <v>48</v>
      </c>
      <c r="M2012" s="1" t="str">
        <f>INDEX(MCC_Lookup!$B$2:$B$12,MATCH(G2012,MCC_Lookup!$A$2:$A$12,0))</f>
        <v>Office Supplies</v>
      </c>
      <c r="N2012" s="1" t="str">
        <f>IF(TRIM(H2012)="","BLANK",IF(PROPER(TRIM(H2012))=TRIM(M2012),"MATCH","MISMATCH"))</f>
        <v>MATCH</v>
      </c>
      <c r="O2012" s="5" t="str">
        <f>INDEX([1]Employee!$C$2:$C$276,MATCH(B2012,[1]Employee!$A$2:$A$276,0))</f>
        <v>Underwriting</v>
      </c>
    </row>
    <row r="2013" spans="1:15">
      <c r="A2013" s="1" t="s">
        <v>4049</v>
      </c>
      <c r="B2013" s="1" t="s">
        <v>1116</v>
      </c>
      <c r="C2013" s="1" t="s">
        <v>4050</v>
      </c>
      <c r="D2013" s="2">
        <v>46128</v>
      </c>
      <c r="E2013" s="2">
        <v>46133</v>
      </c>
      <c r="F2013" s="1" t="s">
        <v>124</v>
      </c>
      <c r="G2013" s="1" t="s">
        <v>17</v>
      </c>
      <c r="H2013" s="1" t="s">
        <v>16</v>
      </c>
      <c r="I2013" s="7">
        <v>75.62</v>
      </c>
      <c r="J2013" s="1" t="s">
        <v>38</v>
      </c>
      <c r="K2013" s="1"/>
      <c r="L2013" s="1" t="s">
        <v>48</v>
      </c>
      <c r="M2013" s="1" t="str">
        <f>INDEX(MCC_Lookup!$B$2:$B$12,MATCH(G2013,MCC_Lookup!$A$2:$A$12,0))</f>
        <v>Entertainment</v>
      </c>
      <c r="N2013" s="1" t="str">
        <f>IF(TRIM(H2013)="","BLANK",IF(PROPER(TRIM(H2013))=TRIM(M2013),"MATCH","MISMATCH"))</f>
        <v>MATCH</v>
      </c>
      <c r="O2013" s="5" t="str">
        <f>INDEX([1]Employee!$C$2:$C$276,MATCH(B2013,[1]Employee!$A$2:$A$276,0))</f>
        <v>Underwriting</v>
      </c>
    </row>
    <row r="2014" spans="1:15">
      <c r="A2014" s="1" t="s">
        <v>4051</v>
      </c>
      <c r="B2014" s="1" t="s">
        <v>772</v>
      </c>
      <c r="C2014" s="1" t="s">
        <v>4052</v>
      </c>
      <c r="D2014" s="2">
        <v>46131</v>
      </c>
      <c r="E2014" s="2">
        <v>46133</v>
      </c>
      <c r="F2014" s="1" t="s">
        <v>120</v>
      </c>
      <c r="G2014" s="1" t="s">
        <v>12</v>
      </c>
      <c r="H2014" s="1" t="s">
        <v>11</v>
      </c>
      <c r="I2014" s="7">
        <v>259.83</v>
      </c>
      <c r="J2014" s="1" t="s">
        <v>38</v>
      </c>
      <c r="K2014" s="1"/>
      <c r="L2014" s="1" t="s">
        <v>39</v>
      </c>
      <c r="M2014" s="1" t="str">
        <f>INDEX(MCC_Lookup!$B$2:$B$12,MATCH(G2014,MCC_Lookup!$A$2:$A$12,0))</f>
        <v>Office Supplies</v>
      </c>
      <c r="N2014" s="1" t="str">
        <f>IF(TRIM(H2014)="","BLANK",IF(PROPER(TRIM(H2014))=TRIM(M2014),"MATCH","MISMATCH"))</f>
        <v>MATCH</v>
      </c>
      <c r="O2014" s="5" t="str">
        <f>INDEX([1]Employee!$C$2:$C$276,MATCH(B2014,[1]Employee!$A$2:$A$276,0))</f>
        <v>Underwriting</v>
      </c>
    </row>
    <row r="2015" spans="1:15">
      <c r="A2015" s="1" t="s">
        <v>4053</v>
      </c>
      <c r="B2015" s="1" t="s">
        <v>364</v>
      </c>
      <c r="C2015" s="1" t="s">
        <v>4054</v>
      </c>
      <c r="D2015" s="2">
        <v>46128</v>
      </c>
      <c r="E2015" s="2">
        <v>46133</v>
      </c>
      <c r="F2015" s="1" t="s">
        <v>47</v>
      </c>
      <c r="G2015" s="1" t="s">
        <v>6</v>
      </c>
      <c r="H2015" s="1" t="s">
        <v>19</v>
      </c>
      <c r="I2015" s="7">
        <v>345.99</v>
      </c>
      <c r="J2015" s="1" t="s">
        <v>38</v>
      </c>
      <c r="K2015" s="1"/>
      <c r="L2015" s="1" t="s">
        <v>39</v>
      </c>
      <c r="M2015" s="1" t="str">
        <f>INDEX(MCC_Lookup!$B$2:$B$12,MATCH(G2015,MCC_Lookup!$A$2:$A$12,0))</f>
        <v>Lodging</v>
      </c>
      <c r="N2015" s="1" t="str">
        <f>IF(TRIM(H2015)="","BLANK",IF(PROPER(TRIM(H2015))=TRIM(M2015),"MATCH","MISMATCH"))</f>
        <v>MISMATCH</v>
      </c>
      <c r="O2015" s="5" t="str">
        <f>INDEX([1]Employee!$C$2:$C$276,MATCH(B2015,[1]Employee!$A$2:$A$276,0))</f>
        <v>Sales &amp; Marketing</v>
      </c>
    </row>
    <row r="2016" spans="1:15">
      <c r="A2016" s="1" t="s">
        <v>4055</v>
      </c>
      <c r="B2016" s="1" t="s">
        <v>364</v>
      </c>
      <c r="C2016" s="1" t="s">
        <v>4056</v>
      </c>
      <c r="D2016" s="2">
        <v>46127</v>
      </c>
      <c r="E2016" s="2">
        <v>46133</v>
      </c>
      <c r="F2016" s="1" t="s">
        <v>92</v>
      </c>
      <c r="G2016" s="1" t="s">
        <v>10</v>
      </c>
      <c r="H2016" s="1" t="s">
        <v>11</v>
      </c>
      <c r="I2016" s="7">
        <v>106.86</v>
      </c>
      <c r="J2016" s="1" t="s">
        <v>38</v>
      </c>
      <c r="K2016" s="1"/>
      <c r="L2016" s="1" t="s">
        <v>39</v>
      </c>
      <c r="M2016" s="1" t="str">
        <f>INDEX(MCC_Lookup!$B$2:$B$12,MATCH(G2016,MCC_Lookup!$A$2:$A$12,0))</f>
        <v>Office Supplies</v>
      </c>
      <c r="N2016" s="1" t="str">
        <f>IF(TRIM(H2016)="","BLANK",IF(PROPER(TRIM(H2016))=TRIM(M2016),"MATCH","MISMATCH"))</f>
        <v>MATCH</v>
      </c>
      <c r="O2016" s="5" t="str">
        <f>INDEX([1]Employee!$C$2:$C$276,MATCH(B2016,[1]Employee!$A$2:$A$276,0))</f>
        <v>Sales &amp; Marketing</v>
      </c>
    </row>
    <row r="2017" spans="1:15">
      <c r="A2017" s="1" t="s">
        <v>4057</v>
      </c>
      <c r="B2017" s="1" t="s">
        <v>146</v>
      </c>
      <c r="C2017" s="1" t="s">
        <v>4058</v>
      </c>
      <c r="D2017" s="2">
        <v>46131</v>
      </c>
      <c r="E2017" s="2">
        <v>46133</v>
      </c>
      <c r="F2017" s="1" t="s">
        <v>160</v>
      </c>
      <c r="G2017" s="1" t="s">
        <v>6</v>
      </c>
      <c r="H2017" s="1"/>
      <c r="I2017" s="7">
        <v>220.39</v>
      </c>
      <c r="J2017" s="1" t="s">
        <v>38</v>
      </c>
      <c r="K2017" s="1"/>
      <c r="L2017" s="1" t="s">
        <v>39</v>
      </c>
      <c r="M2017" s="1" t="str">
        <f>INDEX(MCC_Lookup!$B$2:$B$12,MATCH(G2017,MCC_Lookup!$A$2:$A$12,0))</f>
        <v>Lodging</v>
      </c>
      <c r="N2017" s="1" t="str">
        <f>IF(TRIM(H2017)="","BLANK",IF(PROPER(TRIM(H2017))=TRIM(M2017),"MATCH","MISMATCH"))</f>
        <v>BLANK</v>
      </c>
      <c r="O2017" s="5" t="str">
        <f>INDEX([1]Employee!$C$2:$C$276,MATCH(B2017,[1]Employee!$A$2:$A$276,0))</f>
        <v>HR &amp; Events</v>
      </c>
    </row>
    <row r="2018" spans="1:15">
      <c r="A2018" s="1" t="s">
        <v>4059</v>
      </c>
      <c r="B2018" s="1" t="s">
        <v>643</v>
      </c>
      <c r="C2018" s="1"/>
      <c r="D2018" s="2">
        <v>46129</v>
      </c>
      <c r="E2018" s="2">
        <v>46133</v>
      </c>
      <c r="F2018" s="1" t="s">
        <v>95</v>
      </c>
      <c r="G2018" s="1" t="s">
        <v>6</v>
      </c>
      <c r="H2018" s="1" t="s">
        <v>228</v>
      </c>
      <c r="I2018" s="7">
        <v>293.70999999999998</v>
      </c>
      <c r="J2018" s="1" t="s">
        <v>38</v>
      </c>
      <c r="K2018" s="1"/>
      <c r="L2018" s="1" t="s">
        <v>39</v>
      </c>
      <c r="M2018" s="1" t="str">
        <f>INDEX(MCC_Lookup!$B$2:$B$12,MATCH(G2018,MCC_Lookup!$A$2:$A$12,0))</f>
        <v>Lodging</v>
      </c>
      <c r="N2018" s="1" t="str">
        <f>IF(TRIM(H2018)="","BLANK",IF(PROPER(TRIM(H2018))=TRIM(M2018),"MATCH","MISMATCH"))</f>
        <v>MATCH</v>
      </c>
      <c r="O2018" s="5" t="str">
        <f>INDEX([1]Employee!$C$2:$C$276,MATCH(B2018,[1]Employee!$A$2:$A$276,0))</f>
        <v>Sales &amp; Marketing</v>
      </c>
    </row>
    <row r="2019" spans="1:15">
      <c r="A2019" s="1" t="s">
        <v>4060</v>
      </c>
      <c r="B2019" s="1" t="s">
        <v>1821</v>
      </c>
      <c r="C2019" s="1" t="s">
        <v>4061</v>
      </c>
      <c r="D2019" s="2">
        <v>46126</v>
      </c>
      <c r="E2019" s="2">
        <v>46133</v>
      </c>
      <c r="F2019" s="1" t="s">
        <v>347</v>
      </c>
      <c r="G2019" s="1" t="s">
        <v>8</v>
      </c>
      <c r="H2019" s="1" t="s">
        <v>9</v>
      </c>
      <c r="I2019" s="7">
        <v>42.7</v>
      </c>
      <c r="J2019" s="1" t="s">
        <v>38</v>
      </c>
      <c r="K2019" s="1"/>
      <c r="L2019" s="1" t="s">
        <v>39</v>
      </c>
      <c r="M2019" s="1" t="str">
        <f>INDEX(MCC_Lookup!$B$2:$B$12,MATCH(G2019,MCC_Lookup!$A$2:$A$12,0))</f>
        <v>Transportation</v>
      </c>
      <c r="N2019" s="1" t="str">
        <f>IF(TRIM(H2019)="","BLANK",IF(PROPER(TRIM(H2019))=TRIM(M2019),"MATCH","MISMATCH"))</f>
        <v>MATCH</v>
      </c>
      <c r="O2019" s="5" t="str">
        <f>INDEX([1]Employee!$C$2:$C$276,MATCH(B2019,[1]Employee!$A$2:$A$276,0))</f>
        <v>Finance</v>
      </c>
    </row>
    <row r="2020" spans="1:15">
      <c r="A2020" s="1" t="s">
        <v>4062</v>
      </c>
      <c r="B2020" s="1" t="s">
        <v>531</v>
      </c>
      <c r="C2020" s="1" t="s">
        <v>4063</v>
      </c>
      <c r="D2020" s="2">
        <v>46130</v>
      </c>
      <c r="E2020" s="2">
        <v>46133</v>
      </c>
      <c r="F2020" s="1" t="s">
        <v>83</v>
      </c>
      <c r="G2020" s="1" t="s">
        <v>2</v>
      </c>
      <c r="H2020" s="1"/>
      <c r="I2020" s="7">
        <v>13.37</v>
      </c>
      <c r="J2020" s="1" t="s">
        <v>38</v>
      </c>
      <c r="K2020" s="1"/>
      <c r="L2020" s="1" t="s">
        <v>39</v>
      </c>
      <c r="M2020" s="1" t="str">
        <f>INDEX(MCC_Lookup!$B$2:$B$12,MATCH(G2020,MCC_Lookup!$A$2:$A$12,0))</f>
        <v>Meals</v>
      </c>
      <c r="N2020" s="1" t="str">
        <f>IF(TRIM(H2020)="","BLANK",IF(PROPER(TRIM(H2020))=TRIM(M2020),"MATCH","MISMATCH"))</f>
        <v>BLANK</v>
      </c>
      <c r="O2020" s="5" t="str">
        <f>INDEX([1]Employee!$C$2:$C$276,MATCH(B2020,[1]Employee!$A$2:$A$276,0))</f>
        <v>Sales &amp; Marketing</v>
      </c>
    </row>
    <row r="2021" spans="1:15">
      <c r="A2021" s="1" t="s">
        <v>4064</v>
      </c>
      <c r="B2021" s="1" t="s">
        <v>512</v>
      </c>
      <c r="C2021" s="1" t="s">
        <v>4065</v>
      </c>
      <c r="D2021" s="2">
        <v>46126</v>
      </c>
      <c r="E2021" s="2">
        <v>46133</v>
      </c>
      <c r="F2021" s="1" t="s">
        <v>305</v>
      </c>
      <c r="G2021" s="1" t="s">
        <v>2</v>
      </c>
      <c r="H2021" s="1" t="s">
        <v>3</v>
      </c>
      <c r="I2021" s="7">
        <v>11.05</v>
      </c>
      <c r="J2021" s="1" t="s">
        <v>38</v>
      </c>
      <c r="K2021" s="1"/>
      <c r="L2021" s="1" t="s">
        <v>39</v>
      </c>
      <c r="M2021" s="1" t="str">
        <f>INDEX(MCC_Lookup!$B$2:$B$12,MATCH(G2021,MCC_Lookup!$A$2:$A$12,0))</f>
        <v>Meals</v>
      </c>
      <c r="N2021" s="1" t="str">
        <f>IF(TRIM(H2021)="","BLANK",IF(PROPER(TRIM(H2021))=TRIM(M2021),"MATCH","MISMATCH"))</f>
        <v>MATCH</v>
      </c>
      <c r="O2021" s="5" t="str">
        <f>INDEX([1]Employee!$C$2:$C$276,MATCH(B2021,[1]Employee!$A$2:$A$276,0))</f>
        <v>Sales &amp; Marketing</v>
      </c>
    </row>
    <row r="2022" spans="1:15">
      <c r="A2022" s="1" t="s">
        <v>4066</v>
      </c>
      <c r="B2022" s="1" t="s">
        <v>512</v>
      </c>
      <c r="C2022" s="1" t="s">
        <v>4067</v>
      </c>
      <c r="D2022" s="2">
        <v>46123</v>
      </c>
      <c r="E2022" s="2">
        <v>46133</v>
      </c>
      <c r="F2022" s="1" t="s">
        <v>56</v>
      </c>
      <c r="G2022" s="1" t="s">
        <v>4</v>
      </c>
      <c r="H2022" s="1" t="s">
        <v>5</v>
      </c>
      <c r="I2022" s="7">
        <v>460.71</v>
      </c>
      <c r="J2022" s="1" t="s">
        <v>38</v>
      </c>
      <c r="K2022" s="1"/>
      <c r="L2022" s="1" t="s">
        <v>39</v>
      </c>
      <c r="M2022" s="1" t="str">
        <f>INDEX(MCC_Lookup!$B$2:$B$12,MATCH(G2022,MCC_Lookup!$A$2:$A$12,0))</f>
        <v>Travel</v>
      </c>
      <c r="N2022" s="1" t="str">
        <f>IF(TRIM(H2022)="","BLANK",IF(PROPER(TRIM(H2022))=TRIM(M2022),"MATCH","MISMATCH"))</f>
        <v>MATCH</v>
      </c>
      <c r="O2022" s="5" t="str">
        <f>INDEX([1]Employee!$C$2:$C$276,MATCH(B2022,[1]Employee!$A$2:$A$276,0))</f>
        <v>Sales &amp; Marketing</v>
      </c>
    </row>
    <row r="2023" spans="1:15">
      <c r="A2023" s="1" t="s">
        <v>4068</v>
      </c>
      <c r="B2023" s="1" t="s">
        <v>810</v>
      </c>
      <c r="C2023" s="1" t="s">
        <v>4069</v>
      </c>
      <c r="D2023" s="2">
        <v>46124</v>
      </c>
      <c r="E2023" s="2">
        <v>46133</v>
      </c>
      <c r="F2023" s="1" t="s">
        <v>61</v>
      </c>
      <c r="G2023" s="1" t="s">
        <v>13</v>
      </c>
      <c r="H2023" s="1" t="s">
        <v>14</v>
      </c>
      <c r="I2023" s="7">
        <v>68.67</v>
      </c>
      <c r="J2023" s="1" t="s">
        <v>38</v>
      </c>
      <c r="K2023" s="1"/>
      <c r="L2023" s="1" t="s">
        <v>39</v>
      </c>
      <c r="M2023" s="1" t="str">
        <f>INDEX(MCC_Lookup!$B$2:$B$12,MATCH(G2023,MCC_Lookup!$A$2:$A$12,0))</f>
        <v>Software</v>
      </c>
      <c r="N2023" s="1" t="str">
        <f>IF(TRIM(H2023)="","BLANK",IF(PROPER(TRIM(H2023))=TRIM(M2023),"MATCH","MISMATCH"))</f>
        <v>MATCH</v>
      </c>
      <c r="O2023" s="5" t="str">
        <f>INDEX([1]Employee!$C$2:$C$276,MATCH(B2023,[1]Employee!$A$2:$A$276,0))</f>
        <v>Sales &amp; Marketing</v>
      </c>
    </row>
    <row r="2024" spans="1:15">
      <c r="A2024" s="1" t="s">
        <v>4070</v>
      </c>
      <c r="B2024" s="1" t="s">
        <v>640</v>
      </c>
      <c r="C2024" s="1" t="s">
        <v>4071</v>
      </c>
      <c r="D2024" s="2">
        <v>46132</v>
      </c>
      <c r="E2024" s="2">
        <v>46133</v>
      </c>
      <c r="F2024" s="1" t="s">
        <v>4072</v>
      </c>
      <c r="G2024" s="1" t="s">
        <v>2</v>
      </c>
      <c r="H2024" s="1" t="s">
        <v>3</v>
      </c>
      <c r="I2024" s="7">
        <v>5.87</v>
      </c>
      <c r="J2024" s="1" t="s">
        <v>38</v>
      </c>
      <c r="K2024" s="1"/>
      <c r="L2024" s="1" t="s">
        <v>39</v>
      </c>
      <c r="M2024" s="1" t="str">
        <f>INDEX(MCC_Lookup!$B$2:$B$12,MATCH(G2024,MCC_Lookup!$A$2:$A$12,0))</f>
        <v>Meals</v>
      </c>
      <c r="N2024" s="1" t="str">
        <f>IF(TRIM(H2024)="","BLANK",IF(PROPER(TRIM(H2024))=TRIM(M2024),"MATCH","MISMATCH"))</f>
        <v>MATCH</v>
      </c>
      <c r="O2024" s="5" t="str">
        <f>INDEX([1]Employee!$C$2:$C$276,MATCH(B2024,[1]Employee!$A$2:$A$276,0))</f>
        <v>Underwriting</v>
      </c>
    </row>
    <row r="2025" spans="1:15">
      <c r="A2025" s="1" t="s">
        <v>4073</v>
      </c>
      <c r="B2025" s="1" t="s">
        <v>300</v>
      </c>
      <c r="C2025" s="1"/>
      <c r="D2025" s="2">
        <v>46124</v>
      </c>
      <c r="E2025" s="2">
        <v>46133</v>
      </c>
      <c r="F2025" s="1" t="s">
        <v>52</v>
      </c>
      <c r="G2025" s="1" t="s">
        <v>15</v>
      </c>
      <c r="H2025" s="1" t="s">
        <v>16</v>
      </c>
      <c r="I2025" s="7">
        <v>44.14</v>
      </c>
      <c r="J2025" s="1" t="s">
        <v>38</v>
      </c>
      <c r="K2025" s="1"/>
      <c r="L2025" s="1" t="s">
        <v>39</v>
      </c>
      <c r="M2025" s="1" t="str">
        <f>INDEX(MCC_Lookup!$B$2:$B$12,MATCH(G2025,MCC_Lookup!$A$2:$A$12,0))</f>
        <v>Entertainment</v>
      </c>
      <c r="N2025" s="1" t="str">
        <f>IF(TRIM(H2025)="","BLANK",IF(PROPER(TRIM(H2025))=TRIM(M2025),"MATCH","MISMATCH"))</f>
        <v>MATCH</v>
      </c>
      <c r="O2025" s="5" t="str">
        <f>INDEX([1]Employee!$C$2:$C$276,MATCH(B2025,[1]Employee!$A$2:$A$276,0))</f>
        <v>Sales &amp; Marketing</v>
      </c>
    </row>
    <row r="2026" spans="1:15">
      <c r="A2026" s="1" t="s">
        <v>4074</v>
      </c>
      <c r="B2026" s="1" t="s">
        <v>469</v>
      </c>
      <c r="C2026" s="1"/>
      <c r="D2026" s="2">
        <v>46132</v>
      </c>
      <c r="E2026" s="2">
        <v>46133</v>
      </c>
      <c r="F2026" s="1" t="s">
        <v>116</v>
      </c>
      <c r="G2026" s="1" t="s">
        <v>2</v>
      </c>
      <c r="H2026" s="1" t="s">
        <v>3</v>
      </c>
      <c r="I2026" s="7">
        <v>21.08</v>
      </c>
      <c r="J2026" s="1" t="s">
        <v>111</v>
      </c>
      <c r="K2026" s="1" t="s">
        <v>127</v>
      </c>
      <c r="L2026" s="1" t="s">
        <v>39</v>
      </c>
      <c r="M2026" s="1" t="str">
        <f>INDEX(MCC_Lookup!$B$2:$B$12,MATCH(G2026,MCC_Lookup!$A$2:$A$12,0))</f>
        <v>Meals</v>
      </c>
      <c r="N2026" s="1" t="str">
        <f>IF(TRIM(H2026)="","BLANK",IF(PROPER(TRIM(H2026))=TRIM(M2026),"MATCH","MISMATCH"))</f>
        <v>MATCH</v>
      </c>
      <c r="O2026" s="5" t="str">
        <f>INDEX([1]Employee!$C$2:$C$276,MATCH(B2026,[1]Employee!$A$2:$A$276,0))</f>
        <v>Sales &amp; Marketing</v>
      </c>
    </row>
    <row r="2027" spans="1:15">
      <c r="A2027" s="1" t="s">
        <v>4075</v>
      </c>
      <c r="B2027" s="1" t="s">
        <v>469</v>
      </c>
      <c r="C2027" s="1"/>
      <c r="D2027" s="2">
        <v>46125</v>
      </c>
      <c r="E2027" s="2">
        <v>46133</v>
      </c>
      <c r="F2027" s="1" t="s">
        <v>72</v>
      </c>
      <c r="G2027" s="1" t="s">
        <v>8</v>
      </c>
      <c r="H2027" s="1" t="s">
        <v>9</v>
      </c>
      <c r="I2027" s="7">
        <v>63.46</v>
      </c>
      <c r="J2027" s="1" t="s">
        <v>111</v>
      </c>
      <c r="K2027" s="1" t="s">
        <v>127</v>
      </c>
      <c r="L2027" s="1" t="s">
        <v>39</v>
      </c>
      <c r="M2027" s="1" t="str">
        <f>INDEX(MCC_Lookup!$B$2:$B$12,MATCH(G2027,MCC_Lookup!$A$2:$A$12,0))</f>
        <v>Transportation</v>
      </c>
      <c r="N2027" s="1" t="str">
        <f>IF(TRIM(H2027)="","BLANK",IF(PROPER(TRIM(H2027))=TRIM(M2027),"MATCH","MISMATCH"))</f>
        <v>MATCH</v>
      </c>
      <c r="O2027" s="5" t="str">
        <f>INDEX([1]Employee!$C$2:$C$276,MATCH(B2027,[1]Employee!$A$2:$A$276,0))</f>
        <v>Sales &amp; Marketing</v>
      </c>
    </row>
    <row r="2028" spans="1:15">
      <c r="A2028" s="1" t="s">
        <v>4076</v>
      </c>
      <c r="B2028" s="1" t="s">
        <v>74</v>
      </c>
      <c r="C2028" s="1" t="s">
        <v>4077</v>
      </c>
      <c r="D2028" s="2">
        <v>46124</v>
      </c>
      <c r="E2028" s="2">
        <v>46133</v>
      </c>
      <c r="F2028" s="1" t="s">
        <v>56</v>
      </c>
      <c r="G2028" s="1" t="s">
        <v>4</v>
      </c>
      <c r="H2028" s="1"/>
      <c r="I2028" s="7">
        <v>202.44</v>
      </c>
      <c r="J2028" s="1" t="s">
        <v>38</v>
      </c>
      <c r="K2028" s="1"/>
      <c r="L2028" s="1" t="s">
        <v>39</v>
      </c>
      <c r="M2028" s="1" t="str">
        <f>INDEX(MCC_Lookup!$B$2:$B$12,MATCH(G2028,MCC_Lookup!$A$2:$A$12,0))</f>
        <v>Travel</v>
      </c>
      <c r="N2028" s="1" t="str">
        <f>IF(TRIM(H2028)="","BLANK",IF(PROPER(TRIM(H2028))=TRIM(M2028),"MATCH","MISMATCH"))</f>
        <v>BLANK</v>
      </c>
      <c r="O2028" s="5" t="str">
        <f>INDEX([1]Employee!$C$2:$C$276,MATCH(B2028,[1]Employee!$A$2:$A$276,0))</f>
        <v>Underwriting</v>
      </c>
    </row>
    <row r="2029" spans="1:15">
      <c r="A2029" s="1" t="s">
        <v>4078</v>
      </c>
      <c r="B2029" s="1" t="s">
        <v>648</v>
      </c>
      <c r="C2029" s="1" t="s">
        <v>4079</v>
      </c>
      <c r="D2029" s="2">
        <v>46127</v>
      </c>
      <c r="E2029" s="2">
        <v>46133</v>
      </c>
      <c r="F2029" s="1" t="s">
        <v>47</v>
      </c>
      <c r="G2029" s="1" t="s">
        <v>6</v>
      </c>
      <c r="H2029" s="1" t="s">
        <v>5</v>
      </c>
      <c r="I2029" s="7">
        <v>226.6</v>
      </c>
      <c r="J2029" s="1" t="s">
        <v>38</v>
      </c>
      <c r="K2029" s="1"/>
      <c r="L2029" s="1" t="s">
        <v>39</v>
      </c>
      <c r="M2029" s="1" t="str">
        <f>INDEX(MCC_Lookup!$B$2:$B$12,MATCH(G2029,MCC_Lookup!$A$2:$A$12,0))</f>
        <v>Lodging</v>
      </c>
      <c r="N2029" s="1" t="str">
        <f>IF(TRIM(H2029)="","BLANK",IF(PROPER(TRIM(H2029))=TRIM(M2029),"MATCH","MISMATCH"))</f>
        <v>MISMATCH</v>
      </c>
      <c r="O2029" s="5" t="str">
        <f>INDEX([1]Employee!$C$2:$C$276,MATCH(B2029,[1]Employee!$A$2:$A$276,0))</f>
        <v>Sales &amp; Marketing</v>
      </c>
    </row>
    <row r="2030" spans="1:15">
      <c r="A2030" s="1" t="s">
        <v>4080</v>
      </c>
      <c r="B2030" s="1" t="s">
        <v>97</v>
      </c>
      <c r="C2030" s="1" t="s">
        <v>4081</v>
      </c>
      <c r="D2030" s="2">
        <v>46132</v>
      </c>
      <c r="E2030" s="2">
        <v>46133</v>
      </c>
      <c r="F2030" s="1" t="s">
        <v>109</v>
      </c>
      <c r="G2030" s="1" t="s">
        <v>18</v>
      </c>
      <c r="H2030" s="1" t="s">
        <v>19</v>
      </c>
      <c r="I2030" s="7">
        <v>127.79</v>
      </c>
      <c r="J2030" s="1" t="s">
        <v>38</v>
      </c>
      <c r="K2030" s="1"/>
      <c r="L2030" s="1" t="s">
        <v>39</v>
      </c>
      <c r="M2030" s="1" t="str">
        <f>INDEX(MCC_Lookup!$B$2:$B$12,MATCH(G2030,MCC_Lookup!$A$2:$A$12,0))</f>
        <v>Events</v>
      </c>
      <c r="N2030" s="1" t="str">
        <f>IF(TRIM(H2030)="","BLANK",IF(PROPER(TRIM(H2030))=TRIM(M2030),"MATCH","MISMATCH"))</f>
        <v>MATCH</v>
      </c>
      <c r="O2030" s="5" t="str">
        <f>INDEX([1]Employee!$C$2:$C$276,MATCH(B2030,[1]Employee!$A$2:$A$276,0))</f>
        <v>Sales &amp; Marketing</v>
      </c>
    </row>
    <row r="2031" spans="1:15">
      <c r="A2031" s="1" t="s">
        <v>4082</v>
      </c>
      <c r="B2031" s="1" t="s">
        <v>631</v>
      </c>
      <c r="C2031" s="1"/>
      <c r="D2031" s="2">
        <v>46133</v>
      </c>
      <c r="E2031" s="2">
        <v>46133</v>
      </c>
      <c r="F2031" s="1" t="s">
        <v>47</v>
      </c>
      <c r="G2031" s="1" t="s">
        <v>6</v>
      </c>
      <c r="H2031" s="1" t="s">
        <v>7</v>
      </c>
      <c r="I2031" s="7">
        <v>239.63</v>
      </c>
      <c r="J2031" s="1" t="s">
        <v>111</v>
      </c>
      <c r="K2031" s="1" t="s">
        <v>112</v>
      </c>
      <c r="L2031" s="1" t="s">
        <v>39</v>
      </c>
      <c r="M2031" s="1" t="str">
        <f>INDEX(MCC_Lookup!$B$2:$B$12,MATCH(G2031,MCC_Lookup!$A$2:$A$12,0))</f>
        <v>Lodging</v>
      </c>
      <c r="N2031" s="1" t="str">
        <f>IF(TRIM(H2031)="","BLANK",IF(PROPER(TRIM(H2031))=TRIM(M2031),"MATCH","MISMATCH"))</f>
        <v>MATCH</v>
      </c>
      <c r="O2031" s="5" t="str">
        <f>INDEX([1]Employee!$C$2:$C$276,MATCH(B2031,[1]Employee!$A$2:$A$276,0))</f>
        <v>Claims</v>
      </c>
    </row>
    <row r="2032" spans="1:15">
      <c r="A2032" s="1" t="s">
        <v>4083</v>
      </c>
      <c r="B2032" s="1" t="s">
        <v>303</v>
      </c>
      <c r="C2032" s="1" t="s">
        <v>4084</v>
      </c>
      <c r="D2032" s="2">
        <v>46125</v>
      </c>
      <c r="E2032" s="2">
        <v>46134</v>
      </c>
      <c r="F2032" s="1" t="s">
        <v>173</v>
      </c>
      <c r="G2032" s="1" t="s">
        <v>2</v>
      </c>
      <c r="H2032" s="1" t="s">
        <v>3</v>
      </c>
      <c r="I2032" s="7">
        <v>20.100000000000001</v>
      </c>
      <c r="J2032" s="1" t="s">
        <v>38</v>
      </c>
      <c r="K2032" s="1"/>
      <c r="L2032" s="1" t="s">
        <v>39</v>
      </c>
      <c r="M2032" s="1" t="str">
        <f>INDEX(MCC_Lookup!$B$2:$B$12,MATCH(G2032,MCC_Lookup!$A$2:$A$12,0))</f>
        <v>Meals</v>
      </c>
      <c r="N2032" s="1" t="str">
        <f>IF(TRIM(H2032)="","BLANK",IF(PROPER(TRIM(H2032))=TRIM(M2032),"MATCH","MISMATCH"))</f>
        <v>MATCH</v>
      </c>
      <c r="O2032" s="5" t="str">
        <f>INDEX([1]Employee!$C$2:$C$276,MATCH(B2032,[1]Employee!$A$2:$A$276,0))</f>
        <v>Sales &amp; Marketing</v>
      </c>
    </row>
    <row r="2033" spans="1:15">
      <c r="A2033" s="1" t="s">
        <v>4085</v>
      </c>
      <c r="B2033" s="1" t="s">
        <v>643</v>
      </c>
      <c r="C2033" s="1" t="s">
        <v>4086</v>
      </c>
      <c r="D2033" s="2">
        <v>46131</v>
      </c>
      <c r="E2033" s="2">
        <v>46134</v>
      </c>
      <c r="F2033" s="1" t="s">
        <v>173</v>
      </c>
      <c r="G2033" s="1" t="s">
        <v>2</v>
      </c>
      <c r="H2033" s="1" t="s">
        <v>3</v>
      </c>
      <c r="I2033" s="7">
        <v>35.4</v>
      </c>
      <c r="J2033" s="1" t="s">
        <v>38</v>
      </c>
      <c r="K2033" s="1"/>
      <c r="L2033" s="1" t="s">
        <v>39</v>
      </c>
      <c r="M2033" s="1" t="str">
        <f>INDEX(MCC_Lookup!$B$2:$B$12,MATCH(G2033,MCC_Lookup!$A$2:$A$12,0))</f>
        <v>Meals</v>
      </c>
      <c r="N2033" s="1" t="str">
        <f>IF(TRIM(H2033)="","BLANK",IF(PROPER(TRIM(H2033))=TRIM(M2033),"MATCH","MISMATCH"))</f>
        <v>MATCH</v>
      </c>
      <c r="O2033" s="5" t="str">
        <f>INDEX([1]Employee!$C$2:$C$276,MATCH(B2033,[1]Employee!$A$2:$A$276,0))</f>
        <v>Sales &amp; Marketing</v>
      </c>
    </row>
    <row r="2034" spans="1:15">
      <c r="A2034" s="1" t="s">
        <v>4087</v>
      </c>
      <c r="B2034" s="1" t="s">
        <v>1488</v>
      </c>
      <c r="C2034" s="1" t="s">
        <v>4088</v>
      </c>
      <c r="D2034" s="2">
        <v>46124</v>
      </c>
      <c r="E2034" s="2">
        <v>46134</v>
      </c>
      <c r="F2034" s="1" t="s">
        <v>124</v>
      </c>
      <c r="G2034" s="1" t="s">
        <v>17</v>
      </c>
      <c r="H2034" s="1" t="s">
        <v>16</v>
      </c>
      <c r="I2034" s="7">
        <v>70.66</v>
      </c>
      <c r="J2034" s="1" t="s">
        <v>38</v>
      </c>
      <c r="K2034" s="1"/>
      <c r="L2034" s="1" t="s">
        <v>39</v>
      </c>
      <c r="M2034" s="1" t="str">
        <f>INDEX(MCC_Lookup!$B$2:$B$12,MATCH(G2034,MCC_Lookup!$A$2:$A$12,0))</f>
        <v>Entertainment</v>
      </c>
      <c r="N2034" s="1" t="str">
        <f>IF(TRIM(H2034)="","BLANK",IF(PROPER(TRIM(H2034))=TRIM(M2034),"MATCH","MISMATCH"))</f>
        <v>MATCH</v>
      </c>
      <c r="O2034" s="5" t="str">
        <f>INDEX([1]Employee!$C$2:$C$276,MATCH(B2034,[1]Employee!$A$2:$A$276,0))</f>
        <v>Claims</v>
      </c>
    </row>
    <row r="2035" spans="1:15">
      <c r="A2035" s="1" t="s">
        <v>4089</v>
      </c>
      <c r="B2035" s="1" t="s">
        <v>815</v>
      </c>
      <c r="C2035" s="1" t="s">
        <v>4090</v>
      </c>
      <c r="D2035" s="2">
        <v>46128</v>
      </c>
      <c r="E2035" s="2">
        <v>46134</v>
      </c>
      <c r="F2035" s="1" t="s">
        <v>116</v>
      </c>
      <c r="G2035" s="1" t="s">
        <v>2</v>
      </c>
      <c r="H2035" s="1" t="s">
        <v>3</v>
      </c>
      <c r="I2035" s="7">
        <v>11.09</v>
      </c>
      <c r="J2035" s="1" t="s">
        <v>38</v>
      </c>
      <c r="K2035" s="1"/>
      <c r="L2035" s="1" t="s">
        <v>39</v>
      </c>
      <c r="M2035" s="1" t="str">
        <f>INDEX(MCC_Lookup!$B$2:$B$12,MATCH(G2035,MCC_Lookup!$A$2:$A$12,0))</f>
        <v>Meals</v>
      </c>
      <c r="N2035" s="1" t="str">
        <f>IF(TRIM(H2035)="","BLANK",IF(PROPER(TRIM(H2035))=TRIM(M2035),"MATCH","MISMATCH"))</f>
        <v>MATCH</v>
      </c>
      <c r="O2035" s="5" t="str">
        <f>INDEX([1]Employee!$C$2:$C$276,MATCH(B2035,[1]Employee!$A$2:$A$276,0))</f>
        <v>Claims</v>
      </c>
    </row>
    <row r="2036" spans="1:15">
      <c r="A2036" s="1" t="s">
        <v>4091</v>
      </c>
      <c r="B2036" s="1" t="s">
        <v>846</v>
      </c>
      <c r="C2036" s="1" t="s">
        <v>4092</v>
      </c>
      <c r="D2036" s="2">
        <v>46125</v>
      </c>
      <c r="E2036" s="2">
        <v>46134</v>
      </c>
      <c r="F2036" s="1" t="s">
        <v>52</v>
      </c>
      <c r="G2036" s="1" t="s">
        <v>15</v>
      </c>
      <c r="H2036" s="1" t="s">
        <v>403</v>
      </c>
      <c r="I2036" s="7">
        <v>36.89</v>
      </c>
      <c r="J2036" s="1" t="s">
        <v>38</v>
      </c>
      <c r="K2036" s="1"/>
      <c r="L2036" s="1" t="s">
        <v>39</v>
      </c>
      <c r="M2036" s="1" t="str">
        <f>INDEX(MCC_Lookup!$B$2:$B$12,MATCH(G2036,MCC_Lookup!$A$2:$A$12,0))</f>
        <v>Entertainment</v>
      </c>
      <c r="N2036" s="1" t="str">
        <f>IF(TRIM(H2036)="","BLANK",IF(PROPER(TRIM(H2036))=TRIM(M2036),"MATCH","MISMATCH"))</f>
        <v>MATCH</v>
      </c>
      <c r="O2036" s="5" t="str">
        <f>INDEX([1]Employee!$C$2:$C$276,MATCH(B2036,[1]Employee!$A$2:$A$276,0))</f>
        <v>Sales &amp; Marketing</v>
      </c>
    </row>
    <row r="2037" spans="1:15">
      <c r="A2037" s="1" t="s">
        <v>4093</v>
      </c>
      <c r="B2037" s="1" t="s">
        <v>314</v>
      </c>
      <c r="C2037" s="1" t="s">
        <v>4094</v>
      </c>
      <c r="D2037" s="2">
        <v>46124</v>
      </c>
      <c r="E2037" s="2">
        <v>46134</v>
      </c>
      <c r="F2037" s="1" t="s">
        <v>79</v>
      </c>
      <c r="G2037" s="1" t="s">
        <v>13</v>
      </c>
      <c r="H2037" s="1" t="s">
        <v>470</v>
      </c>
      <c r="I2037" s="7">
        <v>117.47</v>
      </c>
      <c r="J2037" s="1" t="s">
        <v>38</v>
      </c>
      <c r="K2037" s="1"/>
      <c r="L2037" s="1" t="s">
        <v>48</v>
      </c>
      <c r="M2037" s="1" t="str">
        <f>INDEX(MCC_Lookup!$B$2:$B$12,MATCH(G2037,MCC_Lookup!$A$2:$A$12,0))</f>
        <v>Software</v>
      </c>
      <c r="N2037" s="1" t="str">
        <f>IF(TRIM(H2037)="","BLANK",IF(PROPER(TRIM(H2037))=TRIM(M2037),"MATCH","MISMATCH"))</f>
        <v>MATCH</v>
      </c>
      <c r="O2037" s="5" t="str">
        <f>INDEX([1]Employee!$C$2:$C$276,MATCH(B2037,[1]Employee!$A$2:$A$276,0))</f>
        <v>Sales &amp; Marketing</v>
      </c>
    </row>
    <row r="2038" spans="1:15">
      <c r="A2038" s="1" t="s">
        <v>4095</v>
      </c>
      <c r="B2038" s="1" t="s">
        <v>908</v>
      </c>
      <c r="C2038" s="1" t="s">
        <v>4096</v>
      </c>
      <c r="D2038" s="2">
        <v>46132</v>
      </c>
      <c r="E2038" s="2">
        <v>46134</v>
      </c>
      <c r="F2038" s="1" t="s">
        <v>95</v>
      </c>
      <c r="G2038" s="1" t="s">
        <v>6</v>
      </c>
      <c r="H2038" s="1" t="s">
        <v>7</v>
      </c>
      <c r="I2038" s="7">
        <v>135.36000000000001</v>
      </c>
      <c r="J2038" s="1" t="s">
        <v>38</v>
      </c>
      <c r="K2038" s="1"/>
      <c r="L2038" s="1" t="s">
        <v>39</v>
      </c>
      <c r="M2038" s="1" t="str">
        <f>INDEX(MCC_Lookup!$B$2:$B$12,MATCH(G2038,MCC_Lookup!$A$2:$A$12,0))</f>
        <v>Lodging</v>
      </c>
      <c r="N2038" s="1" t="str">
        <f>IF(TRIM(H2038)="","BLANK",IF(PROPER(TRIM(H2038))=TRIM(M2038),"MATCH","MISMATCH"))</f>
        <v>MATCH</v>
      </c>
      <c r="O2038" s="5" t="str">
        <f>INDEX([1]Employee!$C$2:$C$276,MATCH(B2038,[1]Employee!$A$2:$A$276,0))</f>
        <v>Claims</v>
      </c>
    </row>
    <row r="2039" spans="1:15">
      <c r="A2039" s="1" t="s">
        <v>4097</v>
      </c>
      <c r="B2039" s="1" t="s">
        <v>364</v>
      </c>
      <c r="C2039" s="1" t="s">
        <v>4098</v>
      </c>
      <c r="D2039" s="2">
        <v>46132</v>
      </c>
      <c r="E2039" s="2">
        <v>46134</v>
      </c>
      <c r="F2039" s="1" t="s">
        <v>72</v>
      </c>
      <c r="G2039" s="1" t="s">
        <v>8</v>
      </c>
      <c r="H2039" s="1" t="s">
        <v>9</v>
      </c>
      <c r="I2039" s="7">
        <v>49.35</v>
      </c>
      <c r="J2039" s="1" t="s">
        <v>38</v>
      </c>
      <c r="K2039" s="1"/>
      <c r="L2039" s="1" t="s">
        <v>39</v>
      </c>
      <c r="M2039" s="1" t="str">
        <f>INDEX(MCC_Lookup!$B$2:$B$12,MATCH(G2039,MCC_Lookup!$A$2:$A$12,0))</f>
        <v>Transportation</v>
      </c>
      <c r="N2039" s="1" t="str">
        <f>IF(TRIM(H2039)="","BLANK",IF(PROPER(TRIM(H2039))=TRIM(M2039),"MATCH","MISMATCH"))</f>
        <v>MATCH</v>
      </c>
      <c r="O2039" s="5" t="str">
        <f>INDEX([1]Employee!$C$2:$C$276,MATCH(B2039,[1]Employee!$A$2:$A$276,0))</f>
        <v>Sales &amp; Marketing</v>
      </c>
    </row>
    <row r="2040" spans="1:15">
      <c r="A2040" s="1" t="s">
        <v>4099</v>
      </c>
      <c r="B2040" s="1" t="s">
        <v>810</v>
      </c>
      <c r="C2040" s="1" t="s">
        <v>4100</v>
      </c>
      <c r="D2040" s="2">
        <v>46130</v>
      </c>
      <c r="E2040" s="2">
        <v>46135</v>
      </c>
      <c r="F2040" s="1" t="s">
        <v>83</v>
      </c>
      <c r="G2040" s="1" t="s">
        <v>2</v>
      </c>
      <c r="H2040" s="1"/>
      <c r="I2040" s="7">
        <v>14.8</v>
      </c>
      <c r="J2040" s="1" t="s">
        <v>38</v>
      </c>
      <c r="K2040" s="1"/>
      <c r="L2040" s="1" t="s">
        <v>48</v>
      </c>
      <c r="M2040" s="1" t="str">
        <f>INDEX(MCC_Lookup!$B$2:$B$12,MATCH(G2040,MCC_Lookup!$A$2:$A$12,0))</f>
        <v>Meals</v>
      </c>
      <c r="N2040" s="1" t="str">
        <f>IF(TRIM(H2040)="","BLANK",IF(PROPER(TRIM(H2040))=TRIM(M2040),"MATCH","MISMATCH"))</f>
        <v>BLANK</v>
      </c>
      <c r="O2040" s="5" t="str">
        <f>INDEX([1]Employee!$C$2:$C$276,MATCH(B2040,[1]Employee!$A$2:$A$276,0))</f>
        <v>Sales &amp; Marketing</v>
      </c>
    </row>
    <row r="2041" spans="1:15">
      <c r="A2041" s="1" t="s">
        <v>4101</v>
      </c>
      <c r="B2041" s="1" t="s">
        <v>67</v>
      </c>
      <c r="C2041" s="1" t="s">
        <v>4102</v>
      </c>
      <c r="D2041" s="2">
        <v>46131</v>
      </c>
      <c r="E2041" s="2">
        <v>46135</v>
      </c>
      <c r="F2041" s="1" t="s">
        <v>116</v>
      </c>
      <c r="G2041" s="1" t="s">
        <v>2</v>
      </c>
      <c r="H2041" s="1" t="s">
        <v>3</v>
      </c>
      <c r="I2041" s="7">
        <v>14.1</v>
      </c>
      <c r="J2041" s="1" t="s">
        <v>38</v>
      </c>
      <c r="K2041" s="1"/>
      <c r="L2041" s="1" t="s">
        <v>48</v>
      </c>
      <c r="M2041" s="1" t="str">
        <f>INDEX(MCC_Lookup!$B$2:$B$12,MATCH(G2041,MCC_Lookup!$A$2:$A$12,0))</f>
        <v>Meals</v>
      </c>
      <c r="N2041" s="1" t="str">
        <f>IF(TRIM(H2041)="","BLANK",IF(PROPER(TRIM(H2041))=TRIM(M2041),"MATCH","MISMATCH"))</f>
        <v>MATCH</v>
      </c>
      <c r="O2041" s="5" t="str">
        <f>INDEX([1]Employee!$C$2:$C$276,MATCH(B2041,[1]Employee!$A$2:$A$276,0))</f>
        <v>Sales &amp; Marketing</v>
      </c>
    </row>
    <row r="2042" spans="1:15">
      <c r="A2042" s="1" t="s">
        <v>4103</v>
      </c>
      <c r="B2042" s="1" t="s">
        <v>756</v>
      </c>
      <c r="C2042" s="1"/>
      <c r="D2042" s="2">
        <v>46126</v>
      </c>
      <c r="E2042" s="2">
        <v>46135</v>
      </c>
      <c r="F2042" s="1" t="s">
        <v>76</v>
      </c>
      <c r="G2042" s="1" t="s">
        <v>13</v>
      </c>
      <c r="H2042" s="1" t="s">
        <v>14</v>
      </c>
      <c r="I2042" s="7">
        <v>513.58000000000004</v>
      </c>
      <c r="J2042" s="1" t="s">
        <v>38</v>
      </c>
      <c r="K2042" s="1"/>
      <c r="L2042" s="1" t="s">
        <v>39</v>
      </c>
      <c r="M2042" s="1" t="str">
        <f>INDEX(MCC_Lookup!$B$2:$B$12,MATCH(G2042,MCC_Lookup!$A$2:$A$12,0))</f>
        <v>Software</v>
      </c>
      <c r="N2042" s="1" t="str">
        <f>IF(TRIM(H2042)="","BLANK",IF(PROPER(TRIM(H2042))=TRIM(M2042),"MATCH","MISMATCH"))</f>
        <v>MATCH</v>
      </c>
      <c r="O2042" s="5" t="str">
        <f>INDEX([1]Employee!$C$2:$C$276,MATCH(B2042,[1]Employee!$A$2:$A$276,0))</f>
        <v>Claims</v>
      </c>
    </row>
    <row r="2043" spans="1:15">
      <c r="A2043" s="1" t="s">
        <v>4104</v>
      </c>
      <c r="B2043" s="1" t="s">
        <v>821</v>
      </c>
      <c r="C2043" s="1"/>
      <c r="D2043" s="2">
        <v>46129</v>
      </c>
      <c r="E2043" s="2">
        <v>46135</v>
      </c>
      <c r="F2043" s="1" t="s">
        <v>120</v>
      </c>
      <c r="G2043" s="1" t="s">
        <v>12</v>
      </c>
      <c r="H2043" s="1" t="s">
        <v>5</v>
      </c>
      <c r="I2043" s="7">
        <v>116.83</v>
      </c>
      <c r="J2043" s="1" t="s">
        <v>38</v>
      </c>
      <c r="K2043" s="1"/>
      <c r="L2043" s="1" t="s">
        <v>39</v>
      </c>
      <c r="M2043" s="1" t="str">
        <f>INDEX(MCC_Lookup!$B$2:$B$12,MATCH(G2043,MCC_Lookup!$A$2:$A$12,0))</f>
        <v>Office Supplies</v>
      </c>
      <c r="N2043" s="1" t="str">
        <f>IF(TRIM(H2043)="","BLANK",IF(PROPER(TRIM(H2043))=TRIM(M2043),"MATCH","MISMATCH"))</f>
        <v>MISMATCH</v>
      </c>
      <c r="O2043" s="5" t="str">
        <f>INDEX([1]Employee!$C$2:$C$276,MATCH(B2043,[1]Employee!$A$2:$A$276,0))</f>
        <v>Claims</v>
      </c>
    </row>
    <row r="2044" spans="1:15">
      <c r="A2044" s="1" t="s">
        <v>4105</v>
      </c>
      <c r="B2044" s="1" t="s">
        <v>2105</v>
      </c>
      <c r="C2044" s="1" t="s">
        <v>4106</v>
      </c>
      <c r="D2044" s="2">
        <v>46126</v>
      </c>
      <c r="E2044" s="2">
        <v>46135</v>
      </c>
      <c r="F2044" s="1" t="s">
        <v>61</v>
      </c>
      <c r="G2044" s="1" t="s">
        <v>13</v>
      </c>
      <c r="H2044" s="1"/>
      <c r="I2044" s="7">
        <v>44.39</v>
      </c>
      <c r="J2044" s="1" t="s">
        <v>38</v>
      </c>
      <c r="K2044" s="1"/>
      <c r="L2044" s="1" t="s">
        <v>39</v>
      </c>
      <c r="M2044" s="1" t="str">
        <f>INDEX(MCC_Lookup!$B$2:$B$12,MATCH(G2044,MCC_Lookup!$A$2:$A$12,0))</f>
        <v>Software</v>
      </c>
      <c r="N2044" s="1" t="str">
        <f>IF(TRIM(H2044)="","BLANK",IF(PROPER(TRIM(H2044))=TRIM(M2044),"MATCH","MISMATCH"))</f>
        <v>BLANK</v>
      </c>
      <c r="O2044" s="5" t="str">
        <f>INDEX([1]Employee!$C$2:$C$276,MATCH(B2044,[1]Employee!$A$2:$A$276,0))</f>
        <v>Actuarial &amp; Risk</v>
      </c>
    </row>
    <row r="2045" spans="1:15">
      <c r="A2045" s="1" t="s">
        <v>4107</v>
      </c>
      <c r="B2045" s="1" t="s">
        <v>399</v>
      </c>
      <c r="C2045" s="1" t="s">
        <v>4108</v>
      </c>
      <c r="D2045" s="2">
        <v>46128</v>
      </c>
      <c r="E2045" s="2">
        <v>46135</v>
      </c>
      <c r="F2045" s="1" t="s">
        <v>160</v>
      </c>
      <c r="G2045" s="1" t="s">
        <v>6</v>
      </c>
      <c r="H2045" s="1"/>
      <c r="I2045" s="7">
        <v>344.25</v>
      </c>
      <c r="J2045" s="1" t="s">
        <v>38</v>
      </c>
      <c r="K2045" s="1"/>
      <c r="L2045" s="1" t="s">
        <v>48</v>
      </c>
      <c r="M2045" s="1" t="str">
        <f>INDEX(MCC_Lookup!$B$2:$B$12,MATCH(G2045,MCC_Lookup!$A$2:$A$12,0))</f>
        <v>Lodging</v>
      </c>
      <c r="N2045" s="1" t="str">
        <f>IF(TRIM(H2045)="","BLANK",IF(PROPER(TRIM(H2045))=TRIM(M2045),"MATCH","MISMATCH"))</f>
        <v>BLANK</v>
      </c>
      <c r="O2045" s="5" t="str">
        <f>INDEX([1]Employee!$C$2:$C$276,MATCH(B2045,[1]Employee!$A$2:$A$276,0))</f>
        <v>IT &amp; Platform Engineering</v>
      </c>
    </row>
    <row r="2046" spans="1:15">
      <c r="A2046" s="1" t="s">
        <v>4109</v>
      </c>
      <c r="B2046" s="1" t="s">
        <v>349</v>
      </c>
      <c r="C2046" s="1"/>
      <c r="D2046" s="2">
        <v>46128</v>
      </c>
      <c r="E2046" s="2">
        <v>46135</v>
      </c>
      <c r="F2046" s="1" t="s">
        <v>116</v>
      </c>
      <c r="G2046" s="1" t="s">
        <v>2</v>
      </c>
      <c r="H2046" s="1" t="s">
        <v>3</v>
      </c>
      <c r="I2046" s="7">
        <v>21.47</v>
      </c>
      <c r="J2046" s="1" t="s">
        <v>38</v>
      </c>
      <c r="K2046" s="1"/>
      <c r="L2046" s="1" t="s">
        <v>39</v>
      </c>
      <c r="M2046" s="1" t="str">
        <f>INDEX(MCC_Lookup!$B$2:$B$12,MATCH(G2046,MCC_Lookup!$A$2:$A$12,0))</f>
        <v>Meals</v>
      </c>
      <c r="N2046" s="1" t="str">
        <f>IF(TRIM(H2046)="","BLANK",IF(PROPER(TRIM(H2046))=TRIM(M2046),"MATCH","MISMATCH"))</f>
        <v>MATCH</v>
      </c>
      <c r="O2046" s="5" t="str">
        <f>INDEX([1]Employee!$C$2:$C$276,MATCH(B2046,[1]Employee!$A$2:$A$276,0))</f>
        <v>Sales &amp; Marketing</v>
      </c>
    </row>
    <row r="2047" spans="1:15">
      <c r="A2047" s="1" t="s">
        <v>4110</v>
      </c>
      <c r="B2047" s="1" t="s">
        <v>1159</v>
      </c>
      <c r="C2047" s="1" t="s">
        <v>4111</v>
      </c>
      <c r="D2047" s="2">
        <v>46127</v>
      </c>
      <c r="E2047" s="2">
        <v>46135</v>
      </c>
      <c r="F2047" s="1" t="s">
        <v>99</v>
      </c>
      <c r="G2047" s="1" t="s">
        <v>2</v>
      </c>
      <c r="H2047" s="1" t="s">
        <v>3</v>
      </c>
      <c r="I2047" s="7">
        <v>115.53</v>
      </c>
      <c r="J2047" s="1" t="s">
        <v>38</v>
      </c>
      <c r="K2047" s="1"/>
      <c r="L2047" s="1" t="s">
        <v>39</v>
      </c>
      <c r="M2047" s="1" t="str">
        <f>INDEX(MCC_Lookup!$B$2:$B$12,MATCH(G2047,MCC_Lookup!$A$2:$A$12,0))</f>
        <v>Meals</v>
      </c>
      <c r="N2047" s="1" t="str">
        <f>IF(TRIM(H2047)="","BLANK",IF(PROPER(TRIM(H2047))=TRIM(M2047),"MATCH","MISMATCH"))</f>
        <v>MATCH</v>
      </c>
      <c r="O2047" s="5" t="str">
        <f>INDEX([1]Employee!$C$2:$C$276,MATCH(B2047,[1]Employee!$A$2:$A$276,0))</f>
        <v>Customer Support</v>
      </c>
    </row>
    <row r="2048" spans="1:15">
      <c r="A2048" s="1" t="s">
        <v>4112</v>
      </c>
      <c r="B2048" s="1" t="s">
        <v>1427</v>
      </c>
      <c r="C2048" s="1" t="s">
        <v>4113</v>
      </c>
      <c r="D2048" s="2">
        <v>46130</v>
      </c>
      <c r="E2048" s="2">
        <v>46135</v>
      </c>
      <c r="F2048" s="1" t="s">
        <v>124</v>
      </c>
      <c r="G2048" s="1" t="s">
        <v>17</v>
      </c>
      <c r="H2048" s="1" t="s">
        <v>16</v>
      </c>
      <c r="I2048" s="7">
        <v>88.61</v>
      </c>
      <c r="J2048" s="1" t="s">
        <v>38</v>
      </c>
      <c r="K2048" s="1"/>
      <c r="L2048" s="1" t="s">
        <v>39</v>
      </c>
      <c r="M2048" s="1" t="str">
        <f>INDEX(MCC_Lookup!$B$2:$B$12,MATCH(G2048,MCC_Lookup!$A$2:$A$12,0))</f>
        <v>Entertainment</v>
      </c>
      <c r="N2048" s="1" t="str">
        <f>IF(TRIM(H2048)="","BLANK",IF(PROPER(TRIM(H2048))=TRIM(M2048),"MATCH","MISMATCH"))</f>
        <v>MATCH</v>
      </c>
      <c r="O2048" s="5" t="str">
        <f>INDEX([1]Employee!$C$2:$C$276,MATCH(B2048,[1]Employee!$A$2:$A$276,0))</f>
        <v>Finance</v>
      </c>
    </row>
    <row r="2049" spans="1:15">
      <c r="A2049" s="1" t="s">
        <v>4114</v>
      </c>
      <c r="B2049" s="1" t="s">
        <v>661</v>
      </c>
      <c r="C2049" s="1" t="s">
        <v>4115</v>
      </c>
      <c r="D2049" s="2">
        <v>46127</v>
      </c>
      <c r="E2049" s="2">
        <v>46135</v>
      </c>
      <c r="F2049" s="1" t="s">
        <v>160</v>
      </c>
      <c r="G2049" s="1" t="s">
        <v>6</v>
      </c>
      <c r="H2049" s="1" t="s">
        <v>7</v>
      </c>
      <c r="I2049" s="7">
        <v>429.54</v>
      </c>
      <c r="J2049" s="1" t="s">
        <v>38</v>
      </c>
      <c r="K2049" s="1"/>
      <c r="L2049" s="1" t="s">
        <v>39</v>
      </c>
      <c r="M2049" s="1" t="str">
        <f>INDEX(MCC_Lookup!$B$2:$B$12,MATCH(G2049,MCC_Lookup!$A$2:$A$12,0))</f>
        <v>Lodging</v>
      </c>
      <c r="N2049" s="1" t="str">
        <f>IF(TRIM(H2049)="","BLANK",IF(PROPER(TRIM(H2049))=TRIM(M2049),"MATCH","MISMATCH"))</f>
        <v>MATCH</v>
      </c>
      <c r="O2049" s="5" t="str">
        <f>INDEX([1]Employee!$C$2:$C$276,MATCH(B2049,[1]Employee!$A$2:$A$276,0))</f>
        <v>Sales &amp; Marketing</v>
      </c>
    </row>
    <row r="2050" spans="1:15">
      <c r="A2050" s="1" t="s">
        <v>4116</v>
      </c>
      <c r="B2050" s="1" t="s">
        <v>1110</v>
      </c>
      <c r="C2050" s="1"/>
      <c r="D2050" s="2">
        <v>46132</v>
      </c>
      <c r="E2050" s="2">
        <v>46135</v>
      </c>
      <c r="F2050" s="1" t="s">
        <v>116</v>
      </c>
      <c r="G2050" s="1" t="s">
        <v>2</v>
      </c>
      <c r="H2050" s="1" t="s">
        <v>3</v>
      </c>
      <c r="I2050" s="7">
        <v>10.220000000000001</v>
      </c>
      <c r="J2050" s="1" t="s">
        <v>111</v>
      </c>
      <c r="K2050" s="1" t="s">
        <v>161</v>
      </c>
      <c r="L2050" s="1" t="s">
        <v>39</v>
      </c>
      <c r="M2050" s="1" t="str">
        <f>INDEX(MCC_Lookup!$B$2:$B$12,MATCH(G2050,MCC_Lookup!$A$2:$A$12,0))</f>
        <v>Meals</v>
      </c>
      <c r="N2050" s="1" t="str">
        <f>IF(TRIM(H2050)="","BLANK",IF(PROPER(TRIM(H2050))=TRIM(M2050),"MATCH","MISMATCH"))</f>
        <v>MATCH</v>
      </c>
      <c r="O2050" s="5" t="str">
        <f>INDEX([1]Employee!$C$2:$C$276,MATCH(B2050,[1]Employee!$A$2:$A$276,0))</f>
        <v>Executive &amp; Corporate</v>
      </c>
    </row>
    <row r="2051" spans="1:15">
      <c r="A2051" s="1" t="s">
        <v>4117</v>
      </c>
      <c r="B2051" s="1" t="s">
        <v>2046</v>
      </c>
      <c r="C2051" s="1" t="s">
        <v>4118</v>
      </c>
      <c r="D2051" s="2">
        <v>46134</v>
      </c>
      <c r="E2051" s="2">
        <v>46135</v>
      </c>
      <c r="F2051" s="1" t="s">
        <v>106</v>
      </c>
      <c r="G2051" s="1" t="s">
        <v>13</v>
      </c>
      <c r="H2051" s="1" t="s">
        <v>14</v>
      </c>
      <c r="I2051" s="7">
        <v>50.53</v>
      </c>
      <c r="J2051" s="1" t="s">
        <v>38</v>
      </c>
      <c r="K2051" s="1"/>
      <c r="L2051" s="1" t="s">
        <v>39</v>
      </c>
      <c r="M2051" s="1" t="str">
        <f>INDEX(MCC_Lookup!$B$2:$B$12,MATCH(G2051,MCC_Lookup!$A$2:$A$12,0))</f>
        <v>Software</v>
      </c>
      <c r="N2051" s="1" t="str">
        <f>IF(TRIM(H2051)="","BLANK",IF(PROPER(TRIM(H2051))=TRIM(M2051),"MATCH","MISMATCH"))</f>
        <v>MATCH</v>
      </c>
      <c r="O2051" s="5" t="str">
        <f>INDEX([1]Employee!$C$2:$C$276,MATCH(B2051,[1]Employee!$A$2:$A$276,0))</f>
        <v>Claims</v>
      </c>
    </row>
    <row r="2052" spans="1:15">
      <c r="A2052" s="1" t="s">
        <v>4119</v>
      </c>
      <c r="B2052" s="1" t="s">
        <v>227</v>
      </c>
      <c r="C2052" s="1" t="s">
        <v>4120</v>
      </c>
      <c r="D2052" s="2">
        <v>46128</v>
      </c>
      <c r="E2052" s="2">
        <v>46135</v>
      </c>
      <c r="F2052" s="1" t="s">
        <v>124</v>
      </c>
      <c r="G2052" s="1" t="s">
        <v>17</v>
      </c>
      <c r="H2052" s="1" t="s">
        <v>16</v>
      </c>
      <c r="I2052" s="7">
        <v>200.66</v>
      </c>
      <c r="J2052" s="1" t="s">
        <v>38</v>
      </c>
      <c r="K2052" s="1"/>
      <c r="L2052" s="1" t="s">
        <v>39</v>
      </c>
      <c r="M2052" s="1" t="str">
        <f>INDEX(MCC_Lookup!$B$2:$B$12,MATCH(G2052,MCC_Lookup!$A$2:$A$12,0))</f>
        <v>Entertainment</v>
      </c>
      <c r="N2052" s="1" t="str">
        <f>IF(TRIM(H2052)="","BLANK",IF(PROPER(TRIM(H2052))=TRIM(M2052),"MATCH","MISMATCH"))</f>
        <v>MATCH</v>
      </c>
      <c r="O2052" s="5" t="str">
        <f>INDEX([1]Employee!$C$2:$C$276,MATCH(B2052,[1]Employee!$A$2:$A$276,0))</f>
        <v>Claims</v>
      </c>
    </row>
    <row r="2053" spans="1:15">
      <c r="A2053" s="1" t="s">
        <v>4121</v>
      </c>
      <c r="B2053" s="1" t="s">
        <v>300</v>
      </c>
      <c r="C2053" s="1" t="s">
        <v>4122</v>
      </c>
      <c r="D2053" s="2">
        <v>46133</v>
      </c>
      <c r="E2053" s="2">
        <v>46135</v>
      </c>
      <c r="F2053" s="1" t="s">
        <v>124</v>
      </c>
      <c r="G2053" s="1" t="s">
        <v>17</v>
      </c>
      <c r="H2053" s="1" t="s">
        <v>16</v>
      </c>
      <c r="I2053" s="7">
        <v>210.57</v>
      </c>
      <c r="J2053" s="1" t="s">
        <v>38</v>
      </c>
      <c r="K2053" s="1"/>
      <c r="L2053" s="1" t="s">
        <v>39</v>
      </c>
      <c r="M2053" s="1" t="str">
        <f>INDEX(MCC_Lookup!$B$2:$B$12,MATCH(G2053,MCC_Lookup!$A$2:$A$12,0))</f>
        <v>Entertainment</v>
      </c>
      <c r="N2053" s="1" t="str">
        <f>IF(TRIM(H2053)="","BLANK",IF(PROPER(TRIM(H2053))=TRIM(M2053),"MATCH","MISMATCH"))</f>
        <v>MATCH</v>
      </c>
      <c r="O2053" s="5" t="str">
        <f>INDEX([1]Employee!$C$2:$C$276,MATCH(B2053,[1]Employee!$A$2:$A$276,0))</f>
        <v>Sales &amp; Marketing</v>
      </c>
    </row>
    <row r="2054" spans="1:15">
      <c r="A2054" s="1" t="s">
        <v>4123</v>
      </c>
      <c r="B2054" s="1" t="s">
        <v>466</v>
      </c>
      <c r="C2054" s="1" t="s">
        <v>4124</v>
      </c>
      <c r="D2054" s="2">
        <v>46134</v>
      </c>
      <c r="E2054" s="2">
        <v>46135</v>
      </c>
      <c r="F2054" s="1" t="s">
        <v>83</v>
      </c>
      <c r="G2054" s="1" t="s">
        <v>2</v>
      </c>
      <c r="H2054" s="1" t="s">
        <v>3</v>
      </c>
      <c r="I2054" s="7">
        <v>24.71</v>
      </c>
      <c r="J2054" s="1" t="s">
        <v>38</v>
      </c>
      <c r="K2054" s="1"/>
      <c r="L2054" s="1" t="s">
        <v>39</v>
      </c>
      <c r="M2054" s="1" t="str">
        <f>INDEX(MCC_Lookup!$B$2:$B$12,MATCH(G2054,MCC_Lookup!$A$2:$A$12,0))</f>
        <v>Meals</v>
      </c>
      <c r="N2054" s="1" t="str">
        <f>IF(TRIM(H2054)="","BLANK",IF(PROPER(TRIM(H2054))=TRIM(M2054),"MATCH","MISMATCH"))</f>
        <v>MATCH</v>
      </c>
      <c r="O2054" s="5" t="str">
        <f>INDEX([1]Employee!$C$2:$C$276,MATCH(B2054,[1]Employee!$A$2:$A$276,0))</f>
        <v>Finance</v>
      </c>
    </row>
    <row r="2055" spans="1:15">
      <c r="A2055" s="1" t="s">
        <v>4125</v>
      </c>
      <c r="B2055" s="1" t="s">
        <v>947</v>
      </c>
      <c r="C2055" s="1" t="s">
        <v>4126</v>
      </c>
      <c r="D2055" s="2">
        <v>46130</v>
      </c>
      <c r="E2055" s="2">
        <v>46135</v>
      </c>
      <c r="F2055" s="1" t="s">
        <v>483</v>
      </c>
      <c r="G2055" s="1" t="s">
        <v>13</v>
      </c>
      <c r="H2055" s="1" t="s">
        <v>192</v>
      </c>
      <c r="I2055" s="7">
        <v>53.41</v>
      </c>
      <c r="J2055" s="1" t="s">
        <v>38</v>
      </c>
      <c r="K2055" s="1"/>
      <c r="L2055" s="1" t="s">
        <v>39</v>
      </c>
      <c r="M2055" s="1" t="str">
        <f>INDEX(MCC_Lookup!$B$2:$B$12,MATCH(G2055,MCC_Lookup!$A$2:$A$12,0))</f>
        <v>Software</v>
      </c>
      <c r="N2055" s="1" t="str">
        <f>IF(TRIM(H2055)="","BLANK",IF(PROPER(TRIM(H2055))=TRIM(M2055),"MATCH","MISMATCH"))</f>
        <v>MATCH</v>
      </c>
      <c r="O2055" s="5" t="str">
        <f>INDEX([1]Employee!$C$2:$C$276,MATCH(B2055,[1]Employee!$A$2:$A$276,0))</f>
        <v>Sales &amp; Marketing</v>
      </c>
    </row>
    <row r="2056" spans="1:15">
      <c r="A2056" s="1" t="s">
        <v>4127</v>
      </c>
      <c r="B2056" s="1" t="s">
        <v>527</v>
      </c>
      <c r="C2056" s="1" t="s">
        <v>4128</v>
      </c>
      <c r="D2056" s="2">
        <v>46132</v>
      </c>
      <c r="E2056" s="2">
        <v>46135</v>
      </c>
      <c r="F2056" s="1" t="s">
        <v>92</v>
      </c>
      <c r="G2056" s="1" t="s">
        <v>10</v>
      </c>
      <c r="H2056" s="1" t="s">
        <v>11</v>
      </c>
      <c r="I2056" s="7">
        <v>96.74</v>
      </c>
      <c r="J2056" s="1" t="s">
        <v>38</v>
      </c>
      <c r="K2056" s="1"/>
      <c r="L2056" s="1" t="s">
        <v>48</v>
      </c>
      <c r="M2056" s="1" t="str">
        <f>INDEX(MCC_Lookup!$B$2:$B$12,MATCH(G2056,MCC_Lookup!$A$2:$A$12,0))</f>
        <v>Office Supplies</v>
      </c>
      <c r="N2056" s="1" t="str">
        <f>IF(TRIM(H2056)="","BLANK",IF(PROPER(TRIM(H2056))=TRIM(M2056),"MATCH","MISMATCH"))</f>
        <v>MATCH</v>
      </c>
      <c r="O2056" s="5" t="str">
        <f>INDEX([1]Employee!$C$2:$C$276,MATCH(B2056,[1]Employee!$A$2:$A$276,0))</f>
        <v>Customer Support</v>
      </c>
    </row>
    <row r="2057" spans="1:15">
      <c r="A2057" s="1" t="s">
        <v>4129</v>
      </c>
      <c r="B2057" s="1" t="s">
        <v>664</v>
      </c>
      <c r="C2057" s="1"/>
      <c r="D2057" s="2">
        <v>46126</v>
      </c>
      <c r="E2057" s="2">
        <v>46135</v>
      </c>
      <c r="F2057" s="1" t="s">
        <v>177</v>
      </c>
      <c r="G2057" s="1" t="s">
        <v>13</v>
      </c>
      <c r="H2057" s="1" t="s">
        <v>14</v>
      </c>
      <c r="I2057" s="7">
        <v>61.75</v>
      </c>
      <c r="J2057" s="1" t="s">
        <v>38</v>
      </c>
      <c r="K2057" s="1"/>
      <c r="L2057" s="1" t="s">
        <v>39</v>
      </c>
      <c r="M2057" s="1" t="str">
        <f>INDEX(MCC_Lookup!$B$2:$B$12,MATCH(G2057,MCC_Lookup!$A$2:$A$12,0))</f>
        <v>Software</v>
      </c>
      <c r="N2057" s="1" t="str">
        <f>IF(TRIM(H2057)="","BLANK",IF(PROPER(TRIM(H2057))=TRIM(M2057),"MATCH","MISMATCH"))</f>
        <v>MATCH</v>
      </c>
      <c r="O2057" s="5" t="str">
        <f>INDEX([1]Employee!$C$2:$C$276,MATCH(B2057,[1]Employee!$A$2:$A$276,0))</f>
        <v>Actuarial &amp; Risk</v>
      </c>
    </row>
    <row r="2058" spans="1:15">
      <c r="A2058" s="1" t="s">
        <v>4130</v>
      </c>
      <c r="B2058" s="1" t="s">
        <v>524</v>
      </c>
      <c r="C2058" s="1" t="s">
        <v>4131</v>
      </c>
      <c r="D2058" s="2">
        <v>46127</v>
      </c>
      <c r="E2058" s="2">
        <v>46135</v>
      </c>
      <c r="F2058" s="1" t="s">
        <v>173</v>
      </c>
      <c r="G2058" s="1" t="s">
        <v>2</v>
      </c>
      <c r="H2058" s="1"/>
      <c r="I2058" s="7">
        <v>76.53</v>
      </c>
      <c r="J2058" s="1" t="s">
        <v>38</v>
      </c>
      <c r="K2058" s="1"/>
      <c r="L2058" s="1" t="s">
        <v>39</v>
      </c>
      <c r="M2058" s="1" t="str">
        <f>INDEX(MCC_Lookup!$B$2:$B$12,MATCH(G2058,MCC_Lookup!$A$2:$A$12,0))</f>
        <v>Meals</v>
      </c>
      <c r="N2058" s="1" t="str">
        <f>IF(TRIM(H2058)="","BLANK",IF(PROPER(TRIM(H2058))=TRIM(M2058),"MATCH","MISMATCH"))</f>
        <v>BLANK</v>
      </c>
      <c r="O2058" s="5" t="str">
        <f>INDEX([1]Employee!$C$2:$C$276,MATCH(B2058,[1]Employee!$A$2:$A$276,0))</f>
        <v>Claims</v>
      </c>
    </row>
    <row r="2059" spans="1:15">
      <c r="A2059" s="1" t="s">
        <v>4132</v>
      </c>
      <c r="B2059" s="1" t="s">
        <v>1637</v>
      </c>
      <c r="C2059" s="1" t="s">
        <v>4133</v>
      </c>
      <c r="D2059" s="2">
        <v>46132</v>
      </c>
      <c r="E2059" s="2">
        <v>46136</v>
      </c>
      <c r="F2059" s="1" t="s">
        <v>109</v>
      </c>
      <c r="G2059" s="1" t="s">
        <v>18</v>
      </c>
      <c r="H2059" s="1" t="s">
        <v>19</v>
      </c>
      <c r="I2059" s="7">
        <v>251.79</v>
      </c>
      <c r="J2059" s="1" t="s">
        <v>38</v>
      </c>
      <c r="K2059" s="1"/>
      <c r="L2059" s="1" t="s">
        <v>39</v>
      </c>
      <c r="M2059" s="1" t="str">
        <f>INDEX(MCC_Lookup!$B$2:$B$12,MATCH(G2059,MCC_Lookup!$A$2:$A$12,0))</f>
        <v>Events</v>
      </c>
      <c r="N2059" s="1" t="str">
        <f>IF(TRIM(H2059)="","BLANK",IF(PROPER(TRIM(H2059))=TRIM(M2059),"MATCH","MISMATCH"))</f>
        <v>MATCH</v>
      </c>
      <c r="O2059" s="5" t="str">
        <f>INDEX([1]Employee!$C$2:$C$276,MATCH(B2059,[1]Employee!$A$2:$A$276,0))</f>
        <v>Underwriting</v>
      </c>
    </row>
    <row r="2060" spans="1:15">
      <c r="A2060" s="1" t="s">
        <v>4134</v>
      </c>
      <c r="B2060" s="1" t="s">
        <v>595</v>
      </c>
      <c r="C2060" s="1" t="s">
        <v>4135</v>
      </c>
      <c r="D2060" s="2">
        <v>46127</v>
      </c>
      <c r="E2060" s="2">
        <v>46136</v>
      </c>
      <c r="F2060" s="1" t="s">
        <v>65</v>
      </c>
      <c r="G2060" s="1" t="s">
        <v>18</v>
      </c>
      <c r="H2060" s="1" t="s">
        <v>19</v>
      </c>
      <c r="I2060" s="7">
        <v>104.52</v>
      </c>
      <c r="J2060" s="1" t="s">
        <v>38</v>
      </c>
      <c r="K2060" s="1"/>
      <c r="L2060" s="1" t="s">
        <v>39</v>
      </c>
      <c r="M2060" s="1" t="str">
        <f>INDEX(MCC_Lookup!$B$2:$B$12,MATCH(G2060,MCC_Lookup!$A$2:$A$12,0))</f>
        <v>Events</v>
      </c>
      <c r="N2060" s="1" t="str">
        <f>IF(TRIM(H2060)="","BLANK",IF(PROPER(TRIM(H2060))=TRIM(M2060),"MATCH","MISMATCH"))</f>
        <v>MATCH</v>
      </c>
      <c r="O2060" s="5" t="str">
        <f>INDEX([1]Employee!$C$2:$C$276,MATCH(B2060,[1]Employee!$A$2:$A$276,0))</f>
        <v>Executive &amp; Corporate</v>
      </c>
    </row>
    <row r="2061" spans="1:15">
      <c r="A2061" s="1" t="s">
        <v>4136</v>
      </c>
      <c r="B2061" s="1" t="s">
        <v>1422</v>
      </c>
      <c r="C2061" s="1" t="s">
        <v>4137</v>
      </c>
      <c r="D2061" s="2">
        <v>46136</v>
      </c>
      <c r="E2061" s="2">
        <v>46136</v>
      </c>
      <c r="F2061" s="1" t="s">
        <v>201</v>
      </c>
      <c r="G2061" s="1" t="s">
        <v>4</v>
      </c>
      <c r="H2061" s="1" t="s">
        <v>269</v>
      </c>
      <c r="I2061" s="7">
        <v>203.42</v>
      </c>
      <c r="J2061" s="1" t="s">
        <v>38</v>
      </c>
      <c r="K2061" s="1"/>
      <c r="L2061" s="1" t="s">
        <v>48</v>
      </c>
      <c r="M2061" s="1" t="str">
        <f>INDEX(MCC_Lookup!$B$2:$B$12,MATCH(G2061,MCC_Lookup!$A$2:$A$12,0))</f>
        <v>Travel</v>
      </c>
      <c r="N2061" s="1" t="str">
        <f>IF(TRIM(H2061)="","BLANK",IF(PROPER(TRIM(H2061))=TRIM(M2061),"MATCH","MISMATCH"))</f>
        <v>MISMATCH</v>
      </c>
      <c r="O2061" s="5" t="str">
        <f>INDEX([1]Employee!$C$2:$C$276,MATCH(B2061,[1]Employee!$A$2:$A$276,0))</f>
        <v>Underwriting</v>
      </c>
    </row>
    <row r="2062" spans="1:15">
      <c r="A2062" s="1" t="s">
        <v>4138</v>
      </c>
      <c r="B2062" s="1" t="s">
        <v>118</v>
      </c>
      <c r="C2062" s="1" t="s">
        <v>4139</v>
      </c>
      <c r="D2062" s="2">
        <v>46135</v>
      </c>
      <c r="E2062" s="2">
        <v>46136</v>
      </c>
      <c r="F2062" s="1" t="s">
        <v>109</v>
      </c>
      <c r="G2062" s="1" t="s">
        <v>18</v>
      </c>
      <c r="H2062" s="1" t="s">
        <v>19</v>
      </c>
      <c r="I2062" s="7">
        <v>16.149999999999999</v>
      </c>
      <c r="J2062" s="1" t="s">
        <v>38</v>
      </c>
      <c r="K2062" s="1"/>
      <c r="L2062" s="1" t="s">
        <v>39</v>
      </c>
      <c r="M2062" s="1" t="str">
        <f>INDEX(MCC_Lookup!$B$2:$B$12,MATCH(G2062,MCC_Lookup!$A$2:$A$12,0))</f>
        <v>Events</v>
      </c>
      <c r="N2062" s="1" t="str">
        <f>IF(TRIM(H2062)="","BLANK",IF(PROPER(TRIM(H2062))=TRIM(M2062),"MATCH","MISMATCH"))</f>
        <v>MATCH</v>
      </c>
      <c r="O2062" s="5" t="str">
        <f>INDEX([1]Employee!$C$2:$C$276,MATCH(B2062,[1]Employee!$A$2:$A$276,0))</f>
        <v>Underwriting</v>
      </c>
    </row>
    <row r="2063" spans="1:15">
      <c r="A2063" s="1" t="s">
        <v>4140</v>
      </c>
      <c r="B2063" s="1" t="s">
        <v>558</v>
      </c>
      <c r="C2063" s="1" t="s">
        <v>4141</v>
      </c>
      <c r="D2063" s="2">
        <v>46129</v>
      </c>
      <c r="E2063" s="2">
        <v>46136</v>
      </c>
      <c r="F2063" s="1" t="s">
        <v>76</v>
      </c>
      <c r="G2063" s="1" t="s">
        <v>13</v>
      </c>
      <c r="H2063" s="1" t="s">
        <v>14</v>
      </c>
      <c r="I2063" s="7">
        <v>570.47</v>
      </c>
      <c r="J2063" s="1" t="s">
        <v>38</v>
      </c>
      <c r="K2063" s="1"/>
      <c r="L2063" s="1" t="s">
        <v>39</v>
      </c>
      <c r="M2063" s="1" t="str">
        <f>INDEX(MCC_Lookup!$B$2:$B$12,MATCH(G2063,MCC_Lookup!$A$2:$A$12,0))</f>
        <v>Software</v>
      </c>
      <c r="N2063" s="1" t="str">
        <f>IF(TRIM(H2063)="","BLANK",IF(PROPER(TRIM(H2063))=TRIM(M2063),"MATCH","MISMATCH"))</f>
        <v>MATCH</v>
      </c>
      <c r="O2063" s="5" t="str">
        <f>INDEX([1]Employee!$C$2:$C$276,MATCH(B2063,[1]Employee!$A$2:$A$276,0))</f>
        <v>Claims</v>
      </c>
    </row>
    <row r="2064" spans="1:15">
      <c r="A2064" s="1" t="s">
        <v>4142</v>
      </c>
      <c r="B2064" s="1" t="s">
        <v>810</v>
      </c>
      <c r="C2064" s="1" t="s">
        <v>4143</v>
      </c>
      <c r="D2064" s="2">
        <v>46132</v>
      </c>
      <c r="E2064" s="2">
        <v>46136</v>
      </c>
      <c r="F2064" s="1" t="s">
        <v>305</v>
      </c>
      <c r="G2064" s="1" t="s">
        <v>2</v>
      </c>
      <c r="H2064" s="1" t="s">
        <v>3</v>
      </c>
      <c r="I2064" s="7">
        <v>9.0500000000000007</v>
      </c>
      <c r="J2064" s="1" t="s">
        <v>38</v>
      </c>
      <c r="K2064" s="1"/>
      <c r="L2064" s="1" t="s">
        <v>39</v>
      </c>
      <c r="M2064" s="1" t="str">
        <f>INDEX(MCC_Lookup!$B$2:$B$12,MATCH(G2064,MCC_Lookup!$A$2:$A$12,0))</f>
        <v>Meals</v>
      </c>
      <c r="N2064" s="1" t="str">
        <f>IF(TRIM(H2064)="","BLANK",IF(PROPER(TRIM(H2064))=TRIM(M2064),"MATCH","MISMATCH"))</f>
        <v>MATCH</v>
      </c>
      <c r="O2064" s="5" t="str">
        <f>INDEX([1]Employee!$C$2:$C$276,MATCH(B2064,[1]Employee!$A$2:$A$276,0))</f>
        <v>Sales &amp; Marketing</v>
      </c>
    </row>
    <row r="2065" spans="1:15">
      <c r="A2065" s="1" t="s">
        <v>4144</v>
      </c>
      <c r="B2065" s="1" t="s">
        <v>196</v>
      </c>
      <c r="C2065" s="1" t="s">
        <v>4145</v>
      </c>
      <c r="D2065" s="2">
        <v>46130</v>
      </c>
      <c r="E2065" s="2">
        <v>46136</v>
      </c>
      <c r="F2065" s="1" t="s">
        <v>52</v>
      </c>
      <c r="G2065" s="1" t="s">
        <v>15</v>
      </c>
      <c r="H2065" s="1" t="s">
        <v>16</v>
      </c>
      <c r="I2065" s="7">
        <v>33.42</v>
      </c>
      <c r="J2065" s="1" t="s">
        <v>38</v>
      </c>
      <c r="K2065" s="1"/>
      <c r="L2065" s="1" t="s">
        <v>39</v>
      </c>
      <c r="M2065" s="1" t="str">
        <f>INDEX(MCC_Lookup!$B$2:$B$12,MATCH(G2065,MCC_Lookup!$A$2:$A$12,0))</f>
        <v>Entertainment</v>
      </c>
      <c r="N2065" s="1" t="str">
        <f>IF(TRIM(H2065)="","BLANK",IF(PROPER(TRIM(H2065))=TRIM(M2065),"MATCH","MISMATCH"))</f>
        <v>MATCH</v>
      </c>
      <c r="O2065" s="5" t="str">
        <f>INDEX([1]Employee!$C$2:$C$276,MATCH(B2065,[1]Employee!$A$2:$A$276,0))</f>
        <v>Sales &amp; Marketing</v>
      </c>
    </row>
    <row r="2066" spans="1:15">
      <c r="A2066" s="1" t="s">
        <v>4146</v>
      </c>
      <c r="B2066" s="1" t="s">
        <v>349</v>
      </c>
      <c r="C2066" s="1" t="s">
        <v>4147</v>
      </c>
      <c r="D2066" s="2">
        <v>46132</v>
      </c>
      <c r="E2066" s="2">
        <v>46136</v>
      </c>
      <c r="F2066" s="1" t="s">
        <v>347</v>
      </c>
      <c r="G2066" s="1" t="s">
        <v>8</v>
      </c>
      <c r="H2066" s="1" t="s">
        <v>9</v>
      </c>
      <c r="I2066" s="7">
        <v>24.36</v>
      </c>
      <c r="J2066" s="1" t="s">
        <v>38</v>
      </c>
      <c r="K2066" s="1"/>
      <c r="L2066" s="1" t="s">
        <v>39</v>
      </c>
      <c r="M2066" s="1" t="str">
        <f>INDEX(MCC_Lookup!$B$2:$B$12,MATCH(G2066,MCC_Lookup!$A$2:$A$12,0))</f>
        <v>Transportation</v>
      </c>
      <c r="N2066" s="1" t="str">
        <f>IF(TRIM(H2066)="","BLANK",IF(PROPER(TRIM(H2066))=TRIM(M2066),"MATCH","MISMATCH"))</f>
        <v>MATCH</v>
      </c>
      <c r="O2066" s="5" t="str">
        <f>INDEX([1]Employee!$C$2:$C$276,MATCH(B2066,[1]Employee!$A$2:$A$276,0))</f>
        <v>Sales &amp; Marketing</v>
      </c>
    </row>
    <row r="2067" spans="1:15">
      <c r="A2067" s="1" t="s">
        <v>4148</v>
      </c>
      <c r="B2067" s="1" t="s">
        <v>684</v>
      </c>
      <c r="C2067" s="1" t="s">
        <v>4149</v>
      </c>
      <c r="D2067" s="2">
        <v>46131</v>
      </c>
      <c r="E2067" s="2">
        <v>46136</v>
      </c>
      <c r="F2067" s="1" t="s">
        <v>43</v>
      </c>
      <c r="G2067" s="1" t="s">
        <v>2</v>
      </c>
      <c r="H2067" s="1" t="s">
        <v>269</v>
      </c>
      <c r="I2067" s="7">
        <v>17.29</v>
      </c>
      <c r="J2067" s="1" t="s">
        <v>38</v>
      </c>
      <c r="K2067" s="1"/>
      <c r="L2067" s="1" t="s">
        <v>39</v>
      </c>
      <c r="M2067" s="1" t="str">
        <f>INDEX(MCC_Lookup!$B$2:$B$12,MATCH(G2067,MCC_Lookup!$A$2:$A$12,0))</f>
        <v>Meals</v>
      </c>
      <c r="N2067" s="1" t="str">
        <f>IF(TRIM(H2067)="","BLANK",IF(PROPER(TRIM(H2067))=TRIM(M2067),"MATCH","MISMATCH"))</f>
        <v>MISMATCH</v>
      </c>
      <c r="O2067" s="5" t="str">
        <f>INDEX([1]Employee!$C$2:$C$276,MATCH(B2067,[1]Employee!$A$2:$A$276,0))</f>
        <v>Underwriting</v>
      </c>
    </row>
    <row r="2068" spans="1:15">
      <c r="A2068" s="1" t="s">
        <v>4150</v>
      </c>
      <c r="B2068" s="1" t="s">
        <v>3470</v>
      </c>
      <c r="C2068" s="1"/>
      <c r="D2068" s="2">
        <v>46133</v>
      </c>
      <c r="E2068" s="2">
        <v>46136</v>
      </c>
      <c r="F2068" s="1" t="s">
        <v>43</v>
      </c>
      <c r="G2068" s="1" t="s">
        <v>2</v>
      </c>
      <c r="H2068" s="1"/>
      <c r="I2068" s="7">
        <v>19.07</v>
      </c>
      <c r="J2068" s="1" t="s">
        <v>111</v>
      </c>
      <c r="K2068" s="1" t="s">
        <v>161</v>
      </c>
      <c r="L2068" s="1" t="s">
        <v>39</v>
      </c>
      <c r="M2068" s="1" t="str">
        <f>INDEX(MCC_Lookup!$B$2:$B$12,MATCH(G2068,MCC_Lookup!$A$2:$A$12,0))</f>
        <v>Meals</v>
      </c>
      <c r="N2068" s="1" t="str">
        <f>IF(TRIM(H2068)="","BLANK",IF(PROPER(TRIM(H2068))=TRIM(M2068),"MATCH","MISMATCH"))</f>
        <v>BLANK</v>
      </c>
      <c r="O2068" s="5" t="str">
        <f>INDEX([1]Employee!$C$2:$C$276,MATCH(B2068,[1]Employee!$A$2:$A$276,0))</f>
        <v>IT &amp; Platform Engineering</v>
      </c>
    </row>
    <row r="2069" spans="1:15">
      <c r="A2069" s="1" t="s">
        <v>4151</v>
      </c>
      <c r="B2069" s="1" t="s">
        <v>1175</v>
      </c>
      <c r="C2069" s="1"/>
      <c r="D2069" s="2">
        <v>46130</v>
      </c>
      <c r="E2069" s="2">
        <v>46136</v>
      </c>
      <c r="F2069" s="1" t="s">
        <v>37</v>
      </c>
      <c r="G2069" s="1" t="s">
        <v>4</v>
      </c>
      <c r="H2069" s="1" t="s">
        <v>5</v>
      </c>
      <c r="I2069" s="7">
        <v>317.13</v>
      </c>
      <c r="J2069" s="1" t="s">
        <v>38</v>
      </c>
      <c r="K2069" s="1"/>
      <c r="L2069" s="1" t="s">
        <v>39</v>
      </c>
      <c r="M2069" s="1" t="str">
        <f>INDEX(MCC_Lookup!$B$2:$B$12,MATCH(G2069,MCC_Lookup!$A$2:$A$12,0))</f>
        <v>Travel</v>
      </c>
      <c r="N2069" s="1" t="str">
        <f>IF(TRIM(H2069)="","BLANK",IF(PROPER(TRIM(H2069))=TRIM(M2069),"MATCH","MISMATCH"))</f>
        <v>MATCH</v>
      </c>
      <c r="O2069" s="5" t="str">
        <f>INDEX([1]Employee!$C$2:$C$276,MATCH(B2069,[1]Employee!$A$2:$A$276,0))</f>
        <v>Underwriting</v>
      </c>
    </row>
    <row r="2070" spans="1:15">
      <c r="A2070" s="1" t="s">
        <v>4152</v>
      </c>
      <c r="B2070" s="1" t="s">
        <v>175</v>
      </c>
      <c r="C2070" s="1" t="s">
        <v>4153</v>
      </c>
      <c r="D2070" s="2">
        <v>46127</v>
      </c>
      <c r="E2070" s="2">
        <v>46137</v>
      </c>
      <c r="F2070" s="1" t="s">
        <v>201</v>
      </c>
      <c r="G2070" s="1" t="s">
        <v>4</v>
      </c>
      <c r="H2070" s="1" t="s">
        <v>5</v>
      </c>
      <c r="I2070" s="7">
        <v>474.11</v>
      </c>
      <c r="J2070" s="1" t="s">
        <v>38</v>
      </c>
      <c r="K2070" s="1"/>
      <c r="L2070" s="1" t="s">
        <v>39</v>
      </c>
      <c r="M2070" s="1" t="str">
        <f>INDEX(MCC_Lookup!$B$2:$B$12,MATCH(G2070,MCC_Lookup!$A$2:$A$12,0))</f>
        <v>Travel</v>
      </c>
      <c r="N2070" s="1" t="str">
        <f>IF(TRIM(H2070)="","BLANK",IF(PROPER(TRIM(H2070))=TRIM(M2070),"MATCH","MISMATCH"))</f>
        <v>MATCH</v>
      </c>
      <c r="O2070" s="5" t="str">
        <f>INDEX([1]Employee!$C$2:$C$276,MATCH(B2070,[1]Employee!$A$2:$A$276,0))</f>
        <v>Claims</v>
      </c>
    </row>
    <row r="2071" spans="1:15">
      <c r="A2071" s="1" t="s">
        <v>4154</v>
      </c>
      <c r="B2071" s="1" t="s">
        <v>527</v>
      </c>
      <c r="C2071" s="1" t="s">
        <v>4155</v>
      </c>
      <c r="D2071" s="2">
        <v>46135</v>
      </c>
      <c r="E2071" s="2">
        <v>46137</v>
      </c>
      <c r="F2071" s="1" t="s">
        <v>52</v>
      </c>
      <c r="G2071" s="1" t="s">
        <v>15</v>
      </c>
      <c r="H2071" s="1" t="s">
        <v>16</v>
      </c>
      <c r="I2071" s="7">
        <v>56.6</v>
      </c>
      <c r="J2071" s="1" t="s">
        <v>38</v>
      </c>
      <c r="K2071" s="1"/>
      <c r="L2071" s="1" t="s">
        <v>39</v>
      </c>
      <c r="M2071" s="1" t="str">
        <f>INDEX(MCC_Lookup!$B$2:$B$12,MATCH(G2071,MCC_Lookup!$A$2:$A$12,0))</f>
        <v>Entertainment</v>
      </c>
      <c r="N2071" s="1" t="str">
        <f>IF(TRIM(H2071)="","BLANK",IF(PROPER(TRIM(H2071))=TRIM(M2071),"MATCH","MISMATCH"))</f>
        <v>MATCH</v>
      </c>
      <c r="O2071" s="5" t="str">
        <f>INDEX([1]Employee!$C$2:$C$276,MATCH(B2071,[1]Employee!$A$2:$A$276,0))</f>
        <v>Customer Support</v>
      </c>
    </row>
    <row r="2072" spans="1:15">
      <c r="A2072" s="1" t="s">
        <v>4156</v>
      </c>
      <c r="B2072" s="1" t="s">
        <v>1567</v>
      </c>
      <c r="C2072" s="1" t="s">
        <v>4157</v>
      </c>
      <c r="D2072" s="2">
        <v>46137</v>
      </c>
      <c r="E2072" s="2">
        <v>46137</v>
      </c>
      <c r="F2072" s="1" t="s">
        <v>56</v>
      </c>
      <c r="G2072" s="1" t="s">
        <v>4</v>
      </c>
      <c r="H2072" s="1"/>
      <c r="I2072" s="7">
        <v>399.06</v>
      </c>
      <c r="J2072" s="1" t="s">
        <v>38</v>
      </c>
      <c r="K2072" s="1"/>
      <c r="L2072" s="1" t="s">
        <v>39</v>
      </c>
      <c r="M2072" s="1" t="str">
        <f>INDEX(MCC_Lookup!$B$2:$B$12,MATCH(G2072,MCC_Lookup!$A$2:$A$12,0))</f>
        <v>Travel</v>
      </c>
      <c r="N2072" s="1" t="str">
        <f>IF(TRIM(H2072)="","BLANK",IF(PROPER(TRIM(H2072))=TRIM(M2072),"MATCH","MISMATCH"))</f>
        <v>BLANK</v>
      </c>
      <c r="O2072" s="5" t="str">
        <f>INDEX([1]Employee!$C$2:$C$276,MATCH(B2072,[1]Employee!$A$2:$A$276,0))</f>
        <v>Underwriting</v>
      </c>
    </row>
    <row r="2073" spans="1:15">
      <c r="A2073" s="1" t="s">
        <v>4158</v>
      </c>
      <c r="B2073" s="1" t="s">
        <v>54</v>
      </c>
      <c r="C2073" s="1" t="s">
        <v>4159</v>
      </c>
      <c r="D2073" s="2">
        <v>46130</v>
      </c>
      <c r="E2073" s="2">
        <v>46137</v>
      </c>
      <c r="F2073" s="1" t="s">
        <v>305</v>
      </c>
      <c r="G2073" s="1" t="s">
        <v>2</v>
      </c>
      <c r="H2073" s="1" t="s">
        <v>3</v>
      </c>
      <c r="I2073" s="7">
        <v>11.54</v>
      </c>
      <c r="J2073" s="1" t="s">
        <v>38</v>
      </c>
      <c r="K2073" s="1"/>
      <c r="L2073" s="1" t="s">
        <v>39</v>
      </c>
      <c r="M2073" s="1" t="str">
        <f>INDEX(MCC_Lookup!$B$2:$B$12,MATCH(G2073,MCC_Lookup!$A$2:$A$12,0))</f>
        <v>Meals</v>
      </c>
      <c r="N2073" s="1" t="str">
        <f>IF(TRIM(H2073)="","BLANK",IF(PROPER(TRIM(H2073))=TRIM(M2073),"MATCH","MISMATCH"))</f>
        <v>MATCH</v>
      </c>
      <c r="O2073" s="5" t="str">
        <f>INDEX([1]Employee!$C$2:$C$276,MATCH(B2073,[1]Employee!$A$2:$A$276,0))</f>
        <v>Sales &amp; Marketing</v>
      </c>
    </row>
    <row r="2074" spans="1:15">
      <c r="A2074" s="1" t="s">
        <v>4160</v>
      </c>
      <c r="B2074" s="1" t="s">
        <v>50</v>
      </c>
      <c r="C2074" s="1" t="s">
        <v>4161</v>
      </c>
      <c r="D2074" s="2">
        <v>46135</v>
      </c>
      <c r="E2074" s="2">
        <v>46137</v>
      </c>
      <c r="F2074" s="1" t="s">
        <v>52</v>
      </c>
      <c r="G2074" s="1" t="s">
        <v>15</v>
      </c>
      <c r="H2074" s="1" t="s">
        <v>403</v>
      </c>
      <c r="I2074" s="7">
        <v>58.84</v>
      </c>
      <c r="J2074" s="1" t="s">
        <v>38</v>
      </c>
      <c r="K2074" s="1"/>
      <c r="L2074" s="1" t="s">
        <v>39</v>
      </c>
      <c r="M2074" s="1" t="str">
        <f>INDEX(MCC_Lookup!$B$2:$B$12,MATCH(G2074,MCC_Lookup!$A$2:$A$12,0))</f>
        <v>Entertainment</v>
      </c>
      <c r="N2074" s="1" t="str">
        <f>IF(TRIM(H2074)="","BLANK",IF(PROPER(TRIM(H2074))=TRIM(M2074),"MATCH","MISMATCH"))</f>
        <v>MATCH</v>
      </c>
      <c r="O2074" s="5" t="str">
        <f>INDEX([1]Employee!$C$2:$C$276,MATCH(B2074,[1]Employee!$A$2:$A$276,0))</f>
        <v>Sales &amp; Marketing</v>
      </c>
    </row>
    <row r="2075" spans="1:15">
      <c r="A2075" s="1" t="s">
        <v>4162</v>
      </c>
      <c r="B2075" s="1" t="s">
        <v>240</v>
      </c>
      <c r="C2075" s="1" t="s">
        <v>4163</v>
      </c>
      <c r="D2075" s="2">
        <v>46127</v>
      </c>
      <c r="E2075" s="2">
        <v>46137</v>
      </c>
      <c r="F2075" s="1" t="s">
        <v>177</v>
      </c>
      <c r="G2075" s="1" t="s">
        <v>13</v>
      </c>
      <c r="H2075" s="1" t="s">
        <v>14</v>
      </c>
      <c r="I2075" s="7">
        <v>34.94</v>
      </c>
      <c r="J2075" s="1" t="s">
        <v>38</v>
      </c>
      <c r="K2075" s="1"/>
      <c r="L2075" s="1" t="s">
        <v>48</v>
      </c>
      <c r="M2075" s="1" t="str">
        <f>INDEX(MCC_Lookup!$B$2:$B$12,MATCH(G2075,MCC_Lookup!$A$2:$A$12,0))</f>
        <v>Software</v>
      </c>
      <c r="N2075" s="1" t="str">
        <f>IF(TRIM(H2075)="","BLANK",IF(PROPER(TRIM(H2075))=TRIM(M2075),"MATCH","MISMATCH"))</f>
        <v>MATCH</v>
      </c>
      <c r="O2075" s="5" t="str">
        <f>INDEX([1]Employee!$C$2:$C$276,MATCH(B2075,[1]Employee!$A$2:$A$276,0))</f>
        <v>Claims</v>
      </c>
    </row>
    <row r="2076" spans="1:15">
      <c r="A2076" s="1" t="s">
        <v>4164</v>
      </c>
      <c r="B2076" s="1" t="s">
        <v>314</v>
      </c>
      <c r="C2076" s="1" t="s">
        <v>4165</v>
      </c>
      <c r="D2076" s="2">
        <v>46134</v>
      </c>
      <c r="E2076" s="2">
        <v>46137</v>
      </c>
      <c r="F2076" s="1" t="s">
        <v>177</v>
      </c>
      <c r="G2076" s="1" t="s">
        <v>13</v>
      </c>
      <c r="H2076" s="1" t="s">
        <v>14</v>
      </c>
      <c r="I2076" s="7">
        <v>68.22</v>
      </c>
      <c r="J2076" s="1" t="s">
        <v>38</v>
      </c>
      <c r="K2076" s="1"/>
      <c r="L2076" s="1" t="s">
        <v>39</v>
      </c>
      <c r="M2076" s="1" t="str">
        <f>INDEX(MCC_Lookup!$B$2:$B$12,MATCH(G2076,MCC_Lookup!$A$2:$A$12,0))</f>
        <v>Software</v>
      </c>
      <c r="N2076" s="1" t="str">
        <f>IF(TRIM(H2076)="","BLANK",IF(PROPER(TRIM(H2076))=TRIM(M2076),"MATCH","MISMATCH"))</f>
        <v>MATCH</v>
      </c>
      <c r="O2076" s="5" t="str">
        <f>INDEX([1]Employee!$C$2:$C$276,MATCH(B2076,[1]Employee!$A$2:$A$276,0))</f>
        <v>Sales &amp; Marketing</v>
      </c>
    </row>
    <row r="2077" spans="1:15">
      <c r="A2077" s="1" t="s">
        <v>4166</v>
      </c>
      <c r="B2077" s="1" t="s">
        <v>1175</v>
      </c>
      <c r="C2077" s="1" t="s">
        <v>4167</v>
      </c>
      <c r="D2077" s="2">
        <v>46127</v>
      </c>
      <c r="E2077" s="2">
        <v>46137</v>
      </c>
      <c r="F2077" s="1" t="s">
        <v>61</v>
      </c>
      <c r="G2077" s="1" t="s">
        <v>13</v>
      </c>
      <c r="H2077" s="1" t="s">
        <v>14</v>
      </c>
      <c r="I2077" s="7">
        <v>56.68</v>
      </c>
      <c r="J2077" s="1" t="s">
        <v>38</v>
      </c>
      <c r="K2077" s="1"/>
      <c r="L2077" s="1" t="s">
        <v>39</v>
      </c>
      <c r="M2077" s="1" t="str">
        <f>INDEX(MCC_Lookup!$B$2:$B$12,MATCH(G2077,MCC_Lookup!$A$2:$A$12,0))</f>
        <v>Software</v>
      </c>
      <c r="N2077" s="1" t="str">
        <f>IF(TRIM(H2077)="","BLANK",IF(PROPER(TRIM(H2077))=TRIM(M2077),"MATCH","MISMATCH"))</f>
        <v>MATCH</v>
      </c>
      <c r="O2077" s="5" t="str">
        <f>INDEX([1]Employee!$C$2:$C$276,MATCH(B2077,[1]Employee!$A$2:$A$276,0))</f>
        <v>Underwriting</v>
      </c>
    </row>
    <row r="2078" spans="1:15">
      <c r="A2078" s="1" t="s">
        <v>4168</v>
      </c>
      <c r="B2078" s="1" t="s">
        <v>253</v>
      </c>
      <c r="C2078" s="1" t="s">
        <v>4169</v>
      </c>
      <c r="D2078" s="2">
        <v>46135</v>
      </c>
      <c r="E2078" s="2">
        <v>46137</v>
      </c>
      <c r="F2078" s="1" t="s">
        <v>56</v>
      </c>
      <c r="G2078" s="1" t="s">
        <v>4</v>
      </c>
      <c r="H2078" s="1" t="s">
        <v>5</v>
      </c>
      <c r="I2078" s="7">
        <v>246.85</v>
      </c>
      <c r="J2078" s="1" t="s">
        <v>38</v>
      </c>
      <c r="K2078" s="1"/>
      <c r="L2078" s="1" t="s">
        <v>39</v>
      </c>
      <c r="M2078" s="1" t="str">
        <f>INDEX(MCC_Lookup!$B$2:$B$12,MATCH(G2078,MCC_Lookup!$A$2:$A$12,0))</f>
        <v>Travel</v>
      </c>
      <c r="N2078" s="1" t="str">
        <f>IF(TRIM(H2078)="","BLANK",IF(PROPER(TRIM(H2078))=TRIM(M2078),"MATCH","MISMATCH"))</f>
        <v>MATCH</v>
      </c>
      <c r="O2078" s="5" t="str">
        <f>INDEX([1]Employee!$C$2:$C$276,MATCH(B2078,[1]Employee!$A$2:$A$276,0))</f>
        <v>Claims</v>
      </c>
    </row>
    <row r="2079" spans="1:15">
      <c r="A2079" s="1" t="s">
        <v>4170</v>
      </c>
      <c r="B2079" s="1" t="s">
        <v>391</v>
      </c>
      <c r="C2079" s="1" t="s">
        <v>4171</v>
      </c>
      <c r="D2079" s="2">
        <v>46129</v>
      </c>
      <c r="E2079" s="2">
        <v>46137</v>
      </c>
      <c r="F2079" s="1" t="s">
        <v>177</v>
      </c>
      <c r="G2079" s="1" t="s">
        <v>13</v>
      </c>
      <c r="H2079" s="1" t="s">
        <v>470</v>
      </c>
      <c r="I2079" s="7">
        <v>50.69</v>
      </c>
      <c r="J2079" s="1" t="s">
        <v>38</v>
      </c>
      <c r="K2079" s="1"/>
      <c r="L2079" s="1" t="s">
        <v>39</v>
      </c>
      <c r="M2079" s="1" t="str">
        <f>INDEX(MCC_Lookup!$B$2:$B$12,MATCH(G2079,MCC_Lookup!$A$2:$A$12,0))</f>
        <v>Software</v>
      </c>
      <c r="N2079" s="1" t="str">
        <f>IF(TRIM(H2079)="","BLANK",IF(PROPER(TRIM(H2079))=TRIM(M2079),"MATCH","MISMATCH"))</f>
        <v>MATCH</v>
      </c>
      <c r="O2079" s="5" t="str">
        <f>INDEX([1]Employee!$C$2:$C$276,MATCH(B2079,[1]Employee!$A$2:$A$276,0))</f>
        <v>Customer Support</v>
      </c>
    </row>
    <row r="2080" spans="1:15">
      <c r="A2080" s="1" t="s">
        <v>4172</v>
      </c>
      <c r="B2080" s="1" t="s">
        <v>595</v>
      </c>
      <c r="C2080" s="1" t="s">
        <v>4173</v>
      </c>
      <c r="D2080" s="2">
        <v>46128</v>
      </c>
      <c r="E2080" s="2">
        <v>46137</v>
      </c>
      <c r="F2080" s="1" t="s">
        <v>37</v>
      </c>
      <c r="G2080" s="1" t="s">
        <v>4</v>
      </c>
      <c r="H2080" s="1" t="s">
        <v>5</v>
      </c>
      <c r="I2080" s="7">
        <v>155.44999999999999</v>
      </c>
      <c r="J2080" s="1" t="s">
        <v>38</v>
      </c>
      <c r="K2080" s="1"/>
      <c r="L2080" s="1" t="s">
        <v>39</v>
      </c>
      <c r="M2080" s="1" t="str">
        <f>INDEX(MCC_Lookup!$B$2:$B$12,MATCH(G2080,MCC_Lookup!$A$2:$A$12,0))</f>
        <v>Travel</v>
      </c>
      <c r="N2080" s="1" t="str">
        <f>IF(TRIM(H2080)="","BLANK",IF(PROPER(TRIM(H2080))=TRIM(M2080),"MATCH","MISMATCH"))</f>
        <v>MATCH</v>
      </c>
      <c r="O2080" s="5" t="str">
        <f>INDEX([1]Employee!$C$2:$C$276,MATCH(B2080,[1]Employee!$A$2:$A$276,0))</f>
        <v>Executive &amp; Corporate</v>
      </c>
    </row>
    <row r="2081" spans="1:15">
      <c r="A2081" s="1" t="s">
        <v>4174</v>
      </c>
      <c r="B2081" s="1" t="s">
        <v>41</v>
      </c>
      <c r="C2081" s="1" t="s">
        <v>4175</v>
      </c>
      <c r="D2081" s="2">
        <v>46127</v>
      </c>
      <c r="E2081" s="2">
        <v>46137</v>
      </c>
      <c r="F2081" s="1" t="s">
        <v>99</v>
      </c>
      <c r="G2081" s="1" t="s">
        <v>2</v>
      </c>
      <c r="H2081" s="1" t="s">
        <v>3</v>
      </c>
      <c r="I2081" s="7">
        <v>103.66</v>
      </c>
      <c r="J2081" s="1" t="s">
        <v>38</v>
      </c>
      <c r="K2081" s="1"/>
      <c r="L2081" s="1" t="s">
        <v>48</v>
      </c>
      <c r="M2081" s="1" t="str">
        <f>INDEX(MCC_Lookup!$B$2:$B$12,MATCH(G2081,MCC_Lookup!$A$2:$A$12,0))</f>
        <v>Meals</v>
      </c>
      <c r="N2081" s="1" t="str">
        <f>IF(TRIM(H2081)="","BLANK",IF(PROPER(TRIM(H2081))=TRIM(M2081),"MATCH","MISMATCH"))</f>
        <v>MATCH</v>
      </c>
      <c r="O2081" s="5" t="str">
        <f>INDEX([1]Employee!$C$2:$C$276,MATCH(B2081,[1]Employee!$A$2:$A$276,0))</f>
        <v>Sales &amp; Marketing</v>
      </c>
    </row>
    <row r="2082" spans="1:15">
      <c r="A2082" s="1" t="s">
        <v>4176</v>
      </c>
      <c r="B2082" s="1" t="s">
        <v>836</v>
      </c>
      <c r="C2082" s="1"/>
      <c r="D2082" s="2">
        <v>46135</v>
      </c>
      <c r="E2082" s="2">
        <v>46137</v>
      </c>
      <c r="F2082" s="1" t="s">
        <v>201</v>
      </c>
      <c r="G2082" s="1" t="s">
        <v>4</v>
      </c>
      <c r="H2082" s="1" t="s">
        <v>5</v>
      </c>
      <c r="I2082" s="7">
        <v>633.15</v>
      </c>
      <c r="J2082" s="1" t="s">
        <v>38</v>
      </c>
      <c r="K2082" s="1"/>
      <c r="L2082" s="1" t="s">
        <v>48</v>
      </c>
      <c r="M2082" s="1" t="str">
        <f>INDEX(MCC_Lookup!$B$2:$B$12,MATCH(G2082,MCC_Lookup!$A$2:$A$12,0))</f>
        <v>Travel</v>
      </c>
      <c r="N2082" s="1" t="str">
        <f>IF(TRIM(H2082)="","BLANK",IF(PROPER(TRIM(H2082))=TRIM(M2082),"MATCH","MISMATCH"))</f>
        <v>MATCH</v>
      </c>
      <c r="O2082" s="5" t="str">
        <f>INDEX([1]Employee!$C$2:$C$276,MATCH(B2082,[1]Employee!$A$2:$A$276,0))</f>
        <v>Sales &amp; Marketing</v>
      </c>
    </row>
    <row r="2083" spans="1:15">
      <c r="A2083" s="1" t="s">
        <v>4177</v>
      </c>
      <c r="B2083" s="1" t="s">
        <v>63</v>
      </c>
      <c r="C2083" s="1"/>
      <c r="D2083" s="2">
        <v>46135</v>
      </c>
      <c r="E2083" s="2">
        <v>46137</v>
      </c>
      <c r="F2083" s="1" t="s">
        <v>160</v>
      </c>
      <c r="G2083" s="1" t="s">
        <v>6</v>
      </c>
      <c r="H2083" s="1" t="s">
        <v>7</v>
      </c>
      <c r="I2083" s="7">
        <v>289.56</v>
      </c>
      <c r="J2083" s="1" t="s">
        <v>111</v>
      </c>
      <c r="K2083" s="1" t="s">
        <v>161</v>
      </c>
      <c r="L2083" s="1" t="s">
        <v>39</v>
      </c>
      <c r="M2083" s="1" t="str">
        <f>INDEX(MCC_Lookup!$B$2:$B$12,MATCH(G2083,MCC_Lookup!$A$2:$A$12,0))</f>
        <v>Lodging</v>
      </c>
      <c r="N2083" s="1" t="str">
        <f>IF(TRIM(H2083)="","BLANK",IF(PROPER(TRIM(H2083))=TRIM(M2083),"MATCH","MISMATCH"))</f>
        <v>MATCH</v>
      </c>
      <c r="O2083" s="5" t="str">
        <f>INDEX([1]Employee!$C$2:$C$276,MATCH(B2083,[1]Employee!$A$2:$A$276,0))</f>
        <v>Sales &amp; Marketing</v>
      </c>
    </row>
    <row r="2084" spans="1:15">
      <c r="A2084" s="1" t="s">
        <v>4178</v>
      </c>
      <c r="B2084" s="1" t="s">
        <v>499</v>
      </c>
      <c r="C2084" s="1" t="s">
        <v>4179</v>
      </c>
      <c r="D2084" s="2">
        <v>46136</v>
      </c>
      <c r="E2084" s="2">
        <v>46137</v>
      </c>
      <c r="F2084" s="1" t="s">
        <v>61</v>
      </c>
      <c r="G2084" s="1" t="s">
        <v>13</v>
      </c>
      <c r="H2084" s="1" t="s">
        <v>14</v>
      </c>
      <c r="I2084" s="7">
        <v>78.67</v>
      </c>
      <c r="J2084" s="1" t="s">
        <v>38</v>
      </c>
      <c r="K2084" s="1"/>
      <c r="L2084" s="1" t="s">
        <v>39</v>
      </c>
      <c r="M2084" s="1" t="str">
        <f>INDEX(MCC_Lookup!$B$2:$B$12,MATCH(G2084,MCC_Lookup!$A$2:$A$12,0))</f>
        <v>Software</v>
      </c>
      <c r="N2084" s="1" t="str">
        <f>IF(TRIM(H2084)="","BLANK",IF(PROPER(TRIM(H2084))=TRIM(M2084),"MATCH","MISMATCH"))</f>
        <v>MATCH</v>
      </c>
      <c r="O2084" s="5" t="str">
        <f>INDEX([1]Employee!$C$2:$C$276,MATCH(B2084,[1]Employee!$A$2:$A$276,0))</f>
        <v>Sales &amp; Marketing</v>
      </c>
    </row>
    <row r="2085" spans="1:15">
      <c r="A2085" s="1" t="s">
        <v>4180</v>
      </c>
      <c r="B2085" s="1" t="s">
        <v>81</v>
      </c>
      <c r="C2085" s="1" t="s">
        <v>4181</v>
      </c>
      <c r="D2085" s="2">
        <v>46129</v>
      </c>
      <c r="E2085" s="2">
        <v>46137</v>
      </c>
      <c r="F2085" s="1" t="s">
        <v>83</v>
      </c>
      <c r="G2085" s="1" t="s">
        <v>2</v>
      </c>
      <c r="H2085" s="1" t="s">
        <v>3</v>
      </c>
      <c r="I2085" s="7">
        <v>11</v>
      </c>
      <c r="J2085" s="1" t="s">
        <v>38</v>
      </c>
      <c r="K2085" s="1"/>
      <c r="L2085" s="1" t="s">
        <v>39</v>
      </c>
      <c r="M2085" s="1" t="str">
        <f>INDEX(MCC_Lookup!$B$2:$B$12,MATCH(G2085,MCC_Lookup!$A$2:$A$12,0))</f>
        <v>Meals</v>
      </c>
      <c r="N2085" s="1" t="str">
        <f>IF(TRIM(H2085)="","BLANK",IF(PROPER(TRIM(H2085))=TRIM(M2085),"MATCH","MISMATCH"))</f>
        <v>MATCH</v>
      </c>
      <c r="O2085" s="5" t="str">
        <f>INDEX([1]Employee!$C$2:$C$276,MATCH(B2085,[1]Employee!$A$2:$A$276,0))</f>
        <v>Sales &amp; Marketing</v>
      </c>
    </row>
    <row r="2086" spans="1:15">
      <c r="A2086" s="1" t="s">
        <v>4182</v>
      </c>
      <c r="B2086" s="1" t="s">
        <v>352</v>
      </c>
      <c r="C2086" s="1" t="s">
        <v>4183</v>
      </c>
      <c r="D2086" s="2">
        <v>46137</v>
      </c>
      <c r="E2086" s="2">
        <v>46137</v>
      </c>
      <c r="F2086" s="1" t="s">
        <v>83</v>
      </c>
      <c r="G2086" s="1" t="s">
        <v>2</v>
      </c>
      <c r="H2086" s="1" t="s">
        <v>3</v>
      </c>
      <c r="I2086" s="7">
        <v>22.77</v>
      </c>
      <c r="J2086" s="1" t="s">
        <v>38</v>
      </c>
      <c r="K2086" s="1"/>
      <c r="L2086" s="1" t="s">
        <v>48</v>
      </c>
      <c r="M2086" s="1" t="str">
        <f>INDEX(MCC_Lookup!$B$2:$B$12,MATCH(G2086,MCC_Lookup!$A$2:$A$12,0))</f>
        <v>Meals</v>
      </c>
      <c r="N2086" s="1" t="str">
        <f>IF(TRIM(H2086)="","BLANK",IF(PROPER(TRIM(H2086))=TRIM(M2086),"MATCH","MISMATCH"))</f>
        <v>MATCH</v>
      </c>
      <c r="O2086" s="5" t="str">
        <f>INDEX([1]Employee!$C$2:$C$276,MATCH(B2086,[1]Employee!$A$2:$A$276,0))</f>
        <v>Sales &amp; Marketing</v>
      </c>
    </row>
    <row r="2087" spans="1:15">
      <c r="A2087" s="1" t="s">
        <v>4184</v>
      </c>
      <c r="B2087" s="1" t="s">
        <v>2997</v>
      </c>
      <c r="C2087" s="1" t="s">
        <v>4185</v>
      </c>
      <c r="D2087" s="2">
        <v>46135</v>
      </c>
      <c r="E2087" s="2">
        <v>46137</v>
      </c>
      <c r="F2087" s="1" t="s">
        <v>106</v>
      </c>
      <c r="G2087" s="1" t="s">
        <v>13</v>
      </c>
      <c r="H2087" s="1" t="s">
        <v>14</v>
      </c>
      <c r="I2087" s="7">
        <v>50.98</v>
      </c>
      <c r="J2087" s="1" t="s">
        <v>38</v>
      </c>
      <c r="K2087" s="1"/>
      <c r="L2087" s="1" t="s">
        <v>39</v>
      </c>
      <c r="M2087" s="1" t="str">
        <f>INDEX(MCC_Lookup!$B$2:$B$12,MATCH(G2087,MCC_Lookup!$A$2:$A$12,0))</f>
        <v>Software</v>
      </c>
      <c r="N2087" s="1" t="str">
        <f>IF(TRIM(H2087)="","BLANK",IF(PROPER(TRIM(H2087))=TRIM(M2087),"MATCH","MISMATCH"))</f>
        <v>MATCH</v>
      </c>
      <c r="O2087" s="5" t="str">
        <f>INDEX([1]Employee!$C$2:$C$276,MATCH(B2087,[1]Employee!$A$2:$A$276,0))</f>
        <v>Finance</v>
      </c>
    </row>
    <row r="2088" spans="1:15">
      <c r="A2088" s="1" t="s">
        <v>4186</v>
      </c>
      <c r="B2088" s="1" t="s">
        <v>679</v>
      </c>
      <c r="C2088" s="1"/>
      <c r="D2088" s="2">
        <v>46135</v>
      </c>
      <c r="E2088" s="2">
        <v>46137</v>
      </c>
      <c r="F2088" s="1" t="s">
        <v>72</v>
      </c>
      <c r="G2088" s="1" t="s">
        <v>8</v>
      </c>
      <c r="H2088" s="1" t="s">
        <v>9</v>
      </c>
      <c r="I2088" s="7">
        <v>28.64</v>
      </c>
      <c r="J2088" s="1" t="s">
        <v>111</v>
      </c>
      <c r="K2088" s="1" t="s">
        <v>127</v>
      </c>
      <c r="L2088" s="1" t="s">
        <v>39</v>
      </c>
      <c r="M2088" s="1" t="str">
        <f>INDEX(MCC_Lookup!$B$2:$B$12,MATCH(G2088,MCC_Lookup!$A$2:$A$12,0))</f>
        <v>Transportation</v>
      </c>
      <c r="N2088" s="1" t="str">
        <f>IF(TRIM(H2088)="","BLANK",IF(PROPER(TRIM(H2088))=TRIM(M2088),"MATCH","MISMATCH"))</f>
        <v>MATCH</v>
      </c>
      <c r="O2088" s="5" t="str">
        <f>INDEX([1]Employee!$C$2:$C$276,MATCH(B2088,[1]Employee!$A$2:$A$276,0))</f>
        <v>Sales &amp; Marketing</v>
      </c>
    </row>
    <row r="2089" spans="1:15">
      <c r="A2089" s="1" t="s">
        <v>4187</v>
      </c>
      <c r="B2089" s="1" t="s">
        <v>35</v>
      </c>
      <c r="C2089" s="1"/>
      <c r="D2089" s="2">
        <v>46133</v>
      </c>
      <c r="E2089" s="2">
        <v>46137</v>
      </c>
      <c r="F2089" s="1" t="s">
        <v>43</v>
      </c>
      <c r="G2089" s="1" t="s">
        <v>2</v>
      </c>
      <c r="H2089" s="1" t="s">
        <v>3</v>
      </c>
      <c r="I2089" s="7">
        <v>10.29</v>
      </c>
      <c r="J2089" s="1" t="s">
        <v>38</v>
      </c>
      <c r="K2089" s="1"/>
      <c r="L2089" s="1" t="s">
        <v>39</v>
      </c>
      <c r="M2089" s="1" t="str">
        <f>INDEX(MCC_Lookup!$B$2:$B$12,MATCH(G2089,MCC_Lookup!$A$2:$A$12,0))</f>
        <v>Meals</v>
      </c>
      <c r="N2089" s="1" t="str">
        <f>IF(TRIM(H2089)="","BLANK",IF(PROPER(TRIM(H2089))=TRIM(M2089),"MATCH","MISMATCH"))</f>
        <v>MATCH</v>
      </c>
      <c r="O2089" s="5" t="str">
        <f>INDEX([1]Employee!$C$2:$C$276,MATCH(B2089,[1]Employee!$A$2:$A$276,0))</f>
        <v>Sales &amp; Marketing</v>
      </c>
    </row>
    <row r="2090" spans="1:15">
      <c r="A2090" s="1" t="s">
        <v>4188</v>
      </c>
      <c r="B2090" s="1" t="s">
        <v>506</v>
      </c>
      <c r="C2090" s="1" t="s">
        <v>4189</v>
      </c>
      <c r="D2090" s="2">
        <v>46134</v>
      </c>
      <c r="E2090" s="2">
        <v>46137</v>
      </c>
      <c r="F2090" s="1" t="s">
        <v>177</v>
      </c>
      <c r="G2090" s="1" t="s">
        <v>13</v>
      </c>
      <c r="H2090" s="1"/>
      <c r="I2090" s="7">
        <v>54.23</v>
      </c>
      <c r="J2090" s="1" t="s">
        <v>38</v>
      </c>
      <c r="K2090" s="1"/>
      <c r="L2090" s="1" t="s">
        <v>48</v>
      </c>
      <c r="M2090" s="1" t="str">
        <f>INDEX(MCC_Lookup!$B$2:$B$12,MATCH(G2090,MCC_Lookup!$A$2:$A$12,0))</f>
        <v>Software</v>
      </c>
      <c r="N2090" s="1" t="str">
        <f>IF(TRIM(H2090)="","BLANK",IF(PROPER(TRIM(H2090))=TRIM(M2090),"MATCH","MISMATCH"))</f>
        <v>BLANK</v>
      </c>
      <c r="O2090" s="5" t="str">
        <f>INDEX([1]Employee!$C$2:$C$276,MATCH(B2090,[1]Employee!$A$2:$A$276,0))</f>
        <v>Executive &amp; Corporate</v>
      </c>
    </row>
    <row r="2091" spans="1:15">
      <c r="A2091" s="1" t="s">
        <v>4190</v>
      </c>
      <c r="B2091" s="1" t="s">
        <v>469</v>
      </c>
      <c r="C2091" s="1"/>
      <c r="D2091" s="2">
        <v>46133</v>
      </c>
      <c r="E2091" s="2">
        <v>46137</v>
      </c>
      <c r="F2091" s="1" t="s">
        <v>116</v>
      </c>
      <c r="G2091" s="1" t="s">
        <v>2</v>
      </c>
      <c r="H2091" s="1" t="s">
        <v>3</v>
      </c>
      <c r="I2091" s="7">
        <v>19.07</v>
      </c>
      <c r="J2091" s="1" t="s">
        <v>111</v>
      </c>
      <c r="K2091" s="1" t="s">
        <v>127</v>
      </c>
      <c r="L2091" s="1" t="s">
        <v>39</v>
      </c>
      <c r="M2091" s="1" t="str">
        <f>INDEX(MCC_Lookup!$B$2:$B$12,MATCH(G2091,MCC_Lookup!$A$2:$A$12,0))</f>
        <v>Meals</v>
      </c>
      <c r="N2091" s="1" t="str">
        <f>IF(TRIM(H2091)="","BLANK",IF(PROPER(TRIM(H2091))=TRIM(M2091),"MATCH","MISMATCH"))</f>
        <v>MATCH</v>
      </c>
      <c r="O2091" s="5" t="str">
        <f>INDEX([1]Employee!$C$2:$C$276,MATCH(B2091,[1]Employee!$A$2:$A$276,0))</f>
        <v>Sales &amp; Marketing</v>
      </c>
    </row>
    <row r="2092" spans="1:15">
      <c r="A2092" s="1" t="s">
        <v>4191</v>
      </c>
      <c r="B2092" s="1" t="s">
        <v>469</v>
      </c>
      <c r="C2092" s="1"/>
      <c r="D2092" s="2">
        <v>46133</v>
      </c>
      <c r="E2092" s="2">
        <v>46137</v>
      </c>
      <c r="F2092" s="1" t="s">
        <v>347</v>
      </c>
      <c r="G2092" s="1" t="s">
        <v>8</v>
      </c>
      <c r="H2092" s="1" t="s">
        <v>9</v>
      </c>
      <c r="I2092" s="7">
        <v>17.600000000000001</v>
      </c>
      <c r="J2092" s="1" t="s">
        <v>111</v>
      </c>
      <c r="K2092" s="1" t="s">
        <v>127</v>
      </c>
      <c r="L2092" s="1" t="s">
        <v>39</v>
      </c>
      <c r="M2092" s="1" t="str">
        <f>INDEX(MCC_Lookup!$B$2:$B$12,MATCH(G2092,MCC_Lookup!$A$2:$A$12,0))</f>
        <v>Transportation</v>
      </c>
      <c r="N2092" s="1" t="str">
        <f>IF(TRIM(H2092)="","BLANK",IF(PROPER(TRIM(H2092))=TRIM(M2092),"MATCH","MISMATCH"))</f>
        <v>MATCH</v>
      </c>
      <c r="O2092" s="5" t="str">
        <f>INDEX([1]Employee!$C$2:$C$276,MATCH(B2092,[1]Employee!$A$2:$A$276,0))</f>
        <v>Sales &amp; Marketing</v>
      </c>
    </row>
    <row r="2093" spans="1:15">
      <c r="A2093" s="1" t="s">
        <v>4192</v>
      </c>
      <c r="B2093" s="1" t="s">
        <v>81</v>
      </c>
      <c r="C2093" s="1"/>
      <c r="D2093" s="2">
        <v>46137</v>
      </c>
      <c r="E2093" s="2">
        <v>46138</v>
      </c>
      <c r="F2093" s="1" t="s">
        <v>95</v>
      </c>
      <c r="G2093" s="1" t="s">
        <v>6</v>
      </c>
      <c r="H2093" s="1" t="s">
        <v>7</v>
      </c>
      <c r="I2093" s="7">
        <v>130.27000000000001</v>
      </c>
      <c r="J2093" s="1" t="s">
        <v>111</v>
      </c>
      <c r="K2093" s="1" t="s">
        <v>161</v>
      </c>
      <c r="L2093" s="1" t="s">
        <v>39</v>
      </c>
      <c r="M2093" s="1" t="str">
        <f>INDEX(MCC_Lookup!$B$2:$B$12,MATCH(G2093,MCC_Lookup!$A$2:$A$12,0))</f>
        <v>Lodging</v>
      </c>
      <c r="N2093" s="1" t="str">
        <f>IF(TRIM(H2093)="","BLANK",IF(PROPER(TRIM(H2093))=TRIM(M2093),"MATCH","MISMATCH"))</f>
        <v>MATCH</v>
      </c>
      <c r="O2093" s="5" t="str">
        <f>INDEX([1]Employee!$C$2:$C$276,MATCH(B2093,[1]Employee!$A$2:$A$276,0))</f>
        <v>Sales &amp; Marketing</v>
      </c>
    </row>
    <row r="2094" spans="1:15">
      <c r="A2094" s="1" t="s">
        <v>4193</v>
      </c>
      <c r="B2094" s="1" t="s">
        <v>122</v>
      </c>
      <c r="C2094" s="1" t="s">
        <v>4194</v>
      </c>
      <c r="D2094" s="2">
        <v>46130</v>
      </c>
      <c r="E2094" s="2">
        <v>46138</v>
      </c>
      <c r="F2094" s="1" t="s">
        <v>72</v>
      </c>
      <c r="G2094" s="1" t="s">
        <v>8</v>
      </c>
      <c r="H2094" s="1" t="s">
        <v>9</v>
      </c>
      <c r="I2094" s="7">
        <v>59.66</v>
      </c>
      <c r="J2094" s="1" t="s">
        <v>38</v>
      </c>
      <c r="K2094" s="1"/>
      <c r="L2094" s="1" t="s">
        <v>39</v>
      </c>
      <c r="M2094" s="1" t="str">
        <f>INDEX(MCC_Lookup!$B$2:$B$12,MATCH(G2094,MCC_Lookup!$A$2:$A$12,0))</f>
        <v>Transportation</v>
      </c>
      <c r="N2094" s="1" t="str">
        <f>IF(TRIM(H2094)="","BLANK",IF(PROPER(TRIM(H2094))=TRIM(M2094),"MATCH","MISMATCH"))</f>
        <v>MATCH</v>
      </c>
      <c r="O2094" s="5" t="str">
        <f>INDEX([1]Employee!$C$2:$C$276,MATCH(B2094,[1]Employee!$A$2:$A$276,0))</f>
        <v>Sales &amp; Marketing</v>
      </c>
    </row>
    <row r="2095" spans="1:15">
      <c r="A2095" s="1" t="s">
        <v>4195</v>
      </c>
      <c r="B2095" s="1" t="s">
        <v>67</v>
      </c>
      <c r="C2095" s="1"/>
      <c r="D2095" s="2">
        <v>46138</v>
      </c>
      <c r="E2095" s="2">
        <v>46138</v>
      </c>
      <c r="F2095" s="1" t="s">
        <v>177</v>
      </c>
      <c r="G2095" s="1" t="s">
        <v>13</v>
      </c>
      <c r="H2095" s="1" t="s">
        <v>14</v>
      </c>
      <c r="I2095" s="7">
        <v>50.15</v>
      </c>
      <c r="J2095" s="1" t="s">
        <v>38</v>
      </c>
      <c r="K2095" s="1"/>
      <c r="L2095" s="1" t="s">
        <v>39</v>
      </c>
      <c r="M2095" s="1" t="str">
        <f>INDEX(MCC_Lookup!$B$2:$B$12,MATCH(G2095,MCC_Lookup!$A$2:$A$12,0))</f>
        <v>Software</v>
      </c>
      <c r="N2095" s="1" t="str">
        <f>IF(TRIM(H2095)="","BLANK",IF(PROPER(TRIM(H2095))=TRIM(M2095),"MATCH","MISMATCH"))</f>
        <v>MATCH</v>
      </c>
      <c r="O2095" s="5" t="str">
        <f>INDEX([1]Employee!$C$2:$C$276,MATCH(B2095,[1]Employee!$A$2:$A$276,0))</f>
        <v>Sales &amp; Marketing</v>
      </c>
    </row>
    <row r="2096" spans="1:15">
      <c r="A2096" s="1" t="s">
        <v>4196</v>
      </c>
      <c r="B2096" s="1" t="s">
        <v>2344</v>
      </c>
      <c r="C2096" s="1" t="s">
        <v>4197</v>
      </c>
      <c r="D2096" s="2">
        <v>46137</v>
      </c>
      <c r="E2096" s="2">
        <v>46138</v>
      </c>
      <c r="F2096" s="1" t="s">
        <v>72</v>
      </c>
      <c r="G2096" s="1" t="s">
        <v>8</v>
      </c>
      <c r="H2096" s="1" t="s">
        <v>9</v>
      </c>
      <c r="I2096" s="7">
        <v>16.309999999999999</v>
      </c>
      <c r="J2096" s="1" t="s">
        <v>38</v>
      </c>
      <c r="K2096" s="1"/>
      <c r="L2096" s="1" t="s">
        <v>39</v>
      </c>
      <c r="M2096" s="1" t="str">
        <f>INDEX(MCC_Lookup!$B$2:$B$12,MATCH(G2096,MCC_Lookup!$A$2:$A$12,0))</f>
        <v>Transportation</v>
      </c>
      <c r="N2096" s="1" t="str">
        <f>IF(TRIM(H2096)="","BLANK",IF(PROPER(TRIM(H2096))=TRIM(M2096),"MATCH","MISMATCH"))</f>
        <v>MATCH</v>
      </c>
      <c r="O2096" s="5" t="str">
        <f>INDEX([1]Employee!$C$2:$C$276,MATCH(B2096,[1]Employee!$A$2:$A$276,0))</f>
        <v>Claims</v>
      </c>
    </row>
    <row r="2097" spans="1:15">
      <c r="A2097" s="1" t="s">
        <v>4198</v>
      </c>
      <c r="B2097" s="1" t="s">
        <v>1061</v>
      </c>
      <c r="C2097" s="1" t="s">
        <v>4199</v>
      </c>
      <c r="D2097" s="2">
        <v>46128</v>
      </c>
      <c r="E2097" s="2">
        <v>46138</v>
      </c>
      <c r="F2097" s="1" t="s">
        <v>305</v>
      </c>
      <c r="G2097" s="1" t="s">
        <v>2</v>
      </c>
      <c r="H2097" s="1" t="s">
        <v>138</v>
      </c>
      <c r="I2097" s="7">
        <v>7.33</v>
      </c>
      <c r="J2097" s="1" t="s">
        <v>38</v>
      </c>
      <c r="K2097" s="1"/>
      <c r="L2097" s="1" t="s">
        <v>39</v>
      </c>
      <c r="M2097" s="1" t="str">
        <f>INDEX(MCC_Lookup!$B$2:$B$12,MATCH(G2097,MCC_Lookup!$A$2:$A$12,0))</f>
        <v>Meals</v>
      </c>
      <c r="N2097" s="1" t="str">
        <f>IF(TRIM(H2097)="","BLANK",IF(PROPER(TRIM(H2097))=TRIM(M2097),"MATCH","MISMATCH"))</f>
        <v>MATCH</v>
      </c>
      <c r="O2097" s="5" t="str">
        <f>INDEX([1]Employee!$C$2:$C$276,MATCH(B2097,[1]Employee!$A$2:$A$276,0))</f>
        <v>Claims</v>
      </c>
    </row>
    <row r="2098" spans="1:15">
      <c r="A2098" s="1" t="s">
        <v>4200</v>
      </c>
      <c r="B2098" s="1" t="s">
        <v>4201</v>
      </c>
      <c r="C2098" s="1" t="s">
        <v>4202</v>
      </c>
      <c r="D2098" s="2">
        <v>46133</v>
      </c>
      <c r="E2098" s="2">
        <v>46138</v>
      </c>
      <c r="F2098" s="1" t="s">
        <v>83</v>
      </c>
      <c r="G2098" s="1" t="s">
        <v>2</v>
      </c>
      <c r="H2098" s="1" t="s">
        <v>3</v>
      </c>
      <c r="I2098" s="7">
        <v>17.04</v>
      </c>
      <c r="J2098" s="1" t="s">
        <v>38</v>
      </c>
      <c r="K2098" s="1"/>
      <c r="L2098" s="1" t="s">
        <v>48</v>
      </c>
      <c r="M2098" s="1" t="str">
        <f>INDEX(MCC_Lookup!$B$2:$B$12,MATCH(G2098,MCC_Lookup!$A$2:$A$12,0))</f>
        <v>Meals</v>
      </c>
      <c r="N2098" s="1" t="str">
        <f>IF(TRIM(H2098)="","BLANK",IF(PROPER(TRIM(H2098))=TRIM(M2098),"MATCH","MISMATCH"))</f>
        <v>MATCH</v>
      </c>
      <c r="O2098" s="5" t="str">
        <f>INDEX([1]Employee!$C$2:$C$276,MATCH(B2098,[1]Employee!$A$2:$A$276,0))</f>
        <v>Customer Support</v>
      </c>
    </row>
    <row r="2099" spans="1:15">
      <c r="A2099" s="1" t="s">
        <v>4203</v>
      </c>
      <c r="B2099" s="1" t="s">
        <v>199</v>
      </c>
      <c r="C2099" s="1" t="s">
        <v>4204</v>
      </c>
      <c r="D2099" s="2">
        <v>46134</v>
      </c>
      <c r="E2099" s="2">
        <v>46138</v>
      </c>
      <c r="F2099" s="1" t="s">
        <v>116</v>
      </c>
      <c r="G2099" s="1" t="s">
        <v>2</v>
      </c>
      <c r="H2099" s="1" t="s">
        <v>3</v>
      </c>
      <c r="I2099" s="7">
        <v>20.99</v>
      </c>
      <c r="J2099" s="1" t="s">
        <v>38</v>
      </c>
      <c r="K2099" s="1"/>
      <c r="L2099" s="1" t="s">
        <v>48</v>
      </c>
      <c r="M2099" s="1" t="str">
        <f>INDEX(MCC_Lookup!$B$2:$B$12,MATCH(G2099,MCC_Lookup!$A$2:$A$12,0))</f>
        <v>Meals</v>
      </c>
      <c r="N2099" s="1" t="str">
        <f>IF(TRIM(H2099)="","BLANK",IF(PROPER(TRIM(H2099))=TRIM(M2099),"MATCH","MISMATCH"))</f>
        <v>MATCH</v>
      </c>
      <c r="O2099" s="5" t="str">
        <f>INDEX([1]Employee!$C$2:$C$276,MATCH(B2099,[1]Employee!$A$2:$A$276,0))</f>
        <v>Sales &amp; Marketing</v>
      </c>
    </row>
    <row r="2100" spans="1:15">
      <c r="A2100" s="1" t="s">
        <v>4205</v>
      </c>
      <c r="B2100" s="1" t="s">
        <v>129</v>
      </c>
      <c r="C2100" s="1" t="s">
        <v>4206</v>
      </c>
      <c r="D2100" s="2">
        <v>46135</v>
      </c>
      <c r="E2100" s="2">
        <v>46138</v>
      </c>
      <c r="F2100" s="1" t="s">
        <v>37</v>
      </c>
      <c r="G2100" s="1" t="s">
        <v>4</v>
      </c>
      <c r="H2100" s="1" t="s">
        <v>5</v>
      </c>
      <c r="I2100" s="7">
        <v>215.94</v>
      </c>
      <c r="J2100" s="1" t="s">
        <v>38</v>
      </c>
      <c r="K2100" s="1"/>
      <c r="L2100" s="1" t="s">
        <v>39</v>
      </c>
      <c r="M2100" s="1" t="str">
        <f>INDEX(MCC_Lookup!$B$2:$B$12,MATCH(G2100,MCC_Lookup!$A$2:$A$12,0))</f>
        <v>Travel</v>
      </c>
      <c r="N2100" s="1" t="str">
        <f>IF(TRIM(H2100)="","BLANK",IF(PROPER(TRIM(H2100))=TRIM(M2100),"MATCH","MISMATCH"))</f>
        <v>MATCH</v>
      </c>
      <c r="O2100" s="5" t="str">
        <f>INDEX([1]Employee!$C$2:$C$276,MATCH(B2100,[1]Employee!$A$2:$A$276,0))</f>
        <v>Sales &amp; Marketing</v>
      </c>
    </row>
    <row r="2101" spans="1:15">
      <c r="A2101" s="1" t="s">
        <v>4207</v>
      </c>
      <c r="B2101" s="1" t="s">
        <v>531</v>
      </c>
      <c r="C2101" s="1" t="s">
        <v>4208</v>
      </c>
      <c r="D2101" s="2">
        <v>46128</v>
      </c>
      <c r="E2101" s="2">
        <v>46138</v>
      </c>
      <c r="F2101" s="1" t="s">
        <v>56</v>
      </c>
      <c r="G2101" s="1" t="s">
        <v>4</v>
      </c>
      <c r="H2101" s="1" t="s">
        <v>5</v>
      </c>
      <c r="I2101" s="7">
        <v>422.54</v>
      </c>
      <c r="J2101" s="1" t="s">
        <v>38</v>
      </c>
      <c r="K2101" s="1"/>
      <c r="L2101" s="1" t="s">
        <v>39</v>
      </c>
      <c r="M2101" s="1" t="str">
        <f>INDEX(MCC_Lookup!$B$2:$B$12,MATCH(G2101,MCC_Lookup!$A$2:$A$12,0))</f>
        <v>Travel</v>
      </c>
      <c r="N2101" s="1" t="str">
        <f>IF(TRIM(H2101)="","BLANK",IF(PROPER(TRIM(H2101))=TRIM(M2101),"MATCH","MISMATCH"))</f>
        <v>MATCH</v>
      </c>
      <c r="O2101" s="5" t="str">
        <f>INDEX([1]Employee!$C$2:$C$276,MATCH(B2101,[1]Employee!$A$2:$A$276,0))</f>
        <v>Sales &amp; Marketing</v>
      </c>
    </row>
    <row r="2102" spans="1:15">
      <c r="A2102" s="1" t="s">
        <v>4209</v>
      </c>
      <c r="B2102" s="1" t="s">
        <v>413</v>
      </c>
      <c r="C2102" s="1" t="s">
        <v>4210</v>
      </c>
      <c r="D2102" s="2">
        <v>46136</v>
      </c>
      <c r="E2102" s="2">
        <v>46138</v>
      </c>
      <c r="F2102" s="1" t="s">
        <v>160</v>
      </c>
      <c r="G2102" s="1" t="s">
        <v>6</v>
      </c>
      <c r="H2102" s="1" t="s">
        <v>7</v>
      </c>
      <c r="I2102" s="7">
        <v>423.67</v>
      </c>
      <c r="J2102" s="1" t="s">
        <v>38</v>
      </c>
      <c r="K2102" s="1"/>
      <c r="L2102" s="1" t="s">
        <v>39</v>
      </c>
      <c r="M2102" s="1" t="str">
        <f>INDEX(MCC_Lookup!$B$2:$B$12,MATCH(G2102,MCC_Lookup!$A$2:$A$12,0))</f>
        <v>Lodging</v>
      </c>
      <c r="N2102" s="1" t="str">
        <f>IF(TRIM(H2102)="","BLANK",IF(PROPER(TRIM(H2102))=TRIM(M2102),"MATCH","MISMATCH"))</f>
        <v>MATCH</v>
      </c>
      <c r="O2102" s="5" t="str">
        <f>INDEX([1]Employee!$C$2:$C$276,MATCH(B2102,[1]Employee!$A$2:$A$276,0))</f>
        <v>Claims</v>
      </c>
    </row>
    <row r="2103" spans="1:15">
      <c r="A2103" s="1" t="s">
        <v>4211</v>
      </c>
      <c r="B2103" s="1" t="s">
        <v>368</v>
      </c>
      <c r="C2103" s="1" t="s">
        <v>4212</v>
      </c>
      <c r="D2103" s="2">
        <v>46132</v>
      </c>
      <c r="E2103" s="2">
        <v>46138</v>
      </c>
      <c r="F2103" s="1" t="s">
        <v>2059</v>
      </c>
      <c r="G2103" s="1" t="s">
        <v>13</v>
      </c>
      <c r="H2103" s="1" t="s">
        <v>14</v>
      </c>
      <c r="I2103" s="7">
        <v>113.32</v>
      </c>
      <c r="J2103" s="1" t="s">
        <v>38</v>
      </c>
      <c r="K2103" s="1"/>
      <c r="L2103" s="1" t="s">
        <v>39</v>
      </c>
      <c r="M2103" s="1" t="str">
        <f>INDEX(MCC_Lookup!$B$2:$B$12,MATCH(G2103,MCC_Lookup!$A$2:$A$12,0))</f>
        <v>Software</v>
      </c>
      <c r="N2103" s="1" t="str">
        <f>IF(TRIM(H2103)="","BLANK",IF(PROPER(TRIM(H2103))=TRIM(M2103),"MATCH","MISMATCH"))</f>
        <v>MATCH</v>
      </c>
      <c r="O2103" s="5" t="str">
        <f>INDEX([1]Employee!$C$2:$C$276,MATCH(B2103,[1]Employee!$A$2:$A$276,0))</f>
        <v>Actuarial &amp; Risk</v>
      </c>
    </row>
    <row r="2104" spans="1:15">
      <c r="A2104" s="1" t="s">
        <v>4213</v>
      </c>
      <c r="B2104" s="1" t="s">
        <v>292</v>
      </c>
      <c r="C2104" s="1" t="s">
        <v>4214</v>
      </c>
      <c r="D2104" s="2">
        <v>46130</v>
      </c>
      <c r="E2104" s="2">
        <v>46138</v>
      </c>
      <c r="F2104" s="1" t="s">
        <v>305</v>
      </c>
      <c r="G2104" s="1" t="s">
        <v>2</v>
      </c>
      <c r="H2104" s="1" t="s">
        <v>3</v>
      </c>
      <c r="I2104" s="7">
        <v>12.89</v>
      </c>
      <c r="J2104" s="1" t="s">
        <v>38</v>
      </c>
      <c r="K2104" s="1"/>
      <c r="L2104" s="1" t="s">
        <v>39</v>
      </c>
      <c r="M2104" s="1" t="str">
        <f>INDEX(MCC_Lookup!$B$2:$B$12,MATCH(G2104,MCC_Lookup!$A$2:$A$12,0))</f>
        <v>Meals</v>
      </c>
      <c r="N2104" s="1" t="str">
        <f>IF(TRIM(H2104)="","BLANK",IF(PROPER(TRIM(H2104))=TRIM(M2104),"MATCH","MISMATCH"))</f>
        <v>MATCH</v>
      </c>
      <c r="O2104" s="5" t="str">
        <f>INDEX([1]Employee!$C$2:$C$276,MATCH(B2104,[1]Employee!$A$2:$A$276,0))</f>
        <v>Sales &amp; Marketing</v>
      </c>
    </row>
    <row r="2105" spans="1:15">
      <c r="A2105" s="1" t="s">
        <v>4215</v>
      </c>
      <c r="B2105" s="1" t="s">
        <v>292</v>
      </c>
      <c r="C2105" s="1" t="s">
        <v>4216</v>
      </c>
      <c r="D2105" s="2">
        <v>46129</v>
      </c>
      <c r="E2105" s="2">
        <v>46138</v>
      </c>
      <c r="F2105" s="1" t="s">
        <v>347</v>
      </c>
      <c r="G2105" s="1" t="s">
        <v>8</v>
      </c>
      <c r="H2105" s="1" t="s">
        <v>9</v>
      </c>
      <c r="I2105" s="7">
        <v>49.91</v>
      </c>
      <c r="J2105" s="1" t="s">
        <v>38</v>
      </c>
      <c r="K2105" s="1"/>
      <c r="L2105" s="1" t="s">
        <v>39</v>
      </c>
      <c r="M2105" s="1" t="str">
        <f>INDEX(MCC_Lookup!$B$2:$B$12,MATCH(G2105,MCC_Lookup!$A$2:$A$12,0))</f>
        <v>Transportation</v>
      </c>
      <c r="N2105" s="1" t="str">
        <f>IF(TRIM(H2105)="","BLANK",IF(PROPER(TRIM(H2105))=TRIM(M2105),"MATCH","MISMATCH"))</f>
        <v>MATCH</v>
      </c>
      <c r="O2105" s="5" t="str">
        <f>INDEX([1]Employee!$C$2:$C$276,MATCH(B2105,[1]Employee!$A$2:$A$276,0))</f>
        <v>Sales &amp; Marketing</v>
      </c>
    </row>
    <row r="2106" spans="1:15">
      <c r="A2106" s="1" t="s">
        <v>4217</v>
      </c>
      <c r="B2106" s="1" t="s">
        <v>182</v>
      </c>
      <c r="C2106" s="1" t="s">
        <v>4218</v>
      </c>
      <c r="D2106" s="2">
        <v>46132</v>
      </c>
      <c r="E2106" s="2">
        <v>46138</v>
      </c>
      <c r="F2106" s="1" t="s">
        <v>92</v>
      </c>
      <c r="G2106" s="1" t="s">
        <v>10</v>
      </c>
      <c r="H2106" s="1" t="s">
        <v>11</v>
      </c>
      <c r="I2106" s="7">
        <v>156.19999999999999</v>
      </c>
      <c r="J2106" s="1" t="s">
        <v>38</v>
      </c>
      <c r="K2106" s="1"/>
      <c r="L2106" s="1" t="s">
        <v>39</v>
      </c>
      <c r="M2106" s="1" t="str">
        <f>INDEX(MCC_Lookup!$B$2:$B$12,MATCH(G2106,MCC_Lookup!$A$2:$A$12,0))</f>
        <v>Office Supplies</v>
      </c>
      <c r="N2106" s="1" t="str">
        <f>IF(TRIM(H2106)="","BLANK",IF(PROPER(TRIM(H2106))=TRIM(M2106),"MATCH","MISMATCH"))</f>
        <v>MATCH</v>
      </c>
      <c r="O2106" s="5" t="str">
        <f>INDEX([1]Employee!$C$2:$C$276,MATCH(B2106,[1]Employee!$A$2:$A$276,0))</f>
        <v>Sales &amp; Marketing</v>
      </c>
    </row>
    <row r="2107" spans="1:15">
      <c r="A2107" s="1" t="s">
        <v>4219</v>
      </c>
      <c r="B2107" s="1" t="s">
        <v>182</v>
      </c>
      <c r="C2107" s="1" t="s">
        <v>4220</v>
      </c>
      <c r="D2107" s="2">
        <v>46136</v>
      </c>
      <c r="E2107" s="2">
        <v>46138</v>
      </c>
      <c r="F2107" s="1" t="s">
        <v>37</v>
      </c>
      <c r="G2107" s="1" t="s">
        <v>4</v>
      </c>
      <c r="H2107" s="1" t="s">
        <v>5</v>
      </c>
      <c r="I2107" s="7">
        <v>166.5</v>
      </c>
      <c r="J2107" s="1" t="s">
        <v>38</v>
      </c>
      <c r="K2107" s="1"/>
      <c r="L2107" s="1" t="s">
        <v>48</v>
      </c>
      <c r="M2107" s="1" t="str">
        <f>INDEX(MCC_Lookup!$B$2:$B$12,MATCH(G2107,MCC_Lookup!$A$2:$A$12,0))</f>
        <v>Travel</v>
      </c>
      <c r="N2107" s="1" t="str">
        <f>IF(TRIM(H2107)="","BLANK",IF(PROPER(TRIM(H2107))=TRIM(M2107),"MATCH","MISMATCH"))</f>
        <v>MATCH</v>
      </c>
      <c r="O2107" s="5" t="str">
        <f>INDEX([1]Employee!$C$2:$C$276,MATCH(B2107,[1]Employee!$A$2:$A$276,0))</f>
        <v>Sales &amp; Marketing</v>
      </c>
    </row>
    <row r="2108" spans="1:15">
      <c r="A2108" s="1" t="s">
        <v>4221</v>
      </c>
      <c r="B2108" s="1" t="s">
        <v>947</v>
      </c>
      <c r="C2108" s="1" t="s">
        <v>4222</v>
      </c>
      <c r="D2108" s="2">
        <v>46134</v>
      </c>
      <c r="E2108" s="2">
        <v>46138</v>
      </c>
      <c r="F2108" s="1" t="s">
        <v>56</v>
      </c>
      <c r="G2108" s="1" t="s">
        <v>4</v>
      </c>
      <c r="H2108" s="1" t="s">
        <v>57</v>
      </c>
      <c r="I2108" s="7">
        <v>317.01</v>
      </c>
      <c r="J2108" s="1" t="s">
        <v>38</v>
      </c>
      <c r="K2108" s="1"/>
      <c r="L2108" s="1" t="s">
        <v>39</v>
      </c>
      <c r="M2108" s="1" t="str">
        <f>INDEX(MCC_Lookup!$B$2:$B$12,MATCH(G2108,MCC_Lookup!$A$2:$A$12,0))</f>
        <v>Travel</v>
      </c>
      <c r="N2108" s="1" t="str">
        <f>IF(TRIM(H2108)="","BLANK",IF(PROPER(TRIM(H2108))=TRIM(M2108),"MATCH","MISMATCH"))</f>
        <v>MATCH</v>
      </c>
      <c r="O2108" s="5" t="str">
        <f>INDEX([1]Employee!$C$2:$C$276,MATCH(B2108,[1]Employee!$A$2:$A$276,0))</f>
        <v>Sales &amp; Marketing</v>
      </c>
    </row>
    <row r="2109" spans="1:15">
      <c r="A2109" s="1" t="s">
        <v>4223</v>
      </c>
      <c r="B2109" s="1" t="s">
        <v>890</v>
      </c>
      <c r="C2109" s="1" t="s">
        <v>4224</v>
      </c>
      <c r="D2109" s="2">
        <v>46135</v>
      </c>
      <c r="E2109" s="2">
        <v>46138</v>
      </c>
      <c r="F2109" s="1" t="s">
        <v>259</v>
      </c>
      <c r="G2109" s="1" t="s">
        <v>20</v>
      </c>
      <c r="H2109" s="1" t="s">
        <v>19</v>
      </c>
      <c r="I2109" s="7">
        <v>213.65</v>
      </c>
      <c r="J2109" s="1" t="s">
        <v>38</v>
      </c>
      <c r="K2109" s="1"/>
      <c r="L2109" s="1" t="s">
        <v>39</v>
      </c>
      <c r="M2109" s="1" t="str">
        <f>INDEX(MCC_Lookup!$B$2:$B$12,MATCH(G2109,MCC_Lookup!$A$2:$A$12,0))</f>
        <v>Events</v>
      </c>
      <c r="N2109" s="1" t="str">
        <f>IF(TRIM(H2109)="","BLANK",IF(PROPER(TRIM(H2109))=TRIM(M2109),"MATCH","MISMATCH"))</f>
        <v>MATCH</v>
      </c>
      <c r="O2109" s="5" t="str">
        <f>INDEX([1]Employee!$C$2:$C$276,MATCH(B2109,[1]Employee!$A$2:$A$276,0))</f>
        <v>Sales &amp; Marketing</v>
      </c>
    </row>
    <row r="2110" spans="1:15">
      <c r="A2110" s="1" t="s">
        <v>4225</v>
      </c>
      <c r="B2110" s="1" t="s">
        <v>716</v>
      </c>
      <c r="C2110" s="1"/>
      <c r="D2110" s="2">
        <v>46131</v>
      </c>
      <c r="E2110" s="2">
        <v>46138</v>
      </c>
      <c r="F2110" s="1" t="s">
        <v>305</v>
      </c>
      <c r="G2110" s="1" t="s">
        <v>2</v>
      </c>
      <c r="H2110" s="1" t="s">
        <v>3</v>
      </c>
      <c r="I2110" s="7">
        <v>17.34</v>
      </c>
      <c r="J2110" s="1" t="s">
        <v>38</v>
      </c>
      <c r="K2110" s="1"/>
      <c r="L2110" s="1" t="s">
        <v>48</v>
      </c>
      <c r="M2110" s="1" t="str">
        <f>INDEX(MCC_Lookup!$B$2:$B$12,MATCH(G2110,MCC_Lookup!$A$2:$A$12,0))</f>
        <v>Meals</v>
      </c>
      <c r="N2110" s="1" t="str">
        <f>IF(TRIM(H2110)="","BLANK",IF(PROPER(TRIM(H2110))=TRIM(M2110),"MATCH","MISMATCH"))</f>
        <v>MATCH</v>
      </c>
      <c r="O2110" s="5" t="str">
        <f>INDEX([1]Employee!$C$2:$C$276,MATCH(B2110,[1]Employee!$A$2:$A$276,0))</f>
        <v>Claims</v>
      </c>
    </row>
    <row r="2111" spans="1:15">
      <c r="A2111" s="1" t="s">
        <v>4226</v>
      </c>
      <c r="B2111" s="1" t="s">
        <v>280</v>
      </c>
      <c r="C2111" s="1" t="s">
        <v>4227</v>
      </c>
      <c r="D2111" s="2">
        <v>46131</v>
      </c>
      <c r="E2111" s="2">
        <v>46138</v>
      </c>
      <c r="F2111" s="1" t="s">
        <v>116</v>
      </c>
      <c r="G2111" s="1" t="s">
        <v>2</v>
      </c>
      <c r="H2111" s="1" t="s">
        <v>3</v>
      </c>
      <c r="I2111" s="7">
        <v>14.8</v>
      </c>
      <c r="J2111" s="1" t="s">
        <v>38</v>
      </c>
      <c r="K2111" s="1"/>
      <c r="L2111" s="1" t="s">
        <v>39</v>
      </c>
      <c r="M2111" s="1" t="str">
        <f>INDEX(MCC_Lookup!$B$2:$B$12,MATCH(G2111,MCC_Lookup!$A$2:$A$12,0))</f>
        <v>Meals</v>
      </c>
      <c r="N2111" s="1" t="str">
        <f>IF(TRIM(H2111)="","BLANK",IF(PROPER(TRIM(H2111))=TRIM(M2111),"MATCH","MISMATCH"))</f>
        <v>MATCH</v>
      </c>
      <c r="O2111" s="5" t="str">
        <f>INDEX([1]Employee!$C$2:$C$276,MATCH(B2111,[1]Employee!$A$2:$A$276,0))</f>
        <v>Claims</v>
      </c>
    </row>
    <row r="2112" spans="1:15">
      <c r="A2112" s="1" t="s">
        <v>4228</v>
      </c>
      <c r="B2112" s="1" t="s">
        <v>54</v>
      </c>
      <c r="C2112" s="1" t="s">
        <v>4229</v>
      </c>
      <c r="D2112" s="2">
        <v>46136</v>
      </c>
      <c r="E2112" s="2">
        <v>46138</v>
      </c>
      <c r="F2112" s="1" t="s">
        <v>52</v>
      </c>
      <c r="G2112" s="1" t="s">
        <v>15</v>
      </c>
      <c r="H2112" s="1" t="s">
        <v>16</v>
      </c>
      <c r="I2112" s="7">
        <v>51.38</v>
      </c>
      <c r="J2112" s="1" t="s">
        <v>38</v>
      </c>
      <c r="K2112" s="1"/>
      <c r="L2112" s="1" t="s">
        <v>48</v>
      </c>
      <c r="M2112" s="1" t="str">
        <f>INDEX(MCC_Lookup!$B$2:$B$12,MATCH(G2112,MCC_Lookup!$A$2:$A$12,0))</f>
        <v>Entertainment</v>
      </c>
      <c r="N2112" s="1" t="str">
        <f>IF(TRIM(H2112)="","BLANK",IF(PROPER(TRIM(H2112))=TRIM(M2112),"MATCH","MISMATCH"))</f>
        <v>MATCH</v>
      </c>
      <c r="O2112" s="5" t="str">
        <f>INDEX([1]Employee!$C$2:$C$276,MATCH(B2112,[1]Employee!$A$2:$A$276,0))</f>
        <v>Sales &amp; Marketing</v>
      </c>
    </row>
    <row r="2113" spans="1:15">
      <c r="A2113" s="1" t="s">
        <v>4230</v>
      </c>
      <c r="B2113" s="1" t="s">
        <v>1753</v>
      </c>
      <c r="C2113" s="1" t="s">
        <v>4231</v>
      </c>
      <c r="D2113" s="2">
        <v>46128</v>
      </c>
      <c r="E2113" s="2">
        <v>46138</v>
      </c>
      <c r="F2113" s="1" t="s">
        <v>83</v>
      </c>
      <c r="G2113" s="1" t="s">
        <v>2</v>
      </c>
      <c r="H2113" s="1" t="s">
        <v>138</v>
      </c>
      <c r="I2113" s="7">
        <v>10.95</v>
      </c>
      <c r="J2113" s="1" t="s">
        <v>38</v>
      </c>
      <c r="K2113" s="1"/>
      <c r="L2113" s="1" t="s">
        <v>39</v>
      </c>
      <c r="M2113" s="1" t="str">
        <f>INDEX(MCC_Lookup!$B$2:$B$12,MATCH(G2113,MCC_Lookup!$A$2:$A$12,0))</f>
        <v>Meals</v>
      </c>
      <c r="N2113" s="1" t="str">
        <f>IF(TRIM(H2113)="","BLANK",IF(PROPER(TRIM(H2113))=TRIM(M2113),"MATCH","MISMATCH"))</f>
        <v>MATCH</v>
      </c>
      <c r="O2113" s="5" t="str">
        <f>INDEX([1]Employee!$C$2:$C$276,MATCH(B2113,[1]Employee!$A$2:$A$276,0))</f>
        <v>IT &amp; Platform Engineering</v>
      </c>
    </row>
    <row r="2114" spans="1:15">
      <c r="A2114" s="1" t="s">
        <v>4232</v>
      </c>
      <c r="B2114" s="1" t="s">
        <v>1206</v>
      </c>
      <c r="C2114" s="1"/>
      <c r="D2114" s="2">
        <v>46137</v>
      </c>
      <c r="E2114" s="2">
        <v>46138</v>
      </c>
      <c r="F2114" s="1" t="s">
        <v>109</v>
      </c>
      <c r="G2114" s="1" t="s">
        <v>18</v>
      </c>
      <c r="H2114" s="1" t="s">
        <v>19</v>
      </c>
      <c r="I2114" s="7">
        <v>71.2</v>
      </c>
      <c r="J2114" s="1" t="s">
        <v>111</v>
      </c>
      <c r="K2114" s="1" t="s">
        <v>112</v>
      </c>
      <c r="L2114" s="1" t="s">
        <v>48</v>
      </c>
      <c r="M2114" s="1" t="str">
        <f>INDEX(MCC_Lookup!$B$2:$B$12,MATCH(G2114,MCC_Lookup!$A$2:$A$12,0))</f>
        <v>Events</v>
      </c>
      <c r="N2114" s="1" t="str">
        <f>IF(TRIM(H2114)="","BLANK",IF(PROPER(TRIM(H2114))=TRIM(M2114),"MATCH","MISMATCH"))</f>
        <v>MATCH</v>
      </c>
      <c r="O2114" s="5" t="str">
        <f>INDEX([1]Employee!$C$2:$C$276,MATCH(B2114,[1]Employee!$A$2:$A$276,0))</f>
        <v>Customer Support</v>
      </c>
    </row>
    <row r="2115" spans="1:15">
      <c r="A2115" s="1" t="s">
        <v>4233</v>
      </c>
      <c r="B2115" s="1" t="s">
        <v>207</v>
      </c>
      <c r="C2115" s="1" t="s">
        <v>4234</v>
      </c>
      <c r="D2115" s="2">
        <v>46135</v>
      </c>
      <c r="E2115" s="2">
        <v>46138</v>
      </c>
      <c r="F2115" s="1" t="s">
        <v>160</v>
      </c>
      <c r="G2115" s="1" t="s">
        <v>6</v>
      </c>
      <c r="H2115" s="1" t="s">
        <v>7</v>
      </c>
      <c r="I2115" s="7">
        <v>312.51</v>
      </c>
      <c r="J2115" s="1" t="s">
        <v>38</v>
      </c>
      <c r="K2115" s="1"/>
      <c r="L2115" s="1" t="s">
        <v>39</v>
      </c>
      <c r="M2115" s="1" t="str">
        <f>INDEX(MCC_Lookup!$B$2:$B$12,MATCH(G2115,MCC_Lookup!$A$2:$A$12,0))</f>
        <v>Lodging</v>
      </c>
      <c r="N2115" s="1" t="str">
        <f>IF(TRIM(H2115)="","BLANK",IF(PROPER(TRIM(H2115))=TRIM(M2115),"MATCH","MISMATCH"))</f>
        <v>MATCH</v>
      </c>
      <c r="O2115" s="5" t="str">
        <f>INDEX([1]Employee!$C$2:$C$276,MATCH(B2115,[1]Employee!$A$2:$A$276,0))</f>
        <v>Claims</v>
      </c>
    </row>
    <row r="2116" spans="1:15">
      <c r="A2116" s="1" t="s">
        <v>4235</v>
      </c>
      <c r="B2116" s="1" t="s">
        <v>90</v>
      </c>
      <c r="C2116" s="1"/>
      <c r="D2116" s="2">
        <v>46132</v>
      </c>
      <c r="E2116" s="2">
        <v>46138</v>
      </c>
      <c r="F2116" s="1" t="s">
        <v>76</v>
      </c>
      <c r="G2116" s="1" t="s">
        <v>13</v>
      </c>
      <c r="H2116" s="1" t="s">
        <v>470</v>
      </c>
      <c r="I2116" s="7">
        <v>511.58</v>
      </c>
      <c r="J2116" s="1" t="s">
        <v>38</v>
      </c>
      <c r="K2116" s="1"/>
      <c r="L2116" s="1" t="s">
        <v>39</v>
      </c>
      <c r="M2116" s="1" t="str">
        <f>INDEX(MCC_Lookup!$B$2:$B$12,MATCH(G2116,MCC_Lookup!$A$2:$A$12,0))</f>
        <v>Software</v>
      </c>
      <c r="N2116" s="1" t="str">
        <f>IF(TRIM(H2116)="","BLANK",IF(PROPER(TRIM(H2116))=TRIM(M2116),"MATCH","MISMATCH"))</f>
        <v>MATCH</v>
      </c>
      <c r="O2116" s="5" t="str">
        <f>INDEX([1]Employee!$C$2:$C$276,MATCH(B2116,[1]Employee!$A$2:$A$276,0))</f>
        <v>Sales &amp; Marketing</v>
      </c>
    </row>
    <row r="2117" spans="1:15">
      <c r="A2117" s="1" t="s">
        <v>4236</v>
      </c>
      <c r="B2117" s="1" t="s">
        <v>317</v>
      </c>
      <c r="C2117" s="1" t="s">
        <v>4237</v>
      </c>
      <c r="D2117" s="2">
        <v>46130</v>
      </c>
      <c r="E2117" s="2">
        <v>46138</v>
      </c>
      <c r="F2117" s="1" t="s">
        <v>47</v>
      </c>
      <c r="G2117" s="1" t="s">
        <v>6</v>
      </c>
      <c r="H2117" s="1" t="s">
        <v>228</v>
      </c>
      <c r="I2117" s="7">
        <v>355.72</v>
      </c>
      <c r="J2117" s="1" t="s">
        <v>38</v>
      </c>
      <c r="K2117" s="1"/>
      <c r="L2117" s="1" t="s">
        <v>39</v>
      </c>
      <c r="M2117" s="1" t="str">
        <f>INDEX(MCC_Lookup!$B$2:$B$12,MATCH(G2117,MCC_Lookup!$A$2:$A$12,0))</f>
        <v>Lodging</v>
      </c>
      <c r="N2117" s="1" t="str">
        <f>IF(TRIM(H2117)="","BLANK",IF(PROPER(TRIM(H2117))=TRIM(M2117),"MATCH","MISMATCH"))</f>
        <v>MATCH</v>
      </c>
      <c r="O2117" s="5" t="str">
        <f>INDEX([1]Employee!$C$2:$C$276,MATCH(B2117,[1]Employee!$A$2:$A$276,0))</f>
        <v>Sales &amp; Marketing</v>
      </c>
    </row>
    <row r="2118" spans="1:15">
      <c r="A2118" s="1" t="s">
        <v>4238</v>
      </c>
      <c r="B2118" s="1" t="s">
        <v>843</v>
      </c>
      <c r="C2118" s="1" t="s">
        <v>4239</v>
      </c>
      <c r="D2118" s="2">
        <v>46135</v>
      </c>
      <c r="E2118" s="2">
        <v>46139</v>
      </c>
      <c r="F2118" s="1" t="s">
        <v>61</v>
      </c>
      <c r="G2118" s="1" t="s">
        <v>13</v>
      </c>
      <c r="H2118" s="1" t="s">
        <v>14</v>
      </c>
      <c r="I2118" s="7">
        <v>51.22</v>
      </c>
      <c r="J2118" s="1" t="s">
        <v>38</v>
      </c>
      <c r="K2118" s="1"/>
      <c r="L2118" s="1" t="s">
        <v>39</v>
      </c>
      <c r="M2118" s="1" t="str">
        <f>INDEX(MCC_Lookup!$B$2:$B$12,MATCH(G2118,MCC_Lookup!$A$2:$A$12,0))</f>
        <v>Software</v>
      </c>
      <c r="N2118" s="1" t="str">
        <f>IF(TRIM(H2118)="","BLANK",IF(PROPER(TRIM(H2118))=TRIM(M2118),"MATCH","MISMATCH"))</f>
        <v>MATCH</v>
      </c>
      <c r="O2118" s="5" t="str">
        <f>INDEX([1]Employee!$C$2:$C$276,MATCH(B2118,[1]Employee!$A$2:$A$276,0))</f>
        <v>Customer Support</v>
      </c>
    </row>
    <row r="2119" spans="1:15">
      <c r="A2119" s="1" t="s">
        <v>4240</v>
      </c>
      <c r="B2119" s="1" t="s">
        <v>67</v>
      </c>
      <c r="C2119" s="1" t="s">
        <v>4241</v>
      </c>
      <c r="D2119" s="2">
        <v>46138</v>
      </c>
      <c r="E2119" s="2">
        <v>46139</v>
      </c>
      <c r="F2119" s="1" t="s">
        <v>173</v>
      </c>
      <c r="G2119" s="1" t="s">
        <v>2</v>
      </c>
      <c r="H2119" s="1" t="s">
        <v>3</v>
      </c>
      <c r="I2119" s="7">
        <v>34.53</v>
      </c>
      <c r="J2119" s="1" t="s">
        <v>38</v>
      </c>
      <c r="K2119" s="1"/>
      <c r="L2119" s="1" t="s">
        <v>39</v>
      </c>
      <c r="M2119" s="1" t="str">
        <f>INDEX(MCC_Lookup!$B$2:$B$12,MATCH(G2119,MCC_Lookup!$A$2:$A$12,0))</f>
        <v>Meals</v>
      </c>
      <c r="N2119" s="1" t="str">
        <f>IF(TRIM(H2119)="","BLANK",IF(PROPER(TRIM(H2119))=TRIM(M2119),"MATCH","MISMATCH"))</f>
        <v>MATCH</v>
      </c>
      <c r="O2119" s="5" t="str">
        <f>INDEX([1]Employee!$C$2:$C$276,MATCH(B2119,[1]Employee!$A$2:$A$276,0))</f>
        <v>Sales &amp; Marketing</v>
      </c>
    </row>
    <row r="2120" spans="1:15">
      <c r="A2120" s="1" t="s">
        <v>4242</v>
      </c>
      <c r="B2120" s="1" t="s">
        <v>190</v>
      </c>
      <c r="C2120" s="1" t="s">
        <v>4243</v>
      </c>
      <c r="D2120" s="2">
        <v>46132</v>
      </c>
      <c r="E2120" s="2">
        <v>46139</v>
      </c>
      <c r="F2120" s="1" t="s">
        <v>259</v>
      </c>
      <c r="G2120" s="1" t="s">
        <v>20</v>
      </c>
      <c r="H2120" s="1" t="s">
        <v>19</v>
      </c>
      <c r="I2120" s="7">
        <v>421.29</v>
      </c>
      <c r="J2120" s="1" t="s">
        <v>38</v>
      </c>
      <c r="K2120" s="1"/>
      <c r="L2120" s="1" t="s">
        <v>39</v>
      </c>
      <c r="M2120" s="1" t="str">
        <f>INDEX(MCC_Lookup!$B$2:$B$12,MATCH(G2120,MCC_Lookup!$A$2:$A$12,0))</f>
        <v>Events</v>
      </c>
      <c r="N2120" s="1" t="str">
        <f>IF(TRIM(H2120)="","BLANK",IF(PROPER(TRIM(H2120))=TRIM(M2120),"MATCH","MISMATCH"))</f>
        <v>MATCH</v>
      </c>
      <c r="O2120" s="5" t="str">
        <f>INDEX([1]Employee!$C$2:$C$276,MATCH(B2120,[1]Employee!$A$2:$A$276,0))</f>
        <v>Sales &amp; Marketing</v>
      </c>
    </row>
    <row r="2121" spans="1:15">
      <c r="A2121" s="1" t="s">
        <v>4244</v>
      </c>
      <c r="B2121" s="1" t="s">
        <v>152</v>
      </c>
      <c r="C2121" s="1" t="s">
        <v>4245</v>
      </c>
      <c r="D2121" s="2">
        <v>46133</v>
      </c>
      <c r="E2121" s="2">
        <v>46139</v>
      </c>
      <c r="F2121" s="1" t="s">
        <v>177</v>
      </c>
      <c r="G2121" s="1" t="s">
        <v>13</v>
      </c>
      <c r="H2121" s="1" t="s">
        <v>14</v>
      </c>
      <c r="I2121" s="7">
        <v>30.34</v>
      </c>
      <c r="J2121" s="1" t="s">
        <v>38</v>
      </c>
      <c r="K2121" s="1"/>
      <c r="L2121" s="1" t="s">
        <v>39</v>
      </c>
      <c r="M2121" s="1" t="str">
        <f>INDEX(MCC_Lookup!$B$2:$B$12,MATCH(G2121,MCC_Lookup!$A$2:$A$12,0))</f>
        <v>Software</v>
      </c>
      <c r="N2121" s="1" t="str">
        <f>IF(TRIM(H2121)="","BLANK",IF(PROPER(TRIM(H2121))=TRIM(M2121),"MATCH","MISMATCH"))</f>
        <v>MATCH</v>
      </c>
      <c r="O2121" s="5" t="str">
        <f>INDEX([1]Employee!$C$2:$C$276,MATCH(B2121,[1]Employee!$A$2:$A$276,0))</f>
        <v>Sales &amp; Marketing</v>
      </c>
    </row>
    <row r="2122" spans="1:15">
      <c r="A2122" s="1" t="s">
        <v>4246</v>
      </c>
      <c r="B2122" s="1" t="s">
        <v>71</v>
      </c>
      <c r="C2122" s="1" t="s">
        <v>4247</v>
      </c>
      <c r="D2122" s="2">
        <v>46129</v>
      </c>
      <c r="E2122" s="2">
        <v>46139</v>
      </c>
      <c r="F2122" s="1" t="s">
        <v>259</v>
      </c>
      <c r="G2122" s="1" t="s">
        <v>20</v>
      </c>
      <c r="H2122" s="1" t="s">
        <v>517</v>
      </c>
      <c r="I2122" s="7">
        <v>323.02999999999997</v>
      </c>
      <c r="J2122" s="1" t="s">
        <v>38</v>
      </c>
      <c r="K2122" s="1"/>
      <c r="L2122" s="1" t="s">
        <v>48</v>
      </c>
      <c r="M2122" s="1" t="str">
        <f>INDEX(MCC_Lookup!$B$2:$B$12,MATCH(G2122,MCC_Lookup!$A$2:$A$12,0))</f>
        <v>Events</v>
      </c>
      <c r="N2122" s="1" t="str">
        <f>IF(TRIM(H2122)="","BLANK",IF(PROPER(TRIM(H2122))=TRIM(M2122),"MATCH","MISMATCH"))</f>
        <v>MATCH</v>
      </c>
      <c r="O2122" s="5" t="str">
        <f>INDEX([1]Employee!$C$2:$C$276,MATCH(B2122,[1]Employee!$A$2:$A$276,0))</f>
        <v>Sales &amp; Marketing</v>
      </c>
    </row>
    <row r="2123" spans="1:15">
      <c r="A2123" s="1" t="s">
        <v>4248</v>
      </c>
      <c r="B2123" s="1" t="s">
        <v>947</v>
      </c>
      <c r="C2123" s="1" t="s">
        <v>4249</v>
      </c>
      <c r="D2123" s="2">
        <v>46136</v>
      </c>
      <c r="E2123" s="2">
        <v>46139</v>
      </c>
      <c r="F2123" s="1" t="s">
        <v>242</v>
      </c>
      <c r="G2123" s="1" t="s">
        <v>13</v>
      </c>
      <c r="H2123" s="1" t="s">
        <v>14</v>
      </c>
      <c r="I2123" s="7">
        <v>32.450000000000003</v>
      </c>
      <c r="J2123" s="1" t="s">
        <v>38</v>
      </c>
      <c r="K2123" s="1"/>
      <c r="L2123" s="1" t="s">
        <v>39</v>
      </c>
      <c r="M2123" s="1" t="str">
        <f>INDEX(MCC_Lookup!$B$2:$B$12,MATCH(G2123,MCC_Lookup!$A$2:$A$12,0))</f>
        <v>Software</v>
      </c>
      <c r="N2123" s="1" t="str">
        <f>IF(TRIM(H2123)="","BLANK",IF(PROPER(TRIM(H2123))=TRIM(M2123),"MATCH","MISMATCH"))</f>
        <v>MATCH</v>
      </c>
      <c r="O2123" s="5" t="str">
        <f>INDEX([1]Employee!$C$2:$C$276,MATCH(B2123,[1]Employee!$A$2:$A$276,0))</f>
        <v>Sales &amp; Marketing</v>
      </c>
    </row>
    <row r="2124" spans="1:15">
      <c r="A2124" s="1" t="s">
        <v>4250</v>
      </c>
      <c r="B2124" s="1" t="s">
        <v>643</v>
      </c>
      <c r="C2124" s="1" t="s">
        <v>4251</v>
      </c>
      <c r="D2124" s="2">
        <v>46135</v>
      </c>
      <c r="E2124" s="2">
        <v>46139</v>
      </c>
      <c r="F2124" s="1" t="s">
        <v>56</v>
      </c>
      <c r="G2124" s="1" t="s">
        <v>4</v>
      </c>
      <c r="H2124" s="1" t="s">
        <v>5</v>
      </c>
      <c r="I2124" s="7">
        <v>646.29999999999995</v>
      </c>
      <c r="J2124" s="1" t="s">
        <v>38</v>
      </c>
      <c r="K2124" s="1"/>
      <c r="L2124" s="1" t="s">
        <v>39</v>
      </c>
      <c r="M2124" s="1" t="str">
        <f>INDEX(MCC_Lookup!$B$2:$B$12,MATCH(G2124,MCC_Lookup!$A$2:$A$12,0))</f>
        <v>Travel</v>
      </c>
      <c r="N2124" s="1" t="str">
        <f>IF(TRIM(H2124)="","BLANK",IF(PROPER(TRIM(H2124))=TRIM(M2124),"MATCH","MISMATCH"))</f>
        <v>MATCH</v>
      </c>
      <c r="O2124" s="5" t="str">
        <f>INDEX([1]Employee!$C$2:$C$276,MATCH(B2124,[1]Employee!$A$2:$A$276,0))</f>
        <v>Sales &amp; Marketing</v>
      </c>
    </row>
    <row r="2125" spans="1:15">
      <c r="A2125" s="1" t="s">
        <v>4252</v>
      </c>
      <c r="B2125" s="1" t="s">
        <v>883</v>
      </c>
      <c r="C2125" s="1" t="s">
        <v>4253</v>
      </c>
      <c r="D2125" s="2">
        <v>46136</v>
      </c>
      <c r="E2125" s="2">
        <v>46139</v>
      </c>
      <c r="F2125" s="1" t="s">
        <v>37</v>
      </c>
      <c r="G2125" s="1" t="s">
        <v>4</v>
      </c>
      <c r="H2125" s="1" t="s">
        <v>5</v>
      </c>
      <c r="I2125" s="7">
        <v>130.83000000000001</v>
      </c>
      <c r="J2125" s="1" t="s">
        <v>38</v>
      </c>
      <c r="K2125" s="1"/>
      <c r="L2125" s="1" t="s">
        <v>39</v>
      </c>
      <c r="M2125" s="1" t="str">
        <f>INDEX(MCC_Lookup!$B$2:$B$12,MATCH(G2125,MCC_Lookup!$A$2:$A$12,0))</f>
        <v>Travel</v>
      </c>
      <c r="N2125" s="1" t="str">
        <f>IF(TRIM(H2125)="","BLANK",IF(PROPER(TRIM(H2125))=TRIM(M2125),"MATCH","MISMATCH"))</f>
        <v>MATCH</v>
      </c>
      <c r="O2125" s="5" t="str">
        <f>INDEX([1]Employee!$C$2:$C$276,MATCH(B2125,[1]Employee!$A$2:$A$276,0))</f>
        <v>Actuarial &amp; Risk</v>
      </c>
    </row>
    <row r="2126" spans="1:15">
      <c r="A2126" s="1" t="s">
        <v>4254</v>
      </c>
      <c r="B2126" s="1" t="s">
        <v>448</v>
      </c>
      <c r="C2126" s="1" t="s">
        <v>4255</v>
      </c>
      <c r="D2126" s="2">
        <v>46132</v>
      </c>
      <c r="E2126" s="2">
        <v>46139</v>
      </c>
      <c r="F2126" s="1" t="s">
        <v>242</v>
      </c>
      <c r="G2126" s="1" t="s">
        <v>13</v>
      </c>
      <c r="H2126" s="1" t="s">
        <v>14</v>
      </c>
      <c r="I2126" s="7">
        <v>25.28</v>
      </c>
      <c r="J2126" s="1" t="s">
        <v>38</v>
      </c>
      <c r="K2126" s="1"/>
      <c r="L2126" s="1" t="s">
        <v>48</v>
      </c>
      <c r="M2126" s="1" t="str">
        <f>INDEX(MCC_Lookup!$B$2:$B$12,MATCH(G2126,MCC_Lookup!$A$2:$A$12,0))</f>
        <v>Software</v>
      </c>
      <c r="N2126" s="1" t="str">
        <f>IF(TRIM(H2126)="","BLANK",IF(PROPER(TRIM(H2126))=TRIM(M2126),"MATCH","MISMATCH"))</f>
        <v>MATCH</v>
      </c>
      <c r="O2126" s="5" t="str">
        <f>INDEX([1]Employee!$C$2:$C$276,MATCH(B2126,[1]Employee!$A$2:$A$276,0))</f>
        <v>Sales &amp; Marketing</v>
      </c>
    </row>
    <row r="2127" spans="1:15">
      <c r="A2127" s="1" t="s">
        <v>4256</v>
      </c>
      <c r="B2127" s="1" t="s">
        <v>448</v>
      </c>
      <c r="C2127" s="1" t="s">
        <v>4257</v>
      </c>
      <c r="D2127" s="2">
        <v>46131</v>
      </c>
      <c r="E2127" s="2">
        <v>46139</v>
      </c>
      <c r="F2127" s="1" t="s">
        <v>177</v>
      </c>
      <c r="G2127" s="1" t="s">
        <v>13</v>
      </c>
      <c r="H2127" s="1" t="s">
        <v>14</v>
      </c>
      <c r="I2127" s="7">
        <v>14.39</v>
      </c>
      <c r="J2127" s="1" t="s">
        <v>38</v>
      </c>
      <c r="K2127" s="1"/>
      <c r="L2127" s="1" t="s">
        <v>39</v>
      </c>
      <c r="M2127" s="1" t="str">
        <f>INDEX(MCC_Lookup!$B$2:$B$12,MATCH(G2127,MCC_Lookup!$A$2:$A$12,0))</f>
        <v>Software</v>
      </c>
      <c r="N2127" s="1" t="str">
        <f>IF(TRIM(H2127)="","BLANK",IF(PROPER(TRIM(H2127))=TRIM(M2127),"MATCH","MISMATCH"))</f>
        <v>MATCH</v>
      </c>
      <c r="O2127" s="5" t="str">
        <f>INDEX([1]Employee!$C$2:$C$276,MATCH(B2127,[1]Employee!$A$2:$A$276,0))</f>
        <v>Sales &amp; Marketing</v>
      </c>
    </row>
    <row r="2128" spans="1:15">
      <c r="A2128" s="1" t="s">
        <v>4258</v>
      </c>
      <c r="B2128" s="1" t="s">
        <v>2981</v>
      </c>
      <c r="C2128" s="1" t="s">
        <v>4259</v>
      </c>
      <c r="D2128" s="2">
        <v>46135</v>
      </c>
      <c r="E2128" s="2">
        <v>46139</v>
      </c>
      <c r="F2128" s="1" t="s">
        <v>69</v>
      </c>
      <c r="G2128" s="1" t="s">
        <v>8</v>
      </c>
      <c r="H2128" s="1" t="s">
        <v>9</v>
      </c>
      <c r="I2128" s="7">
        <v>45.23</v>
      </c>
      <c r="J2128" s="1" t="s">
        <v>38</v>
      </c>
      <c r="K2128" s="1"/>
      <c r="L2128" s="1" t="s">
        <v>39</v>
      </c>
      <c r="M2128" s="1" t="str">
        <f>INDEX(MCC_Lookup!$B$2:$B$12,MATCH(G2128,MCC_Lookup!$A$2:$A$12,0))</f>
        <v>Transportation</v>
      </c>
      <c r="N2128" s="1" t="str">
        <f>IF(TRIM(H2128)="","BLANK",IF(PROPER(TRIM(H2128))=TRIM(M2128),"MATCH","MISMATCH"))</f>
        <v>MATCH</v>
      </c>
      <c r="O2128" s="5" t="str">
        <f>INDEX([1]Employee!$C$2:$C$276,MATCH(B2128,[1]Employee!$A$2:$A$276,0))</f>
        <v>IT &amp; Platform Engineering</v>
      </c>
    </row>
    <row r="2129" spans="1:15">
      <c r="A2129" s="1" t="s">
        <v>4260</v>
      </c>
      <c r="B2129" s="1" t="s">
        <v>2902</v>
      </c>
      <c r="C2129" s="1" t="s">
        <v>4261</v>
      </c>
      <c r="D2129" s="2">
        <v>46131</v>
      </c>
      <c r="E2129" s="2">
        <v>46139</v>
      </c>
      <c r="F2129" s="1" t="s">
        <v>76</v>
      </c>
      <c r="G2129" s="1" t="s">
        <v>13</v>
      </c>
      <c r="H2129" s="1" t="s">
        <v>14</v>
      </c>
      <c r="I2129" s="7">
        <v>535.87</v>
      </c>
      <c r="J2129" s="1" t="s">
        <v>38</v>
      </c>
      <c r="K2129" s="1"/>
      <c r="L2129" s="1" t="s">
        <v>39</v>
      </c>
      <c r="M2129" s="1" t="str">
        <f>INDEX(MCC_Lookup!$B$2:$B$12,MATCH(G2129,MCC_Lookup!$A$2:$A$12,0))</f>
        <v>Software</v>
      </c>
      <c r="N2129" s="1" t="str">
        <f>IF(TRIM(H2129)="","BLANK",IF(PROPER(TRIM(H2129))=TRIM(M2129),"MATCH","MISMATCH"))</f>
        <v>MATCH</v>
      </c>
      <c r="O2129" s="5" t="str">
        <f>INDEX([1]Employee!$C$2:$C$276,MATCH(B2129,[1]Employee!$A$2:$A$276,0))</f>
        <v>Underwriting</v>
      </c>
    </row>
    <row r="2130" spans="1:15">
      <c r="A2130" s="1" t="s">
        <v>4262</v>
      </c>
      <c r="B2130" s="1" t="s">
        <v>2877</v>
      </c>
      <c r="C2130" s="1" t="s">
        <v>4263</v>
      </c>
      <c r="D2130" s="2">
        <v>46139</v>
      </c>
      <c r="E2130" s="2">
        <v>46139</v>
      </c>
      <c r="F2130" s="1" t="s">
        <v>95</v>
      </c>
      <c r="G2130" s="1" t="s">
        <v>6</v>
      </c>
      <c r="H2130" s="1" t="s">
        <v>7</v>
      </c>
      <c r="I2130" s="7">
        <v>295.58999999999997</v>
      </c>
      <c r="J2130" s="1" t="s">
        <v>38</v>
      </c>
      <c r="K2130" s="1"/>
      <c r="L2130" s="1" t="s">
        <v>39</v>
      </c>
      <c r="M2130" s="1" t="str">
        <f>INDEX(MCC_Lookup!$B$2:$B$12,MATCH(G2130,MCC_Lookup!$A$2:$A$12,0))</f>
        <v>Lodging</v>
      </c>
      <c r="N2130" s="1" t="str">
        <f>IF(TRIM(H2130)="","BLANK",IF(PROPER(TRIM(H2130))=TRIM(M2130),"MATCH","MISMATCH"))</f>
        <v>MATCH</v>
      </c>
      <c r="O2130" s="5" t="str">
        <f>INDEX([1]Employee!$C$2:$C$276,MATCH(B2130,[1]Employee!$A$2:$A$276,0))</f>
        <v>Actuarial &amp; Risk</v>
      </c>
    </row>
    <row r="2131" spans="1:15">
      <c r="A2131" s="1" t="s">
        <v>4264</v>
      </c>
      <c r="B2131" s="1" t="s">
        <v>1567</v>
      </c>
      <c r="C2131" s="1" t="s">
        <v>4265</v>
      </c>
      <c r="D2131" s="2">
        <v>46130</v>
      </c>
      <c r="E2131" s="2">
        <v>46139</v>
      </c>
      <c r="F2131" s="1" t="s">
        <v>120</v>
      </c>
      <c r="G2131" s="1" t="s">
        <v>12</v>
      </c>
      <c r="H2131" s="1" t="s">
        <v>11</v>
      </c>
      <c r="I2131" s="7">
        <v>44.04</v>
      </c>
      <c r="J2131" s="1" t="s">
        <v>38</v>
      </c>
      <c r="K2131" s="1"/>
      <c r="L2131" s="1" t="s">
        <v>39</v>
      </c>
      <c r="M2131" s="1" t="str">
        <f>INDEX(MCC_Lookup!$B$2:$B$12,MATCH(G2131,MCC_Lookup!$A$2:$A$12,0))</f>
        <v>Office Supplies</v>
      </c>
      <c r="N2131" s="1" t="str">
        <f>IF(TRIM(H2131)="","BLANK",IF(PROPER(TRIM(H2131))=TRIM(M2131),"MATCH","MISMATCH"))</f>
        <v>MATCH</v>
      </c>
      <c r="O2131" s="5" t="str">
        <f>INDEX([1]Employee!$C$2:$C$276,MATCH(B2131,[1]Employee!$A$2:$A$276,0))</f>
        <v>Underwriting</v>
      </c>
    </row>
    <row r="2132" spans="1:15">
      <c r="A2132" s="1" t="s">
        <v>4266</v>
      </c>
      <c r="B2132" s="1" t="s">
        <v>74</v>
      </c>
      <c r="C2132" s="1"/>
      <c r="D2132" s="2">
        <v>46131</v>
      </c>
      <c r="E2132" s="2">
        <v>46139</v>
      </c>
      <c r="F2132" s="1" t="s">
        <v>124</v>
      </c>
      <c r="G2132" s="1" t="s">
        <v>17</v>
      </c>
      <c r="H2132" s="1" t="s">
        <v>16</v>
      </c>
      <c r="I2132" s="7">
        <v>174.94</v>
      </c>
      <c r="J2132" s="1" t="s">
        <v>38</v>
      </c>
      <c r="K2132" s="1"/>
      <c r="L2132" s="1" t="s">
        <v>39</v>
      </c>
      <c r="M2132" s="1" t="str">
        <f>INDEX(MCC_Lookup!$B$2:$B$12,MATCH(G2132,MCC_Lookup!$A$2:$A$12,0))</f>
        <v>Entertainment</v>
      </c>
      <c r="N2132" s="1" t="str">
        <f>IF(TRIM(H2132)="","BLANK",IF(PROPER(TRIM(H2132))=TRIM(M2132),"MATCH","MISMATCH"))</f>
        <v>MATCH</v>
      </c>
      <c r="O2132" s="5" t="str">
        <f>INDEX([1]Employee!$C$2:$C$276,MATCH(B2132,[1]Employee!$A$2:$A$276,0))</f>
        <v>Underwriting</v>
      </c>
    </row>
    <row r="2133" spans="1:15">
      <c r="A2133" s="1" t="s">
        <v>4267</v>
      </c>
      <c r="B2133" s="1" t="s">
        <v>210</v>
      </c>
      <c r="C2133" s="1" t="s">
        <v>4268</v>
      </c>
      <c r="D2133" s="2">
        <v>46135</v>
      </c>
      <c r="E2133" s="2">
        <v>46139</v>
      </c>
      <c r="F2133" s="1" t="s">
        <v>242</v>
      </c>
      <c r="G2133" s="1" t="s">
        <v>13</v>
      </c>
      <c r="H2133" s="1" t="s">
        <v>14</v>
      </c>
      <c r="I2133" s="7">
        <v>34.14</v>
      </c>
      <c r="J2133" s="1" t="s">
        <v>38</v>
      </c>
      <c r="K2133" s="1"/>
      <c r="L2133" s="1" t="s">
        <v>39</v>
      </c>
      <c r="M2133" s="1" t="str">
        <f>INDEX(MCC_Lookup!$B$2:$B$12,MATCH(G2133,MCC_Lookup!$A$2:$A$12,0))</f>
        <v>Software</v>
      </c>
      <c r="N2133" s="1" t="str">
        <f>IF(TRIM(H2133)="","BLANK",IF(PROPER(TRIM(H2133))=TRIM(M2133),"MATCH","MISMATCH"))</f>
        <v>MATCH</v>
      </c>
      <c r="O2133" s="5" t="str">
        <f>INDEX([1]Employee!$C$2:$C$276,MATCH(B2133,[1]Employee!$A$2:$A$276,0))</f>
        <v>Sales &amp; Marketing</v>
      </c>
    </row>
    <row r="2134" spans="1:15">
      <c r="A2134" s="1" t="s">
        <v>4269</v>
      </c>
      <c r="B2134" s="1" t="s">
        <v>667</v>
      </c>
      <c r="C2134" s="1" t="s">
        <v>4270</v>
      </c>
      <c r="D2134" s="2">
        <v>46135</v>
      </c>
      <c r="E2134" s="2">
        <v>46139</v>
      </c>
      <c r="F2134" s="1" t="s">
        <v>95</v>
      </c>
      <c r="G2134" s="1" t="s">
        <v>6</v>
      </c>
      <c r="H2134" s="1" t="s">
        <v>7</v>
      </c>
      <c r="I2134" s="7">
        <v>256.11</v>
      </c>
      <c r="J2134" s="1" t="s">
        <v>38</v>
      </c>
      <c r="K2134" s="1"/>
      <c r="L2134" s="1" t="s">
        <v>39</v>
      </c>
      <c r="M2134" s="1" t="str">
        <f>INDEX(MCC_Lookup!$B$2:$B$12,MATCH(G2134,MCC_Lookup!$A$2:$A$12,0))</f>
        <v>Lodging</v>
      </c>
      <c r="N2134" s="1" t="str">
        <f>IF(TRIM(H2134)="","BLANK",IF(PROPER(TRIM(H2134))=TRIM(M2134),"MATCH","MISMATCH"))</f>
        <v>MATCH</v>
      </c>
      <c r="O2134" s="5" t="str">
        <f>INDEX([1]Employee!$C$2:$C$276,MATCH(B2134,[1]Employee!$A$2:$A$276,0))</f>
        <v>Sales &amp; Marketing</v>
      </c>
    </row>
    <row r="2135" spans="1:15">
      <c r="A2135" s="1" t="s">
        <v>4271</v>
      </c>
      <c r="B2135" s="1" t="s">
        <v>81</v>
      </c>
      <c r="C2135" s="1"/>
      <c r="D2135" s="2">
        <v>46132</v>
      </c>
      <c r="E2135" s="2">
        <v>46139</v>
      </c>
      <c r="F2135" s="1" t="s">
        <v>47</v>
      </c>
      <c r="G2135" s="1" t="s">
        <v>6</v>
      </c>
      <c r="H2135" s="1" t="s">
        <v>7</v>
      </c>
      <c r="I2135" s="7">
        <v>378.66</v>
      </c>
      <c r="J2135" s="1" t="s">
        <v>38</v>
      </c>
      <c r="K2135" s="1"/>
      <c r="L2135" s="1" t="s">
        <v>39</v>
      </c>
      <c r="M2135" s="1" t="str">
        <f>INDEX(MCC_Lookup!$B$2:$B$12,MATCH(G2135,MCC_Lookup!$A$2:$A$12,0))</f>
        <v>Lodging</v>
      </c>
      <c r="N2135" s="1" t="str">
        <f>IF(TRIM(H2135)="","BLANK",IF(PROPER(TRIM(H2135))=TRIM(M2135),"MATCH","MISMATCH"))</f>
        <v>MATCH</v>
      </c>
      <c r="O2135" s="5" t="str">
        <f>INDEX([1]Employee!$C$2:$C$276,MATCH(B2135,[1]Employee!$A$2:$A$276,0))</f>
        <v>Sales &amp; Marketing</v>
      </c>
    </row>
    <row r="2136" spans="1:15">
      <c r="A2136" s="1" t="s">
        <v>4272</v>
      </c>
      <c r="B2136" s="1" t="s">
        <v>247</v>
      </c>
      <c r="C2136" s="1" t="s">
        <v>4273</v>
      </c>
      <c r="D2136" s="2">
        <v>46132</v>
      </c>
      <c r="E2136" s="2">
        <v>46139</v>
      </c>
      <c r="F2136" s="1" t="s">
        <v>69</v>
      </c>
      <c r="G2136" s="1" t="s">
        <v>8</v>
      </c>
      <c r="H2136" s="1" t="s">
        <v>9</v>
      </c>
      <c r="I2136" s="7">
        <v>42.25</v>
      </c>
      <c r="J2136" s="1" t="s">
        <v>38</v>
      </c>
      <c r="K2136" s="1"/>
      <c r="L2136" s="1" t="s">
        <v>39</v>
      </c>
      <c r="M2136" s="1" t="str">
        <f>INDEX(MCC_Lookup!$B$2:$B$12,MATCH(G2136,MCC_Lookup!$A$2:$A$12,0))</f>
        <v>Transportation</v>
      </c>
      <c r="N2136" s="1" t="str">
        <f>IF(TRIM(H2136)="","BLANK",IF(PROPER(TRIM(H2136))=TRIM(M2136),"MATCH","MISMATCH"))</f>
        <v>MATCH</v>
      </c>
      <c r="O2136" s="5" t="str">
        <f>INDEX([1]Employee!$C$2:$C$276,MATCH(B2136,[1]Employee!$A$2:$A$276,0))</f>
        <v>HR &amp; Events</v>
      </c>
    </row>
    <row r="2137" spans="1:15">
      <c r="A2137" s="1" t="s">
        <v>4274</v>
      </c>
      <c r="B2137" s="1" t="s">
        <v>182</v>
      </c>
      <c r="C2137" s="1" t="s">
        <v>4275</v>
      </c>
      <c r="D2137" s="2">
        <v>46135</v>
      </c>
      <c r="E2137" s="2">
        <v>46140</v>
      </c>
      <c r="F2137" s="1" t="s">
        <v>95</v>
      </c>
      <c r="G2137" s="1" t="s">
        <v>6</v>
      </c>
      <c r="H2137" s="1"/>
      <c r="I2137" s="7">
        <v>250.27</v>
      </c>
      <c r="J2137" s="1" t="s">
        <v>38</v>
      </c>
      <c r="K2137" s="1"/>
      <c r="L2137" s="1" t="s">
        <v>39</v>
      </c>
      <c r="M2137" s="1" t="str">
        <f>INDEX(MCC_Lookup!$B$2:$B$12,MATCH(G2137,MCC_Lookup!$A$2:$A$12,0))</f>
        <v>Lodging</v>
      </c>
      <c r="N2137" s="1" t="str">
        <f>IF(TRIM(H2137)="","BLANK",IF(PROPER(TRIM(H2137))=TRIM(M2137),"MATCH","MISMATCH"))</f>
        <v>BLANK</v>
      </c>
      <c r="O2137" s="5" t="str">
        <f>INDEX([1]Employee!$C$2:$C$276,MATCH(B2137,[1]Employee!$A$2:$A$276,0))</f>
        <v>Sales &amp; Marketing</v>
      </c>
    </row>
    <row r="2138" spans="1:15">
      <c r="A2138" s="1" t="s">
        <v>4276</v>
      </c>
      <c r="B2138" s="1" t="s">
        <v>292</v>
      </c>
      <c r="C2138" s="1" t="s">
        <v>4277</v>
      </c>
      <c r="D2138" s="2">
        <v>46135</v>
      </c>
      <c r="E2138" s="2">
        <v>46140</v>
      </c>
      <c r="F2138" s="1" t="s">
        <v>92</v>
      </c>
      <c r="G2138" s="1" t="s">
        <v>10</v>
      </c>
      <c r="H2138" s="1" t="s">
        <v>11</v>
      </c>
      <c r="I2138" s="7">
        <v>148.21</v>
      </c>
      <c r="J2138" s="1" t="s">
        <v>38</v>
      </c>
      <c r="K2138" s="1"/>
      <c r="L2138" s="1" t="s">
        <v>39</v>
      </c>
      <c r="M2138" s="1" t="str">
        <f>INDEX(MCC_Lookup!$B$2:$B$12,MATCH(G2138,MCC_Lookup!$A$2:$A$12,0))</f>
        <v>Office Supplies</v>
      </c>
      <c r="N2138" s="1" t="str">
        <f>IF(TRIM(H2138)="","BLANK",IF(PROPER(TRIM(H2138))=TRIM(M2138),"MATCH","MISMATCH"))</f>
        <v>MATCH</v>
      </c>
      <c r="O2138" s="5" t="str">
        <f>INDEX([1]Employee!$C$2:$C$276,MATCH(B2138,[1]Employee!$A$2:$A$276,0))</f>
        <v>Sales &amp; Marketing</v>
      </c>
    </row>
    <row r="2139" spans="1:15">
      <c r="A2139" s="1" t="s">
        <v>4278</v>
      </c>
      <c r="B2139" s="1" t="s">
        <v>199</v>
      </c>
      <c r="C2139" s="1" t="s">
        <v>4279</v>
      </c>
      <c r="D2139" s="2">
        <v>46136</v>
      </c>
      <c r="E2139" s="2">
        <v>46140</v>
      </c>
      <c r="F2139" s="1" t="s">
        <v>160</v>
      </c>
      <c r="G2139" s="1" t="s">
        <v>6</v>
      </c>
      <c r="H2139" s="1" t="s">
        <v>7</v>
      </c>
      <c r="I2139" s="7">
        <v>228.73</v>
      </c>
      <c r="J2139" s="1" t="s">
        <v>38</v>
      </c>
      <c r="K2139" s="1"/>
      <c r="L2139" s="1" t="s">
        <v>39</v>
      </c>
      <c r="M2139" s="1" t="str">
        <f>INDEX(MCC_Lookup!$B$2:$B$12,MATCH(G2139,MCC_Lookup!$A$2:$A$12,0))</f>
        <v>Lodging</v>
      </c>
      <c r="N2139" s="1" t="str">
        <f>IF(TRIM(H2139)="","BLANK",IF(PROPER(TRIM(H2139))=TRIM(M2139),"MATCH","MISMATCH"))</f>
        <v>MATCH</v>
      </c>
      <c r="O2139" s="5" t="str">
        <f>INDEX([1]Employee!$C$2:$C$276,MATCH(B2139,[1]Employee!$A$2:$A$276,0))</f>
        <v>Sales &amp; Marketing</v>
      </c>
    </row>
    <row r="2140" spans="1:15">
      <c r="A2140" s="1" t="s">
        <v>4280</v>
      </c>
      <c r="B2140" s="1" t="s">
        <v>506</v>
      </c>
      <c r="C2140" s="1" t="s">
        <v>4281</v>
      </c>
      <c r="D2140" s="2">
        <v>46132</v>
      </c>
      <c r="E2140" s="2">
        <v>46140</v>
      </c>
      <c r="F2140" s="1" t="s">
        <v>177</v>
      </c>
      <c r="G2140" s="1" t="s">
        <v>13</v>
      </c>
      <c r="H2140" s="1" t="s">
        <v>19</v>
      </c>
      <c r="I2140" s="7">
        <v>55.11</v>
      </c>
      <c r="J2140" s="1" t="s">
        <v>38</v>
      </c>
      <c r="K2140" s="1"/>
      <c r="L2140" s="1" t="s">
        <v>39</v>
      </c>
      <c r="M2140" s="1" t="str">
        <f>INDEX(MCC_Lookup!$B$2:$B$12,MATCH(G2140,MCC_Lookup!$A$2:$A$12,0))</f>
        <v>Software</v>
      </c>
      <c r="N2140" s="1" t="str">
        <f>IF(TRIM(H2140)="","BLANK",IF(PROPER(TRIM(H2140))=TRIM(M2140),"MATCH","MISMATCH"))</f>
        <v>MISMATCH</v>
      </c>
      <c r="O2140" s="5" t="str">
        <f>INDEX([1]Employee!$C$2:$C$276,MATCH(B2140,[1]Employee!$A$2:$A$276,0))</f>
        <v>Executive &amp; Corporate</v>
      </c>
    </row>
    <row r="2141" spans="1:15">
      <c r="A2141" s="1" t="s">
        <v>4282</v>
      </c>
      <c r="B2141" s="1" t="s">
        <v>1726</v>
      </c>
      <c r="C2141" s="1"/>
      <c r="D2141" s="2">
        <v>46137</v>
      </c>
      <c r="E2141" s="2">
        <v>46140</v>
      </c>
      <c r="F2141" s="1" t="s">
        <v>56</v>
      </c>
      <c r="G2141" s="1" t="s">
        <v>4</v>
      </c>
      <c r="H2141" s="1" t="s">
        <v>5</v>
      </c>
      <c r="I2141" s="7">
        <v>372.56</v>
      </c>
      <c r="J2141" s="1" t="s">
        <v>38</v>
      </c>
      <c r="K2141" s="1"/>
      <c r="L2141" s="1" t="s">
        <v>39</v>
      </c>
      <c r="M2141" s="1" t="str">
        <f>INDEX(MCC_Lookup!$B$2:$B$12,MATCH(G2141,MCC_Lookup!$A$2:$A$12,0))</f>
        <v>Travel</v>
      </c>
      <c r="N2141" s="1" t="str">
        <f>IF(TRIM(H2141)="","BLANK",IF(PROPER(TRIM(H2141))=TRIM(M2141),"MATCH","MISMATCH"))</f>
        <v>MATCH</v>
      </c>
      <c r="O2141" s="5" t="str">
        <f>INDEX([1]Employee!$C$2:$C$276,MATCH(B2141,[1]Employee!$A$2:$A$276,0))</f>
        <v>Customer Support</v>
      </c>
    </row>
    <row r="2142" spans="1:15">
      <c r="A2142" s="1" t="s">
        <v>4283</v>
      </c>
      <c r="B2142" s="1" t="s">
        <v>81</v>
      </c>
      <c r="C2142" s="1" t="s">
        <v>4284</v>
      </c>
      <c r="D2142" s="2">
        <v>46130</v>
      </c>
      <c r="E2142" s="2">
        <v>46140</v>
      </c>
      <c r="F2142" s="1" t="s">
        <v>72</v>
      </c>
      <c r="G2142" s="1" t="s">
        <v>8</v>
      </c>
      <c r="H2142" s="1" t="s">
        <v>9</v>
      </c>
      <c r="I2142" s="7">
        <v>43.68</v>
      </c>
      <c r="J2142" s="1" t="s">
        <v>38</v>
      </c>
      <c r="K2142" s="1"/>
      <c r="L2142" s="1" t="s">
        <v>39</v>
      </c>
      <c r="M2142" s="1" t="str">
        <f>INDEX(MCC_Lookup!$B$2:$B$12,MATCH(G2142,MCC_Lookup!$A$2:$A$12,0))</f>
        <v>Transportation</v>
      </c>
      <c r="N2142" s="1" t="str">
        <f>IF(TRIM(H2142)="","BLANK",IF(PROPER(TRIM(H2142))=TRIM(M2142),"MATCH","MISMATCH"))</f>
        <v>MATCH</v>
      </c>
      <c r="O2142" s="5" t="str">
        <f>INDEX([1]Employee!$C$2:$C$276,MATCH(B2142,[1]Employee!$A$2:$A$276,0))</f>
        <v>Sales &amp; Marketing</v>
      </c>
    </row>
    <row r="2143" spans="1:15">
      <c r="A2143" s="1" t="s">
        <v>4285</v>
      </c>
      <c r="B2143" s="1" t="s">
        <v>81</v>
      </c>
      <c r="C2143" s="1" t="s">
        <v>4286</v>
      </c>
      <c r="D2143" s="2">
        <v>46131</v>
      </c>
      <c r="E2143" s="2">
        <v>46140</v>
      </c>
      <c r="F2143" s="1" t="s">
        <v>160</v>
      </c>
      <c r="G2143" s="1" t="s">
        <v>6</v>
      </c>
      <c r="H2143" s="1" t="s">
        <v>228</v>
      </c>
      <c r="I2143" s="7">
        <v>291.98</v>
      </c>
      <c r="J2143" s="1" t="s">
        <v>38</v>
      </c>
      <c r="K2143" s="1"/>
      <c r="L2143" s="1" t="s">
        <v>39</v>
      </c>
      <c r="M2143" s="1" t="str">
        <f>INDEX(MCC_Lookup!$B$2:$B$12,MATCH(G2143,MCC_Lookup!$A$2:$A$12,0))</f>
        <v>Lodging</v>
      </c>
      <c r="N2143" s="1" t="str">
        <f>IF(TRIM(H2143)="","BLANK",IF(PROPER(TRIM(H2143))=TRIM(M2143),"MATCH","MISMATCH"))</f>
        <v>MATCH</v>
      </c>
      <c r="O2143" s="5" t="str">
        <f>INDEX([1]Employee!$C$2:$C$276,MATCH(B2143,[1]Employee!$A$2:$A$276,0))</f>
        <v>Sales &amp; Marketing</v>
      </c>
    </row>
    <row r="2144" spans="1:15">
      <c r="A2144" s="1" t="s">
        <v>4287</v>
      </c>
      <c r="B2144" s="1" t="s">
        <v>129</v>
      </c>
      <c r="C2144" s="1" t="s">
        <v>4288</v>
      </c>
      <c r="D2144" s="2">
        <v>46130</v>
      </c>
      <c r="E2144" s="2">
        <v>46140</v>
      </c>
      <c r="F2144" s="1" t="s">
        <v>124</v>
      </c>
      <c r="G2144" s="1" t="s">
        <v>17</v>
      </c>
      <c r="H2144" s="1" t="s">
        <v>16</v>
      </c>
      <c r="I2144" s="7">
        <v>206.26</v>
      </c>
      <c r="J2144" s="1" t="s">
        <v>38</v>
      </c>
      <c r="K2144" s="1"/>
      <c r="L2144" s="1" t="s">
        <v>39</v>
      </c>
      <c r="M2144" s="1" t="str">
        <f>INDEX(MCC_Lookup!$B$2:$B$12,MATCH(G2144,MCC_Lookup!$A$2:$A$12,0))</f>
        <v>Entertainment</v>
      </c>
      <c r="N2144" s="1" t="str">
        <f>IF(TRIM(H2144)="","BLANK",IF(PROPER(TRIM(H2144))=TRIM(M2144),"MATCH","MISMATCH"))</f>
        <v>MATCH</v>
      </c>
      <c r="O2144" s="5" t="str">
        <f>INDEX([1]Employee!$C$2:$C$276,MATCH(B2144,[1]Employee!$A$2:$A$276,0))</f>
        <v>Sales &amp; Marketing</v>
      </c>
    </row>
    <row r="2145" spans="1:15">
      <c r="A2145" s="1" t="s">
        <v>4289</v>
      </c>
      <c r="B2145" s="1" t="s">
        <v>836</v>
      </c>
      <c r="C2145" s="1" t="s">
        <v>4290</v>
      </c>
      <c r="D2145" s="2">
        <v>46130</v>
      </c>
      <c r="E2145" s="2">
        <v>46140</v>
      </c>
      <c r="F2145" s="1" t="s">
        <v>99</v>
      </c>
      <c r="G2145" s="1" t="s">
        <v>2</v>
      </c>
      <c r="H2145" s="1" t="s">
        <v>3</v>
      </c>
      <c r="I2145" s="7">
        <v>59.33</v>
      </c>
      <c r="J2145" s="1" t="s">
        <v>38</v>
      </c>
      <c r="K2145" s="1"/>
      <c r="L2145" s="1" t="s">
        <v>39</v>
      </c>
      <c r="M2145" s="1" t="str">
        <f>INDEX(MCC_Lookup!$B$2:$B$12,MATCH(G2145,MCC_Lookup!$A$2:$A$12,0))</f>
        <v>Meals</v>
      </c>
      <c r="N2145" s="1" t="str">
        <f>IF(TRIM(H2145)="","BLANK",IF(PROPER(TRIM(H2145))=TRIM(M2145),"MATCH","MISMATCH"))</f>
        <v>MATCH</v>
      </c>
      <c r="O2145" s="5" t="str">
        <f>INDEX([1]Employee!$C$2:$C$276,MATCH(B2145,[1]Employee!$A$2:$A$276,0))</f>
        <v>Sales &amp; Marketing</v>
      </c>
    </row>
    <row r="2146" spans="1:15">
      <c r="A2146" s="1" t="s">
        <v>4291</v>
      </c>
      <c r="B2146" s="1" t="s">
        <v>196</v>
      </c>
      <c r="C2146" s="1" t="s">
        <v>4292</v>
      </c>
      <c r="D2146" s="2">
        <v>46138</v>
      </c>
      <c r="E2146" s="2">
        <v>46140</v>
      </c>
      <c r="F2146" s="1" t="s">
        <v>52</v>
      </c>
      <c r="G2146" s="1" t="s">
        <v>15</v>
      </c>
      <c r="H2146" s="1" t="s">
        <v>16</v>
      </c>
      <c r="I2146" s="7">
        <v>34.25</v>
      </c>
      <c r="J2146" s="1" t="s">
        <v>38</v>
      </c>
      <c r="K2146" s="1"/>
      <c r="L2146" s="1" t="s">
        <v>39</v>
      </c>
      <c r="M2146" s="1" t="str">
        <f>INDEX(MCC_Lookup!$B$2:$B$12,MATCH(G2146,MCC_Lookup!$A$2:$A$12,0))</f>
        <v>Entertainment</v>
      </c>
      <c r="N2146" s="1" t="str">
        <f>IF(TRIM(H2146)="","BLANK",IF(PROPER(TRIM(H2146))=TRIM(M2146),"MATCH","MISMATCH"))</f>
        <v>MATCH</v>
      </c>
      <c r="O2146" s="5" t="str">
        <f>INDEX([1]Employee!$C$2:$C$276,MATCH(B2146,[1]Employee!$A$2:$A$276,0))</f>
        <v>Sales &amp; Marketing</v>
      </c>
    </row>
    <row r="2147" spans="1:15">
      <c r="A2147" s="1" t="s">
        <v>4293</v>
      </c>
      <c r="B2147" s="1" t="s">
        <v>244</v>
      </c>
      <c r="C2147" s="1" t="s">
        <v>4294</v>
      </c>
      <c r="D2147" s="2">
        <v>46131</v>
      </c>
      <c r="E2147" s="2">
        <v>46140</v>
      </c>
      <c r="F2147" s="1" t="s">
        <v>72</v>
      </c>
      <c r="G2147" s="1" t="s">
        <v>8</v>
      </c>
      <c r="H2147" s="1" t="s">
        <v>9</v>
      </c>
      <c r="I2147" s="7">
        <v>19.690000000000001</v>
      </c>
      <c r="J2147" s="1" t="s">
        <v>38</v>
      </c>
      <c r="K2147" s="1"/>
      <c r="L2147" s="1" t="s">
        <v>39</v>
      </c>
      <c r="M2147" s="1" t="str">
        <f>INDEX(MCC_Lookup!$B$2:$B$12,MATCH(G2147,MCC_Lookup!$A$2:$A$12,0))</f>
        <v>Transportation</v>
      </c>
      <c r="N2147" s="1" t="str">
        <f>IF(TRIM(H2147)="","BLANK",IF(PROPER(TRIM(H2147))=TRIM(M2147),"MATCH","MISMATCH"))</f>
        <v>MATCH</v>
      </c>
      <c r="O2147" s="5" t="str">
        <f>INDEX([1]Employee!$C$2:$C$276,MATCH(B2147,[1]Employee!$A$2:$A$276,0))</f>
        <v>Sales &amp; Marketing</v>
      </c>
    </row>
    <row r="2148" spans="1:15">
      <c r="A2148" s="1" t="s">
        <v>4295</v>
      </c>
      <c r="B2148" s="1" t="s">
        <v>244</v>
      </c>
      <c r="C2148" s="1"/>
      <c r="D2148" s="2">
        <v>46133</v>
      </c>
      <c r="E2148" s="2">
        <v>46140</v>
      </c>
      <c r="F2148" s="1" t="s">
        <v>72</v>
      </c>
      <c r="G2148" s="1" t="s">
        <v>8</v>
      </c>
      <c r="H2148" s="1" t="s">
        <v>9</v>
      </c>
      <c r="I2148" s="7">
        <v>20.37</v>
      </c>
      <c r="J2148" s="1" t="s">
        <v>38</v>
      </c>
      <c r="K2148" s="1"/>
      <c r="L2148" s="1" t="s">
        <v>48</v>
      </c>
      <c r="M2148" s="1" t="str">
        <f>INDEX(MCC_Lookup!$B$2:$B$12,MATCH(G2148,MCC_Lookup!$A$2:$A$12,0))</f>
        <v>Transportation</v>
      </c>
      <c r="N2148" s="1" t="str">
        <f>IF(TRIM(H2148)="","BLANK",IF(PROPER(TRIM(H2148))=TRIM(M2148),"MATCH","MISMATCH"))</f>
        <v>MATCH</v>
      </c>
      <c r="O2148" s="5" t="str">
        <f>INDEX([1]Employee!$C$2:$C$276,MATCH(B2148,[1]Employee!$A$2:$A$276,0))</f>
        <v>Sales &amp; Marketing</v>
      </c>
    </row>
    <row r="2149" spans="1:15">
      <c r="A2149" s="1" t="s">
        <v>4296</v>
      </c>
      <c r="B2149" s="1" t="s">
        <v>681</v>
      </c>
      <c r="C2149" s="1" t="s">
        <v>4297</v>
      </c>
      <c r="D2149" s="2">
        <v>46137</v>
      </c>
      <c r="E2149" s="2">
        <v>46140</v>
      </c>
      <c r="F2149" s="1" t="s">
        <v>37</v>
      </c>
      <c r="G2149" s="1" t="s">
        <v>4</v>
      </c>
      <c r="H2149" s="1" t="s">
        <v>5</v>
      </c>
      <c r="I2149" s="7">
        <v>400.82</v>
      </c>
      <c r="J2149" s="1" t="s">
        <v>38</v>
      </c>
      <c r="K2149" s="1"/>
      <c r="L2149" s="1" t="s">
        <v>39</v>
      </c>
      <c r="M2149" s="1" t="str">
        <f>INDEX(MCC_Lookup!$B$2:$B$12,MATCH(G2149,MCC_Lookup!$A$2:$A$12,0))</f>
        <v>Travel</v>
      </c>
      <c r="N2149" s="1" t="str">
        <f>IF(TRIM(H2149)="","BLANK",IF(PROPER(TRIM(H2149))=TRIM(M2149),"MATCH","MISMATCH"))</f>
        <v>MATCH</v>
      </c>
      <c r="O2149" s="5" t="str">
        <f>INDEX([1]Employee!$C$2:$C$276,MATCH(B2149,[1]Employee!$A$2:$A$276,0))</f>
        <v>Underwriting</v>
      </c>
    </row>
    <row r="2150" spans="1:15">
      <c r="A2150" s="1" t="s">
        <v>4298</v>
      </c>
      <c r="B2150" s="1" t="s">
        <v>673</v>
      </c>
      <c r="C2150" s="1" t="s">
        <v>4299</v>
      </c>
      <c r="D2150" s="2">
        <v>46138</v>
      </c>
      <c r="E2150" s="2">
        <v>46140</v>
      </c>
      <c r="F2150" s="1" t="s">
        <v>177</v>
      </c>
      <c r="G2150" s="1" t="s">
        <v>13</v>
      </c>
      <c r="H2150" s="1" t="s">
        <v>14</v>
      </c>
      <c r="I2150" s="7">
        <v>17.77</v>
      </c>
      <c r="J2150" s="1" t="s">
        <v>38</v>
      </c>
      <c r="K2150" s="1"/>
      <c r="L2150" s="1" t="s">
        <v>39</v>
      </c>
      <c r="M2150" s="1" t="str">
        <f>INDEX(MCC_Lookup!$B$2:$B$12,MATCH(G2150,MCC_Lookup!$A$2:$A$12,0))</f>
        <v>Software</v>
      </c>
      <c r="N2150" s="1" t="str">
        <f>IF(TRIM(H2150)="","BLANK",IF(PROPER(TRIM(H2150))=TRIM(M2150),"MATCH","MISMATCH"))</f>
        <v>MATCH</v>
      </c>
      <c r="O2150" s="5" t="str">
        <f>INDEX([1]Employee!$C$2:$C$276,MATCH(B2150,[1]Employee!$A$2:$A$276,0))</f>
        <v>HR &amp; Events</v>
      </c>
    </row>
    <row r="2151" spans="1:15">
      <c r="A2151" s="1" t="s">
        <v>4300</v>
      </c>
      <c r="B2151" s="1" t="s">
        <v>472</v>
      </c>
      <c r="C2151" s="1"/>
      <c r="D2151" s="2">
        <v>46137</v>
      </c>
      <c r="E2151" s="2">
        <v>46140</v>
      </c>
      <c r="F2151" s="1" t="s">
        <v>69</v>
      </c>
      <c r="G2151" s="1" t="s">
        <v>8</v>
      </c>
      <c r="H2151" s="1" t="s">
        <v>343</v>
      </c>
      <c r="I2151" s="7">
        <v>52.14</v>
      </c>
      <c r="J2151" s="1" t="s">
        <v>111</v>
      </c>
      <c r="K2151" s="1" t="s">
        <v>161</v>
      </c>
      <c r="L2151" s="1" t="s">
        <v>39</v>
      </c>
      <c r="M2151" s="1" t="str">
        <f>INDEX(MCC_Lookup!$B$2:$B$12,MATCH(G2151,MCC_Lookup!$A$2:$A$12,0))</f>
        <v>Transportation</v>
      </c>
      <c r="N2151" s="1" t="str">
        <f>IF(TRIM(H2151)="","BLANK",IF(PROPER(TRIM(H2151))=TRIM(M2151),"MATCH","MISMATCH"))</f>
        <v>MATCH</v>
      </c>
      <c r="O2151" s="5" t="str">
        <f>INDEX([1]Employee!$C$2:$C$276,MATCH(B2151,[1]Employee!$A$2:$A$276,0))</f>
        <v>Sales &amp; Marketing</v>
      </c>
    </row>
    <row r="2152" spans="1:15">
      <c r="A2152" s="1" t="s">
        <v>4301</v>
      </c>
      <c r="B2152" s="1" t="s">
        <v>472</v>
      </c>
      <c r="C2152" s="1" t="s">
        <v>4302</v>
      </c>
      <c r="D2152" s="2">
        <v>46134</v>
      </c>
      <c r="E2152" s="2">
        <v>46140</v>
      </c>
      <c r="F2152" s="1" t="s">
        <v>43</v>
      </c>
      <c r="G2152" s="1" t="s">
        <v>2</v>
      </c>
      <c r="H2152" s="1" t="s">
        <v>3</v>
      </c>
      <c r="I2152" s="7">
        <v>18.52</v>
      </c>
      <c r="J2152" s="1" t="s">
        <v>38</v>
      </c>
      <c r="K2152" s="1"/>
      <c r="L2152" s="1" t="s">
        <v>39</v>
      </c>
      <c r="M2152" s="1" t="str">
        <f>INDEX(MCC_Lookup!$B$2:$B$12,MATCH(G2152,MCC_Lookup!$A$2:$A$12,0))</f>
        <v>Meals</v>
      </c>
      <c r="N2152" s="1" t="str">
        <f>IF(TRIM(H2152)="","BLANK",IF(PROPER(TRIM(H2152))=TRIM(M2152),"MATCH","MISMATCH"))</f>
        <v>MATCH</v>
      </c>
      <c r="O2152" s="5" t="str">
        <f>INDEX([1]Employee!$C$2:$C$276,MATCH(B2152,[1]Employee!$A$2:$A$276,0))</f>
        <v>Sales &amp; Marketing</v>
      </c>
    </row>
    <row r="2153" spans="1:15">
      <c r="A2153" s="1" t="s">
        <v>4303</v>
      </c>
      <c r="B2153" s="1" t="s">
        <v>300</v>
      </c>
      <c r="C2153" s="1" t="s">
        <v>4304</v>
      </c>
      <c r="D2153" s="2">
        <v>46130</v>
      </c>
      <c r="E2153" s="2">
        <v>46140</v>
      </c>
      <c r="F2153" s="1" t="s">
        <v>56</v>
      </c>
      <c r="G2153" s="1" t="s">
        <v>4</v>
      </c>
      <c r="H2153" s="1" t="s">
        <v>5</v>
      </c>
      <c r="I2153" s="7">
        <v>253.77</v>
      </c>
      <c r="J2153" s="1" t="s">
        <v>38</v>
      </c>
      <c r="K2153" s="1"/>
      <c r="L2153" s="1" t="s">
        <v>39</v>
      </c>
      <c r="M2153" s="1" t="str">
        <f>INDEX(MCC_Lookup!$B$2:$B$12,MATCH(G2153,MCC_Lookup!$A$2:$A$12,0))</f>
        <v>Travel</v>
      </c>
      <c r="N2153" s="1" t="str">
        <f>IF(TRIM(H2153)="","BLANK",IF(PROPER(TRIM(H2153))=TRIM(M2153),"MATCH","MISMATCH"))</f>
        <v>MATCH</v>
      </c>
      <c r="O2153" s="5" t="str">
        <f>INDEX([1]Employee!$C$2:$C$276,MATCH(B2153,[1]Employee!$A$2:$A$276,0))</f>
        <v>Sales &amp; Marketing</v>
      </c>
    </row>
    <row r="2154" spans="1:15">
      <c r="A2154" s="1" t="s">
        <v>4305</v>
      </c>
      <c r="B2154" s="1" t="s">
        <v>63</v>
      </c>
      <c r="C2154" s="1" t="s">
        <v>4306</v>
      </c>
      <c r="D2154" s="2">
        <v>46139</v>
      </c>
      <c r="E2154" s="2">
        <v>46140</v>
      </c>
      <c r="F2154" s="1" t="s">
        <v>99</v>
      </c>
      <c r="G2154" s="1" t="s">
        <v>2</v>
      </c>
      <c r="H2154" s="1" t="s">
        <v>3</v>
      </c>
      <c r="I2154" s="7">
        <v>62.79</v>
      </c>
      <c r="J2154" s="1" t="s">
        <v>38</v>
      </c>
      <c r="K2154" s="1"/>
      <c r="L2154" s="1" t="s">
        <v>39</v>
      </c>
      <c r="M2154" s="1" t="str">
        <f>INDEX(MCC_Lookup!$B$2:$B$12,MATCH(G2154,MCC_Lookup!$A$2:$A$12,0))</f>
        <v>Meals</v>
      </c>
      <c r="N2154" s="1" t="str">
        <f>IF(TRIM(H2154)="","BLANK",IF(PROPER(TRIM(H2154))=TRIM(M2154),"MATCH","MISMATCH"))</f>
        <v>MATCH</v>
      </c>
      <c r="O2154" s="5" t="str">
        <f>INDEX([1]Employee!$C$2:$C$276,MATCH(B2154,[1]Employee!$A$2:$A$276,0))</f>
        <v>Sales &amp; Marketing</v>
      </c>
    </row>
    <row r="2155" spans="1:15">
      <c r="A2155" s="1" t="s">
        <v>4307</v>
      </c>
      <c r="B2155" s="1" t="s">
        <v>846</v>
      </c>
      <c r="C2155" s="1" t="s">
        <v>4308</v>
      </c>
      <c r="D2155" s="2">
        <v>46134</v>
      </c>
      <c r="E2155" s="2">
        <v>46140</v>
      </c>
      <c r="F2155" s="1" t="s">
        <v>259</v>
      </c>
      <c r="G2155" s="1" t="s">
        <v>20</v>
      </c>
      <c r="H2155" s="1" t="s">
        <v>19</v>
      </c>
      <c r="I2155" s="7">
        <v>282.38</v>
      </c>
      <c r="J2155" s="1" t="s">
        <v>38</v>
      </c>
      <c r="K2155" s="1"/>
      <c r="L2155" s="1" t="s">
        <v>39</v>
      </c>
      <c r="M2155" s="1" t="str">
        <f>INDEX(MCC_Lookup!$B$2:$B$12,MATCH(G2155,MCC_Lookup!$A$2:$A$12,0))</f>
        <v>Events</v>
      </c>
      <c r="N2155" s="1" t="str">
        <f>IF(TRIM(H2155)="","BLANK",IF(PROPER(TRIM(H2155))=TRIM(M2155),"MATCH","MISMATCH"))</f>
        <v>MATCH</v>
      </c>
      <c r="O2155" s="5" t="str">
        <f>INDEX([1]Employee!$C$2:$C$276,MATCH(B2155,[1]Employee!$A$2:$A$276,0))</f>
        <v>Sales &amp; Marketing</v>
      </c>
    </row>
    <row r="2156" spans="1:15">
      <c r="A2156" s="1" t="s">
        <v>4309</v>
      </c>
      <c r="B2156" s="1" t="s">
        <v>292</v>
      </c>
      <c r="C2156" s="1" t="s">
        <v>4310</v>
      </c>
      <c r="D2156" s="2">
        <v>46139</v>
      </c>
      <c r="E2156" s="2">
        <v>46141</v>
      </c>
      <c r="F2156" s="1" t="s">
        <v>201</v>
      </c>
      <c r="G2156" s="1" t="s">
        <v>4</v>
      </c>
      <c r="H2156" s="1" t="s">
        <v>5</v>
      </c>
      <c r="I2156" s="7">
        <v>540.29</v>
      </c>
      <c r="J2156" s="1" t="s">
        <v>38</v>
      </c>
      <c r="K2156" s="1"/>
      <c r="L2156" s="1" t="s">
        <v>39</v>
      </c>
      <c r="M2156" s="1" t="str">
        <f>INDEX(MCC_Lookup!$B$2:$B$12,MATCH(G2156,MCC_Lookup!$A$2:$A$12,0))</f>
        <v>Travel</v>
      </c>
      <c r="N2156" s="1" t="str">
        <f>IF(TRIM(H2156)="","BLANK",IF(PROPER(TRIM(H2156))=TRIM(M2156),"MATCH","MISMATCH"))</f>
        <v>MATCH</v>
      </c>
      <c r="O2156" s="5" t="str">
        <f>INDEX([1]Employee!$C$2:$C$276,MATCH(B2156,[1]Employee!$A$2:$A$276,0))</f>
        <v>Sales &amp; Marketing</v>
      </c>
    </row>
    <row r="2157" spans="1:15">
      <c r="A2157" s="1" t="s">
        <v>4311</v>
      </c>
      <c r="B2157" s="1" t="s">
        <v>300</v>
      </c>
      <c r="C2157" s="1" t="s">
        <v>4312</v>
      </c>
      <c r="D2157" s="2">
        <v>46131</v>
      </c>
      <c r="E2157" s="2">
        <v>46141</v>
      </c>
      <c r="F2157" s="1" t="s">
        <v>116</v>
      </c>
      <c r="G2157" s="1" t="s">
        <v>2</v>
      </c>
      <c r="H2157" s="1" t="s">
        <v>3</v>
      </c>
      <c r="I2157" s="7">
        <v>14.77</v>
      </c>
      <c r="J2157" s="1" t="s">
        <v>38</v>
      </c>
      <c r="K2157" s="1"/>
      <c r="L2157" s="1" t="s">
        <v>39</v>
      </c>
      <c r="M2157" s="1" t="str">
        <f>INDEX(MCC_Lookup!$B$2:$B$12,MATCH(G2157,MCC_Lookup!$A$2:$A$12,0))</f>
        <v>Meals</v>
      </c>
      <c r="N2157" s="1" t="str">
        <f>IF(TRIM(H2157)="","BLANK",IF(PROPER(TRIM(H2157))=TRIM(M2157),"MATCH","MISMATCH"))</f>
        <v>MATCH</v>
      </c>
      <c r="O2157" s="5" t="str">
        <f>INDEX([1]Employee!$C$2:$C$276,MATCH(B2157,[1]Employee!$A$2:$A$276,0))</f>
        <v>Sales &amp; Marketing</v>
      </c>
    </row>
    <row r="2158" spans="1:15">
      <c r="A2158" s="1" t="s">
        <v>4313</v>
      </c>
      <c r="B2158" s="1" t="s">
        <v>140</v>
      </c>
      <c r="C2158" s="1" t="s">
        <v>4314</v>
      </c>
      <c r="D2158" s="2">
        <v>46139</v>
      </c>
      <c r="E2158" s="2">
        <v>46141</v>
      </c>
      <c r="F2158" s="1" t="s">
        <v>65</v>
      </c>
      <c r="G2158" s="1" t="s">
        <v>18</v>
      </c>
      <c r="H2158" s="1" t="s">
        <v>19</v>
      </c>
      <c r="I2158" s="7">
        <v>413.31</v>
      </c>
      <c r="J2158" s="1" t="s">
        <v>38</v>
      </c>
      <c r="K2158" s="1"/>
      <c r="L2158" s="1" t="s">
        <v>39</v>
      </c>
      <c r="M2158" s="1" t="str">
        <f>INDEX(MCC_Lookup!$B$2:$B$12,MATCH(G2158,MCC_Lookup!$A$2:$A$12,0))</f>
        <v>Events</v>
      </c>
      <c r="N2158" s="1" t="str">
        <f>IF(TRIM(H2158)="","BLANK",IF(PROPER(TRIM(H2158))=TRIM(M2158),"MATCH","MISMATCH"))</f>
        <v>MATCH</v>
      </c>
      <c r="O2158" s="5" t="str">
        <f>INDEX([1]Employee!$C$2:$C$276,MATCH(B2158,[1]Employee!$A$2:$A$276,0))</f>
        <v>Finance</v>
      </c>
    </row>
    <row r="2159" spans="1:15">
      <c r="A2159" s="1" t="s">
        <v>4315</v>
      </c>
      <c r="B2159" s="1" t="s">
        <v>610</v>
      </c>
      <c r="C2159" s="1" t="s">
        <v>4316</v>
      </c>
      <c r="D2159" s="2">
        <v>46136</v>
      </c>
      <c r="E2159" s="2">
        <v>46141</v>
      </c>
      <c r="F2159" s="1" t="s">
        <v>83</v>
      </c>
      <c r="G2159" s="1" t="s">
        <v>2</v>
      </c>
      <c r="H2159" s="1" t="s">
        <v>794</v>
      </c>
      <c r="I2159" s="7">
        <v>20.96</v>
      </c>
      <c r="J2159" s="1" t="s">
        <v>38</v>
      </c>
      <c r="K2159" s="1"/>
      <c r="L2159" s="1" t="s">
        <v>39</v>
      </c>
      <c r="M2159" s="1" t="str">
        <f>INDEX(MCC_Lookup!$B$2:$B$12,MATCH(G2159,MCC_Lookup!$A$2:$A$12,0))</f>
        <v>Meals</v>
      </c>
      <c r="N2159" s="1" t="str">
        <f>IF(TRIM(H2159)="","BLANK",IF(PROPER(TRIM(H2159))=TRIM(M2159),"MATCH","MISMATCH"))</f>
        <v>MATCH</v>
      </c>
      <c r="O2159" s="5" t="str">
        <f>INDEX([1]Employee!$C$2:$C$276,MATCH(B2159,[1]Employee!$A$2:$A$276,0))</f>
        <v>Actuarial &amp; Risk</v>
      </c>
    </row>
    <row r="2160" spans="1:15">
      <c r="A2160" s="1" t="s">
        <v>4317</v>
      </c>
      <c r="B2160" s="1" t="s">
        <v>74</v>
      </c>
      <c r="C2160" s="1" t="s">
        <v>4318</v>
      </c>
      <c r="D2160" s="2">
        <v>46139</v>
      </c>
      <c r="E2160" s="2">
        <v>46141</v>
      </c>
      <c r="F2160" s="1" t="s">
        <v>201</v>
      </c>
      <c r="G2160" s="1" t="s">
        <v>4</v>
      </c>
      <c r="H2160" s="1" t="s">
        <v>5</v>
      </c>
      <c r="I2160" s="7">
        <v>557.17999999999995</v>
      </c>
      <c r="J2160" s="1" t="s">
        <v>38</v>
      </c>
      <c r="K2160" s="1"/>
      <c r="L2160" s="1" t="s">
        <v>39</v>
      </c>
      <c r="M2160" s="1" t="str">
        <f>INDEX(MCC_Lookup!$B$2:$B$12,MATCH(G2160,MCC_Lookup!$A$2:$A$12,0))</f>
        <v>Travel</v>
      </c>
      <c r="N2160" s="1" t="str">
        <f>IF(TRIM(H2160)="","BLANK",IF(PROPER(TRIM(H2160))=TRIM(M2160),"MATCH","MISMATCH"))</f>
        <v>MATCH</v>
      </c>
      <c r="O2160" s="5" t="str">
        <f>INDEX([1]Employee!$C$2:$C$276,MATCH(B2160,[1]Employee!$A$2:$A$276,0))</f>
        <v>Underwriting</v>
      </c>
    </row>
    <row r="2161" spans="1:15">
      <c r="A2161" s="1" t="s">
        <v>4319</v>
      </c>
      <c r="B2161" s="1" t="s">
        <v>152</v>
      </c>
      <c r="C2161" s="1" t="s">
        <v>4320</v>
      </c>
      <c r="D2161" s="2">
        <v>46131</v>
      </c>
      <c r="E2161" s="2">
        <v>46141</v>
      </c>
      <c r="F2161" s="1" t="s">
        <v>242</v>
      </c>
      <c r="G2161" s="1" t="s">
        <v>13</v>
      </c>
      <c r="H2161" s="1" t="s">
        <v>14</v>
      </c>
      <c r="I2161" s="7">
        <v>46.34</v>
      </c>
      <c r="J2161" s="1" t="s">
        <v>38</v>
      </c>
      <c r="K2161" s="1"/>
      <c r="L2161" s="1" t="s">
        <v>39</v>
      </c>
      <c r="M2161" s="1" t="str">
        <f>INDEX(MCC_Lookup!$B$2:$B$12,MATCH(G2161,MCC_Lookup!$A$2:$A$12,0))</f>
        <v>Software</v>
      </c>
      <c r="N2161" s="1" t="str">
        <f>IF(TRIM(H2161)="","BLANK",IF(PROPER(TRIM(H2161))=TRIM(M2161),"MATCH","MISMATCH"))</f>
        <v>MATCH</v>
      </c>
      <c r="O2161" s="5" t="str">
        <f>INDEX([1]Employee!$C$2:$C$276,MATCH(B2161,[1]Employee!$A$2:$A$276,0))</f>
        <v>Sales &amp; Marketing</v>
      </c>
    </row>
    <row r="2162" spans="1:15">
      <c r="A2162" s="1" t="s">
        <v>4321</v>
      </c>
      <c r="B2162" s="1" t="s">
        <v>524</v>
      </c>
      <c r="C2162" s="1" t="s">
        <v>4322</v>
      </c>
      <c r="D2162" s="2">
        <v>46140</v>
      </c>
      <c r="E2162" s="2">
        <v>46141</v>
      </c>
      <c r="F2162" s="1" t="s">
        <v>72</v>
      </c>
      <c r="G2162" s="1" t="s">
        <v>8</v>
      </c>
      <c r="H2162" s="1" t="s">
        <v>435</v>
      </c>
      <c r="I2162" s="7">
        <v>15.49</v>
      </c>
      <c r="J2162" s="1" t="s">
        <v>38</v>
      </c>
      <c r="K2162" s="1"/>
      <c r="L2162" s="1" t="s">
        <v>39</v>
      </c>
      <c r="M2162" s="1" t="str">
        <f>INDEX(MCC_Lookup!$B$2:$B$12,MATCH(G2162,MCC_Lookup!$A$2:$A$12,0))</f>
        <v>Transportation</v>
      </c>
      <c r="N2162" s="1" t="str">
        <f>IF(TRIM(H2162)="","BLANK",IF(PROPER(TRIM(H2162))=TRIM(M2162),"MATCH","MISMATCH"))</f>
        <v>MATCH</v>
      </c>
      <c r="O2162" s="5" t="str">
        <f>INDEX([1]Employee!$C$2:$C$276,MATCH(B2162,[1]Employee!$A$2:$A$276,0))</f>
        <v>Claims</v>
      </c>
    </row>
    <row r="2163" spans="1:15">
      <c r="A2163" s="1" t="s">
        <v>4323</v>
      </c>
      <c r="B2163" s="1" t="s">
        <v>597</v>
      </c>
      <c r="C2163" s="1" t="s">
        <v>4324</v>
      </c>
      <c r="D2163" s="2">
        <v>46138</v>
      </c>
      <c r="E2163" s="2">
        <v>46141</v>
      </c>
      <c r="F2163" s="1" t="s">
        <v>47</v>
      </c>
      <c r="G2163" s="1" t="s">
        <v>6</v>
      </c>
      <c r="H2163" s="1" t="s">
        <v>7</v>
      </c>
      <c r="I2163" s="7">
        <v>151.86000000000001</v>
      </c>
      <c r="J2163" s="1" t="s">
        <v>38</v>
      </c>
      <c r="K2163" s="1"/>
      <c r="L2163" s="1" t="s">
        <v>48</v>
      </c>
      <c r="M2163" s="1" t="str">
        <f>INDEX(MCC_Lookup!$B$2:$B$12,MATCH(G2163,MCC_Lookup!$A$2:$A$12,0))</f>
        <v>Lodging</v>
      </c>
      <c r="N2163" s="1" t="str">
        <f>IF(TRIM(H2163)="","BLANK",IF(PROPER(TRIM(H2163))=TRIM(M2163),"MATCH","MISMATCH"))</f>
        <v>MATCH</v>
      </c>
      <c r="O2163" s="5" t="str">
        <f>INDEX([1]Employee!$C$2:$C$276,MATCH(B2163,[1]Employee!$A$2:$A$276,0))</f>
        <v>Sales &amp; Marketing</v>
      </c>
    </row>
    <row r="2164" spans="1:15">
      <c r="A2164" s="1" t="s">
        <v>4325</v>
      </c>
      <c r="B2164" s="1" t="s">
        <v>59</v>
      </c>
      <c r="C2164" s="1"/>
      <c r="D2164" s="2">
        <v>46134</v>
      </c>
      <c r="E2164" s="2">
        <v>46141</v>
      </c>
      <c r="F2164" s="1" t="s">
        <v>83</v>
      </c>
      <c r="G2164" s="1" t="s">
        <v>2</v>
      </c>
      <c r="H2164" s="1" t="s">
        <v>3</v>
      </c>
      <c r="I2164" s="7">
        <v>18.66</v>
      </c>
      <c r="J2164" s="1" t="s">
        <v>38</v>
      </c>
      <c r="K2164" s="1"/>
      <c r="L2164" s="1" t="s">
        <v>39</v>
      </c>
      <c r="M2164" s="1" t="str">
        <f>INDEX(MCC_Lookup!$B$2:$B$12,MATCH(G2164,MCC_Lookup!$A$2:$A$12,0))</f>
        <v>Meals</v>
      </c>
      <c r="N2164" s="1" t="str">
        <f>IF(TRIM(H2164)="","BLANK",IF(PROPER(TRIM(H2164))=TRIM(M2164),"MATCH","MISMATCH"))</f>
        <v>MATCH</v>
      </c>
      <c r="O2164" s="5" t="str">
        <f>INDEX([1]Employee!$C$2:$C$276,MATCH(B2164,[1]Employee!$A$2:$A$276,0))</f>
        <v>Sales &amp; Marketing</v>
      </c>
    </row>
    <row r="2165" spans="1:15">
      <c r="A2165" s="1" t="s">
        <v>4326</v>
      </c>
      <c r="B2165" s="1" t="s">
        <v>709</v>
      </c>
      <c r="C2165" s="1" t="s">
        <v>4327</v>
      </c>
      <c r="D2165" s="2">
        <v>46138</v>
      </c>
      <c r="E2165" s="2">
        <v>46141</v>
      </c>
      <c r="F2165" s="1" t="s">
        <v>37</v>
      </c>
      <c r="G2165" s="1" t="s">
        <v>4</v>
      </c>
      <c r="H2165" s="1" t="s">
        <v>5</v>
      </c>
      <c r="I2165" s="7">
        <v>276.27999999999997</v>
      </c>
      <c r="J2165" s="1" t="s">
        <v>38</v>
      </c>
      <c r="K2165" s="1"/>
      <c r="L2165" s="1" t="s">
        <v>39</v>
      </c>
      <c r="M2165" s="1" t="str">
        <f>INDEX(MCC_Lookup!$B$2:$B$12,MATCH(G2165,MCC_Lookup!$A$2:$A$12,0))</f>
        <v>Travel</v>
      </c>
      <c r="N2165" s="1" t="str">
        <f>IF(TRIM(H2165)="","BLANK",IF(PROPER(TRIM(H2165))=TRIM(M2165),"MATCH","MISMATCH"))</f>
        <v>MATCH</v>
      </c>
      <c r="O2165" s="5" t="str">
        <f>INDEX([1]Employee!$C$2:$C$276,MATCH(B2165,[1]Employee!$A$2:$A$276,0))</f>
        <v>Underwriting</v>
      </c>
    </row>
    <row r="2166" spans="1:15">
      <c r="A2166" s="1" t="s">
        <v>4328</v>
      </c>
      <c r="B2166" s="1" t="s">
        <v>475</v>
      </c>
      <c r="C2166" s="1" t="s">
        <v>4329</v>
      </c>
      <c r="D2166" s="2">
        <v>46134</v>
      </c>
      <c r="E2166" s="2">
        <v>46141</v>
      </c>
      <c r="F2166" s="1" t="s">
        <v>109</v>
      </c>
      <c r="G2166" s="1" t="s">
        <v>18</v>
      </c>
      <c r="H2166" s="1" t="s">
        <v>3</v>
      </c>
      <c r="I2166" s="7">
        <v>265.58999999999997</v>
      </c>
      <c r="J2166" s="1" t="s">
        <v>38</v>
      </c>
      <c r="K2166" s="1"/>
      <c r="L2166" s="1" t="s">
        <v>39</v>
      </c>
      <c r="M2166" s="1" t="str">
        <f>INDEX(MCC_Lookup!$B$2:$B$12,MATCH(G2166,MCC_Lookup!$A$2:$A$12,0))</f>
        <v>Events</v>
      </c>
      <c r="N2166" s="1" t="str">
        <f>IF(TRIM(H2166)="","BLANK",IF(PROPER(TRIM(H2166))=TRIM(M2166),"MATCH","MISMATCH"))</f>
        <v>MISMATCH</v>
      </c>
      <c r="O2166" s="5" t="str">
        <f>INDEX([1]Employee!$C$2:$C$276,MATCH(B2166,[1]Employee!$A$2:$A$276,0))</f>
        <v>Sales &amp; Marketing</v>
      </c>
    </row>
    <row r="2167" spans="1:15">
      <c r="A2167" s="1" t="s">
        <v>4330</v>
      </c>
      <c r="B2167" s="1" t="s">
        <v>54</v>
      </c>
      <c r="C2167" s="1" t="s">
        <v>4331</v>
      </c>
      <c r="D2167" s="2">
        <v>46141</v>
      </c>
      <c r="E2167" s="2">
        <v>46141</v>
      </c>
      <c r="F2167" s="1" t="s">
        <v>69</v>
      </c>
      <c r="G2167" s="1" t="s">
        <v>8</v>
      </c>
      <c r="H2167" s="1" t="s">
        <v>9</v>
      </c>
      <c r="I2167" s="7">
        <v>17.260000000000002</v>
      </c>
      <c r="J2167" s="1" t="s">
        <v>38</v>
      </c>
      <c r="K2167" s="1"/>
      <c r="L2167" s="1" t="s">
        <v>39</v>
      </c>
      <c r="M2167" s="1" t="str">
        <f>INDEX(MCC_Lookup!$B$2:$B$12,MATCH(G2167,MCC_Lookup!$A$2:$A$12,0))</f>
        <v>Transportation</v>
      </c>
      <c r="N2167" s="1" t="str">
        <f>IF(TRIM(H2167)="","BLANK",IF(PROPER(TRIM(H2167))=TRIM(M2167),"MATCH","MISMATCH"))</f>
        <v>MATCH</v>
      </c>
      <c r="O2167" s="5" t="str">
        <f>INDEX([1]Employee!$C$2:$C$276,MATCH(B2167,[1]Employee!$A$2:$A$276,0))</f>
        <v>Sales &amp; Marketing</v>
      </c>
    </row>
    <row r="2168" spans="1:15">
      <c r="A2168" s="1" t="s">
        <v>4332</v>
      </c>
      <c r="B2168" s="1" t="s">
        <v>499</v>
      </c>
      <c r="C2168" s="1" t="s">
        <v>4333</v>
      </c>
      <c r="D2168" s="2">
        <v>46134</v>
      </c>
      <c r="E2168" s="2">
        <v>46141</v>
      </c>
      <c r="F2168" s="1" t="s">
        <v>47</v>
      </c>
      <c r="G2168" s="1" t="s">
        <v>6</v>
      </c>
      <c r="H2168" s="1" t="s">
        <v>16</v>
      </c>
      <c r="I2168" s="7">
        <v>367.05</v>
      </c>
      <c r="J2168" s="1" t="s">
        <v>38</v>
      </c>
      <c r="K2168" s="1"/>
      <c r="L2168" s="1" t="s">
        <v>48</v>
      </c>
      <c r="M2168" s="1" t="str">
        <f>INDEX(MCC_Lookup!$B$2:$B$12,MATCH(G2168,MCC_Lookup!$A$2:$A$12,0))</f>
        <v>Lodging</v>
      </c>
      <c r="N2168" s="1" t="str">
        <f>IF(TRIM(H2168)="","BLANK",IF(PROPER(TRIM(H2168))=TRIM(M2168),"MATCH","MISMATCH"))</f>
        <v>MISMATCH</v>
      </c>
      <c r="O2168" s="5" t="str">
        <f>INDEX([1]Employee!$C$2:$C$276,MATCH(B2168,[1]Employee!$A$2:$A$276,0))</f>
        <v>Sales &amp; Marketing</v>
      </c>
    </row>
    <row r="2169" spans="1:15">
      <c r="A2169" s="1" t="s">
        <v>4334</v>
      </c>
      <c r="B2169" s="1" t="s">
        <v>45</v>
      </c>
      <c r="C2169" s="1" t="s">
        <v>4335</v>
      </c>
      <c r="D2169" s="2">
        <v>46134</v>
      </c>
      <c r="E2169" s="2">
        <v>46142</v>
      </c>
      <c r="F2169" s="1" t="s">
        <v>173</v>
      </c>
      <c r="G2169" s="1" t="s">
        <v>2</v>
      </c>
      <c r="H2169" s="1" t="s">
        <v>3</v>
      </c>
      <c r="I2169" s="7">
        <v>35.200000000000003</v>
      </c>
      <c r="J2169" s="1" t="s">
        <v>38</v>
      </c>
      <c r="K2169" s="1"/>
      <c r="L2169" s="1" t="s">
        <v>39</v>
      </c>
      <c r="M2169" s="1" t="str">
        <f>INDEX(MCC_Lookup!$B$2:$B$12,MATCH(G2169,MCC_Lookup!$A$2:$A$12,0))</f>
        <v>Meals</v>
      </c>
      <c r="N2169" s="1" t="str">
        <f>IF(TRIM(H2169)="","BLANK",IF(PROPER(TRIM(H2169))=TRIM(M2169),"MATCH","MISMATCH"))</f>
        <v>MATCH</v>
      </c>
      <c r="O2169" s="5" t="str">
        <f>INDEX([1]Employee!$C$2:$C$276,MATCH(B2169,[1]Employee!$A$2:$A$276,0))</f>
        <v>IT &amp; Platform Engineering</v>
      </c>
    </row>
    <row r="2170" spans="1:15">
      <c r="A2170" s="1" t="s">
        <v>4336</v>
      </c>
      <c r="B2170" s="1" t="s">
        <v>244</v>
      </c>
      <c r="C2170" s="1" t="s">
        <v>4337</v>
      </c>
      <c r="D2170" s="2">
        <v>46138</v>
      </c>
      <c r="E2170" s="2">
        <v>46142</v>
      </c>
      <c r="F2170" s="1" t="s">
        <v>1362</v>
      </c>
      <c r="G2170" s="1" t="s">
        <v>6</v>
      </c>
      <c r="H2170" s="1" t="s">
        <v>7</v>
      </c>
      <c r="I2170" s="7">
        <v>217.29</v>
      </c>
      <c r="J2170" s="1" t="s">
        <v>38</v>
      </c>
      <c r="K2170" s="1"/>
      <c r="L2170" s="1" t="s">
        <v>39</v>
      </c>
      <c r="M2170" s="1" t="str">
        <f>INDEX(MCC_Lookup!$B$2:$B$12,MATCH(G2170,MCC_Lookup!$A$2:$A$12,0))</f>
        <v>Lodging</v>
      </c>
      <c r="N2170" s="1" t="str">
        <f>IF(TRIM(H2170)="","BLANK",IF(PROPER(TRIM(H2170))=TRIM(M2170),"MATCH","MISMATCH"))</f>
        <v>MATCH</v>
      </c>
      <c r="O2170" s="5" t="str">
        <f>INDEX([1]Employee!$C$2:$C$276,MATCH(B2170,[1]Employee!$A$2:$A$276,0))</f>
        <v>Sales &amp; Marketing</v>
      </c>
    </row>
    <row r="2171" spans="1:15">
      <c r="A2171" s="1" t="s">
        <v>4338</v>
      </c>
      <c r="B2171" s="1" t="s">
        <v>1427</v>
      </c>
      <c r="C2171" s="1" t="s">
        <v>4339</v>
      </c>
      <c r="D2171" s="2">
        <v>46135</v>
      </c>
      <c r="E2171" s="2">
        <v>46142</v>
      </c>
      <c r="F2171" s="1" t="s">
        <v>43</v>
      </c>
      <c r="G2171" s="1" t="s">
        <v>2</v>
      </c>
      <c r="H2171" s="1" t="s">
        <v>3</v>
      </c>
      <c r="I2171" s="7">
        <v>18.25</v>
      </c>
      <c r="J2171" s="1" t="s">
        <v>38</v>
      </c>
      <c r="K2171" s="1"/>
      <c r="L2171" s="1" t="s">
        <v>39</v>
      </c>
      <c r="M2171" s="1" t="str">
        <f>INDEX(MCC_Lookup!$B$2:$B$12,MATCH(G2171,MCC_Lookup!$A$2:$A$12,0))</f>
        <v>Meals</v>
      </c>
      <c r="N2171" s="1" t="str">
        <f>IF(TRIM(H2171)="","BLANK",IF(PROPER(TRIM(H2171))=TRIM(M2171),"MATCH","MISMATCH"))</f>
        <v>MATCH</v>
      </c>
      <c r="O2171" s="5" t="str">
        <f>INDEX([1]Employee!$C$2:$C$276,MATCH(B2171,[1]Employee!$A$2:$A$276,0))</f>
        <v>Finance</v>
      </c>
    </row>
    <row r="2172" spans="1:15">
      <c r="A2172" s="1" t="s">
        <v>4340</v>
      </c>
      <c r="B2172" s="1" t="s">
        <v>564</v>
      </c>
      <c r="C2172" s="1"/>
      <c r="D2172" s="2">
        <v>46138</v>
      </c>
      <c r="E2172" s="2">
        <v>46142</v>
      </c>
      <c r="F2172" s="1" t="s">
        <v>124</v>
      </c>
      <c r="G2172" s="1" t="s">
        <v>17</v>
      </c>
      <c r="H2172" s="1" t="s">
        <v>16</v>
      </c>
      <c r="I2172" s="7">
        <v>127.38</v>
      </c>
      <c r="J2172" s="1" t="s">
        <v>38</v>
      </c>
      <c r="K2172" s="1"/>
      <c r="L2172" s="1" t="s">
        <v>48</v>
      </c>
      <c r="M2172" s="1" t="str">
        <f>INDEX(MCC_Lookup!$B$2:$B$12,MATCH(G2172,MCC_Lookup!$A$2:$A$12,0))</f>
        <v>Entertainment</v>
      </c>
      <c r="N2172" s="1" t="str">
        <f>IF(TRIM(H2172)="","BLANK",IF(PROPER(TRIM(H2172))=TRIM(M2172),"MATCH","MISMATCH"))</f>
        <v>MATCH</v>
      </c>
      <c r="O2172" s="5" t="str">
        <f>INDEX([1]Employee!$C$2:$C$276,MATCH(B2172,[1]Employee!$A$2:$A$276,0))</f>
        <v>Sales &amp; Marketing</v>
      </c>
    </row>
    <row r="2173" spans="1:15">
      <c r="A2173" s="1" t="s">
        <v>4341</v>
      </c>
      <c r="B2173" s="1" t="s">
        <v>63</v>
      </c>
      <c r="C2173" s="1" t="s">
        <v>4342</v>
      </c>
      <c r="D2173" s="2">
        <v>46134</v>
      </c>
      <c r="E2173" s="2">
        <v>46142</v>
      </c>
      <c r="F2173" s="1" t="s">
        <v>177</v>
      </c>
      <c r="G2173" s="1" t="s">
        <v>13</v>
      </c>
      <c r="H2173" s="1" t="s">
        <v>14</v>
      </c>
      <c r="I2173" s="7">
        <v>51.83</v>
      </c>
      <c r="J2173" s="1" t="s">
        <v>38</v>
      </c>
      <c r="K2173" s="1"/>
      <c r="L2173" s="1" t="s">
        <v>48</v>
      </c>
      <c r="M2173" s="1" t="str">
        <f>INDEX(MCC_Lookup!$B$2:$B$12,MATCH(G2173,MCC_Lookup!$A$2:$A$12,0))</f>
        <v>Software</v>
      </c>
      <c r="N2173" s="1" t="str">
        <f>IF(TRIM(H2173)="","BLANK",IF(PROPER(TRIM(H2173))=TRIM(M2173),"MATCH","MISMATCH"))</f>
        <v>MATCH</v>
      </c>
      <c r="O2173" s="5" t="str">
        <f>INDEX([1]Employee!$C$2:$C$276,MATCH(B2173,[1]Employee!$A$2:$A$276,0))</f>
        <v>Sales &amp; Marketing</v>
      </c>
    </row>
    <row r="2174" spans="1:15">
      <c r="A2174" s="1" t="s">
        <v>4343</v>
      </c>
      <c r="B2174" s="1" t="s">
        <v>4344</v>
      </c>
      <c r="C2174" s="1" t="s">
        <v>4345</v>
      </c>
      <c r="D2174" s="2">
        <v>46137</v>
      </c>
      <c r="E2174" s="2">
        <v>46142</v>
      </c>
      <c r="F2174" s="1" t="s">
        <v>69</v>
      </c>
      <c r="G2174" s="1" t="s">
        <v>8</v>
      </c>
      <c r="H2174" s="1" t="s">
        <v>9</v>
      </c>
      <c r="I2174" s="7">
        <v>38.85</v>
      </c>
      <c r="J2174" s="1" t="s">
        <v>38</v>
      </c>
      <c r="K2174" s="1"/>
      <c r="L2174" s="1" t="s">
        <v>39</v>
      </c>
      <c r="M2174" s="1" t="str">
        <f>INDEX(MCC_Lookup!$B$2:$B$12,MATCH(G2174,MCC_Lookup!$A$2:$A$12,0))</f>
        <v>Transportation</v>
      </c>
      <c r="N2174" s="1" t="str">
        <f>IF(TRIM(H2174)="","BLANK",IF(PROPER(TRIM(H2174))=TRIM(M2174),"MATCH","MISMATCH"))</f>
        <v>MATCH</v>
      </c>
      <c r="O2174" s="5" t="str">
        <f>INDEX([1]Employee!$C$2:$C$276,MATCH(B2174,[1]Employee!$A$2:$A$276,0))</f>
        <v>Customer Support</v>
      </c>
    </row>
    <row r="2175" spans="1:15">
      <c r="A2175" s="1" t="s">
        <v>4346</v>
      </c>
      <c r="B2175" s="1" t="s">
        <v>648</v>
      </c>
      <c r="C2175" s="1" t="s">
        <v>4347</v>
      </c>
      <c r="D2175" s="2">
        <v>46134</v>
      </c>
      <c r="E2175" s="2">
        <v>46142</v>
      </c>
      <c r="F2175" s="1" t="s">
        <v>92</v>
      </c>
      <c r="G2175" s="1" t="s">
        <v>10</v>
      </c>
      <c r="H2175" s="1" t="s">
        <v>4348</v>
      </c>
      <c r="I2175" s="7">
        <v>116.33</v>
      </c>
      <c r="J2175" s="1" t="s">
        <v>38</v>
      </c>
      <c r="K2175" s="1"/>
      <c r="L2175" s="1" t="s">
        <v>48</v>
      </c>
      <c r="M2175" s="1" t="str">
        <f>INDEX(MCC_Lookup!$B$2:$B$12,MATCH(G2175,MCC_Lookup!$A$2:$A$12,0))</f>
        <v>Office Supplies</v>
      </c>
      <c r="N2175" s="1" t="str">
        <f>IF(TRIM(H2175)="","BLANK",IF(PROPER(TRIM(H2175))=TRIM(M2175),"MATCH","MISMATCH"))</f>
        <v>MATCH</v>
      </c>
      <c r="O2175" s="5" t="str">
        <f>INDEX([1]Employee!$C$2:$C$276,MATCH(B2175,[1]Employee!$A$2:$A$276,0))</f>
        <v>Sales &amp; Marketing</v>
      </c>
    </row>
    <row r="2176" spans="1:15">
      <c r="A2176" s="1" t="s">
        <v>4349</v>
      </c>
      <c r="B2176" s="1" t="s">
        <v>547</v>
      </c>
      <c r="C2176" s="1" t="s">
        <v>4350</v>
      </c>
      <c r="D2176" s="2">
        <v>46142</v>
      </c>
      <c r="E2176" s="2">
        <v>46142</v>
      </c>
      <c r="F2176" s="1" t="s">
        <v>72</v>
      </c>
      <c r="G2176" s="1" t="s">
        <v>8</v>
      </c>
      <c r="H2176" s="1" t="s">
        <v>9</v>
      </c>
      <c r="I2176" s="7">
        <v>60.43</v>
      </c>
      <c r="J2176" s="1" t="s">
        <v>38</v>
      </c>
      <c r="K2176" s="1"/>
      <c r="L2176" s="1" t="s">
        <v>39</v>
      </c>
      <c r="M2176" s="1" t="str">
        <f>INDEX(MCC_Lookup!$B$2:$B$12,MATCH(G2176,MCC_Lookup!$A$2:$A$12,0))</f>
        <v>Transportation</v>
      </c>
      <c r="N2176" s="1" t="str">
        <f>IF(TRIM(H2176)="","BLANK",IF(PROPER(TRIM(H2176))=TRIM(M2176),"MATCH","MISMATCH"))</f>
        <v>MATCH</v>
      </c>
      <c r="O2176" s="5" t="str">
        <f>INDEX([1]Employee!$C$2:$C$276,MATCH(B2176,[1]Employee!$A$2:$A$276,0))</f>
        <v>Sales &amp; Marketing</v>
      </c>
    </row>
    <row r="2177" spans="1:15">
      <c r="A2177" s="1" t="s">
        <v>4351</v>
      </c>
      <c r="B2177" s="1" t="s">
        <v>1188</v>
      </c>
      <c r="C2177" s="1" t="s">
        <v>4352</v>
      </c>
      <c r="D2177" s="2">
        <v>46136</v>
      </c>
      <c r="E2177" s="2">
        <v>46142</v>
      </c>
      <c r="F2177" s="1" t="s">
        <v>69</v>
      </c>
      <c r="G2177" s="1" t="s">
        <v>8</v>
      </c>
      <c r="H2177" s="1" t="s">
        <v>9</v>
      </c>
      <c r="I2177" s="7">
        <v>34.72</v>
      </c>
      <c r="J2177" s="1" t="s">
        <v>38</v>
      </c>
      <c r="K2177" s="1"/>
      <c r="L2177" s="1" t="s">
        <v>39</v>
      </c>
      <c r="M2177" s="1" t="str">
        <f>INDEX(MCC_Lookup!$B$2:$B$12,MATCH(G2177,MCC_Lookup!$A$2:$A$12,0))</f>
        <v>Transportation</v>
      </c>
      <c r="N2177" s="1" t="str">
        <f>IF(TRIM(H2177)="","BLANK",IF(PROPER(TRIM(H2177))=TRIM(M2177),"MATCH","MISMATCH"))</f>
        <v>MATCH</v>
      </c>
      <c r="O2177" s="5" t="str">
        <f>INDEX([1]Employee!$C$2:$C$276,MATCH(B2177,[1]Employee!$A$2:$A$276,0))</f>
        <v>Executive &amp; Corporate</v>
      </c>
    </row>
    <row r="2178" spans="1:15">
      <c r="A2178" s="1" t="s">
        <v>4353</v>
      </c>
      <c r="B2178" s="1" t="s">
        <v>90</v>
      </c>
      <c r="C2178" s="1" t="s">
        <v>4354</v>
      </c>
      <c r="D2178" s="2">
        <v>46138</v>
      </c>
      <c r="E2178" s="2">
        <v>46142</v>
      </c>
      <c r="F2178" s="1" t="s">
        <v>92</v>
      </c>
      <c r="G2178" s="1" t="s">
        <v>10</v>
      </c>
      <c r="H2178" s="1" t="s">
        <v>11</v>
      </c>
      <c r="I2178" s="7">
        <v>37.32</v>
      </c>
      <c r="J2178" s="1" t="s">
        <v>38</v>
      </c>
      <c r="K2178" s="1"/>
      <c r="L2178" s="1" t="s">
        <v>39</v>
      </c>
      <c r="M2178" s="1" t="str">
        <f>INDEX(MCC_Lookup!$B$2:$B$12,MATCH(G2178,MCC_Lookup!$A$2:$A$12,0))</f>
        <v>Office Supplies</v>
      </c>
      <c r="N2178" s="1" t="str">
        <f>IF(TRIM(H2178)="","BLANK",IF(PROPER(TRIM(H2178))=TRIM(M2178),"MATCH","MISMATCH"))</f>
        <v>MATCH</v>
      </c>
      <c r="O2178" s="5" t="str">
        <f>INDEX([1]Employee!$C$2:$C$276,MATCH(B2178,[1]Employee!$A$2:$A$276,0))</f>
        <v>Sales &amp; Marketing</v>
      </c>
    </row>
    <row r="2179" spans="1:15">
      <c r="A2179" s="1" t="s">
        <v>4355</v>
      </c>
      <c r="B2179" s="1" t="s">
        <v>267</v>
      </c>
      <c r="C2179" s="1" t="s">
        <v>4356</v>
      </c>
      <c r="D2179" s="2">
        <v>46139</v>
      </c>
      <c r="E2179" s="2">
        <v>46142</v>
      </c>
      <c r="F2179" s="1" t="s">
        <v>347</v>
      </c>
      <c r="G2179" s="1" t="s">
        <v>8</v>
      </c>
      <c r="H2179" s="1" t="s">
        <v>9</v>
      </c>
      <c r="I2179" s="7">
        <v>18.48</v>
      </c>
      <c r="J2179" s="1" t="s">
        <v>38</v>
      </c>
      <c r="K2179" s="1"/>
      <c r="L2179" s="1" t="s">
        <v>39</v>
      </c>
      <c r="M2179" s="1" t="str">
        <f>INDEX(MCC_Lookup!$B$2:$B$12,MATCH(G2179,MCC_Lookup!$A$2:$A$12,0))</f>
        <v>Transportation</v>
      </c>
      <c r="N2179" s="1" t="str">
        <f>IF(TRIM(H2179)="","BLANK",IF(PROPER(TRIM(H2179))=TRIM(M2179),"MATCH","MISMATCH"))</f>
        <v>MATCH</v>
      </c>
      <c r="O2179" s="5" t="str">
        <f>INDEX([1]Employee!$C$2:$C$276,MATCH(B2179,[1]Employee!$A$2:$A$276,0))</f>
        <v>Claims</v>
      </c>
    </row>
    <row r="2180" spans="1:15">
      <c r="A2180" s="1" t="s">
        <v>4357</v>
      </c>
      <c r="B2180" s="1" t="s">
        <v>71</v>
      </c>
      <c r="C2180" s="1" t="s">
        <v>4358</v>
      </c>
      <c r="D2180" s="2">
        <v>46134</v>
      </c>
      <c r="E2180" s="2">
        <v>46142</v>
      </c>
      <c r="F2180" s="1" t="s">
        <v>106</v>
      </c>
      <c r="G2180" s="1" t="s">
        <v>13</v>
      </c>
      <c r="H2180" s="1" t="s">
        <v>14</v>
      </c>
      <c r="I2180" s="7">
        <v>151.77000000000001</v>
      </c>
      <c r="J2180" s="1" t="s">
        <v>38</v>
      </c>
      <c r="K2180" s="1"/>
      <c r="L2180" s="1" t="s">
        <v>39</v>
      </c>
      <c r="M2180" s="1" t="str">
        <f>INDEX(MCC_Lookup!$B$2:$B$12,MATCH(G2180,MCC_Lookup!$A$2:$A$12,0))</f>
        <v>Software</v>
      </c>
      <c r="N2180" s="1" t="str">
        <f>IF(TRIM(H2180)="","BLANK",IF(PROPER(TRIM(H2180))=TRIM(M2180),"MATCH","MISMATCH"))</f>
        <v>MATCH</v>
      </c>
      <c r="O2180" s="5" t="str">
        <f>INDEX([1]Employee!$C$2:$C$276,MATCH(B2180,[1]Employee!$A$2:$A$276,0))</f>
        <v>Sales &amp; Marketing</v>
      </c>
    </row>
    <row r="2181" spans="1:15">
      <c r="A2181" s="1" t="s">
        <v>4359</v>
      </c>
      <c r="B2181" s="1" t="s">
        <v>171</v>
      </c>
      <c r="C2181" s="1" t="s">
        <v>4360</v>
      </c>
      <c r="D2181" s="2">
        <v>46133</v>
      </c>
      <c r="E2181" s="2">
        <v>46142</v>
      </c>
      <c r="F2181" s="1" t="s">
        <v>56</v>
      </c>
      <c r="G2181" s="1" t="s">
        <v>4</v>
      </c>
      <c r="H2181" s="1" t="s">
        <v>5</v>
      </c>
      <c r="I2181" s="7">
        <v>530.91999999999996</v>
      </c>
      <c r="J2181" s="1" t="s">
        <v>38</v>
      </c>
      <c r="K2181" s="1"/>
      <c r="L2181" s="1" t="s">
        <v>39</v>
      </c>
      <c r="M2181" s="1" t="str">
        <f>INDEX(MCC_Lookup!$B$2:$B$12,MATCH(G2181,MCC_Lookup!$A$2:$A$12,0))</f>
        <v>Travel</v>
      </c>
      <c r="N2181" s="1" t="str">
        <f>IF(TRIM(H2181)="","BLANK",IF(PROPER(TRIM(H2181))=TRIM(M2181),"MATCH","MISMATCH"))</f>
        <v>MATCH</v>
      </c>
      <c r="O2181" s="5" t="str">
        <f>INDEX([1]Employee!$C$2:$C$276,MATCH(B2181,[1]Employee!$A$2:$A$276,0))</f>
        <v>Claims</v>
      </c>
    </row>
    <row r="2182" spans="1:15">
      <c r="A2182" s="1" t="s">
        <v>4361</v>
      </c>
      <c r="B2182" s="1" t="s">
        <v>2105</v>
      </c>
      <c r="C2182" s="1" t="s">
        <v>4362</v>
      </c>
      <c r="D2182" s="2">
        <v>46135</v>
      </c>
      <c r="E2182" s="2">
        <v>46142</v>
      </c>
      <c r="F2182" s="1" t="s">
        <v>52</v>
      </c>
      <c r="G2182" s="1" t="s">
        <v>15</v>
      </c>
      <c r="H2182" s="1" t="s">
        <v>16</v>
      </c>
      <c r="I2182" s="7">
        <v>30.76</v>
      </c>
      <c r="J2182" s="1" t="s">
        <v>38</v>
      </c>
      <c r="K2182" s="1"/>
      <c r="L2182" s="1" t="s">
        <v>39</v>
      </c>
      <c r="M2182" s="1" t="str">
        <f>INDEX(MCC_Lookup!$B$2:$B$12,MATCH(G2182,MCC_Lookup!$A$2:$A$12,0))</f>
        <v>Entertainment</v>
      </c>
      <c r="N2182" s="1" t="str">
        <f>IF(TRIM(H2182)="","BLANK",IF(PROPER(TRIM(H2182))=TRIM(M2182),"MATCH","MISMATCH"))</f>
        <v>MATCH</v>
      </c>
      <c r="O2182" s="5" t="str">
        <f>INDEX([1]Employee!$C$2:$C$276,MATCH(B2182,[1]Employee!$A$2:$A$276,0))</f>
        <v>Actuarial &amp; Risk</v>
      </c>
    </row>
    <row r="2183" spans="1:15">
      <c r="A2183" s="1" t="s">
        <v>4363</v>
      </c>
      <c r="B2183" s="1" t="s">
        <v>261</v>
      </c>
      <c r="C2183" s="1" t="s">
        <v>4364</v>
      </c>
      <c r="D2183" s="2">
        <v>46136</v>
      </c>
      <c r="E2183" s="2">
        <v>46142</v>
      </c>
      <c r="F2183" s="1" t="s">
        <v>305</v>
      </c>
      <c r="G2183" s="1" t="s">
        <v>2</v>
      </c>
      <c r="H2183" s="1"/>
      <c r="I2183" s="7">
        <v>10.07</v>
      </c>
      <c r="J2183" s="1" t="s">
        <v>38</v>
      </c>
      <c r="K2183" s="1"/>
      <c r="L2183" s="1" t="s">
        <v>39</v>
      </c>
      <c r="M2183" s="1" t="str">
        <f>INDEX(MCC_Lookup!$B$2:$B$12,MATCH(G2183,MCC_Lookup!$A$2:$A$12,0))</f>
        <v>Meals</v>
      </c>
      <c r="N2183" s="1" t="str">
        <f>IF(TRIM(H2183)="","BLANK",IF(PROPER(TRIM(H2183))=TRIM(M2183),"MATCH","MISMATCH"))</f>
        <v>BLANK</v>
      </c>
      <c r="O2183" s="5" t="str">
        <f>INDEX([1]Employee!$C$2:$C$276,MATCH(B2183,[1]Employee!$A$2:$A$276,0))</f>
        <v>Sales &amp; Marketing</v>
      </c>
    </row>
    <row r="2184" spans="1:15">
      <c r="A2184" s="1" t="s">
        <v>4365</v>
      </c>
      <c r="B2184" s="1" t="s">
        <v>101</v>
      </c>
      <c r="C2184" s="1" t="s">
        <v>4366</v>
      </c>
      <c r="D2184" s="2">
        <v>46138</v>
      </c>
      <c r="E2184" s="2">
        <v>46142</v>
      </c>
      <c r="F2184" s="1" t="s">
        <v>56</v>
      </c>
      <c r="G2184" s="1" t="s">
        <v>4</v>
      </c>
      <c r="H2184" s="1"/>
      <c r="I2184" s="7">
        <v>344.01</v>
      </c>
      <c r="J2184" s="1" t="s">
        <v>38</v>
      </c>
      <c r="K2184" s="1"/>
      <c r="L2184" s="1" t="s">
        <v>48</v>
      </c>
      <c r="M2184" s="1" t="str">
        <f>INDEX(MCC_Lookup!$B$2:$B$12,MATCH(G2184,MCC_Lookup!$A$2:$A$12,0))</f>
        <v>Travel</v>
      </c>
      <c r="N2184" s="1" t="str">
        <f>IF(TRIM(H2184)="","BLANK",IF(PROPER(TRIM(H2184))=TRIM(M2184),"MATCH","MISMATCH"))</f>
        <v>BLANK</v>
      </c>
      <c r="O2184" s="5" t="str">
        <f>INDEX([1]Employee!$C$2:$C$276,MATCH(B2184,[1]Employee!$A$2:$A$276,0))</f>
        <v>Underwriting</v>
      </c>
    </row>
    <row r="2185" spans="1:15">
      <c r="A2185" s="1" t="s">
        <v>4367</v>
      </c>
      <c r="B2185" s="1" t="s">
        <v>210</v>
      </c>
      <c r="C2185" s="1" t="s">
        <v>4368</v>
      </c>
      <c r="D2185" s="2">
        <v>46138</v>
      </c>
      <c r="E2185" s="2">
        <v>46142</v>
      </c>
      <c r="F2185" s="1" t="s">
        <v>52</v>
      </c>
      <c r="G2185" s="1" t="s">
        <v>15</v>
      </c>
      <c r="H2185" s="1" t="s">
        <v>16</v>
      </c>
      <c r="I2185" s="7">
        <v>26.67</v>
      </c>
      <c r="J2185" s="1" t="s">
        <v>38</v>
      </c>
      <c r="K2185" s="1"/>
      <c r="L2185" s="1" t="s">
        <v>39</v>
      </c>
      <c r="M2185" s="1" t="str">
        <f>INDEX(MCC_Lookup!$B$2:$B$12,MATCH(G2185,MCC_Lookup!$A$2:$A$12,0))</f>
        <v>Entertainment</v>
      </c>
      <c r="N2185" s="1" t="str">
        <f>IF(TRIM(H2185)="","BLANK",IF(PROPER(TRIM(H2185))=TRIM(M2185),"MATCH","MISMATCH"))</f>
        <v>MATCH</v>
      </c>
      <c r="O2185" s="5" t="str">
        <f>INDEX([1]Employee!$C$2:$C$276,MATCH(B2185,[1]Employee!$A$2:$A$276,0))</f>
        <v>Sales &amp; Marketing</v>
      </c>
    </row>
    <row r="2186" spans="1:15">
      <c r="A2186" s="1" t="s">
        <v>4369</v>
      </c>
      <c r="B2186" s="1" t="s">
        <v>1740</v>
      </c>
      <c r="C2186" s="1" t="s">
        <v>4370</v>
      </c>
      <c r="D2186" s="2">
        <v>46141</v>
      </c>
      <c r="E2186" s="2">
        <v>46143</v>
      </c>
      <c r="F2186" s="1" t="s">
        <v>124</v>
      </c>
      <c r="G2186" s="1" t="s">
        <v>17</v>
      </c>
      <c r="H2186" s="1" t="s">
        <v>16</v>
      </c>
      <c r="I2186" s="7">
        <v>197.83</v>
      </c>
      <c r="J2186" s="1" t="s">
        <v>38</v>
      </c>
      <c r="K2186" s="1"/>
      <c r="L2186" s="1" t="s">
        <v>39</v>
      </c>
      <c r="M2186" s="1" t="str">
        <f>INDEX(MCC_Lookup!$B$2:$B$12,MATCH(G2186,MCC_Lookup!$A$2:$A$12,0))</f>
        <v>Entertainment</v>
      </c>
      <c r="N2186" s="1" t="str">
        <f>IF(TRIM(H2186)="","BLANK",IF(PROPER(TRIM(H2186))=TRIM(M2186),"MATCH","MISMATCH"))</f>
        <v>MATCH</v>
      </c>
      <c r="O2186" s="5" t="str">
        <f>INDEX([1]Employee!$C$2:$C$276,MATCH(B2186,[1]Employee!$A$2:$A$276,0))</f>
        <v>IT &amp; Platform Engineering</v>
      </c>
    </row>
    <row r="2187" spans="1:15">
      <c r="A2187" s="1" t="s">
        <v>4371</v>
      </c>
      <c r="B2187" s="1" t="s">
        <v>448</v>
      </c>
      <c r="C2187" s="1" t="s">
        <v>4372</v>
      </c>
      <c r="D2187" s="2">
        <v>46136</v>
      </c>
      <c r="E2187" s="2">
        <v>46143</v>
      </c>
      <c r="F2187" s="1" t="s">
        <v>242</v>
      </c>
      <c r="G2187" s="1" t="s">
        <v>13</v>
      </c>
      <c r="H2187" s="1" t="s">
        <v>14</v>
      </c>
      <c r="I2187" s="7">
        <v>16.14</v>
      </c>
      <c r="J2187" s="1" t="s">
        <v>38</v>
      </c>
      <c r="K2187" s="1"/>
      <c r="L2187" s="1" t="s">
        <v>39</v>
      </c>
      <c r="M2187" s="1" t="str">
        <f>INDEX(MCC_Lookup!$B$2:$B$12,MATCH(G2187,MCC_Lookup!$A$2:$A$12,0))</f>
        <v>Software</v>
      </c>
      <c r="N2187" s="1" t="str">
        <f>IF(TRIM(H2187)="","BLANK",IF(PROPER(TRIM(H2187))=TRIM(M2187),"MATCH","MISMATCH"))</f>
        <v>MATCH</v>
      </c>
      <c r="O2187" s="5" t="str">
        <f>INDEX([1]Employee!$C$2:$C$276,MATCH(B2187,[1]Employee!$A$2:$A$276,0))</f>
        <v>Sales &amp; Marketing</v>
      </c>
    </row>
    <row r="2188" spans="1:15">
      <c r="A2188" s="1" t="s">
        <v>4373</v>
      </c>
      <c r="B2188" s="1" t="s">
        <v>677</v>
      </c>
      <c r="C2188" s="1"/>
      <c r="D2188" s="2">
        <v>46136</v>
      </c>
      <c r="E2188" s="2">
        <v>46143</v>
      </c>
      <c r="F2188" s="1" t="s">
        <v>56</v>
      </c>
      <c r="G2188" s="1" t="s">
        <v>4</v>
      </c>
      <c r="H2188" s="1" t="s">
        <v>5</v>
      </c>
      <c r="I2188" s="7">
        <v>377.48</v>
      </c>
      <c r="J2188" s="1" t="s">
        <v>38</v>
      </c>
      <c r="K2188" s="1"/>
      <c r="L2188" s="1" t="s">
        <v>39</v>
      </c>
      <c r="M2188" s="1" t="str">
        <f>INDEX(MCC_Lookup!$B$2:$B$12,MATCH(G2188,MCC_Lookup!$A$2:$A$12,0))</f>
        <v>Travel</v>
      </c>
      <c r="N2188" s="1" t="str">
        <f>IF(TRIM(H2188)="","BLANK",IF(PROPER(TRIM(H2188))=TRIM(M2188),"MATCH","MISMATCH"))</f>
        <v>MATCH</v>
      </c>
      <c r="O2188" s="5" t="str">
        <f>INDEX([1]Employee!$C$2:$C$276,MATCH(B2188,[1]Employee!$A$2:$A$276,0))</f>
        <v>Sales &amp; Marketing</v>
      </c>
    </row>
    <row r="2189" spans="1:15">
      <c r="A2189" s="1" t="s">
        <v>4374</v>
      </c>
      <c r="B2189" s="1" t="s">
        <v>41</v>
      </c>
      <c r="C2189" s="1" t="s">
        <v>4375</v>
      </c>
      <c r="D2189" s="2">
        <v>46140</v>
      </c>
      <c r="E2189" s="2">
        <v>46143</v>
      </c>
      <c r="F2189" s="1" t="s">
        <v>76</v>
      </c>
      <c r="G2189" s="1" t="s">
        <v>13</v>
      </c>
      <c r="H2189" s="1" t="s">
        <v>14</v>
      </c>
      <c r="I2189" s="7">
        <v>451.06</v>
      </c>
      <c r="J2189" s="1" t="s">
        <v>38</v>
      </c>
      <c r="K2189" s="1"/>
      <c r="L2189" s="1" t="s">
        <v>39</v>
      </c>
      <c r="M2189" s="1" t="str">
        <f>INDEX(MCC_Lookup!$B$2:$B$12,MATCH(G2189,MCC_Lookup!$A$2:$A$12,0))</f>
        <v>Software</v>
      </c>
      <c r="N2189" s="1" t="str">
        <f>IF(TRIM(H2189)="","BLANK",IF(PROPER(TRIM(H2189))=TRIM(M2189),"MATCH","MISMATCH"))</f>
        <v>MATCH</v>
      </c>
      <c r="O2189" s="5" t="str">
        <f>INDEX([1]Employee!$C$2:$C$276,MATCH(B2189,[1]Employee!$A$2:$A$276,0))</f>
        <v>Sales &amp; Marketing</v>
      </c>
    </row>
    <row r="2190" spans="1:15">
      <c r="A2190" s="1" t="s">
        <v>4376</v>
      </c>
      <c r="B2190" s="1" t="s">
        <v>136</v>
      </c>
      <c r="C2190" s="1"/>
      <c r="D2190" s="2">
        <v>46139</v>
      </c>
      <c r="E2190" s="2">
        <v>46143</v>
      </c>
      <c r="F2190" s="1" t="s">
        <v>52</v>
      </c>
      <c r="G2190" s="1" t="s">
        <v>15</v>
      </c>
      <c r="H2190" s="1" t="s">
        <v>16</v>
      </c>
      <c r="I2190" s="7">
        <v>34.56</v>
      </c>
      <c r="J2190" s="1" t="s">
        <v>38</v>
      </c>
      <c r="K2190" s="1"/>
      <c r="L2190" s="1" t="s">
        <v>39</v>
      </c>
      <c r="M2190" s="1" t="str">
        <f>INDEX(MCC_Lookup!$B$2:$B$12,MATCH(G2190,MCC_Lookup!$A$2:$A$12,0))</f>
        <v>Entertainment</v>
      </c>
      <c r="N2190" s="1" t="str">
        <f>IF(TRIM(H2190)="","BLANK",IF(PROPER(TRIM(H2190))=TRIM(M2190),"MATCH","MISMATCH"))</f>
        <v>MATCH</v>
      </c>
      <c r="O2190" s="5" t="str">
        <f>INDEX([1]Employee!$C$2:$C$276,MATCH(B2190,[1]Employee!$A$2:$A$276,0))</f>
        <v>Sales &amp; Marketing</v>
      </c>
    </row>
    <row r="2191" spans="1:15">
      <c r="A2191" s="1" t="s">
        <v>4377</v>
      </c>
      <c r="B2191" s="1" t="s">
        <v>156</v>
      </c>
      <c r="C2191" s="1" t="s">
        <v>4378</v>
      </c>
      <c r="D2191" s="2">
        <v>46139</v>
      </c>
      <c r="E2191" s="2">
        <v>46143</v>
      </c>
      <c r="F2191" s="1" t="s">
        <v>242</v>
      </c>
      <c r="G2191" s="1" t="s">
        <v>13</v>
      </c>
      <c r="H2191" s="1" t="s">
        <v>14</v>
      </c>
      <c r="I2191" s="7">
        <v>39.130000000000003</v>
      </c>
      <c r="J2191" s="1" t="s">
        <v>38</v>
      </c>
      <c r="K2191" s="1"/>
      <c r="L2191" s="1" t="s">
        <v>39</v>
      </c>
      <c r="M2191" s="1" t="str">
        <f>INDEX(MCC_Lookup!$B$2:$B$12,MATCH(G2191,MCC_Lookup!$A$2:$A$12,0))</f>
        <v>Software</v>
      </c>
      <c r="N2191" s="1" t="str">
        <f>IF(TRIM(H2191)="","BLANK",IF(PROPER(TRIM(H2191))=TRIM(M2191),"MATCH","MISMATCH"))</f>
        <v>MATCH</v>
      </c>
      <c r="O2191" s="5" t="str">
        <f>INDEX([1]Employee!$C$2:$C$276,MATCH(B2191,[1]Employee!$A$2:$A$276,0))</f>
        <v>Sales &amp; Marketing</v>
      </c>
    </row>
    <row r="2192" spans="1:15">
      <c r="A2192" s="1" t="s">
        <v>4379</v>
      </c>
      <c r="B2192" s="1" t="s">
        <v>156</v>
      </c>
      <c r="C2192" s="1" t="s">
        <v>4380</v>
      </c>
      <c r="D2192" s="2">
        <v>46141</v>
      </c>
      <c r="E2192" s="2">
        <v>46143</v>
      </c>
      <c r="F2192" s="1" t="s">
        <v>83</v>
      </c>
      <c r="G2192" s="1" t="s">
        <v>2</v>
      </c>
      <c r="H2192" s="1" t="s">
        <v>3</v>
      </c>
      <c r="I2192" s="7">
        <v>29.23</v>
      </c>
      <c r="J2192" s="1" t="s">
        <v>38</v>
      </c>
      <c r="K2192" s="1"/>
      <c r="L2192" s="1" t="s">
        <v>48</v>
      </c>
      <c r="M2192" s="1" t="str">
        <f>INDEX(MCC_Lookup!$B$2:$B$12,MATCH(G2192,MCC_Lookup!$A$2:$A$12,0))</f>
        <v>Meals</v>
      </c>
      <c r="N2192" s="1" t="str">
        <f>IF(TRIM(H2192)="","BLANK",IF(PROPER(TRIM(H2192))=TRIM(M2192),"MATCH","MISMATCH"))</f>
        <v>MATCH</v>
      </c>
      <c r="O2192" s="5" t="str">
        <f>INDEX([1]Employee!$C$2:$C$276,MATCH(B2192,[1]Employee!$A$2:$A$276,0))</f>
        <v>Sales &amp; Marketing</v>
      </c>
    </row>
    <row r="2193" spans="1:15">
      <c r="A2193" s="1" t="s">
        <v>4381</v>
      </c>
      <c r="B2193" s="1" t="s">
        <v>684</v>
      </c>
      <c r="C2193" s="1" t="s">
        <v>4382</v>
      </c>
      <c r="D2193" s="2">
        <v>46135</v>
      </c>
      <c r="E2193" s="2">
        <v>46143</v>
      </c>
      <c r="F2193" s="1" t="s">
        <v>47</v>
      </c>
      <c r="G2193" s="1" t="s">
        <v>6</v>
      </c>
      <c r="H2193" s="1" t="s">
        <v>7</v>
      </c>
      <c r="I2193" s="7">
        <v>378.82</v>
      </c>
      <c r="J2193" s="1" t="s">
        <v>38</v>
      </c>
      <c r="K2193" s="1"/>
      <c r="L2193" s="1" t="s">
        <v>48</v>
      </c>
      <c r="M2193" s="1" t="str">
        <f>INDEX(MCC_Lookup!$B$2:$B$12,MATCH(G2193,MCC_Lookup!$A$2:$A$12,0))</f>
        <v>Lodging</v>
      </c>
      <c r="N2193" s="1" t="str">
        <f>IF(TRIM(H2193)="","BLANK",IF(PROPER(TRIM(H2193))=TRIM(M2193),"MATCH","MISMATCH"))</f>
        <v>MATCH</v>
      </c>
      <c r="O2193" s="5" t="str">
        <f>INDEX([1]Employee!$C$2:$C$276,MATCH(B2193,[1]Employee!$A$2:$A$276,0))</f>
        <v>Underwriting</v>
      </c>
    </row>
    <row r="2194" spans="1:15">
      <c r="A2194" s="1" t="s">
        <v>4383</v>
      </c>
      <c r="B2194" s="1" t="s">
        <v>1552</v>
      </c>
      <c r="C2194" s="1"/>
      <c r="D2194" s="2">
        <v>46142</v>
      </c>
      <c r="E2194" s="2">
        <v>46143</v>
      </c>
      <c r="F2194" s="1" t="s">
        <v>61</v>
      </c>
      <c r="G2194" s="1" t="s">
        <v>13</v>
      </c>
      <c r="H2194" s="1" t="s">
        <v>14</v>
      </c>
      <c r="I2194" s="7">
        <v>88.9</v>
      </c>
      <c r="J2194" s="1" t="s">
        <v>38</v>
      </c>
      <c r="K2194" s="1"/>
      <c r="L2194" s="1" t="s">
        <v>39</v>
      </c>
      <c r="M2194" s="1" t="str">
        <f>INDEX(MCC_Lookup!$B$2:$B$12,MATCH(G2194,MCC_Lookup!$A$2:$A$12,0))</f>
        <v>Software</v>
      </c>
      <c r="N2194" s="1" t="str">
        <f>IF(TRIM(H2194)="","BLANK",IF(PROPER(TRIM(H2194))=TRIM(M2194),"MATCH","MISMATCH"))</f>
        <v>MATCH</v>
      </c>
      <c r="O2194" s="5" t="str">
        <f>INDEX([1]Employee!$C$2:$C$276,MATCH(B2194,[1]Employee!$A$2:$A$276,0))</f>
        <v>Underwriting</v>
      </c>
    </row>
    <row r="2195" spans="1:15">
      <c r="A2195" s="1" t="s">
        <v>4384</v>
      </c>
      <c r="B2195" s="1" t="s">
        <v>382</v>
      </c>
      <c r="C2195" s="1" t="s">
        <v>4385</v>
      </c>
      <c r="D2195" s="2">
        <v>46139</v>
      </c>
      <c r="E2195" s="2">
        <v>46143</v>
      </c>
      <c r="F2195" s="1" t="s">
        <v>347</v>
      </c>
      <c r="G2195" s="1" t="s">
        <v>8</v>
      </c>
      <c r="H2195" s="1" t="s">
        <v>494</v>
      </c>
      <c r="I2195" s="7">
        <v>43.87</v>
      </c>
      <c r="J2195" s="1" t="s">
        <v>38</v>
      </c>
      <c r="K2195" s="1"/>
      <c r="L2195" s="1" t="s">
        <v>39</v>
      </c>
      <c r="M2195" s="1" t="str">
        <f>INDEX(MCC_Lookup!$B$2:$B$12,MATCH(G2195,MCC_Lookup!$A$2:$A$12,0))</f>
        <v>Transportation</v>
      </c>
      <c r="N2195" s="1" t="str">
        <f>IF(TRIM(H2195)="","BLANK",IF(PROPER(TRIM(H2195))=TRIM(M2195),"MATCH","MISMATCH"))</f>
        <v>MATCH</v>
      </c>
      <c r="O2195" s="5" t="str">
        <f>INDEX([1]Employee!$C$2:$C$276,MATCH(B2195,[1]Employee!$A$2:$A$276,0))</f>
        <v>Sales &amp; Marketing</v>
      </c>
    </row>
    <row r="2196" spans="1:15">
      <c r="A2196" s="1" t="s">
        <v>4386</v>
      </c>
      <c r="B2196" s="1" t="s">
        <v>469</v>
      </c>
      <c r="C2196" s="1"/>
      <c r="D2196" s="2">
        <v>46140</v>
      </c>
      <c r="E2196" s="2">
        <v>46143</v>
      </c>
      <c r="F2196" s="1" t="s">
        <v>56</v>
      </c>
      <c r="G2196" s="1" t="s">
        <v>4</v>
      </c>
      <c r="H2196" s="1" t="s">
        <v>5</v>
      </c>
      <c r="I2196" s="7">
        <v>587.25</v>
      </c>
      <c r="J2196" s="1" t="s">
        <v>111</v>
      </c>
      <c r="K2196" s="1" t="s">
        <v>127</v>
      </c>
      <c r="L2196" s="1" t="s">
        <v>48</v>
      </c>
      <c r="M2196" s="1" t="str">
        <f>INDEX(MCC_Lookup!$B$2:$B$12,MATCH(G2196,MCC_Lookup!$A$2:$A$12,0))</f>
        <v>Travel</v>
      </c>
      <c r="N2196" s="1" t="str">
        <f>IF(TRIM(H2196)="","BLANK",IF(PROPER(TRIM(H2196))=TRIM(M2196),"MATCH","MISMATCH"))</f>
        <v>MATCH</v>
      </c>
      <c r="O2196" s="5" t="str">
        <f>INDEX([1]Employee!$C$2:$C$276,MATCH(B2196,[1]Employee!$A$2:$A$276,0))</f>
        <v>Sales &amp; Marketing</v>
      </c>
    </row>
    <row r="2197" spans="1:15">
      <c r="A2197" s="1" t="s">
        <v>4387</v>
      </c>
      <c r="B2197" s="1" t="s">
        <v>1061</v>
      </c>
      <c r="C2197" s="1"/>
      <c r="D2197" s="2">
        <v>46142</v>
      </c>
      <c r="E2197" s="2">
        <v>46143</v>
      </c>
      <c r="F2197" s="1" t="s">
        <v>79</v>
      </c>
      <c r="G2197" s="1" t="s">
        <v>13</v>
      </c>
      <c r="H2197" s="1" t="s">
        <v>14</v>
      </c>
      <c r="I2197" s="7">
        <v>120.4</v>
      </c>
      <c r="J2197" s="1" t="s">
        <v>38</v>
      </c>
      <c r="K2197" s="1"/>
      <c r="L2197" s="1" t="s">
        <v>39</v>
      </c>
      <c r="M2197" s="1" t="str">
        <f>INDEX(MCC_Lookup!$B$2:$B$12,MATCH(G2197,MCC_Lookup!$A$2:$A$12,0))</f>
        <v>Software</v>
      </c>
      <c r="N2197" s="1" t="str">
        <f>IF(TRIM(H2197)="","BLANK",IF(PROPER(TRIM(H2197))=TRIM(M2197),"MATCH","MISMATCH"))</f>
        <v>MATCH</v>
      </c>
      <c r="O2197" s="5" t="str">
        <f>INDEX([1]Employee!$C$2:$C$276,MATCH(B2197,[1]Employee!$A$2:$A$276,0))</f>
        <v>Claims</v>
      </c>
    </row>
    <row r="2198" spans="1:15">
      <c r="A2198" s="1" t="s">
        <v>4388</v>
      </c>
      <c r="B2198" s="1" t="s">
        <v>303</v>
      </c>
      <c r="C2198" s="1" t="s">
        <v>4389</v>
      </c>
      <c r="D2198" s="2">
        <v>46137</v>
      </c>
      <c r="E2198" s="2">
        <v>46143</v>
      </c>
      <c r="F2198" s="1" t="s">
        <v>4390</v>
      </c>
      <c r="G2198" s="1" t="s">
        <v>13</v>
      </c>
      <c r="H2198" s="1" t="s">
        <v>14</v>
      </c>
      <c r="I2198" s="7">
        <v>119.67</v>
      </c>
      <c r="J2198" s="1" t="s">
        <v>38</v>
      </c>
      <c r="K2198" s="1"/>
      <c r="L2198" s="1" t="s">
        <v>39</v>
      </c>
      <c r="M2198" s="1" t="str">
        <f>INDEX(MCC_Lookup!$B$2:$B$12,MATCH(G2198,MCC_Lookup!$A$2:$A$12,0))</f>
        <v>Software</v>
      </c>
      <c r="N2198" s="1" t="str">
        <f>IF(TRIM(H2198)="","BLANK",IF(PROPER(TRIM(H2198))=TRIM(M2198),"MATCH","MISMATCH"))</f>
        <v>MATCH</v>
      </c>
      <c r="O2198" s="5" t="str">
        <f>INDEX([1]Employee!$C$2:$C$276,MATCH(B2198,[1]Employee!$A$2:$A$276,0))</f>
        <v>Sales &amp; Marketing</v>
      </c>
    </row>
    <row r="2199" spans="1:15">
      <c r="A2199" s="1" t="s">
        <v>4391</v>
      </c>
      <c r="B2199" s="1" t="s">
        <v>1440</v>
      </c>
      <c r="C2199" s="1" t="s">
        <v>4392</v>
      </c>
      <c r="D2199" s="2">
        <v>46135</v>
      </c>
      <c r="E2199" s="2">
        <v>46143</v>
      </c>
      <c r="F2199" s="1" t="s">
        <v>43</v>
      </c>
      <c r="G2199" s="1" t="s">
        <v>2</v>
      </c>
      <c r="H2199" s="1" t="s">
        <v>3</v>
      </c>
      <c r="I2199" s="7">
        <v>22.52</v>
      </c>
      <c r="J2199" s="1" t="s">
        <v>38</v>
      </c>
      <c r="K2199" s="1"/>
      <c r="L2199" s="1" t="s">
        <v>48</v>
      </c>
      <c r="M2199" s="1" t="str">
        <f>INDEX(MCC_Lookup!$B$2:$B$12,MATCH(G2199,MCC_Lookup!$A$2:$A$12,0))</f>
        <v>Meals</v>
      </c>
      <c r="N2199" s="1" t="str">
        <f>IF(TRIM(H2199)="","BLANK",IF(PROPER(TRIM(H2199))=TRIM(M2199),"MATCH","MISMATCH"))</f>
        <v>MATCH</v>
      </c>
      <c r="O2199" s="5" t="str">
        <f>INDEX([1]Employee!$C$2:$C$276,MATCH(B2199,[1]Employee!$A$2:$A$276,0))</f>
        <v>Claims</v>
      </c>
    </row>
    <row r="2200" spans="1:15">
      <c r="A2200" s="1" t="s">
        <v>4393</v>
      </c>
      <c r="B2200" s="1" t="s">
        <v>81</v>
      </c>
      <c r="C2200" s="1" t="s">
        <v>4394</v>
      </c>
      <c r="D2200" s="2">
        <v>46143</v>
      </c>
      <c r="E2200" s="2">
        <v>46143</v>
      </c>
      <c r="F2200" s="1" t="s">
        <v>61</v>
      </c>
      <c r="G2200" s="1" t="s">
        <v>13</v>
      </c>
      <c r="H2200" s="1" t="s">
        <v>14</v>
      </c>
      <c r="I2200" s="7">
        <v>66.03</v>
      </c>
      <c r="J2200" s="1" t="s">
        <v>38</v>
      </c>
      <c r="K2200" s="1"/>
      <c r="L2200" s="1" t="s">
        <v>39</v>
      </c>
      <c r="M2200" s="1" t="str">
        <f>INDEX(MCC_Lookup!$B$2:$B$12,MATCH(G2200,MCC_Lookup!$A$2:$A$12,0))</f>
        <v>Software</v>
      </c>
      <c r="N2200" s="1" t="str">
        <f>IF(TRIM(H2200)="","BLANK",IF(PROPER(TRIM(H2200))=TRIM(M2200),"MATCH","MISMATCH"))</f>
        <v>MATCH</v>
      </c>
      <c r="O2200" s="5" t="str">
        <f>INDEX([1]Employee!$C$2:$C$276,MATCH(B2200,[1]Employee!$A$2:$A$276,0))</f>
        <v>Sales &amp; Marketing</v>
      </c>
    </row>
    <row r="2201" spans="1:15">
      <c r="A2201" s="1" t="s">
        <v>4395</v>
      </c>
      <c r="B2201" s="1" t="s">
        <v>440</v>
      </c>
      <c r="C2201" s="1" t="s">
        <v>4396</v>
      </c>
      <c r="D2201" s="2">
        <v>46133</v>
      </c>
      <c r="E2201" s="2">
        <v>46143</v>
      </c>
      <c r="F2201" s="1" t="s">
        <v>79</v>
      </c>
      <c r="G2201" s="1" t="s">
        <v>13</v>
      </c>
      <c r="H2201" s="1"/>
      <c r="I2201" s="7">
        <v>92.93</v>
      </c>
      <c r="J2201" s="1" t="s">
        <v>38</v>
      </c>
      <c r="K2201" s="1"/>
      <c r="L2201" s="1" t="s">
        <v>39</v>
      </c>
      <c r="M2201" s="1" t="str">
        <f>INDEX(MCC_Lookup!$B$2:$B$12,MATCH(G2201,MCC_Lookup!$A$2:$A$12,0))</f>
        <v>Software</v>
      </c>
      <c r="N2201" s="1" t="str">
        <f>IF(TRIM(H2201)="","BLANK",IF(PROPER(TRIM(H2201))=TRIM(M2201),"MATCH","MISMATCH"))</f>
        <v>BLANK</v>
      </c>
      <c r="O2201" s="5" t="str">
        <f>INDEX([1]Employee!$C$2:$C$276,MATCH(B2201,[1]Employee!$A$2:$A$276,0))</f>
        <v>Underwriting</v>
      </c>
    </row>
    <row r="2202" spans="1:15">
      <c r="A2202" s="1" t="s">
        <v>4397</v>
      </c>
      <c r="B2202" s="1" t="s">
        <v>991</v>
      </c>
      <c r="C2202" s="1" t="s">
        <v>4398</v>
      </c>
      <c r="D2202" s="2">
        <v>46141</v>
      </c>
      <c r="E2202" s="2">
        <v>46143</v>
      </c>
      <c r="F2202" s="1" t="s">
        <v>173</v>
      </c>
      <c r="G2202" s="1" t="s">
        <v>2</v>
      </c>
      <c r="H2202" s="1" t="s">
        <v>3</v>
      </c>
      <c r="I2202" s="7">
        <v>21.08</v>
      </c>
      <c r="J2202" s="1" t="s">
        <v>38</v>
      </c>
      <c r="K2202" s="1"/>
      <c r="L2202" s="1" t="s">
        <v>39</v>
      </c>
      <c r="M2202" s="1" t="str">
        <f>INDEX(MCC_Lookup!$B$2:$B$12,MATCH(G2202,MCC_Lookup!$A$2:$A$12,0))</f>
        <v>Meals</v>
      </c>
      <c r="N2202" s="1" t="str">
        <f>IF(TRIM(H2202)="","BLANK",IF(PROPER(TRIM(H2202))=TRIM(M2202),"MATCH","MISMATCH"))</f>
        <v>MATCH</v>
      </c>
      <c r="O2202" s="5" t="str">
        <f>INDEX([1]Employee!$C$2:$C$276,MATCH(B2202,[1]Employee!$A$2:$A$276,0))</f>
        <v>Claims</v>
      </c>
    </row>
    <row r="2203" spans="1:15">
      <c r="A2203" s="1" t="s">
        <v>4399</v>
      </c>
      <c r="B2203" s="1" t="s">
        <v>603</v>
      </c>
      <c r="C2203" s="1" t="s">
        <v>4400</v>
      </c>
      <c r="D2203" s="2">
        <v>46140</v>
      </c>
      <c r="E2203" s="2">
        <v>46144</v>
      </c>
      <c r="F2203" s="1" t="s">
        <v>79</v>
      </c>
      <c r="G2203" s="1" t="s">
        <v>13</v>
      </c>
      <c r="H2203" s="1"/>
      <c r="I2203" s="7">
        <v>90.88</v>
      </c>
      <c r="J2203" s="1" t="s">
        <v>38</v>
      </c>
      <c r="K2203" s="1"/>
      <c r="L2203" s="1" t="s">
        <v>39</v>
      </c>
      <c r="M2203" s="1" t="str">
        <f>INDEX(MCC_Lookup!$B$2:$B$12,MATCH(G2203,MCC_Lookup!$A$2:$A$12,0))</f>
        <v>Software</v>
      </c>
      <c r="N2203" s="1" t="str">
        <f>IF(TRIM(H2203)="","BLANK",IF(PROPER(TRIM(H2203))=TRIM(M2203),"MATCH","MISMATCH"))</f>
        <v>BLANK</v>
      </c>
      <c r="O2203" s="5" t="str">
        <f>INDEX([1]Employee!$C$2:$C$276,MATCH(B2203,[1]Employee!$A$2:$A$276,0))</f>
        <v>Underwriting</v>
      </c>
    </row>
    <row r="2204" spans="1:15">
      <c r="A2204" s="1" t="s">
        <v>4401</v>
      </c>
      <c r="B2204" s="1" t="s">
        <v>292</v>
      </c>
      <c r="C2204" s="1"/>
      <c r="D2204" s="2">
        <v>46143</v>
      </c>
      <c r="E2204" s="2">
        <v>46144</v>
      </c>
      <c r="F2204" s="1" t="s">
        <v>177</v>
      </c>
      <c r="G2204" s="1" t="s">
        <v>13</v>
      </c>
      <c r="H2204" s="1" t="s">
        <v>14</v>
      </c>
      <c r="I2204" s="7">
        <v>13.66</v>
      </c>
      <c r="J2204" s="1" t="s">
        <v>38</v>
      </c>
      <c r="K2204" s="1"/>
      <c r="L2204" s="1" t="s">
        <v>39</v>
      </c>
      <c r="M2204" s="1" t="str">
        <f>INDEX(MCC_Lookup!$B$2:$B$12,MATCH(G2204,MCC_Lookup!$A$2:$A$12,0))</f>
        <v>Software</v>
      </c>
      <c r="N2204" s="1" t="str">
        <f>IF(TRIM(H2204)="","BLANK",IF(PROPER(TRIM(H2204))=TRIM(M2204),"MATCH","MISMATCH"))</f>
        <v>MATCH</v>
      </c>
      <c r="O2204" s="5" t="str">
        <f>INDEX([1]Employee!$C$2:$C$276,MATCH(B2204,[1]Employee!$A$2:$A$276,0))</f>
        <v>Sales &amp; Marketing</v>
      </c>
    </row>
    <row r="2205" spans="1:15">
      <c r="A2205" s="1" t="s">
        <v>4402</v>
      </c>
      <c r="B2205" s="1" t="s">
        <v>843</v>
      </c>
      <c r="C2205" s="1" t="s">
        <v>4403</v>
      </c>
      <c r="D2205" s="2">
        <v>46143</v>
      </c>
      <c r="E2205" s="2">
        <v>46144</v>
      </c>
      <c r="F2205" s="1" t="s">
        <v>83</v>
      </c>
      <c r="G2205" s="1" t="s">
        <v>2</v>
      </c>
      <c r="H2205" s="1" t="s">
        <v>5</v>
      </c>
      <c r="I2205" s="7">
        <v>9.41</v>
      </c>
      <c r="J2205" s="1" t="s">
        <v>38</v>
      </c>
      <c r="K2205" s="1"/>
      <c r="L2205" s="1" t="s">
        <v>39</v>
      </c>
      <c r="M2205" s="1" t="str">
        <f>INDEX(MCC_Lookup!$B$2:$B$12,MATCH(G2205,MCC_Lookup!$A$2:$A$12,0))</f>
        <v>Meals</v>
      </c>
      <c r="N2205" s="1" t="str">
        <f>IF(TRIM(H2205)="","BLANK",IF(PROPER(TRIM(H2205))=TRIM(M2205),"MATCH","MISMATCH"))</f>
        <v>MISMATCH</v>
      </c>
      <c r="O2205" s="5" t="str">
        <f>INDEX([1]Employee!$C$2:$C$276,MATCH(B2205,[1]Employee!$A$2:$A$276,0))</f>
        <v>Customer Support</v>
      </c>
    </row>
    <row r="2206" spans="1:15">
      <c r="A2206" s="1" t="s">
        <v>4404</v>
      </c>
      <c r="B2206" s="1" t="s">
        <v>738</v>
      </c>
      <c r="C2206" s="1" t="s">
        <v>4405</v>
      </c>
      <c r="D2206" s="2">
        <v>46139</v>
      </c>
      <c r="E2206" s="2">
        <v>46144</v>
      </c>
      <c r="F2206" s="1" t="s">
        <v>43</v>
      </c>
      <c r="G2206" s="1" t="s">
        <v>2</v>
      </c>
      <c r="H2206" s="1" t="s">
        <v>3</v>
      </c>
      <c r="I2206" s="7">
        <v>20.56</v>
      </c>
      <c r="J2206" s="1" t="s">
        <v>38</v>
      </c>
      <c r="K2206" s="1"/>
      <c r="L2206" s="1" t="s">
        <v>39</v>
      </c>
      <c r="M2206" s="1" t="str">
        <f>INDEX(MCC_Lookup!$B$2:$B$12,MATCH(G2206,MCC_Lookup!$A$2:$A$12,0))</f>
        <v>Meals</v>
      </c>
      <c r="N2206" s="1" t="str">
        <f>IF(TRIM(H2206)="","BLANK",IF(PROPER(TRIM(H2206))=TRIM(M2206),"MATCH","MISMATCH"))</f>
        <v>MATCH</v>
      </c>
      <c r="O2206" s="5" t="str">
        <f>INDEX([1]Employee!$C$2:$C$276,MATCH(B2206,[1]Employee!$A$2:$A$276,0))</f>
        <v>Sales &amp; Marketing</v>
      </c>
    </row>
    <row r="2207" spans="1:15">
      <c r="A2207" s="1" t="s">
        <v>4406</v>
      </c>
      <c r="B2207" s="1" t="s">
        <v>122</v>
      </c>
      <c r="C2207" s="1" t="s">
        <v>4407</v>
      </c>
      <c r="D2207" s="2">
        <v>46136</v>
      </c>
      <c r="E2207" s="2">
        <v>46144</v>
      </c>
      <c r="F2207" s="1" t="s">
        <v>95</v>
      </c>
      <c r="G2207" s="1" t="s">
        <v>6</v>
      </c>
      <c r="H2207" s="1" t="s">
        <v>7</v>
      </c>
      <c r="I2207" s="7">
        <v>141.80000000000001</v>
      </c>
      <c r="J2207" s="1" t="s">
        <v>38</v>
      </c>
      <c r="K2207" s="1"/>
      <c r="L2207" s="1" t="s">
        <v>48</v>
      </c>
      <c r="M2207" s="1" t="str">
        <f>INDEX(MCC_Lookup!$B$2:$B$12,MATCH(G2207,MCC_Lookup!$A$2:$A$12,0))</f>
        <v>Lodging</v>
      </c>
      <c r="N2207" s="1" t="str">
        <f>IF(TRIM(H2207)="","BLANK",IF(PROPER(TRIM(H2207))=TRIM(M2207),"MATCH","MISMATCH"))</f>
        <v>MATCH</v>
      </c>
      <c r="O2207" s="5" t="str">
        <f>INDEX([1]Employee!$C$2:$C$276,MATCH(B2207,[1]Employee!$A$2:$A$276,0))</f>
        <v>Sales &amp; Marketing</v>
      </c>
    </row>
    <row r="2208" spans="1:15">
      <c r="A2208" s="1" t="s">
        <v>4408</v>
      </c>
      <c r="B2208" s="1" t="s">
        <v>349</v>
      </c>
      <c r="C2208" s="1" t="s">
        <v>4409</v>
      </c>
      <c r="D2208" s="2">
        <v>46135</v>
      </c>
      <c r="E2208" s="2">
        <v>46144</v>
      </c>
      <c r="F2208" s="1" t="s">
        <v>242</v>
      </c>
      <c r="G2208" s="1" t="s">
        <v>13</v>
      </c>
      <c r="H2208" s="1" t="s">
        <v>419</v>
      </c>
      <c r="I2208" s="7">
        <v>45.81</v>
      </c>
      <c r="J2208" s="1" t="s">
        <v>38</v>
      </c>
      <c r="K2208" s="1"/>
      <c r="L2208" s="1" t="s">
        <v>39</v>
      </c>
      <c r="M2208" s="1" t="str">
        <f>INDEX(MCC_Lookup!$B$2:$B$12,MATCH(G2208,MCC_Lookup!$A$2:$A$12,0))</f>
        <v>Software</v>
      </c>
      <c r="N2208" s="1" t="str">
        <f>IF(TRIM(H2208)="","BLANK",IF(PROPER(TRIM(H2208))=TRIM(M2208),"MATCH","MISMATCH"))</f>
        <v>MATCH</v>
      </c>
      <c r="O2208" s="5" t="str">
        <f>INDEX([1]Employee!$C$2:$C$276,MATCH(B2208,[1]Employee!$A$2:$A$276,0))</f>
        <v>Sales &amp; Marketing</v>
      </c>
    </row>
    <row r="2209" spans="1:15">
      <c r="A2209" s="1" t="s">
        <v>4410</v>
      </c>
      <c r="B2209" s="1" t="s">
        <v>349</v>
      </c>
      <c r="C2209" s="1" t="s">
        <v>4411</v>
      </c>
      <c r="D2209" s="2">
        <v>46139</v>
      </c>
      <c r="E2209" s="2">
        <v>46144</v>
      </c>
      <c r="F2209" s="1" t="s">
        <v>573</v>
      </c>
      <c r="G2209" s="1" t="s">
        <v>18</v>
      </c>
      <c r="H2209" s="1" t="s">
        <v>19</v>
      </c>
      <c r="I2209" s="7">
        <v>231.55</v>
      </c>
      <c r="J2209" s="1" t="s">
        <v>38</v>
      </c>
      <c r="K2209" s="1"/>
      <c r="L2209" s="1" t="s">
        <v>39</v>
      </c>
      <c r="M2209" s="1" t="str">
        <f>INDEX(MCC_Lookup!$B$2:$B$12,MATCH(G2209,MCC_Lookup!$A$2:$A$12,0))</f>
        <v>Events</v>
      </c>
      <c r="N2209" s="1" t="str">
        <f>IF(TRIM(H2209)="","BLANK",IF(PROPER(TRIM(H2209))=TRIM(M2209),"MATCH","MISMATCH"))</f>
        <v>MATCH</v>
      </c>
      <c r="O2209" s="5" t="str">
        <f>INDEX([1]Employee!$C$2:$C$276,MATCH(B2209,[1]Employee!$A$2:$A$276,0))</f>
        <v>Sales &amp; Marketing</v>
      </c>
    </row>
    <row r="2210" spans="1:15">
      <c r="A2210" s="1" t="s">
        <v>4412</v>
      </c>
      <c r="B2210" s="1" t="s">
        <v>250</v>
      </c>
      <c r="C2210" s="1"/>
      <c r="D2210" s="2">
        <v>46141</v>
      </c>
      <c r="E2210" s="2">
        <v>46144</v>
      </c>
      <c r="F2210" s="1" t="s">
        <v>259</v>
      </c>
      <c r="G2210" s="1" t="s">
        <v>20</v>
      </c>
      <c r="H2210" s="1" t="s">
        <v>19</v>
      </c>
      <c r="I2210" s="7">
        <v>310.83</v>
      </c>
      <c r="J2210" s="1" t="s">
        <v>111</v>
      </c>
      <c r="K2210" s="1" t="s">
        <v>229</v>
      </c>
      <c r="L2210" s="1" t="s">
        <v>39</v>
      </c>
      <c r="M2210" s="1" t="str">
        <f>INDEX(MCC_Lookup!$B$2:$B$12,MATCH(G2210,MCC_Lookup!$A$2:$A$12,0))</f>
        <v>Events</v>
      </c>
      <c r="N2210" s="1" t="str">
        <f>IF(TRIM(H2210)="","BLANK",IF(PROPER(TRIM(H2210))=TRIM(M2210),"MATCH","MISMATCH"))</f>
        <v>MATCH</v>
      </c>
      <c r="O2210" s="5" t="str">
        <f>INDEX([1]Employee!$C$2:$C$276,MATCH(B2210,[1]Employee!$A$2:$A$276,0))</f>
        <v>Sales &amp; Marketing</v>
      </c>
    </row>
    <row r="2211" spans="1:15">
      <c r="A2211" s="1" t="s">
        <v>4413</v>
      </c>
      <c r="B2211" s="1" t="s">
        <v>595</v>
      </c>
      <c r="C2211" s="1" t="s">
        <v>4414</v>
      </c>
      <c r="D2211" s="2">
        <v>46141</v>
      </c>
      <c r="E2211" s="2">
        <v>46144</v>
      </c>
      <c r="F2211" s="1" t="s">
        <v>177</v>
      </c>
      <c r="G2211" s="1" t="s">
        <v>13</v>
      </c>
      <c r="H2211" s="1" t="s">
        <v>14</v>
      </c>
      <c r="I2211" s="7">
        <v>50.24</v>
      </c>
      <c r="J2211" s="1" t="s">
        <v>38</v>
      </c>
      <c r="K2211" s="1"/>
      <c r="L2211" s="1" t="s">
        <v>39</v>
      </c>
      <c r="M2211" s="1" t="str">
        <f>INDEX(MCC_Lookup!$B$2:$B$12,MATCH(G2211,MCC_Lookup!$A$2:$A$12,0))</f>
        <v>Software</v>
      </c>
      <c r="N2211" s="1" t="str">
        <f>IF(TRIM(H2211)="","BLANK",IF(PROPER(TRIM(H2211))=TRIM(M2211),"MATCH","MISMATCH"))</f>
        <v>MATCH</v>
      </c>
      <c r="O2211" s="5" t="str">
        <f>INDEX([1]Employee!$C$2:$C$276,MATCH(B2211,[1]Employee!$A$2:$A$276,0))</f>
        <v>Executive &amp; Corporate</v>
      </c>
    </row>
    <row r="2212" spans="1:15">
      <c r="A2212" s="1" t="s">
        <v>4415</v>
      </c>
      <c r="B2212" s="1" t="s">
        <v>1159</v>
      </c>
      <c r="C2212" s="1" t="s">
        <v>4416</v>
      </c>
      <c r="D2212" s="2">
        <v>46142</v>
      </c>
      <c r="E2212" s="2">
        <v>46144</v>
      </c>
      <c r="F2212" s="1" t="s">
        <v>72</v>
      </c>
      <c r="G2212" s="1" t="s">
        <v>8</v>
      </c>
      <c r="H2212" s="1" t="s">
        <v>9</v>
      </c>
      <c r="I2212" s="7">
        <v>11.43</v>
      </c>
      <c r="J2212" s="1" t="s">
        <v>38</v>
      </c>
      <c r="K2212" s="1"/>
      <c r="L2212" s="1" t="s">
        <v>39</v>
      </c>
      <c r="M2212" s="1" t="str">
        <f>INDEX(MCC_Lookup!$B$2:$B$12,MATCH(G2212,MCC_Lookup!$A$2:$A$12,0))</f>
        <v>Transportation</v>
      </c>
      <c r="N2212" s="1" t="str">
        <f>IF(TRIM(H2212)="","BLANK",IF(PROPER(TRIM(H2212))=TRIM(M2212),"MATCH","MISMATCH"))</f>
        <v>MATCH</v>
      </c>
      <c r="O2212" s="5" t="str">
        <f>INDEX([1]Employee!$C$2:$C$276,MATCH(B2212,[1]Employee!$A$2:$A$276,0))</f>
        <v>Customer Support</v>
      </c>
    </row>
    <row r="2213" spans="1:15">
      <c r="A2213" s="1" t="s">
        <v>4417</v>
      </c>
      <c r="B2213" s="1" t="s">
        <v>3233</v>
      </c>
      <c r="C2213" s="1" t="s">
        <v>4418</v>
      </c>
      <c r="D2213" s="2">
        <v>46140</v>
      </c>
      <c r="E2213" s="2">
        <v>46144</v>
      </c>
      <c r="F2213" s="1" t="s">
        <v>2059</v>
      </c>
      <c r="G2213" s="1" t="s">
        <v>13</v>
      </c>
      <c r="H2213" s="1" t="s">
        <v>14</v>
      </c>
      <c r="I2213" s="7">
        <v>225.97</v>
      </c>
      <c r="J2213" s="1" t="s">
        <v>38</v>
      </c>
      <c r="K2213" s="1"/>
      <c r="L2213" s="1" t="s">
        <v>39</v>
      </c>
      <c r="M2213" s="1" t="str">
        <f>INDEX(MCC_Lookup!$B$2:$B$12,MATCH(G2213,MCC_Lookup!$A$2:$A$12,0))</f>
        <v>Software</v>
      </c>
      <c r="N2213" s="1" t="str">
        <f>IF(TRIM(H2213)="","BLANK",IF(PROPER(TRIM(H2213))=TRIM(M2213),"MATCH","MISMATCH"))</f>
        <v>MATCH</v>
      </c>
      <c r="O2213" s="5" t="str">
        <f>INDEX([1]Employee!$C$2:$C$276,MATCH(B2213,[1]Employee!$A$2:$A$276,0))</f>
        <v>Underwriting</v>
      </c>
    </row>
    <row r="2214" spans="1:15">
      <c r="A2214" s="1" t="s">
        <v>4419</v>
      </c>
      <c r="B2214" s="1" t="s">
        <v>640</v>
      </c>
      <c r="C2214" s="1" t="s">
        <v>4420</v>
      </c>
      <c r="D2214" s="2">
        <v>46136</v>
      </c>
      <c r="E2214" s="2">
        <v>46144</v>
      </c>
      <c r="F2214" s="1" t="s">
        <v>69</v>
      </c>
      <c r="G2214" s="1" t="s">
        <v>8</v>
      </c>
      <c r="H2214" s="1" t="s">
        <v>9</v>
      </c>
      <c r="I2214" s="7">
        <v>21.69</v>
      </c>
      <c r="J2214" s="1" t="s">
        <v>38</v>
      </c>
      <c r="K2214" s="1"/>
      <c r="L2214" s="1" t="s">
        <v>39</v>
      </c>
      <c r="M2214" s="1" t="str">
        <f>INDEX(MCC_Lookup!$B$2:$B$12,MATCH(G2214,MCC_Lookup!$A$2:$A$12,0))</f>
        <v>Transportation</v>
      </c>
      <c r="N2214" s="1" t="str">
        <f>IF(TRIM(H2214)="","BLANK",IF(PROPER(TRIM(H2214))=TRIM(M2214),"MATCH","MISMATCH"))</f>
        <v>MATCH</v>
      </c>
      <c r="O2214" s="5" t="str">
        <f>INDEX([1]Employee!$C$2:$C$276,MATCH(B2214,[1]Employee!$A$2:$A$276,0))</f>
        <v>Underwriting</v>
      </c>
    </row>
    <row r="2215" spans="1:15">
      <c r="A2215" s="1" t="s">
        <v>4421</v>
      </c>
      <c r="B2215" s="1" t="s">
        <v>947</v>
      </c>
      <c r="C2215" s="1" t="s">
        <v>4422</v>
      </c>
      <c r="D2215" s="2">
        <v>46144</v>
      </c>
      <c r="E2215" s="2">
        <v>46144</v>
      </c>
      <c r="F2215" s="1" t="s">
        <v>116</v>
      </c>
      <c r="G2215" s="1" t="s">
        <v>2</v>
      </c>
      <c r="H2215" s="1" t="s">
        <v>138</v>
      </c>
      <c r="I2215" s="7">
        <v>15.78</v>
      </c>
      <c r="J2215" s="1" t="s">
        <v>38</v>
      </c>
      <c r="K2215" s="1"/>
      <c r="L2215" s="1" t="s">
        <v>39</v>
      </c>
      <c r="M2215" s="1" t="str">
        <f>INDEX(MCC_Lookup!$B$2:$B$12,MATCH(G2215,MCC_Lookup!$A$2:$A$12,0))</f>
        <v>Meals</v>
      </c>
      <c r="N2215" s="1" t="str">
        <f>IF(TRIM(H2215)="","BLANK",IF(PROPER(TRIM(H2215))=TRIM(M2215),"MATCH","MISMATCH"))</f>
        <v>MATCH</v>
      </c>
      <c r="O2215" s="5" t="str">
        <f>INDEX([1]Employee!$C$2:$C$276,MATCH(B2215,[1]Employee!$A$2:$A$276,0))</f>
        <v>Sales &amp; Marketing</v>
      </c>
    </row>
    <row r="2216" spans="1:15">
      <c r="A2216" s="1" t="s">
        <v>4423</v>
      </c>
      <c r="B2216" s="1" t="s">
        <v>433</v>
      </c>
      <c r="C2216" s="1" t="s">
        <v>4424</v>
      </c>
      <c r="D2216" s="2">
        <v>46136</v>
      </c>
      <c r="E2216" s="2">
        <v>46145</v>
      </c>
      <c r="F2216" s="1" t="s">
        <v>259</v>
      </c>
      <c r="G2216" s="1" t="s">
        <v>20</v>
      </c>
      <c r="H2216" s="1" t="s">
        <v>19</v>
      </c>
      <c r="I2216" s="7">
        <v>354.18</v>
      </c>
      <c r="J2216" s="1" t="s">
        <v>38</v>
      </c>
      <c r="K2216" s="1"/>
      <c r="L2216" s="1" t="s">
        <v>39</v>
      </c>
      <c r="M2216" s="1" t="str">
        <f>INDEX(MCC_Lookup!$B$2:$B$12,MATCH(G2216,MCC_Lookup!$A$2:$A$12,0))</f>
        <v>Events</v>
      </c>
      <c r="N2216" s="1" t="str">
        <f>IF(TRIM(H2216)="","BLANK",IF(PROPER(TRIM(H2216))=TRIM(M2216),"MATCH","MISMATCH"))</f>
        <v>MATCH</v>
      </c>
      <c r="O2216" s="5" t="str">
        <f>INDEX([1]Employee!$C$2:$C$276,MATCH(B2216,[1]Employee!$A$2:$A$276,0))</f>
        <v>Sales &amp; Marketing</v>
      </c>
    </row>
    <row r="2217" spans="1:15">
      <c r="A2217" s="1" t="s">
        <v>4425</v>
      </c>
      <c r="B2217" s="1" t="s">
        <v>352</v>
      </c>
      <c r="C2217" s="1"/>
      <c r="D2217" s="2">
        <v>46138</v>
      </c>
      <c r="E2217" s="2">
        <v>46145</v>
      </c>
      <c r="F2217" s="1" t="s">
        <v>120</v>
      </c>
      <c r="G2217" s="1" t="s">
        <v>12</v>
      </c>
      <c r="H2217" s="1"/>
      <c r="I2217" s="7">
        <v>351.3</v>
      </c>
      <c r="J2217" s="1" t="s">
        <v>38</v>
      </c>
      <c r="K2217" s="1"/>
      <c r="L2217" s="1" t="s">
        <v>39</v>
      </c>
      <c r="M2217" s="1" t="str">
        <f>INDEX(MCC_Lookup!$B$2:$B$12,MATCH(G2217,MCC_Lookup!$A$2:$A$12,0))</f>
        <v>Office Supplies</v>
      </c>
      <c r="N2217" s="1" t="str">
        <f>IF(TRIM(H2217)="","BLANK",IF(PROPER(TRIM(H2217))=TRIM(M2217),"MATCH","MISMATCH"))</f>
        <v>BLANK</v>
      </c>
      <c r="O2217" s="5" t="str">
        <f>INDEX([1]Employee!$C$2:$C$276,MATCH(B2217,[1]Employee!$A$2:$A$276,0))</f>
        <v>Sales &amp; Marketing</v>
      </c>
    </row>
    <row r="2218" spans="1:15">
      <c r="A2218" s="1" t="s">
        <v>4426</v>
      </c>
      <c r="B2218" s="1" t="s">
        <v>45</v>
      </c>
      <c r="C2218" s="1" t="s">
        <v>4427</v>
      </c>
      <c r="D2218" s="2">
        <v>46138</v>
      </c>
      <c r="E2218" s="2">
        <v>46145</v>
      </c>
      <c r="F2218" s="1" t="s">
        <v>305</v>
      </c>
      <c r="G2218" s="1" t="s">
        <v>2</v>
      </c>
      <c r="H2218" s="1" t="s">
        <v>3</v>
      </c>
      <c r="I2218" s="7">
        <v>7.15</v>
      </c>
      <c r="J2218" s="1" t="s">
        <v>38</v>
      </c>
      <c r="K2218" s="1"/>
      <c r="L2218" s="1" t="s">
        <v>39</v>
      </c>
      <c r="M2218" s="1" t="str">
        <f>INDEX(MCC_Lookup!$B$2:$B$12,MATCH(G2218,MCC_Lookup!$A$2:$A$12,0))</f>
        <v>Meals</v>
      </c>
      <c r="N2218" s="1" t="str">
        <f>IF(TRIM(H2218)="","BLANK",IF(PROPER(TRIM(H2218))=TRIM(M2218),"MATCH","MISMATCH"))</f>
        <v>MATCH</v>
      </c>
      <c r="O2218" s="5" t="str">
        <f>INDEX([1]Employee!$C$2:$C$276,MATCH(B2218,[1]Employee!$A$2:$A$276,0))</f>
        <v>IT &amp; Platform Engineering</v>
      </c>
    </row>
    <row r="2219" spans="1:15">
      <c r="A2219" s="1" t="s">
        <v>4428</v>
      </c>
      <c r="B2219" s="1" t="s">
        <v>300</v>
      </c>
      <c r="C2219" s="1" t="s">
        <v>4429</v>
      </c>
      <c r="D2219" s="2">
        <v>46145</v>
      </c>
      <c r="E2219" s="2">
        <v>46145</v>
      </c>
      <c r="F2219" s="1" t="s">
        <v>106</v>
      </c>
      <c r="G2219" s="1" t="s">
        <v>13</v>
      </c>
      <c r="H2219" s="1" t="s">
        <v>14</v>
      </c>
      <c r="I2219" s="7">
        <v>80.92</v>
      </c>
      <c r="J2219" s="1" t="s">
        <v>38</v>
      </c>
      <c r="K2219" s="1"/>
      <c r="L2219" s="1" t="s">
        <v>39</v>
      </c>
      <c r="M2219" s="1" t="str">
        <f>INDEX(MCC_Lookup!$B$2:$B$12,MATCH(G2219,MCC_Lookup!$A$2:$A$12,0))</f>
        <v>Software</v>
      </c>
      <c r="N2219" s="1" t="str">
        <f>IF(TRIM(H2219)="","BLANK",IF(PROPER(TRIM(H2219))=TRIM(M2219),"MATCH","MISMATCH"))</f>
        <v>MATCH</v>
      </c>
      <c r="O2219" s="5" t="str">
        <f>INDEX([1]Employee!$C$2:$C$276,MATCH(B2219,[1]Employee!$A$2:$A$276,0))</f>
        <v>Sales &amp; Marketing</v>
      </c>
    </row>
    <row r="2220" spans="1:15">
      <c r="A2220" s="1" t="s">
        <v>4430</v>
      </c>
      <c r="B2220" s="1" t="s">
        <v>890</v>
      </c>
      <c r="C2220" s="1"/>
      <c r="D2220" s="2">
        <v>46142</v>
      </c>
      <c r="E2220" s="2">
        <v>46145</v>
      </c>
      <c r="F2220" s="1" t="s">
        <v>124</v>
      </c>
      <c r="G2220" s="1" t="s">
        <v>17</v>
      </c>
      <c r="H2220" s="1" t="s">
        <v>16</v>
      </c>
      <c r="I2220" s="7">
        <v>145.25</v>
      </c>
      <c r="J2220" s="1" t="s">
        <v>111</v>
      </c>
      <c r="K2220" s="1" t="s">
        <v>161</v>
      </c>
      <c r="L2220" s="1" t="s">
        <v>39</v>
      </c>
      <c r="M2220" s="1" t="str">
        <f>INDEX(MCC_Lookup!$B$2:$B$12,MATCH(G2220,MCC_Lookup!$A$2:$A$12,0))</f>
        <v>Entertainment</v>
      </c>
      <c r="N2220" s="1" t="str">
        <f>IF(TRIM(H2220)="","BLANK",IF(PROPER(TRIM(H2220))=TRIM(M2220),"MATCH","MISMATCH"))</f>
        <v>MATCH</v>
      </c>
      <c r="O2220" s="5" t="str">
        <f>INDEX([1]Employee!$C$2:$C$276,MATCH(B2220,[1]Employee!$A$2:$A$276,0))</f>
        <v>Sales &amp; Marketing</v>
      </c>
    </row>
    <row r="2221" spans="1:15">
      <c r="A2221" s="1" t="s">
        <v>4431</v>
      </c>
      <c r="B2221" s="1" t="s">
        <v>194</v>
      </c>
      <c r="C2221" s="1" t="s">
        <v>4432</v>
      </c>
      <c r="D2221" s="2">
        <v>46135</v>
      </c>
      <c r="E2221" s="2">
        <v>46145</v>
      </c>
      <c r="F2221" s="1" t="s">
        <v>79</v>
      </c>
      <c r="G2221" s="1" t="s">
        <v>13</v>
      </c>
      <c r="H2221" s="1" t="s">
        <v>192</v>
      </c>
      <c r="I2221" s="7">
        <v>121.99</v>
      </c>
      <c r="J2221" s="1" t="s">
        <v>38</v>
      </c>
      <c r="K2221" s="1"/>
      <c r="L2221" s="1" t="s">
        <v>39</v>
      </c>
      <c r="M2221" s="1" t="str">
        <f>INDEX(MCC_Lookup!$B$2:$B$12,MATCH(G2221,MCC_Lookup!$A$2:$A$12,0))</f>
        <v>Software</v>
      </c>
      <c r="N2221" s="1" t="str">
        <f>IF(TRIM(H2221)="","BLANK",IF(PROPER(TRIM(H2221))=TRIM(M2221),"MATCH","MISMATCH"))</f>
        <v>MATCH</v>
      </c>
      <c r="O2221" s="5" t="str">
        <f>INDEX([1]Employee!$C$2:$C$276,MATCH(B2221,[1]Employee!$A$2:$A$276,0))</f>
        <v>Claims</v>
      </c>
    </row>
    <row r="2222" spans="1:15">
      <c r="A2222" s="1" t="s">
        <v>4433</v>
      </c>
      <c r="B2222" s="1" t="s">
        <v>199</v>
      </c>
      <c r="C2222" s="1"/>
      <c r="D2222" s="2">
        <v>46145</v>
      </c>
      <c r="E2222" s="2">
        <v>46145</v>
      </c>
      <c r="F2222" s="1" t="s">
        <v>92</v>
      </c>
      <c r="G2222" s="1" t="s">
        <v>10</v>
      </c>
      <c r="H2222" s="1"/>
      <c r="I2222" s="7">
        <v>104.85</v>
      </c>
      <c r="J2222" s="1" t="s">
        <v>38</v>
      </c>
      <c r="K2222" s="1"/>
      <c r="L2222" s="1" t="s">
        <v>39</v>
      </c>
      <c r="M2222" s="1" t="str">
        <f>INDEX(MCC_Lookup!$B$2:$B$12,MATCH(G2222,MCC_Lookup!$A$2:$A$12,0))</f>
        <v>Office Supplies</v>
      </c>
      <c r="N2222" s="1" t="str">
        <f>IF(TRIM(H2222)="","BLANK",IF(PROPER(TRIM(H2222))=TRIM(M2222),"MATCH","MISMATCH"))</f>
        <v>BLANK</v>
      </c>
      <c r="O2222" s="5" t="str">
        <f>INDEX([1]Employee!$C$2:$C$276,MATCH(B2222,[1]Employee!$A$2:$A$276,0))</f>
        <v>Sales &amp; Marketing</v>
      </c>
    </row>
    <row r="2223" spans="1:15">
      <c r="A2223" s="1" t="s">
        <v>4434</v>
      </c>
      <c r="B2223" s="1" t="s">
        <v>67</v>
      </c>
      <c r="C2223" s="1" t="s">
        <v>4435</v>
      </c>
      <c r="D2223" s="2">
        <v>46144</v>
      </c>
      <c r="E2223" s="2">
        <v>46145</v>
      </c>
      <c r="F2223" s="1" t="s">
        <v>72</v>
      </c>
      <c r="G2223" s="1" t="s">
        <v>8</v>
      </c>
      <c r="H2223" s="1" t="s">
        <v>5</v>
      </c>
      <c r="I2223" s="7">
        <v>41.74</v>
      </c>
      <c r="J2223" s="1" t="s">
        <v>38</v>
      </c>
      <c r="K2223" s="1"/>
      <c r="L2223" s="1" t="s">
        <v>39</v>
      </c>
      <c r="M2223" s="1" t="str">
        <f>INDEX(MCC_Lookup!$B$2:$B$12,MATCH(G2223,MCC_Lookup!$A$2:$A$12,0))</f>
        <v>Transportation</v>
      </c>
      <c r="N2223" s="1" t="str">
        <f>IF(TRIM(H2223)="","BLANK",IF(PROPER(TRIM(H2223))=TRIM(M2223),"MATCH","MISMATCH"))</f>
        <v>MISMATCH</v>
      </c>
      <c r="O2223" s="5" t="str">
        <f>INDEX([1]Employee!$C$2:$C$276,MATCH(B2223,[1]Employee!$A$2:$A$276,0))</f>
        <v>Sales &amp; Marketing</v>
      </c>
    </row>
    <row r="2224" spans="1:15">
      <c r="A2224" s="1" t="s">
        <v>4436</v>
      </c>
      <c r="B2224" s="1" t="s">
        <v>1504</v>
      </c>
      <c r="C2224" s="1" t="s">
        <v>4437</v>
      </c>
      <c r="D2224" s="2">
        <v>46145</v>
      </c>
      <c r="E2224" s="2">
        <v>46145</v>
      </c>
      <c r="F2224" s="1" t="s">
        <v>72</v>
      </c>
      <c r="G2224" s="1" t="s">
        <v>8</v>
      </c>
      <c r="H2224" s="1" t="s">
        <v>9</v>
      </c>
      <c r="I2224" s="7">
        <v>39.39</v>
      </c>
      <c r="J2224" s="1" t="s">
        <v>38</v>
      </c>
      <c r="K2224" s="1"/>
      <c r="L2224" s="1" t="s">
        <v>39</v>
      </c>
      <c r="M2224" s="1" t="str">
        <f>INDEX(MCC_Lookup!$B$2:$B$12,MATCH(G2224,MCC_Lookup!$A$2:$A$12,0))</f>
        <v>Transportation</v>
      </c>
      <c r="N2224" s="1" t="str">
        <f>IF(TRIM(H2224)="","BLANK",IF(PROPER(TRIM(H2224))=TRIM(M2224),"MATCH","MISMATCH"))</f>
        <v>MATCH</v>
      </c>
      <c r="O2224" s="5" t="str">
        <f>INDEX([1]Employee!$C$2:$C$276,MATCH(B2224,[1]Employee!$A$2:$A$276,0))</f>
        <v>Sales &amp; Marketing</v>
      </c>
    </row>
    <row r="2225" spans="1:15">
      <c r="A2225" s="1" t="s">
        <v>4438</v>
      </c>
      <c r="B2225" s="1" t="s">
        <v>255</v>
      </c>
      <c r="C2225" s="1" t="s">
        <v>4439</v>
      </c>
      <c r="D2225" s="2">
        <v>46136</v>
      </c>
      <c r="E2225" s="2">
        <v>46145</v>
      </c>
      <c r="F2225" s="1" t="s">
        <v>106</v>
      </c>
      <c r="G2225" s="1" t="s">
        <v>13</v>
      </c>
      <c r="H2225" s="1" t="s">
        <v>14</v>
      </c>
      <c r="I2225" s="7">
        <v>205.9</v>
      </c>
      <c r="J2225" s="1" t="s">
        <v>38</v>
      </c>
      <c r="K2225" s="1"/>
      <c r="L2225" s="1" t="s">
        <v>39</v>
      </c>
      <c r="M2225" s="1" t="str">
        <f>INDEX(MCC_Lookup!$B$2:$B$12,MATCH(G2225,MCC_Lookup!$A$2:$A$12,0))</f>
        <v>Software</v>
      </c>
      <c r="N2225" s="1" t="str">
        <f>IF(TRIM(H2225)="","BLANK",IF(PROPER(TRIM(H2225))=TRIM(M2225),"MATCH","MISMATCH"))</f>
        <v>MATCH</v>
      </c>
      <c r="O2225" s="5" t="str">
        <f>INDEX([1]Employee!$C$2:$C$276,MATCH(B2225,[1]Employee!$A$2:$A$276,0))</f>
        <v>Claims</v>
      </c>
    </row>
    <row r="2226" spans="1:15">
      <c r="A2226" s="1" t="s">
        <v>4440</v>
      </c>
      <c r="B2226" s="1" t="s">
        <v>59</v>
      </c>
      <c r="C2226" s="1"/>
      <c r="D2226" s="2">
        <v>46135</v>
      </c>
      <c r="E2226" s="2">
        <v>46145</v>
      </c>
      <c r="F2226" s="1" t="s">
        <v>37</v>
      </c>
      <c r="G2226" s="1" t="s">
        <v>4</v>
      </c>
      <c r="H2226" s="1" t="s">
        <v>5</v>
      </c>
      <c r="I2226" s="7">
        <v>468.83</v>
      </c>
      <c r="J2226" s="1" t="s">
        <v>38</v>
      </c>
      <c r="K2226" s="1"/>
      <c r="L2226" s="1" t="s">
        <v>39</v>
      </c>
      <c r="M2226" s="1" t="str">
        <f>INDEX(MCC_Lookup!$B$2:$B$12,MATCH(G2226,MCC_Lookup!$A$2:$A$12,0))</f>
        <v>Travel</v>
      </c>
      <c r="N2226" s="1" t="str">
        <f>IF(TRIM(H2226)="","BLANK",IF(PROPER(TRIM(H2226))=TRIM(M2226),"MATCH","MISMATCH"))</f>
        <v>MATCH</v>
      </c>
      <c r="O2226" s="5" t="str">
        <f>INDEX([1]Employee!$C$2:$C$276,MATCH(B2226,[1]Employee!$A$2:$A$276,0))</f>
        <v>Sales &amp; Marketing</v>
      </c>
    </row>
    <row r="2227" spans="1:15">
      <c r="A2227" s="1" t="s">
        <v>4441</v>
      </c>
      <c r="B2227" s="1" t="s">
        <v>136</v>
      </c>
      <c r="C2227" s="1" t="s">
        <v>4442</v>
      </c>
      <c r="D2227" s="2">
        <v>46136</v>
      </c>
      <c r="E2227" s="2">
        <v>46145</v>
      </c>
      <c r="F2227" s="1" t="s">
        <v>79</v>
      </c>
      <c r="G2227" s="1" t="s">
        <v>13</v>
      </c>
      <c r="H2227" s="1" t="s">
        <v>14</v>
      </c>
      <c r="I2227" s="7">
        <v>217.34</v>
      </c>
      <c r="J2227" s="1" t="s">
        <v>38</v>
      </c>
      <c r="K2227" s="1"/>
      <c r="L2227" s="1" t="s">
        <v>39</v>
      </c>
      <c r="M2227" s="1" t="str">
        <f>INDEX(MCC_Lookup!$B$2:$B$12,MATCH(G2227,MCC_Lookup!$A$2:$A$12,0))</f>
        <v>Software</v>
      </c>
      <c r="N2227" s="1" t="str">
        <f>IF(TRIM(H2227)="","BLANK",IF(PROPER(TRIM(H2227))=TRIM(M2227),"MATCH","MISMATCH"))</f>
        <v>MATCH</v>
      </c>
      <c r="O2227" s="5" t="str">
        <f>INDEX([1]Employee!$C$2:$C$276,MATCH(B2227,[1]Employee!$A$2:$A$276,0))</f>
        <v>Sales &amp; Marketing</v>
      </c>
    </row>
    <row r="2228" spans="1:15">
      <c r="A2228" s="1" t="s">
        <v>4443</v>
      </c>
      <c r="B2228" s="1" t="s">
        <v>506</v>
      </c>
      <c r="C2228" s="1"/>
      <c r="D2228" s="2">
        <v>46142</v>
      </c>
      <c r="E2228" s="2">
        <v>46145</v>
      </c>
      <c r="F2228" s="1" t="s">
        <v>99</v>
      </c>
      <c r="G2228" s="1" t="s">
        <v>2</v>
      </c>
      <c r="H2228" s="1" t="s">
        <v>154</v>
      </c>
      <c r="I2228" s="7">
        <v>130.24</v>
      </c>
      <c r="J2228" s="1" t="s">
        <v>38</v>
      </c>
      <c r="K2228" s="1"/>
      <c r="L2228" s="1" t="s">
        <v>39</v>
      </c>
      <c r="M2228" s="1" t="str">
        <f>INDEX(MCC_Lookup!$B$2:$B$12,MATCH(G2228,MCC_Lookup!$A$2:$A$12,0))</f>
        <v>Meals</v>
      </c>
      <c r="N2228" s="1" t="str">
        <f>IF(TRIM(H2228)="","BLANK",IF(PROPER(TRIM(H2228))=TRIM(M2228),"MATCH","MISMATCH"))</f>
        <v>MATCH</v>
      </c>
      <c r="O2228" s="5" t="str">
        <f>INDEX([1]Employee!$C$2:$C$276,MATCH(B2228,[1]Employee!$A$2:$A$276,0))</f>
        <v>Executive &amp; Corporate</v>
      </c>
    </row>
    <row r="2229" spans="1:15">
      <c r="A2229" s="1" t="s">
        <v>4444</v>
      </c>
      <c r="B2229" s="1" t="s">
        <v>247</v>
      </c>
      <c r="C2229" s="1" t="s">
        <v>4445</v>
      </c>
      <c r="D2229" s="2">
        <v>46143</v>
      </c>
      <c r="E2229" s="2">
        <v>46145</v>
      </c>
      <c r="F2229" s="1" t="s">
        <v>124</v>
      </c>
      <c r="G2229" s="1" t="s">
        <v>17</v>
      </c>
      <c r="H2229" s="1" t="s">
        <v>269</v>
      </c>
      <c r="I2229" s="7">
        <v>122.65</v>
      </c>
      <c r="J2229" s="1" t="s">
        <v>38</v>
      </c>
      <c r="K2229" s="1"/>
      <c r="L2229" s="1" t="s">
        <v>48</v>
      </c>
      <c r="M2229" s="1" t="str">
        <f>INDEX(MCC_Lookup!$B$2:$B$12,MATCH(G2229,MCC_Lookup!$A$2:$A$12,0))</f>
        <v>Entertainment</v>
      </c>
      <c r="N2229" s="1" t="str">
        <f>IF(TRIM(H2229)="","BLANK",IF(PROPER(TRIM(H2229))=TRIM(M2229),"MATCH","MISMATCH"))</f>
        <v>MISMATCH</v>
      </c>
      <c r="O2229" s="5" t="str">
        <f>INDEX([1]Employee!$C$2:$C$276,MATCH(B2229,[1]Employee!$A$2:$A$276,0))</f>
        <v>HR &amp; Events</v>
      </c>
    </row>
    <row r="2230" spans="1:15">
      <c r="A2230" s="1" t="s">
        <v>4446</v>
      </c>
      <c r="B2230" s="1" t="s">
        <v>81</v>
      </c>
      <c r="C2230" s="1"/>
      <c r="D2230" s="2">
        <v>46141</v>
      </c>
      <c r="E2230" s="2">
        <v>46145</v>
      </c>
      <c r="F2230" s="1" t="s">
        <v>109</v>
      </c>
      <c r="G2230" s="1" t="s">
        <v>18</v>
      </c>
      <c r="H2230" s="1" t="s">
        <v>19</v>
      </c>
      <c r="I2230" s="7">
        <v>98.3</v>
      </c>
      <c r="J2230" s="1" t="s">
        <v>111</v>
      </c>
      <c r="K2230" s="1" t="s">
        <v>161</v>
      </c>
      <c r="L2230" s="1" t="s">
        <v>39</v>
      </c>
      <c r="M2230" s="1" t="str">
        <f>INDEX(MCC_Lookup!$B$2:$B$12,MATCH(G2230,MCC_Lookup!$A$2:$A$12,0))</f>
        <v>Events</v>
      </c>
      <c r="N2230" s="1" t="str">
        <f>IF(TRIM(H2230)="","BLANK",IF(PROPER(TRIM(H2230))=TRIM(M2230),"MATCH","MISMATCH"))</f>
        <v>MATCH</v>
      </c>
      <c r="O2230" s="5" t="str">
        <f>INDEX([1]Employee!$C$2:$C$276,MATCH(B2230,[1]Employee!$A$2:$A$276,0))</f>
        <v>Sales &amp; Marketing</v>
      </c>
    </row>
    <row r="2231" spans="1:15">
      <c r="A2231" s="1" t="s">
        <v>4447</v>
      </c>
      <c r="B2231" s="1" t="s">
        <v>810</v>
      </c>
      <c r="C2231" s="1" t="s">
        <v>4448</v>
      </c>
      <c r="D2231" s="2">
        <v>46137</v>
      </c>
      <c r="E2231" s="2">
        <v>46145</v>
      </c>
      <c r="F2231" s="1" t="s">
        <v>95</v>
      </c>
      <c r="G2231" s="1" t="s">
        <v>6</v>
      </c>
      <c r="H2231" s="1" t="s">
        <v>228</v>
      </c>
      <c r="I2231" s="7">
        <v>274.89</v>
      </c>
      <c r="J2231" s="1" t="s">
        <v>38</v>
      </c>
      <c r="K2231" s="1"/>
      <c r="L2231" s="1" t="s">
        <v>48</v>
      </c>
      <c r="M2231" s="1" t="str">
        <f>INDEX(MCC_Lookup!$B$2:$B$12,MATCH(G2231,MCC_Lookup!$A$2:$A$12,0))</f>
        <v>Lodging</v>
      </c>
      <c r="N2231" s="1" t="str">
        <f>IF(TRIM(H2231)="","BLANK",IF(PROPER(TRIM(H2231))=TRIM(M2231),"MATCH","MISMATCH"))</f>
        <v>MATCH</v>
      </c>
      <c r="O2231" s="5" t="str">
        <f>INDEX([1]Employee!$C$2:$C$276,MATCH(B2231,[1]Employee!$A$2:$A$276,0))</f>
        <v>Sales &amp; Marketing</v>
      </c>
    </row>
    <row r="2232" spans="1:15">
      <c r="A2232" s="1" t="s">
        <v>4449</v>
      </c>
      <c r="B2232" s="1" t="s">
        <v>339</v>
      </c>
      <c r="C2232" s="1" t="s">
        <v>4450</v>
      </c>
      <c r="D2232" s="2">
        <v>46143</v>
      </c>
      <c r="E2232" s="2">
        <v>46145</v>
      </c>
      <c r="F2232" s="1" t="s">
        <v>116</v>
      </c>
      <c r="G2232" s="1" t="s">
        <v>2</v>
      </c>
      <c r="H2232" s="1" t="s">
        <v>3</v>
      </c>
      <c r="I2232" s="7">
        <v>11.59</v>
      </c>
      <c r="J2232" s="1" t="s">
        <v>38</v>
      </c>
      <c r="K2232" s="1"/>
      <c r="L2232" s="1" t="s">
        <v>39</v>
      </c>
      <c r="M2232" s="1" t="str">
        <f>INDEX(MCC_Lookup!$B$2:$B$12,MATCH(G2232,MCC_Lookup!$A$2:$A$12,0))</f>
        <v>Meals</v>
      </c>
      <c r="N2232" s="1" t="str">
        <f>IF(TRIM(H2232)="","BLANK",IF(PROPER(TRIM(H2232))=TRIM(M2232),"MATCH","MISMATCH"))</f>
        <v>MATCH</v>
      </c>
      <c r="O2232" s="5" t="str">
        <f>INDEX([1]Employee!$C$2:$C$276,MATCH(B2232,[1]Employee!$A$2:$A$276,0))</f>
        <v>Underwriting</v>
      </c>
    </row>
    <row r="2233" spans="1:15">
      <c r="A2233" s="1" t="s">
        <v>4451</v>
      </c>
      <c r="B2233" s="1" t="s">
        <v>3047</v>
      </c>
      <c r="C2233" s="1" t="s">
        <v>4452</v>
      </c>
      <c r="D2233" s="2">
        <v>46136</v>
      </c>
      <c r="E2233" s="2">
        <v>46145</v>
      </c>
      <c r="F2233" s="1" t="s">
        <v>65</v>
      </c>
      <c r="G2233" s="1" t="s">
        <v>18</v>
      </c>
      <c r="H2233" s="1" t="s">
        <v>19</v>
      </c>
      <c r="I2233" s="7">
        <v>169.12</v>
      </c>
      <c r="J2233" s="1" t="s">
        <v>38</v>
      </c>
      <c r="K2233" s="1"/>
      <c r="L2233" s="1" t="s">
        <v>39</v>
      </c>
      <c r="M2233" s="1" t="str">
        <f>INDEX(MCC_Lookup!$B$2:$B$12,MATCH(G2233,MCC_Lookup!$A$2:$A$12,0))</f>
        <v>Events</v>
      </c>
      <c r="N2233" s="1" t="str">
        <f>IF(TRIM(H2233)="","BLANK",IF(PROPER(TRIM(H2233))=TRIM(M2233),"MATCH","MISMATCH"))</f>
        <v>MATCH</v>
      </c>
      <c r="O2233" s="5" t="str">
        <f>INDEX([1]Employee!$C$2:$C$276,MATCH(B2233,[1]Employee!$A$2:$A$276,0))</f>
        <v>Finance</v>
      </c>
    </row>
    <row r="2234" spans="1:15">
      <c r="A2234" s="1" t="s">
        <v>4453</v>
      </c>
      <c r="B2234" s="1" t="s">
        <v>314</v>
      </c>
      <c r="C2234" s="1" t="s">
        <v>4454</v>
      </c>
      <c r="D2234" s="2">
        <v>46145</v>
      </c>
      <c r="E2234" s="2">
        <v>46145</v>
      </c>
      <c r="F2234" s="1" t="s">
        <v>106</v>
      </c>
      <c r="G2234" s="1" t="s">
        <v>13</v>
      </c>
      <c r="H2234" s="1" t="s">
        <v>14</v>
      </c>
      <c r="I2234" s="7">
        <v>209.96</v>
      </c>
      <c r="J2234" s="1" t="s">
        <v>38</v>
      </c>
      <c r="K2234" s="1"/>
      <c r="L2234" s="1" t="s">
        <v>39</v>
      </c>
      <c r="M2234" s="1" t="str">
        <f>INDEX(MCC_Lookup!$B$2:$B$12,MATCH(G2234,MCC_Lookup!$A$2:$A$12,0))</f>
        <v>Software</v>
      </c>
      <c r="N2234" s="1" t="str">
        <f>IF(TRIM(H2234)="","BLANK",IF(PROPER(TRIM(H2234))=TRIM(M2234),"MATCH","MISMATCH"))</f>
        <v>MATCH</v>
      </c>
      <c r="O2234" s="5" t="str">
        <f>INDEX([1]Employee!$C$2:$C$276,MATCH(B2234,[1]Employee!$A$2:$A$276,0))</f>
        <v>Sales &amp; Marketing</v>
      </c>
    </row>
    <row r="2235" spans="1:15">
      <c r="A2235" s="1" t="s">
        <v>4455</v>
      </c>
      <c r="B2235" s="1" t="s">
        <v>661</v>
      </c>
      <c r="C2235" s="1" t="s">
        <v>4456</v>
      </c>
      <c r="D2235" s="2">
        <v>46140</v>
      </c>
      <c r="E2235" s="2">
        <v>46145</v>
      </c>
      <c r="F2235" s="1" t="s">
        <v>69</v>
      </c>
      <c r="G2235" s="1" t="s">
        <v>8</v>
      </c>
      <c r="H2235" s="1" t="s">
        <v>9</v>
      </c>
      <c r="I2235" s="7">
        <v>48.62</v>
      </c>
      <c r="J2235" s="1" t="s">
        <v>38</v>
      </c>
      <c r="K2235" s="1"/>
      <c r="L2235" s="1" t="s">
        <v>39</v>
      </c>
      <c r="M2235" s="1" t="str">
        <f>INDEX(MCC_Lookup!$B$2:$B$12,MATCH(G2235,MCC_Lookup!$A$2:$A$12,0))</f>
        <v>Transportation</v>
      </c>
      <c r="N2235" s="1" t="str">
        <f>IF(TRIM(H2235)="","BLANK",IF(PROPER(TRIM(H2235))=TRIM(M2235),"MATCH","MISMATCH"))</f>
        <v>MATCH</v>
      </c>
      <c r="O2235" s="5" t="str">
        <f>INDEX([1]Employee!$C$2:$C$276,MATCH(B2235,[1]Employee!$A$2:$A$276,0))</f>
        <v>Sales &amp; Marketing</v>
      </c>
    </row>
    <row r="2236" spans="1:15">
      <c r="A2236" s="1" t="s">
        <v>4457</v>
      </c>
      <c r="B2236" s="1" t="s">
        <v>1150</v>
      </c>
      <c r="C2236" s="1" t="s">
        <v>4458</v>
      </c>
      <c r="D2236" s="2">
        <v>46144</v>
      </c>
      <c r="E2236" s="2">
        <v>46146</v>
      </c>
      <c r="F2236" s="1" t="s">
        <v>109</v>
      </c>
      <c r="G2236" s="1" t="s">
        <v>18</v>
      </c>
      <c r="H2236" s="1" t="s">
        <v>19</v>
      </c>
      <c r="I2236" s="7">
        <v>139.84</v>
      </c>
      <c r="J2236" s="1" t="s">
        <v>38</v>
      </c>
      <c r="K2236" s="1"/>
      <c r="L2236" s="1" t="s">
        <v>39</v>
      </c>
      <c r="M2236" s="1" t="str">
        <f>INDEX(MCC_Lookup!$B$2:$B$12,MATCH(G2236,MCC_Lookup!$A$2:$A$12,0))</f>
        <v>Events</v>
      </c>
      <c r="N2236" s="1" t="str">
        <f>IF(TRIM(H2236)="","BLANK",IF(PROPER(TRIM(H2236))=TRIM(M2236),"MATCH","MISMATCH"))</f>
        <v>MATCH</v>
      </c>
      <c r="O2236" s="5" t="str">
        <f>INDEX([1]Employee!$C$2:$C$276,MATCH(B2236,[1]Employee!$A$2:$A$276,0))</f>
        <v>Finance</v>
      </c>
    </row>
    <row r="2237" spans="1:15">
      <c r="A2237" s="1" t="s">
        <v>4459</v>
      </c>
      <c r="B2237" s="1" t="s">
        <v>261</v>
      </c>
      <c r="C2237" s="1" t="s">
        <v>4460</v>
      </c>
      <c r="D2237" s="2">
        <v>46141</v>
      </c>
      <c r="E2237" s="2">
        <v>46146</v>
      </c>
      <c r="F2237" s="1" t="s">
        <v>259</v>
      </c>
      <c r="G2237" s="1" t="s">
        <v>20</v>
      </c>
      <c r="H2237" s="1" t="s">
        <v>19</v>
      </c>
      <c r="I2237" s="7">
        <v>586.16</v>
      </c>
      <c r="J2237" s="1" t="s">
        <v>38</v>
      </c>
      <c r="K2237" s="1"/>
      <c r="L2237" s="1" t="s">
        <v>39</v>
      </c>
      <c r="M2237" s="1" t="str">
        <f>INDEX(MCC_Lookup!$B$2:$B$12,MATCH(G2237,MCC_Lookup!$A$2:$A$12,0))</f>
        <v>Events</v>
      </c>
      <c r="N2237" s="1" t="str">
        <f>IF(TRIM(H2237)="","BLANK",IF(PROPER(TRIM(H2237))=TRIM(M2237),"MATCH","MISMATCH"))</f>
        <v>MATCH</v>
      </c>
      <c r="O2237" s="5" t="str">
        <f>INDEX([1]Employee!$C$2:$C$276,MATCH(B2237,[1]Employee!$A$2:$A$276,0))</f>
        <v>Sales &amp; Marketing</v>
      </c>
    </row>
    <row r="2238" spans="1:15">
      <c r="A2238" s="1" t="s">
        <v>4461</v>
      </c>
      <c r="B2238" s="1" t="s">
        <v>1116</v>
      </c>
      <c r="C2238" s="1" t="s">
        <v>4462</v>
      </c>
      <c r="D2238" s="2">
        <v>46142</v>
      </c>
      <c r="E2238" s="2">
        <v>46146</v>
      </c>
      <c r="F2238" s="1" t="s">
        <v>259</v>
      </c>
      <c r="G2238" s="1" t="s">
        <v>20</v>
      </c>
      <c r="H2238" s="1" t="s">
        <v>312</v>
      </c>
      <c r="I2238" s="7">
        <v>633.02</v>
      </c>
      <c r="J2238" s="1" t="s">
        <v>38</v>
      </c>
      <c r="K2238" s="1"/>
      <c r="L2238" s="1" t="s">
        <v>39</v>
      </c>
      <c r="M2238" s="1" t="str">
        <f>INDEX(MCC_Lookup!$B$2:$B$12,MATCH(G2238,MCC_Lookup!$A$2:$A$12,0))</f>
        <v>Events</v>
      </c>
      <c r="N2238" s="1" t="str">
        <f>IF(TRIM(H2238)="","BLANK",IF(PROPER(TRIM(H2238))=TRIM(M2238),"MATCH","MISMATCH"))</f>
        <v>MATCH</v>
      </c>
      <c r="O2238" s="5" t="str">
        <f>INDEX([1]Employee!$C$2:$C$276,MATCH(B2238,[1]Employee!$A$2:$A$276,0))</f>
        <v>Underwriting</v>
      </c>
    </row>
    <row r="2239" spans="1:15">
      <c r="A2239" s="1" t="s">
        <v>4463</v>
      </c>
      <c r="B2239" s="1" t="s">
        <v>469</v>
      </c>
      <c r="C2239" s="1"/>
      <c r="D2239" s="2">
        <v>46143</v>
      </c>
      <c r="E2239" s="2">
        <v>46146</v>
      </c>
      <c r="F2239" s="1" t="s">
        <v>347</v>
      </c>
      <c r="G2239" s="1" t="s">
        <v>8</v>
      </c>
      <c r="H2239" s="1" t="s">
        <v>9</v>
      </c>
      <c r="I2239" s="7">
        <v>14.78</v>
      </c>
      <c r="J2239" s="1" t="s">
        <v>111</v>
      </c>
      <c r="K2239" s="1" t="s">
        <v>127</v>
      </c>
      <c r="L2239" s="1" t="s">
        <v>39</v>
      </c>
      <c r="M2239" s="1" t="str">
        <f>INDEX(MCC_Lookup!$B$2:$B$12,MATCH(G2239,MCC_Lookup!$A$2:$A$12,0))</f>
        <v>Transportation</v>
      </c>
      <c r="N2239" s="1" t="str">
        <f>IF(TRIM(H2239)="","BLANK",IF(PROPER(TRIM(H2239))=TRIM(M2239),"MATCH","MISMATCH"))</f>
        <v>MATCH</v>
      </c>
      <c r="O2239" s="5" t="str">
        <f>INDEX([1]Employee!$C$2:$C$276,MATCH(B2239,[1]Employee!$A$2:$A$276,0))</f>
        <v>Sales &amp; Marketing</v>
      </c>
    </row>
    <row r="2240" spans="1:15">
      <c r="A2240" s="1" t="s">
        <v>4464</v>
      </c>
      <c r="B2240" s="1" t="s">
        <v>2027</v>
      </c>
      <c r="C2240" s="1" t="s">
        <v>4465</v>
      </c>
      <c r="D2240" s="2">
        <v>46146</v>
      </c>
      <c r="E2240" s="2">
        <v>46146</v>
      </c>
      <c r="F2240" s="1" t="s">
        <v>65</v>
      </c>
      <c r="G2240" s="1" t="s">
        <v>18</v>
      </c>
      <c r="H2240" s="1" t="s">
        <v>517</v>
      </c>
      <c r="I2240" s="7">
        <v>168.04</v>
      </c>
      <c r="J2240" s="1" t="s">
        <v>38</v>
      </c>
      <c r="K2240" s="1"/>
      <c r="L2240" s="1" t="s">
        <v>39</v>
      </c>
      <c r="M2240" s="1" t="str">
        <f>INDEX(MCC_Lookup!$B$2:$B$12,MATCH(G2240,MCC_Lookup!$A$2:$A$12,0))</f>
        <v>Events</v>
      </c>
      <c r="N2240" s="1" t="str">
        <f>IF(TRIM(H2240)="","BLANK",IF(PROPER(TRIM(H2240))=TRIM(M2240),"MATCH","MISMATCH"))</f>
        <v>MATCH</v>
      </c>
      <c r="O2240" s="5" t="str">
        <f>INDEX([1]Employee!$C$2:$C$276,MATCH(B2240,[1]Employee!$A$2:$A$276,0))</f>
        <v>Customer Support</v>
      </c>
    </row>
    <row r="2241" spans="1:15">
      <c r="A2241" s="1" t="s">
        <v>4466</v>
      </c>
      <c r="B2241" s="1" t="s">
        <v>136</v>
      </c>
      <c r="C2241" s="1" t="s">
        <v>4467</v>
      </c>
      <c r="D2241" s="2">
        <v>46141</v>
      </c>
      <c r="E2241" s="2">
        <v>46146</v>
      </c>
      <c r="F2241" s="1" t="s">
        <v>173</v>
      </c>
      <c r="G2241" s="1" t="s">
        <v>2</v>
      </c>
      <c r="H2241" s="1" t="s">
        <v>3</v>
      </c>
      <c r="I2241" s="7">
        <v>28.91</v>
      </c>
      <c r="J2241" s="1" t="s">
        <v>38</v>
      </c>
      <c r="K2241" s="1"/>
      <c r="L2241" s="1" t="s">
        <v>39</v>
      </c>
      <c r="M2241" s="1" t="str">
        <f>INDEX(MCC_Lookup!$B$2:$B$12,MATCH(G2241,MCC_Lookup!$A$2:$A$12,0))</f>
        <v>Meals</v>
      </c>
      <c r="N2241" s="1" t="str">
        <f>IF(TRIM(H2241)="","BLANK",IF(PROPER(TRIM(H2241))=TRIM(M2241),"MATCH","MISMATCH"))</f>
        <v>MATCH</v>
      </c>
      <c r="O2241" s="5" t="str">
        <f>INDEX([1]Employee!$C$2:$C$276,MATCH(B2241,[1]Employee!$A$2:$A$276,0))</f>
        <v>Sales &amp; Marketing</v>
      </c>
    </row>
    <row r="2242" spans="1:15">
      <c r="A2242" s="1" t="s">
        <v>4468</v>
      </c>
      <c r="B2242" s="1" t="s">
        <v>182</v>
      </c>
      <c r="C2242" s="1" t="s">
        <v>4469</v>
      </c>
      <c r="D2242" s="2">
        <v>46138</v>
      </c>
      <c r="E2242" s="2">
        <v>46146</v>
      </c>
      <c r="F2242" s="1" t="s">
        <v>259</v>
      </c>
      <c r="G2242" s="1" t="s">
        <v>20</v>
      </c>
      <c r="H2242" s="1" t="s">
        <v>19</v>
      </c>
      <c r="I2242" s="7">
        <v>532.80999999999995</v>
      </c>
      <c r="J2242" s="1" t="s">
        <v>38</v>
      </c>
      <c r="K2242" s="1"/>
      <c r="L2242" s="1" t="s">
        <v>39</v>
      </c>
      <c r="M2242" s="1" t="str">
        <f>INDEX(MCC_Lookup!$B$2:$B$12,MATCH(G2242,MCC_Lookup!$A$2:$A$12,0))</f>
        <v>Events</v>
      </c>
      <c r="N2242" s="1" t="str">
        <f>IF(TRIM(H2242)="","BLANK",IF(PROPER(TRIM(H2242))=TRIM(M2242),"MATCH","MISMATCH"))</f>
        <v>MATCH</v>
      </c>
      <c r="O2242" s="5" t="str">
        <f>INDEX([1]Employee!$C$2:$C$276,MATCH(B2242,[1]Employee!$A$2:$A$276,0))</f>
        <v>Sales &amp; Marketing</v>
      </c>
    </row>
    <row r="2243" spans="1:15">
      <c r="A2243" s="1" t="s">
        <v>4470</v>
      </c>
      <c r="B2243" s="1" t="s">
        <v>63</v>
      </c>
      <c r="C2243" s="1" t="s">
        <v>4471</v>
      </c>
      <c r="D2243" s="2">
        <v>46140</v>
      </c>
      <c r="E2243" s="2">
        <v>46146</v>
      </c>
      <c r="F2243" s="1" t="s">
        <v>52</v>
      </c>
      <c r="G2243" s="1" t="s">
        <v>15</v>
      </c>
      <c r="H2243" s="1" t="s">
        <v>16</v>
      </c>
      <c r="I2243" s="7">
        <v>30.73</v>
      </c>
      <c r="J2243" s="1" t="s">
        <v>38</v>
      </c>
      <c r="K2243" s="1"/>
      <c r="L2243" s="1" t="s">
        <v>39</v>
      </c>
      <c r="M2243" s="1" t="str">
        <f>INDEX(MCC_Lookup!$B$2:$B$12,MATCH(G2243,MCC_Lookup!$A$2:$A$12,0))</f>
        <v>Entertainment</v>
      </c>
      <c r="N2243" s="1" t="str">
        <f>IF(TRIM(H2243)="","BLANK",IF(PROPER(TRIM(H2243))=TRIM(M2243),"MATCH","MISMATCH"))</f>
        <v>MATCH</v>
      </c>
      <c r="O2243" s="5" t="str">
        <f>INDEX([1]Employee!$C$2:$C$276,MATCH(B2243,[1]Employee!$A$2:$A$276,0))</f>
        <v>Sales &amp; Marketing</v>
      </c>
    </row>
    <row r="2244" spans="1:15">
      <c r="A2244" s="1" t="s">
        <v>4472</v>
      </c>
      <c r="B2244" s="1" t="s">
        <v>2344</v>
      </c>
      <c r="C2244" s="1" t="s">
        <v>4473</v>
      </c>
      <c r="D2244" s="2">
        <v>46141</v>
      </c>
      <c r="E2244" s="2">
        <v>46146</v>
      </c>
      <c r="F2244" s="1" t="s">
        <v>65</v>
      </c>
      <c r="G2244" s="1" t="s">
        <v>18</v>
      </c>
      <c r="H2244" s="1" t="s">
        <v>19</v>
      </c>
      <c r="I2244" s="7">
        <v>427.55</v>
      </c>
      <c r="J2244" s="1" t="s">
        <v>38</v>
      </c>
      <c r="K2244" s="1"/>
      <c r="L2244" s="1" t="s">
        <v>39</v>
      </c>
      <c r="M2244" s="1" t="str">
        <f>INDEX(MCC_Lookup!$B$2:$B$12,MATCH(G2244,MCC_Lookup!$A$2:$A$12,0))</f>
        <v>Events</v>
      </c>
      <c r="N2244" s="1" t="str">
        <f>IF(TRIM(H2244)="","BLANK",IF(PROPER(TRIM(H2244))=TRIM(M2244),"MATCH","MISMATCH"))</f>
        <v>MATCH</v>
      </c>
      <c r="O2244" s="5" t="str">
        <f>INDEX([1]Employee!$C$2:$C$276,MATCH(B2244,[1]Employee!$A$2:$A$276,0))</f>
        <v>Claims</v>
      </c>
    </row>
    <row r="2245" spans="1:15">
      <c r="A2245" s="1" t="s">
        <v>4474</v>
      </c>
      <c r="B2245" s="1" t="s">
        <v>2344</v>
      </c>
      <c r="C2245" s="1" t="s">
        <v>4475</v>
      </c>
      <c r="D2245" s="2">
        <v>46144</v>
      </c>
      <c r="E2245" s="2">
        <v>46146</v>
      </c>
      <c r="F2245" s="1" t="s">
        <v>347</v>
      </c>
      <c r="G2245" s="1" t="s">
        <v>8</v>
      </c>
      <c r="H2245" s="1" t="s">
        <v>9</v>
      </c>
      <c r="I2245" s="7">
        <v>52.1</v>
      </c>
      <c r="J2245" s="1" t="s">
        <v>38</v>
      </c>
      <c r="K2245" s="1"/>
      <c r="L2245" s="1" t="s">
        <v>39</v>
      </c>
      <c r="M2245" s="1" t="str">
        <f>INDEX(MCC_Lookup!$B$2:$B$12,MATCH(G2245,MCC_Lookup!$A$2:$A$12,0))</f>
        <v>Transportation</v>
      </c>
      <c r="N2245" s="1" t="str">
        <f>IF(TRIM(H2245)="","BLANK",IF(PROPER(TRIM(H2245))=TRIM(M2245),"MATCH","MISMATCH"))</f>
        <v>MATCH</v>
      </c>
      <c r="O2245" s="5" t="str">
        <f>INDEX([1]Employee!$C$2:$C$276,MATCH(B2245,[1]Employee!$A$2:$A$276,0))</f>
        <v>Claims</v>
      </c>
    </row>
    <row r="2246" spans="1:15">
      <c r="A2246" s="1" t="s">
        <v>4476</v>
      </c>
      <c r="B2246" s="1" t="s">
        <v>550</v>
      </c>
      <c r="C2246" s="1" t="s">
        <v>4477</v>
      </c>
      <c r="D2246" s="2">
        <v>46143</v>
      </c>
      <c r="E2246" s="2">
        <v>46146</v>
      </c>
      <c r="F2246" s="1" t="s">
        <v>120</v>
      </c>
      <c r="G2246" s="1" t="s">
        <v>12</v>
      </c>
      <c r="H2246" s="1" t="s">
        <v>11</v>
      </c>
      <c r="I2246" s="7">
        <v>45.15</v>
      </c>
      <c r="J2246" s="1" t="s">
        <v>38</v>
      </c>
      <c r="K2246" s="1"/>
      <c r="L2246" s="1" t="s">
        <v>39</v>
      </c>
      <c r="M2246" s="1" t="str">
        <f>INDEX(MCC_Lookup!$B$2:$B$12,MATCH(G2246,MCC_Lookup!$A$2:$A$12,0))</f>
        <v>Office Supplies</v>
      </c>
      <c r="N2246" s="1" t="str">
        <f>IF(TRIM(H2246)="","BLANK",IF(PROPER(TRIM(H2246))=TRIM(M2246),"MATCH","MISMATCH"))</f>
        <v>MATCH</v>
      </c>
      <c r="O2246" s="5" t="str">
        <f>INDEX([1]Employee!$C$2:$C$276,MATCH(B2246,[1]Employee!$A$2:$A$276,0))</f>
        <v>Sales &amp; Marketing</v>
      </c>
    </row>
    <row r="2247" spans="1:15">
      <c r="A2247" s="1" t="s">
        <v>4478</v>
      </c>
      <c r="B2247" s="1" t="s">
        <v>931</v>
      </c>
      <c r="C2247" s="1" t="s">
        <v>4479</v>
      </c>
      <c r="D2247" s="2">
        <v>46136</v>
      </c>
      <c r="E2247" s="2">
        <v>46146</v>
      </c>
      <c r="F2247" s="1" t="s">
        <v>43</v>
      </c>
      <c r="G2247" s="1" t="s">
        <v>2</v>
      </c>
      <c r="H2247" s="1" t="s">
        <v>3</v>
      </c>
      <c r="I2247" s="7">
        <v>13.99</v>
      </c>
      <c r="J2247" s="1" t="s">
        <v>38</v>
      </c>
      <c r="K2247" s="1"/>
      <c r="L2247" s="1" t="s">
        <v>39</v>
      </c>
      <c r="M2247" s="1" t="str">
        <f>INDEX(MCC_Lookup!$B$2:$B$12,MATCH(G2247,MCC_Lookup!$A$2:$A$12,0))</f>
        <v>Meals</v>
      </c>
      <c r="N2247" s="1" t="str">
        <f>IF(TRIM(H2247)="","BLANK",IF(PROPER(TRIM(H2247))=TRIM(M2247),"MATCH","MISMATCH"))</f>
        <v>MATCH</v>
      </c>
      <c r="O2247" s="5" t="str">
        <f>INDEX([1]Employee!$C$2:$C$276,MATCH(B2247,[1]Employee!$A$2:$A$276,0))</f>
        <v>Finance</v>
      </c>
    </row>
    <row r="2248" spans="1:15">
      <c r="A2248" s="1" t="s">
        <v>4480</v>
      </c>
      <c r="B2248" s="1" t="s">
        <v>280</v>
      </c>
      <c r="C2248" s="1" t="s">
        <v>4481</v>
      </c>
      <c r="D2248" s="2">
        <v>46139</v>
      </c>
      <c r="E2248" s="2">
        <v>46146</v>
      </c>
      <c r="F2248" s="1" t="s">
        <v>99</v>
      </c>
      <c r="G2248" s="1" t="s">
        <v>2</v>
      </c>
      <c r="H2248" s="1" t="s">
        <v>3</v>
      </c>
      <c r="I2248" s="7">
        <v>32.380000000000003</v>
      </c>
      <c r="J2248" s="1" t="s">
        <v>38</v>
      </c>
      <c r="K2248" s="1"/>
      <c r="L2248" s="1" t="s">
        <v>39</v>
      </c>
      <c r="M2248" s="1" t="str">
        <f>INDEX(MCC_Lookup!$B$2:$B$12,MATCH(G2248,MCC_Lookup!$A$2:$A$12,0))</f>
        <v>Meals</v>
      </c>
      <c r="N2248" s="1" t="str">
        <f>IF(TRIM(H2248)="","BLANK",IF(PROPER(TRIM(H2248))=TRIM(M2248),"MATCH","MISMATCH"))</f>
        <v>MATCH</v>
      </c>
      <c r="O2248" s="5" t="str">
        <f>INDEX([1]Employee!$C$2:$C$276,MATCH(B2248,[1]Employee!$A$2:$A$276,0))</f>
        <v>Claims</v>
      </c>
    </row>
    <row r="2249" spans="1:15">
      <c r="A2249" s="1" t="s">
        <v>4482</v>
      </c>
      <c r="B2249" s="1" t="s">
        <v>687</v>
      </c>
      <c r="C2249" s="1" t="s">
        <v>4483</v>
      </c>
      <c r="D2249" s="2">
        <v>46141</v>
      </c>
      <c r="E2249" s="2">
        <v>46146</v>
      </c>
      <c r="F2249" s="1" t="s">
        <v>76</v>
      </c>
      <c r="G2249" s="1" t="s">
        <v>13</v>
      </c>
      <c r="H2249" s="1"/>
      <c r="I2249" s="7">
        <v>596.83000000000004</v>
      </c>
      <c r="J2249" s="1" t="s">
        <v>38</v>
      </c>
      <c r="K2249" s="1"/>
      <c r="L2249" s="1" t="s">
        <v>48</v>
      </c>
      <c r="M2249" s="1" t="str">
        <f>INDEX(MCC_Lookup!$B$2:$B$12,MATCH(G2249,MCC_Lookup!$A$2:$A$12,0))</f>
        <v>Software</v>
      </c>
      <c r="N2249" s="1" t="str">
        <f>IF(TRIM(H2249)="","BLANK",IF(PROPER(TRIM(H2249))=TRIM(M2249),"MATCH","MISMATCH"))</f>
        <v>BLANK</v>
      </c>
      <c r="O2249" s="5" t="str">
        <f>INDEX([1]Employee!$C$2:$C$276,MATCH(B2249,[1]Employee!$A$2:$A$276,0))</f>
        <v>Executive &amp; Corporate</v>
      </c>
    </row>
    <row r="2250" spans="1:15">
      <c r="A2250" s="1" t="s">
        <v>4484</v>
      </c>
      <c r="B2250" s="1" t="s">
        <v>547</v>
      </c>
      <c r="C2250" s="1" t="s">
        <v>4485</v>
      </c>
      <c r="D2250" s="2">
        <v>46136</v>
      </c>
      <c r="E2250" s="2">
        <v>46146</v>
      </c>
      <c r="F2250" s="1" t="s">
        <v>124</v>
      </c>
      <c r="G2250" s="1" t="s">
        <v>17</v>
      </c>
      <c r="H2250" s="1" t="s">
        <v>16</v>
      </c>
      <c r="I2250" s="7">
        <v>98.38</v>
      </c>
      <c r="J2250" s="1" t="s">
        <v>38</v>
      </c>
      <c r="K2250" s="1"/>
      <c r="L2250" s="1" t="s">
        <v>39</v>
      </c>
      <c r="M2250" s="1" t="str">
        <f>INDEX(MCC_Lookup!$B$2:$B$12,MATCH(G2250,MCC_Lookup!$A$2:$A$12,0))</f>
        <v>Entertainment</v>
      </c>
      <c r="N2250" s="1" t="str">
        <f>IF(TRIM(H2250)="","BLANK",IF(PROPER(TRIM(H2250))=TRIM(M2250),"MATCH","MISMATCH"))</f>
        <v>MATCH</v>
      </c>
      <c r="O2250" s="5" t="str">
        <f>INDEX([1]Employee!$C$2:$C$276,MATCH(B2250,[1]Employee!$A$2:$A$276,0))</f>
        <v>Sales &amp; Marketing</v>
      </c>
    </row>
    <row r="2251" spans="1:15">
      <c r="A2251" s="1" t="s">
        <v>4486</v>
      </c>
      <c r="B2251" s="1" t="s">
        <v>531</v>
      </c>
      <c r="C2251" s="1" t="s">
        <v>4487</v>
      </c>
      <c r="D2251" s="2">
        <v>46139</v>
      </c>
      <c r="E2251" s="2">
        <v>46146</v>
      </c>
      <c r="F2251" s="1" t="s">
        <v>79</v>
      </c>
      <c r="G2251" s="1" t="s">
        <v>13</v>
      </c>
      <c r="H2251" s="1"/>
      <c r="I2251" s="7">
        <v>236.5</v>
      </c>
      <c r="J2251" s="1" t="s">
        <v>38</v>
      </c>
      <c r="K2251" s="1"/>
      <c r="L2251" s="1" t="s">
        <v>39</v>
      </c>
      <c r="M2251" s="1" t="str">
        <f>INDEX(MCC_Lookup!$B$2:$B$12,MATCH(G2251,MCC_Lookup!$A$2:$A$12,0))</f>
        <v>Software</v>
      </c>
      <c r="N2251" s="1" t="str">
        <f>IF(TRIM(H2251)="","BLANK",IF(PROPER(TRIM(H2251))=TRIM(M2251),"MATCH","MISMATCH"))</f>
        <v>BLANK</v>
      </c>
      <c r="O2251" s="5" t="str">
        <f>INDEX([1]Employee!$C$2:$C$276,MATCH(B2251,[1]Employee!$A$2:$A$276,0))</f>
        <v>Sales &amp; Marketing</v>
      </c>
    </row>
    <row r="2252" spans="1:15">
      <c r="A2252" s="1" t="s">
        <v>4488</v>
      </c>
      <c r="B2252" s="1" t="s">
        <v>679</v>
      </c>
      <c r="C2252" s="1"/>
      <c r="D2252" s="2">
        <v>46143</v>
      </c>
      <c r="E2252" s="2">
        <v>46147</v>
      </c>
      <c r="F2252" s="1" t="s">
        <v>201</v>
      </c>
      <c r="G2252" s="1" t="s">
        <v>4</v>
      </c>
      <c r="H2252" s="1" t="s">
        <v>5</v>
      </c>
      <c r="I2252" s="7">
        <v>380.86</v>
      </c>
      <c r="J2252" s="1" t="s">
        <v>111</v>
      </c>
      <c r="K2252" s="1" t="s">
        <v>127</v>
      </c>
      <c r="L2252" s="1" t="s">
        <v>39</v>
      </c>
      <c r="M2252" s="1" t="str">
        <f>INDEX(MCC_Lookup!$B$2:$B$12,MATCH(G2252,MCC_Lookup!$A$2:$A$12,0))</f>
        <v>Travel</v>
      </c>
      <c r="N2252" s="1" t="str">
        <f>IF(TRIM(H2252)="","BLANK",IF(PROPER(TRIM(H2252))=TRIM(M2252),"MATCH","MISMATCH"))</f>
        <v>MATCH</v>
      </c>
      <c r="O2252" s="5" t="str">
        <f>INDEX([1]Employee!$C$2:$C$276,MATCH(B2252,[1]Employee!$A$2:$A$276,0))</f>
        <v>Sales &amp; Marketing</v>
      </c>
    </row>
    <row r="2253" spans="1:15">
      <c r="A2253" s="1" t="s">
        <v>4489</v>
      </c>
      <c r="B2253" s="1" t="s">
        <v>140</v>
      </c>
      <c r="C2253" s="1" t="s">
        <v>4490</v>
      </c>
      <c r="D2253" s="2">
        <v>46137</v>
      </c>
      <c r="E2253" s="2">
        <v>46147</v>
      </c>
      <c r="F2253" s="1" t="s">
        <v>120</v>
      </c>
      <c r="G2253" s="1" t="s">
        <v>12</v>
      </c>
      <c r="H2253" s="1" t="s">
        <v>11</v>
      </c>
      <c r="I2253" s="7">
        <v>148.29</v>
      </c>
      <c r="J2253" s="1" t="s">
        <v>38</v>
      </c>
      <c r="K2253" s="1"/>
      <c r="L2253" s="1" t="s">
        <v>39</v>
      </c>
      <c r="M2253" s="1" t="str">
        <f>INDEX(MCC_Lookup!$B$2:$B$12,MATCH(G2253,MCC_Lookup!$A$2:$A$12,0))</f>
        <v>Office Supplies</v>
      </c>
      <c r="N2253" s="1" t="str">
        <f>IF(TRIM(H2253)="","BLANK",IF(PROPER(TRIM(H2253))=TRIM(M2253),"MATCH","MISMATCH"))</f>
        <v>MATCH</v>
      </c>
      <c r="O2253" s="5" t="str">
        <f>INDEX([1]Employee!$C$2:$C$276,MATCH(B2253,[1]Employee!$A$2:$A$276,0))</f>
        <v>Finance</v>
      </c>
    </row>
    <row r="2254" spans="1:15">
      <c r="A2254" s="1" t="s">
        <v>4491</v>
      </c>
      <c r="B2254" s="1" t="s">
        <v>41</v>
      </c>
      <c r="C2254" s="1" t="s">
        <v>4492</v>
      </c>
      <c r="D2254" s="2">
        <v>46146</v>
      </c>
      <c r="E2254" s="2">
        <v>46147</v>
      </c>
      <c r="F2254" s="1" t="s">
        <v>76</v>
      </c>
      <c r="G2254" s="1" t="s">
        <v>13</v>
      </c>
      <c r="H2254" s="1" t="s">
        <v>14</v>
      </c>
      <c r="I2254" s="7">
        <v>399.72</v>
      </c>
      <c r="J2254" s="1" t="s">
        <v>38</v>
      </c>
      <c r="K2254" s="1"/>
      <c r="L2254" s="1" t="s">
        <v>39</v>
      </c>
      <c r="M2254" s="1" t="str">
        <f>INDEX(MCC_Lookup!$B$2:$B$12,MATCH(G2254,MCC_Lookup!$A$2:$A$12,0))</f>
        <v>Software</v>
      </c>
      <c r="N2254" s="1" t="str">
        <f>IF(TRIM(H2254)="","BLANK",IF(PROPER(TRIM(H2254))=TRIM(M2254),"MATCH","MISMATCH"))</f>
        <v>MATCH</v>
      </c>
      <c r="O2254" s="5" t="str">
        <f>INDEX([1]Employee!$C$2:$C$276,MATCH(B2254,[1]Employee!$A$2:$A$276,0))</f>
        <v>Sales &amp; Marketing</v>
      </c>
    </row>
    <row r="2255" spans="1:15">
      <c r="A2255" s="1" t="s">
        <v>4493</v>
      </c>
      <c r="B2255" s="1" t="s">
        <v>738</v>
      </c>
      <c r="C2255" s="1"/>
      <c r="D2255" s="2">
        <v>46138</v>
      </c>
      <c r="E2255" s="2">
        <v>46147</v>
      </c>
      <c r="F2255" s="1" t="s">
        <v>69</v>
      </c>
      <c r="G2255" s="1" t="s">
        <v>8</v>
      </c>
      <c r="H2255" s="1" t="s">
        <v>9</v>
      </c>
      <c r="I2255" s="7">
        <v>18.14</v>
      </c>
      <c r="J2255" s="1" t="s">
        <v>111</v>
      </c>
      <c r="K2255" s="1" t="s">
        <v>229</v>
      </c>
      <c r="L2255" s="1" t="s">
        <v>39</v>
      </c>
      <c r="M2255" s="1" t="str">
        <f>INDEX(MCC_Lookup!$B$2:$B$12,MATCH(G2255,MCC_Lookup!$A$2:$A$12,0))</f>
        <v>Transportation</v>
      </c>
      <c r="N2255" s="1" t="str">
        <f>IF(TRIM(H2255)="","BLANK",IF(PROPER(TRIM(H2255))=TRIM(M2255),"MATCH","MISMATCH"))</f>
        <v>MATCH</v>
      </c>
      <c r="O2255" s="5" t="str">
        <f>INDEX([1]Employee!$C$2:$C$276,MATCH(B2255,[1]Employee!$A$2:$A$276,0))</f>
        <v>Sales &amp; Marketing</v>
      </c>
    </row>
    <row r="2256" spans="1:15">
      <c r="A2256" s="1" t="s">
        <v>4494</v>
      </c>
      <c r="B2256" s="1" t="s">
        <v>2009</v>
      </c>
      <c r="C2256" s="1" t="s">
        <v>4495</v>
      </c>
      <c r="D2256" s="2">
        <v>46138</v>
      </c>
      <c r="E2256" s="2">
        <v>46147</v>
      </c>
      <c r="F2256" s="1" t="s">
        <v>124</v>
      </c>
      <c r="G2256" s="1" t="s">
        <v>17</v>
      </c>
      <c r="H2256" s="1" t="s">
        <v>16</v>
      </c>
      <c r="I2256" s="7">
        <v>111.41</v>
      </c>
      <c r="J2256" s="1" t="s">
        <v>38</v>
      </c>
      <c r="K2256" s="1"/>
      <c r="L2256" s="1" t="s">
        <v>39</v>
      </c>
      <c r="M2256" s="1" t="str">
        <f>INDEX(MCC_Lookup!$B$2:$B$12,MATCH(G2256,MCC_Lookup!$A$2:$A$12,0))</f>
        <v>Entertainment</v>
      </c>
      <c r="N2256" s="1" t="str">
        <f>IF(TRIM(H2256)="","BLANK",IF(PROPER(TRIM(H2256))=TRIM(M2256),"MATCH","MISMATCH"))</f>
        <v>MATCH</v>
      </c>
      <c r="O2256" s="5" t="str">
        <f>INDEX([1]Employee!$C$2:$C$276,MATCH(B2256,[1]Employee!$A$2:$A$276,0))</f>
        <v>Finance</v>
      </c>
    </row>
    <row r="2257" spans="1:15">
      <c r="A2257" s="1" t="s">
        <v>4496</v>
      </c>
      <c r="B2257" s="1" t="s">
        <v>1201</v>
      </c>
      <c r="C2257" s="1"/>
      <c r="D2257" s="2">
        <v>46143</v>
      </c>
      <c r="E2257" s="2">
        <v>46147</v>
      </c>
      <c r="F2257" s="1" t="s">
        <v>92</v>
      </c>
      <c r="G2257" s="1" t="s">
        <v>10</v>
      </c>
      <c r="H2257" s="1" t="s">
        <v>2226</v>
      </c>
      <c r="I2257" s="7">
        <v>39.36</v>
      </c>
      <c r="J2257" s="1" t="s">
        <v>38</v>
      </c>
      <c r="K2257" s="1"/>
      <c r="L2257" s="1" t="s">
        <v>48</v>
      </c>
      <c r="M2257" s="1" t="str">
        <f>INDEX(MCC_Lookup!$B$2:$B$12,MATCH(G2257,MCC_Lookup!$A$2:$A$12,0))</f>
        <v>Office Supplies</v>
      </c>
      <c r="N2257" s="1" t="str">
        <f>IF(TRIM(H2257)="","BLANK",IF(PROPER(TRIM(H2257))=TRIM(M2257),"MATCH","MISMATCH"))</f>
        <v>MATCH</v>
      </c>
      <c r="O2257" s="5" t="str">
        <f>INDEX([1]Employee!$C$2:$C$276,MATCH(B2257,[1]Employee!$A$2:$A$276,0))</f>
        <v>Actuarial &amp; Risk</v>
      </c>
    </row>
    <row r="2258" spans="1:15">
      <c r="A2258" s="1" t="s">
        <v>4497</v>
      </c>
      <c r="B2258" s="1" t="s">
        <v>166</v>
      </c>
      <c r="C2258" s="1" t="s">
        <v>4498</v>
      </c>
      <c r="D2258" s="2">
        <v>46142</v>
      </c>
      <c r="E2258" s="2">
        <v>46147</v>
      </c>
      <c r="F2258" s="1" t="s">
        <v>52</v>
      </c>
      <c r="G2258" s="1" t="s">
        <v>15</v>
      </c>
      <c r="H2258" s="1" t="s">
        <v>16</v>
      </c>
      <c r="I2258" s="7">
        <v>53.46</v>
      </c>
      <c r="J2258" s="1" t="s">
        <v>38</v>
      </c>
      <c r="K2258" s="1"/>
      <c r="L2258" s="1" t="s">
        <v>39</v>
      </c>
      <c r="M2258" s="1" t="str">
        <f>INDEX(MCC_Lookup!$B$2:$B$12,MATCH(G2258,MCC_Lookup!$A$2:$A$12,0))</f>
        <v>Entertainment</v>
      </c>
      <c r="N2258" s="1" t="str">
        <f>IF(TRIM(H2258)="","BLANK",IF(PROPER(TRIM(H2258))=TRIM(M2258),"MATCH","MISMATCH"))</f>
        <v>MATCH</v>
      </c>
      <c r="O2258" s="5" t="str">
        <f>INDEX([1]Employee!$C$2:$C$276,MATCH(B2258,[1]Employee!$A$2:$A$276,0))</f>
        <v>Actuarial &amp; Risk</v>
      </c>
    </row>
    <row r="2259" spans="1:15">
      <c r="A2259" s="1" t="s">
        <v>4499</v>
      </c>
      <c r="B2259" s="1" t="s">
        <v>615</v>
      </c>
      <c r="C2259" s="1"/>
      <c r="D2259" s="2">
        <v>46147</v>
      </c>
      <c r="E2259" s="2">
        <v>46147</v>
      </c>
      <c r="F2259" s="1" t="s">
        <v>83</v>
      </c>
      <c r="G2259" s="1" t="s">
        <v>2</v>
      </c>
      <c r="H2259" s="1" t="s">
        <v>3</v>
      </c>
      <c r="I2259" s="7">
        <v>25.25</v>
      </c>
      <c r="J2259" s="1" t="s">
        <v>38</v>
      </c>
      <c r="K2259" s="1"/>
      <c r="L2259" s="1" t="s">
        <v>39</v>
      </c>
      <c r="M2259" s="1" t="str">
        <f>INDEX(MCC_Lookup!$B$2:$B$12,MATCH(G2259,MCC_Lookup!$A$2:$A$12,0))</f>
        <v>Meals</v>
      </c>
      <c r="N2259" s="1" t="str">
        <f>IF(TRIM(H2259)="","BLANK",IF(PROPER(TRIM(H2259))=TRIM(M2259),"MATCH","MISMATCH"))</f>
        <v>MATCH</v>
      </c>
      <c r="O2259" s="5" t="str">
        <f>INDEX([1]Employee!$C$2:$C$276,MATCH(B2259,[1]Employee!$A$2:$A$276,0))</f>
        <v>Underwriting</v>
      </c>
    </row>
    <row r="2260" spans="1:15">
      <c r="A2260" s="1" t="s">
        <v>4500</v>
      </c>
      <c r="B2260" s="1" t="s">
        <v>136</v>
      </c>
      <c r="C2260" s="1" t="s">
        <v>4501</v>
      </c>
      <c r="D2260" s="2">
        <v>46139</v>
      </c>
      <c r="E2260" s="2">
        <v>46147</v>
      </c>
      <c r="F2260" s="1" t="s">
        <v>37</v>
      </c>
      <c r="G2260" s="1" t="s">
        <v>4</v>
      </c>
      <c r="H2260" s="1" t="s">
        <v>714</v>
      </c>
      <c r="I2260" s="7">
        <v>399.81</v>
      </c>
      <c r="J2260" s="1" t="s">
        <v>38</v>
      </c>
      <c r="K2260" s="1"/>
      <c r="L2260" s="1" t="s">
        <v>39</v>
      </c>
      <c r="M2260" s="1" t="str">
        <f>INDEX(MCC_Lookup!$B$2:$B$12,MATCH(G2260,MCC_Lookup!$A$2:$A$12,0))</f>
        <v>Travel</v>
      </c>
      <c r="N2260" s="1" t="str">
        <f>IF(TRIM(H2260)="","BLANK",IF(PROPER(TRIM(H2260))=TRIM(M2260),"MATCH","MISMATCH"))</f>
        <v>MATCH</v>
      </c>
      <c r="O2260" s="5" t="str">
        <f>INDEX([1]Employee!$C$2:$C$276,MATCH(B2260,[1]Employee!$A$2:$A$276,0))</f>
        <v>Sales &amp; Marketing</v>
      </c>
    </row>
    <row r="2261" spans="1:15">
      <c r="A2261" s="1" t="s">
        <v>4502</v>
      </c>
      <c r="B2261" s="1" t="s">
        <v>433</v>
      </c>
      <c r="C2261" s="1" t="s">
        <v>4503</v>
      </c>
      <c r="D2261" s="2">
        <v>46139</v>
      </c>
      <c r="E2261" s="2">
        <v>46147</v>
      </c>
      <c r="F2261" s="1" t="s">
        <v>305</v>
      </c>
      <c r="G2261" s="1" t="s">
        <v>2</v>
      </c>
      <c r="H2261" s="1" t="s">
        <v>3</v>
      </c>
      <c r="I2261" s="7">
        <v>11.97</v>
      </c>
      <c r="J2261" s="1" t="s">
        <v>38</v>
      </c>
      <c r="K2261" s="1"/>
      <c r="L2261" s="1" t="s">
        <v>39</v>
      </c>
      <c r="M2261" s="1" t="str">
        <f>INDEX(MCC_Lookup!$B$2:$B$12,MATCH(G2261,MCC_Lookup!$A$2:$A$12,0))</f>
        <v>Meals</v>
      </c>
      <c r="N2261" s="1" t="str">
        <f>IF(TRIM(H2261)="","BLANK",IF(PROPER(TRIM(H2261))=TRIM(M2261),"MATCH","MISMATCH"))</f>
        <v>MATCH</v>
      </c>
      <c r="O2261" s="5" t="str">
        <f>INDEX([1]Employee!$C$2:$C$276,MATCH(B2261,[1]Employee!$A$2:$A$276,0))</f>
        <v>Sales &amp; Marketing</v>
      </c>
    </row>
    <row r="2262" spans="1:15">
      <c r="A2262" s="1" t="s">
        <v>4504</v>
      </c>
      <c r="B2262" s="1" t="s">
        <v>991</v>
      </c>
      <c r="C2262" s="1" t="s">
        <v>4505</v>
      </c>
      <c r="D2262" s="2">
        <v>46144</v>
      </c>
      <c r="E2262" s="2">
        <v>46147</v>
      </c>
      <c r="F2262" s="1" t="s">
        <v>61</v>
      </c>
      <c r="G2262" s="1" t="s">
        <v>13</v>
      </c>
      <c r="H2262" s="1" t="s">
        <v>14</v>
      </c>
      <c r="I2262" s="7">
        <v>35.67</v>
      </c>
      <c r="J2262" s="1" t="s">
        <v>38</v>
      </c>
      <c r="K2262" s="1"/>
      <c r="L2262" s="1" t="s">
        <v>39</v>
      </c>
      <c r="M2262" s="1" t="str">
        <f>INDEX(MCC_Lookup!$B$2:$B$12,MATCH(G2262,MCC_Lookup!$A$2:$A$12,0))</f>
        <v>Software</v>
      </c>
      <c r="N2262" s="1" t="str">
        <f>IF(TRIM(H2262)="","BLANK",IF(PROPER(TRIM(H2262))=TRIM(M2262),"MATCH","MISMATCH"))</f>
        <v>MATCH</v>
      </c>
      <c r="O2262" s="5" t="str">
        <f>INDEX([1]Employee!$C$2:$C$276,MATCH(B2262,[1]Employee!$A$2:$A$276,0))</f>
        <v>Claims</v>
      </c>
    </row>
    <row r="2263" spans="1:15">
      <c r="A2263" s="1" t="s">
        <v>4506</v>
      </c>
      <c r="B2263" s="1" t="s">
        <v>407</v>
      </c>
      <c r="C2263" s="1" t="s">
        <v>4507</v>
      </c>
      <c r="D2263" s="2">
        <v>46140</v>
      </c>
      <c r="E2263" s="2">
        <v>46147</v>
      </c>
      <c r="F2263" s="1" t="s">
        <v>99</v>
      </c>
      <c r="G2263" s="1" t="s">
        <v>2</v>
      </c>
      <c r="H2263" s="1" t="s">
        <v>154</v>
      </c>
      <c r="I2263" s="7">
        <v>30.35</v>
      </c>
      <c r="J2263" s="1" t="s">
        <v>38</v>
      </c>
      <c r="K2263" s="1"/>
      <c r="L2263" s="1" t="s">
        <v>39</v>
      </c>
      <c r="M2263" s="1" t="str">
        <f>INDEX(MCC_Lookup!$B$2:$B$12,MATCH(G2263,MCC_Lookup!$A$2:$A$12,0))</f>
        <v>Meals</v>
      </c>
      <c r="N2263" s="1" t="str">
        <f>IF(TRIM(H2263)="","BLANK",IF(PROPER(TRIM(H2263))=TRIM(M2263),"MATCH","MISMATCH"))</f>
        <v>MATCH</v>
      </c>
      <c r="O2263" s="5" t="str">
        <f>INDEX([1]Employee!$C$2:$C$276,MATCH(B2263,[1]Employee!$A$2:$A$276,0))</f>
        <v>Executive &amp; Corporate</v>
      </c>
    </row>
    <row r="2264" spans="1:15">
      <c r="A2264" s="1" t="s">
        <v>4508</v>
      </c>
      <c r="B2264" s="1" t="s">
        <v>1488</v>
      </c>
      <c r="C2264" s="1" t="s">
        <v>4509</v>
      </c>
      <c r="D2264" s="2">
        <v>46138</v>
      </c>
      <c r="E2264" s="2">
        <v>46147</v>
      </c>
      <c r="F2264" s="1" t="s">
        <v>120</v>
      </c>
      <c r="G2264" s="1" t="s">
        <v>12</v>
      </c>
      <c r="H2264" s="1" t="s">
        <v>11</v>
      </c>
      <c r="I2264" s="7">
        <v>254.71</v>
      </c>
      <c r="J2264" s="1" t="s">
        <v>38</v>
      </c>
      <c r="K2264" s="1"/>
      <c r="L2264" s="1" t="s">
        <v>39</v>
      </c>
      <c r="M2264" s="1" t="str">
        <f>INDEX(MCC_Lookup!$B$2:$B$12,MATCH(G2264,MCC_Lookup!$A$2:$A$12,0))</f>
        <v>Office Supplies</v>
      </c>
      <c r="N2264" s="1" t="str">
        <f>IF(TRIM(H2264)="","BLANK",IF(PROPER(TRIM(H2264))=TRIM(M2264),"MATCH","MISMATCH"))</f>
        <v>MATCH</v>
      </c>
      <c r="O2264" s="5" t="str">
        <f>INDEX([1]Employee!$C$2:$C$276,MATCH(B2264,[1]Employee!$A$2:$A$276,0))</f>
        <v>Claims</v>
      </c>
    </row>
    <row r="2265" spans="1:15">
      <c r="A2265" s="1" t="s">
        <v>4510</v>
      </c>
      <c r="B2265" s="1" t="s">
        <v>224</v>
      </c>
      <c r="C2265" s="1" t="s">
        <v>4511</v>
      </c>
      <c r="D2265" s="2">
        <v>46146</v>
      </c>
      <c r="E2265" s="2">
        <v>46147</v>
      </c>
      <c r="F2265" s="1" t="s">
        <v>65</v>
      </c>
      <c r="G2265" s="1" t="s">
        <v>18</v>
      </c>
      <c r="H2265" s="1" t="s">
        <v>517</v>
      </c>
      <c r="I2265" s="7">
        <v>463.77</v>
      </c>
      <c r="J2265" s="1" t="s">
        <v>38</v>
      </c>
      <c r="K2265" s="1"/>
      <c r="L2265" s="1" t="s">
        <v>39</v>
      </c>
      <c r="M2265" s="1" t="str">
        <f>INDEX(MCC_Lookup!$B$2:$B$12,MATCH(G2265,MCC_Lookup!$A$2:$A$12,0))</f>
        <v>Events</v>
      </c>
      <c r="N2265" s="1" t="str">
        <f>IF(TRIM(H2265)="","BLANK",IF(PROPER(TRIM(H2265))=TRIM(M2265),"MATCH","MISMATCH"))</f>
        <v>MATCH</v>
      </c>
      <c r="O2265" s="5" t="str">
        <f>INDEX([1]Employee!$C$2:$C$276,MATCH(B2265,[1]Employee!$A$2:$A$276,0))</f>
        <v>Finance</v>
      </c>
    </row>
    <row r="2266" spans="1:15">
      <c r="A2266" s="1" t="s">
        <v>4512</v>
      </c>
      <c r="B2266" s="1" t="s">
        <v>104</v>
      </c>
      <c r="C2266" s="1" t="s">
        <v>4513</v>
      </c>
      <c r="D2266" s="2">
        <v>46138</v>
      </c>
      <c r="E2266" s="2">
        <v>46147</v>
      </c>
      <c r="F2266" s="1" t="s">
        <v>52</v>
      </c>
      <c r="G2266" s="1" t="s">
        <v>15</v>
      </c>
      <c r="H2266" s="1" t="s">
        <v>690</v>
      </c>
      <c r="I2266" s="7">
        <v>55.77</v>
      </c>
      <c r="J2266" s="1" t="s">
        <v>38</v>
      </c>
      <c r="K2266" s="1"/>
      <c r="L2266" s="1" t="s">
        <v>39</v>
      </c>
      <c r="M2266" s="1" t="str">
        <f>INDEX(MCC_Lookup!$B$2:$B$12,MATCH(G2266,MCC_Lookup!$A$2:$A$12,0))</f>
        <v>Entertainment</v>
      </c>
      <c r="N2266" s="1" t="str">
        <f>IF(TRIM(H2266)="","BLANK",IF(PROPER(TRIM(H2266))=TRIM(M2266),"MATCH","MISMATCH"))</f>
        <v>MATCH</v>
      </c>
      <c r="O2266" s="5" t="str">
        <f>INDEX([1]Employee!$C$2:$C$276,MATCH(B2266,[1]Employee!$A$2:$A$276,0))</f>
        <v>Sales &amp; Marketing</v>
      </c>
    </row>
    <row r="2267" spans="1:15">
      <c r="A2267" s="1" t="s">
        <v>4514</v>
      </c>
      <c r="B2267" s="1" t="s">
        <v>399</v>
      </c>
      <c r="C2267" s="1" t="s">
        <v>4515</v>
      </c>
      <c r="D2267" s="2">
        <v>46141</v>
      </c>
      <c r="E2267" s="2">
        <v>46147</v>
      </c>
      <c r="F2267" s="1" t="s">
        <v>79</v>
      </c>
      <c r="G2267" s="1" t="s">
        <v>13</v>
      </c>
      <c r="H2267" s="1" t="s">
        <v>419</v>
      </c>
      <c r="I2267" s="7">
        <v>192.77</v>
      </c>
      <c r="J2267" s="1" t="s">
        <v>38</v>
      </c>
      <c r="K2267" s="1"/>
      <c r="L2267" s="1" t="s">
        <v>48</v>
      </c>
      <c r="M2267" s="1" t="str">
        <f>INDEX(MCC_Lookup!$B$2:$B$12,MATCH(G2267,MCC_Lookup!$A$2:$A$12,0))</f>
        <v>Software</v>
      </c>
      <c r="N2267" s="1" t="str">
        <f>IF(TRIM(H2267)="","BLANK",IF(PROPER(TRIM(H2267))=TRIM(M2267),"MATCH","MISMATCH"))</f>
        <v>MATCH</v>
      </c>
      <c r="O2267" s="5" t="str">
        <f>INDEX([1]Employee!$C$2:$C$276,MATCH(B2267,[1]Employee!$A$2:$A$276,0))</f>
        <v>IT &amp; Platform Engineering</v>
      </c>
    </row>
    <row r="2268" spans="1:15">
      <c r="A2268" s="1" t="s">
        <v>4516</v>
      </c>
      <c r="B2268" s="1" t="s">
        <v>247</v>
      </c>
      <c r="C2268" s="1" t="s">
        <v>4517</v>
      </c>
      <c r="D2268" s="2">
        <v>46145</v>
      </c>
      <c r="E2268" s="2">
        <v>46147</v>
      </c>
      <c r="F2268" s="1" t="s">
        <v>61</v>
      </c>
      <c r="G2268" s="1" t="s">
        <v>13</v>
      </c>
      <c r="H2268" s="1" t="s">
        <v>14</v>
      </c>
      <c r="I2268" s="7">
        <v>50.09</v>
      </c>
      <c r="J2268" s="1" t="s">
        <v>38</v>
      </c>
      <c r="K2268" s="1"/>
      <c r="L2268" s="1" t="s">
        <v>39</v>
      </c>
      <c r="M2268" s="1" t="str">
        <f>INDEX(MCC_Lookup!$B$2:$B$12,MATCH(G2268,MCC_Lookup!$A$2:$A$12,0))</f>
        <v>Software</v>
      </c>
      <c r="N2268" s="1" t="str">
        <f>IF(TRIM(H2268)="","BLANK",IF(PROPER(TRIM(H2268))=TRIM(M2268),"MATCH","MISMATCH"))</f>
        <v>MATCH</v>
      </c>
      <c r="O2268" s="5" t="str">
        <f>INDEX([1]Employee!$C$2:$C$276,MATCH(B2268,[1]Employee!$A$2:$A$276,0))</f>
        <v>HR &amp; Events</v>
      </c>
    </row>
    <row r="2269" spans="1:15">
      <c r="A2269" s="1" t="s">
        <v>4518</v>
      </c>
      <c r="B2269" s="1" t="s">
        <v>175</v>
      </c>
      <c r="C2269" s="1" t="s">
        <v>4519</v>
      </c>
      <c r="D2269" s="2">
        <v>46147</v>
      </c>
      <c r="E2269" s="2">
        <v>46147</v>
      </c>
      <c r="F2269" s="1" t="s">
        <v>106</v>
      </c>
      <c r="G2269" s="1" t="s">
        <v>13</v>
      </c>
      <c r="H2269" s="1" t="s">
        <v>14</v>
      </c>
      <c r="I2269" s="7">
        <v>219.53</v>
      </c>
      <c r="J2269" s="1" t="s">
        <v>38</v>
      </c>
      <c r="K2269" s="1"/>
      <c r="L2269" s="1" t="s">
        <v>39</v>
      </c>
      <c r="M2269" s="1" t="str">
        <f>INDEX(MCC_Lookup!$B$2:$B$12,MATCH(G2269,MCC_Lookup!$A$2:$A$12,0))</f>
        <v>Software</v>
      </c>
      <c r="N2269" s="1" t="str">
        <f>IF(TRIM(H2269)="","BLANK",IF(PROPER(TRIM(H2269))=TRIM(M2269),"MATCH","MISMATCH"))</f>
        <v>MATCH</v>
      </c>
      <c r="O2269" s="5" t="str">
        <f>INDEX([1]Employee!$C$2:$C$276,MATCH(B2269,[1]Employee!$A$2:$A$276,0))</f>
        <v>Claims</v>
      </c>
    </row>
    <row r="2270" spans="1:15">
      <c r="A2270" s="1" t="s">
        <v>4520</v>
      </c>
      <c r="B2270" s="1" t="s">
        <v>472</v>
      </c>
      <c r="C2270" s="1"/>
      <c r="D2270" s="2">
        <v>46142</v>
      </c>
      <c r="E2270" s="2">
        <v>46147</v>
      </c>
      <c r="F2270" s="1" t="s">
        <v>76</v>
      </c>
      <c r="G2270" s="1" t="s">
        <v>13</v>
      </c>
      <c r="H2270" s="1" t="s">
        <v>14</v>
      </c>
      <c r="I2270" s="7">
        <v>204.3</v>
      </c>
      <c r="J2270" s="1" t="s">
        <v>38</v>
      </c>
      <c r="K2270" s="1"/>
      <c r="L2270" s="1" t="s">
        <v>39</v>
      </c>
      <c r="M2270" s="1" t="str">
        <f>INDEX(MCC_Lookup!$B$2:$B$12,MATCH(G2270,MCC_Lookup!$A$2:$A$12,0))</f>
        <v>Software</v>
      </c>
      <c r="N2270" s="1" t="str">
        <f>IF(TRIM(H2270)="","BLANK",IF(PROPER(TRIM(H2270))=TRIM(M2270),"MATCH","MISMATCH"))</f>
        <v>MATCH</v>
      </c>
      <c r="O2270" s="5" t="str">
        <f>INDEX([1]Employee!$C$2:$C$276,MATCH(B2270,[1]Employee!$A$2:$A$276,0))</f>
        <v>Sales &amp; Marketing</v>
      </c>
    </row>
    <row r="2271" spans="1:15">
      <c r="A2271" s="1" t="s">
        <v>4521</v>
      </c>
      <c r="B2271" s="1" t="s">
        <v>472</v>
      </c>
      <c r="C2271" s="1" t="s">
        <v>4522</v>
      </c>
      <c r="D2271" s="2">
        <v>46142</v>
      </c>
      <c r="E2271" s="2">
        <v>46147</v>
      </c>
      <c r="F2271" s="1" t="s">
        <v>52</v>
      </c>
      <c r="G2271" s="1" t="s">
        <v>15</v>
      </c>
      <c r="H2271" s="1" t="s">
        <v>16</v>
      </c>
      <c r="I2271" s="7">
        <v>32.200000000000003</v>
      </c>
      <c r="J2271" s="1" t="s">
        <v>38</v>
      </c>
      <c r="K2271" s="1"/>
      <c r="L2271" s="1" t="s">
        <v>48</v>
      </c>
      <c r="M2271" s="1" t="str">
        <f>INDEX(MCC_Lookup!$B$2:$B$12,MATCH(G2271,MCC_Lookup!$A$2:$A$12,0))</f>
        <v>Entertainment</v>
      </c>
      <c r="N2271" s="1" t="str">
        <f>IF(TRIM(H2271)="","BLANK",IF(PROPER(TRIM(H2271))=TRIM(M2271),"MATCH","MISMATCH"))</f>
        <v>MATCH</v>
      </c>
      <c r="O2271" s="5" t="str">
        <f>INDEX([1]Employee!$C$2:$C$276,MATCH(B2271,[1]Employee!$A$2:$A$276,0))</f>
        <v>Sales &amp; Marketing</v>
      </c>
    </row>
    <row r="2272" spans="1:15">
      <c r="A2272" s="1" t="s">
        <v>4523</v>
      </c>
      <c r="B2272" s="1" t="s">
        <v>440</v>
      </c>
      <c r="C2272" s="1" t="s">
        <v>4524</v>
      </c>
      <c r="D2272" s="2">
        <v>46143</v>
      </c>
      <c r="E2272" s="2">
        <v>46147</v>
      </c>
      <c r="F2272" s="1" t="s">
        <v>305</v>
      </c>
      <c r="G2272" s="1" t="s">
        <v>2</v>
      </c>
      <c r="H2272" s="1" t="s">
        <v>3</v>
      </c>
      <c r="I2272" s="7">
        <v>10.31</v>
      </c>
      <c r="J2272" s="1" t="s">
        <v>38</v>
      </c>
      <c r="K2272" s="1"/>
      <c r="L2272" s="1" t="s">
        <v>39</v>
      </c>
      <c r="M2272" s="1" t="str">
        <f>INDEX(MCC_Lookup!$B$2:$B$12,MATCH(G2272,MCC_Lookup!$A$2:$A$12,0))</f>
        <v>Meals</v>
      </c>
      <c r="N2272" s="1" t="str">
        <f>IF(TRIM(H2272)="","BLANK",IF(PROPER(TRIM(H2272))=TRIM(M2272),"MATCH","MISMATCH"))</f>
        <v>MATCH</v>
      </c>
      <c r="O2272" s="5" t="str">
        <f>INDEX([1]Employee!$C$2:$C$276,MATCH(B2272,[1]Employee!$A$2:$A$276,0))</f>
        <v>Underwriting</v>
      </c>
    </row>
    <row r="2273" spans="1:15">
      <c r="A2273" s="1" t="s">
        <v>4525</v>
      </c>
      <c r="B2273" s="1" t="s">
        <v>810</v>
      </c>
      <c r="C2273" s="1" t="s">
        <v>4526</v>
      </c>
      <c r="D2273" s="2">
        <v>46147</v>
      </c>
      <c r="E2273" s="2">
        <v>46147</v>
      </c>
      <c r="F2273" s="1" t="s">
        <v>160</v>
      </c>
      <c r="G2273" s="1" t="s">
        <v>6</v>
      </c>
      <c r="H2273" s="1" t="s">
        <v>7</v>
      </c>
      <c r="I2273" s="7">
        <v>365.07</v>
      </c>
      <c r="J2273" s="1" t="s">
        <v>38</v>
      </c>
      <c r="K2273" s="1"/>
      <c r="L2273" s="1" t="s">
        <v>39</v>
      </c>
      <c r="M2273" s="1" t="str">
        <f>INDEX(MCC_Lookup!$B$2:$B$12,MATCH(G2273,MCC_Lookup!$A$2:$A$12,0))</f>
        <v>Lodging</v>
      </c>
      <c r="N2273" s="1" t="str">
        <f>IF(TRIM(H2273)="","BLANK",IF(PROPER(TRIM(H2273))=TRIM(M2273),"MATCH","MISMATCH"))</f>
        <v>MATCH</v>
      </c>
      <c r="O2273" s="5" t="str">
        <f>INDEX([1]Employee!$C$2:$C$276,MATCH(B2273,[1]Employee!$A$2:$A$276,0))</f>
        <v>Sales &amp; Marketing</v>
      </c>
    </row>
    <row r="2274" spans="1:15">
      <c r="A2274" s="1" t="s">
        <v>4527</v>
      </c>
      <c r="B2274" s="1" t="s">
        <v>364</v>
      </c>
      <c r="C2274" s="1" t="s">
        <v>4528</v>
      </c>
      <c r="D2274" s="2">
        <v>46141</v>
      </c>
      <c r="E2274" s="2">
        <v>46148</v>
      </c>
      <c r="F2274" s="1" t="s">
        <v>305</v>
      </c>
      <c r="G2274" s="1" t="s">
        <v>2</v>
      </c>
      <c r="H2274" s="1" t="s">
        <v>3</v>
      </c>
      <c r="I2274" s="7">
        <v>17.95</v>
      </c>
      <c r="J2274" s="1" t="s">
        <v>38</v>
      </c>
      <c r="K2274" s="1"/>
      <c r="L2274" s="1" t="s">
        <v>39</v>
      </c>
      <c r="M2274" s="1" t="str">
        <f>INDEX(MCC_Lookup!$B$2:$B$12,MATCH(G2274,MCC_Lookup!$A$2:$A$12,0))</f>
        <v>Meals</v>
      </c>
      <c r="N2274" s="1" t="str">
        <f>IF(TRIM(H2274)="","BLANK",IF(PROPER(TRIM(H2274))=TRIM(M2274),"MATCH","MISMATCH"))</f>
        <v>MATCH</v>
      </c>
      <c r="O2274" s="5" t="str">
        <f>INDEX([1]Employee!$C$2:$C$276,MATCH(B2274,[1]Employee!$A$2:$A$276,0))</f>
        <v>Sales &amp; Marketing</v>
      </c>
    </row>
    <row r="2275" spans="1:15">
      <c r="A2275" s="1" t="s">
        <v>4529</v>
      </c>
      <c r="B2275" s="1" t="s">
        <v>1567</v>
      </c>
      <c r="C2275" s="1" t="s">
        <v>4530</v>
      </c>
      <c r="D2275" s="2">
        <v>46144</v>
      </c>
      <c r="E2275" s="2">
        <v>46148</v>
      </c>
      <c r="F2275" s="1" t="s">
        <v>120</v>
      </c>
      <c r="G2275" s="1" t="s">
        <v>12</v>
      </c>
      <c r="H2275" s="1" t="s">
        <v>11</v>
      </c>
      <c r="I2275" s="7">
        <v>153.63999999999999</v>
      </c>
      <c r="J2275" s="1" t="s">
        <v>38</v>
      </c>
      <c r="K2275" s="1"/>
      <c r="L2275" s="1" t="s">
        <v>39</v>
      </c>
      <c r="M2275" s="1" t="str">
        <f>INDEX(MCC_Lookup!$B$2:$B$12,MATCH(G2275,MCC_Lookup!$A$2:$A$12,0))</f>
        <v>Office Supplies</v>
      </c>
      <c r="N2275" s="1" t="str">
        <f>IF(TRIM(H2275)="","BLANK",IF(PROPER(TRIM(H2275))=TRIM(M2275),"MATCH","MISMATCH"))</f>
        <v>MATCH</v>
      </c>
      <c r="O2275" s="5" t="str">
        <f>INDEX([1]Employee!$C$2:$C$276,MATCH(B2275,[1]Employee!$A$2:$A$276,0))</f>
        <v>Underwriting</v>
      </c>
    </row>
    <row r="2276" spans="1:15">
      <c r="A2276" s="1" t="s">
        <v>4531</v>
      </c>
      <c r="B2276" s="1" t="s">
        <v>1061</v>
      </c>
      <c r="C2276" s="1" t="s">
        <v>4532</v>
      </c>
      <c r="D2276" s="2">
        <v>46147</v>
      </c>
      <c r="E2276" s="2">
        <v>46148</v>
      </c>
      <c r="F2276" s="1" t="s">
        <v>109</v>
      </c>
      <c r="G2276" s="1" t="s">
        <v>18</v>
      </c>
      <c r="H2276" s="1" t="s">
        <v>332</v>
      </c>
      <c r="I2276" s="7">
        <v>256.89</v>
      </c>
      <c r="J2276" s="1" t="s">
        <v>38</v>
      </c>
      <c r="K2276" s="1"/>
      <c r="L2276" s="1" t="s">
        <v>39</v>
      </c>
      <c r="M2276" s="1" t="str">
        <f>INDEX(MCC_Lookup!$B$2:$B$12,MATCH(G2276,MCC_Lookup!$A$2:$A$12,0))</f>
        <v>Events</v>
      </c>
      <c r="N2276" s="1" t="str">
        <f>IF(TRIM(H2276)="","BLANK",IF(PROPER(TRIM(H2276))=TRIM(M2276),"MATCH","MISMATCH"))</f>
        <v>MATCH</v>
      </c>
      <c r="O2276" s="5" t="str">
        <f>INDEX([1]Employee!$C$2:$C$276,MATCH(B2276,[1]Employee!$A$2:$A$276,0))</f>
        <v>Claims</v>
      </c>
    </row>
    <row r="2277" spans="1:15">
      <c r="A2277" s="1" t="s">
        <v>4533</v>
      </c>
      <c r="B2277" s="1" t="s">
        <v>499</v>
      </c>
      <c r="C2277" s="1" t="s">
        <v>4534</v>
      </c>
      <c r="D2277" s="2">
        <v>46142</v>
      </c>
      <c r="E2277" s="2">
        <v>46148</v>
      </c>
      <c r="F2277" s="1" t="s">
        <v>61</v>
      </c>
      <c r="G2277" s="1" t="s">
        <v>13</v>
      </c>
      <c r="H2277" s="1" t="s">
        <v>14</v>
      </c>
      <c r="I2277" s="7">
        <v>31.54</v>
      </c>
      <c r="J2277" s="1" t="s">
        <v>38</v>
      </c>
      <c r="K2277" s="1"/>
      <c r="L2277" s="1" t="s">
        <v>39</v>
      </c>
      <c r="M2277" s="1" t="str">
        <f>INDEX(MCC_Lookup!$B$2:$B$12,MATCH(G2277,MCC_Lookup!$A$2:$A$12,0))</f>
        <v>Software</v>
      </c>
      <c r="N2277" s="1" t="str">
        <f>IF(TRIM(H2277)="","BLANK",IF(PROPER(TRIM(H2277))=TRIM(M2277),"MATCH","MISMATCH"))</f>
        <v>MATCH</v>
      </c>
      <c r="O2277" s="5" t="str">
        <f>INDEX([1]Employee!$C$2:$C$276,MATCH(B2277,[1]Employee!$A$2:$A$276,0))</f>
        <v>Sales &amp; Marketing</v>
      </c>
    </row>
    <row r="2278" spans="1:15">
      <c r="A2278" s="1" t="s">
        <v>4535</v>
      </c>
      <c r="B2278" s="1" t="s">
        <v>63</v>
      </c>
      <c r="C2278" s="1" t="s">
        <v>4536</v>
      </c>
      <c r="D2278" s="2">
        <v>46147</v>
      </c>
      <c r="E2278" s="2">
        <v>46148</v>
      </c>
      <c r="F2278" s="1" t="s">
        <v>99</v>
      </c>
      <c r="G2278" s="1" t="s">
        <v>2</v>
      </c>
      <c r="H2278" s="1" t="s">
        <v>3</v>
      </c>
      <c r="I2278" s="7">
        <v>56.19</v>
      </c>
      <c r="J2278" s="1" t="s">
        <v>38</v>
      </c>
      <c r="K2278" s="1"/>
      <c r="L2278" s="1" t="s">
        <v>48</v>
      </c>
      <c r="M2278" s="1" t="str">
        <f>INDEX(MCC_Lookup!$B$2:$B$12,MATCH(G2278,MCC_Lookup!$A$2:$A$12,0))</f>
        <v>Meals</v>
      </c>
      <c r="N2278" s="1" t="str">
        <f>IF(TRIM(H2278)="","BLANK",IF(PROPER(TRIM(H2278))=TRIM(M2278),"MATCH","MISMATCH"))</f>
        <v>MATCH</v>
      </c>
      <c r="O2278" s="5" t="str">
        <f>INDEX([1]Employee!$C$2:$C$276,MATCH(B2278,[1]Employee!$A$2:$A$276,0))</f>
        <v>Sales &amp; Marketing</v>
      </c>
    </row>
    <row r="2279" spans="1:15">
      <c r="A2279" s="1" t="s">
        <v>4537</v>
      </c>
      <c r="B2279" s="1" t="s">
        <v>623</v>
      </c>
      <c r="C2279" s="1" t="s">
        <v>4538</v>
      </c>
      <c r="D2279" s="2">
        <v>46144</v>
      </c>
      <c r="E2279" s="2">
        <v>46148</v>
      </c>
      <c r="F2279" s="1" t="s">
        <v>259</v>
      </c>
      <c r="G2279" s="1" t="s">
        <v>20</v>
      </c>
      <c r="H2279" s="1" t="s">
        <v>19</v>
      </c>
      <c r="I2279" s="7">
        <v>349.45</v>
      </c>
      <c r="J2279" s="1" t="s">
        <v>38</v>
      </c>
      <c r="K2279" s="1"/>
      <c r="L2279" s="1" t="s">
        <v>39</v>
      </c>
      <c r="M2279" s="1" t="str">
        <f>INDEX(MCC_Lookup!$B$2:$B$12,MATCH(G2279,MCC_Lookup!$A$2:$A$12,0))</f>
        <v>Events</v>
      </c>
      <c r="N2279" s="1" t="str">
        <f>IF(TRIM(H2279)="","BLANK",IF(PROPER(TRIM(H2279))=TRIM(M2279),"MATCH","MISMATCH"))</f>
        <v>MATCH</v>
      </c>
      <c r="O2279" s="5" t="str">
        <f>INDEX([1]Employee!$C$2:$C$276,MATCH(B2279,[1]Employee!$A$2:$A$276,0))</f>
        <v>Underwriting</v>
      </c>
    </row>
    <row r="2280" spans="1:15">
      <c r="A2280" s="1" t="s">
        <v>4539</v>
      </c>
      <c r="B2280" s="1" t="s">
        <v>433</v>
      </c>
      <c r="C2280" s="1" t="s">
        <v>4540</v>
      </c>
      <c r="D2280" s="2">
        <v>46142</v>
      </c>
      <c r="E2280" s="2">
        <v>46148</v>
      </c>
      <c r="F2280" s="1" t="s">
        <v>173</v>
      </c>
      <c r="G2280" s="1" t="s">
        <v>2</v>
      </c>
      <c r="H2280" s="1" t="s">
        <v>3</v>
      </c>
      <c r="I2280" s="7">
        <v>58.09</v>
      </c>
      <c r="J2280" s="1" t="s">
        <v>38</v>
      </c>
      <c r="K2280" s="1"/>
      <c r="L2280" s="1" t="s">
        <v>39</v>
      </c>
      <c r="M2280" s="1" t="str">
        <f>INDEX(MCC_Lookup!$B$2:$B$12,MATCH(G2280,MCC_Lookup!$A$2:$A$12,0))</f>
        <v>Meals</v>
      </c>
      <c r="N2280" s="1" t="str">
        <f>IF(TRIM(H2280)="","BLANK",IF(PROPER(TRIM(H2280))=TRIM(M2280),"MATCH","MISMATCH"))</f>
        <v>MATCH</v>
      </c>
      <c r="O2280" s="5" t="str">
        <f>INDEX([1]Employee!$C$2:$C$276,MATCH(B2280,[1]Employee!$A$2:$A$276,0))</f>
        <v>Sales &amp; Marketing</v>
      </c>
    </row>
    <row r="2281" spans="1:15">
      <c r="A2281" s="1" t="s">
        <v>4541</v>
      </c>
      <c r="B2281" s="1" t="s">
        <v>2090</v>
      </c>
      <c r="C2281" s="1" t="s">
        <v>4542</v>
      </c>
      <c r="D2281" s="2">
        <v>46145</v>
      </c>
      <c r="E2281" s="2">
        <v>46148</v>
      </c>
      <c r="F2281" s="1" t="s">
        <v>76</v>
      </c>
      <c r="G2281" s="1" t="s">
        <v>13</v>
      </c>
      <c r="H2281" s="1" t="s">
        <v>14</v>
      </c>
      <c r="I2281" s="7">
        <v>219.95</v>
      </c>
      <c r="J2281" s="1" t="s">
        <v>38</v>
      </c>
      <c r="K2281" s="1"/>
      <c r="L2281" s="1" t="s">
        <v>48</v>
      </c>
      <c r="M2281" s="1" t="str">
        <f>INDEX(MCC_Lookup!$B$2:$B$12,MATCH(G2281,MCC_Lookup!$A$2:$A$12,0))</f>
        <v>Software</v>
      </c>
      <c r="N2281" s="1" t="str">
        <f>IF(TRIM(H2281)="","BLANK",IF(PROPER(TRIM(H2281))=TRIM(M2281),"MATCH","MISMATCH"))</f>
        <v>MATCH</v>
      </c>
      <c r="O2281" s="5" t="str">
        <f>INDEX([1]Employee!$C$2:$C$276,MATCH(B2281,[1]Employee!$A$2:$A$276,0))</f>
        <v>Underwriting</v>
      </c>
    </row>
    <row r="2282" spans="1:15">
      <c r="A2282" s="1" t="s">
        <v>4543</v>
      </c>
      <c r="B2282" s="1" t="s">
        <v>71</v>
      </c>
      <c r="C2282" s="1" t="s">
        <v>4544</v>
      </c>
      <c r="D2282" s="2">
        <v>46141</v>
      </c>
      <c r="E2282" s="2">
        <v>46148</v>
      </c>
      <c r="F2282" s="1" t="s">
        <v>242</v>
      </c>
      <c r="G2282" s="1" t="s">
        <v>13</v>
      </c>
      <c r="H2282" s="1" t="s">
        <v>14</v>
      </c>
      <c r="I2282" s="7">
        <v>16.34</v>
      </c>
      <c r="J2282" s="1" t="s">
        <v>38</v>
      </c>
      <c r="K2282" s="1"/>
      <c r="L2282" s="1" t="s">
        <v>39</v>
      </c>
      <c r="M2282" s="1" t="str">
        <f>INDEX(MCC_Lookup!$B$2:$B$12,MATCH(G2282,MCC_Lookup!$A$2:$A$12,0))</f>
        <v>Software</v>
      </c>
      <c r="N2282" s="1" t="str">
        <f>IF(TRIM(H2282)="","BLANK",IF(PROPER(TRIM(H2282))=TRIM(M2282),"MATCH","MISMATCH"))</f>
        <v>MATCH</v>
      </c>
      <c r="O2282" s="5" t="str">
        <f>INDEX([1]Employee!$C$2:$C$276,MATCH(B2282,[1]Employee!$A$2:$A$276,0))</f>
        <v>Sales &amp; Marketing</v>
      </c>
    </row>
    <row r="2283" spans="1:15">
      <c r="A2283" s="1" t="s">
        <v>4545</v>
      </c>
      <c r="B2283" s="1" t="s">
        <v>196</v>
      </c>
      <c r="C2283" s="1" t="s">
        <v>4546</v>
      </c>
      <c r="D2283" s="2">
        <v>46142</v>
      </c>
      <c r="E2283" s="2">
        <v>46148</v>
      </c>
      <c r="F2283" s="1" t="s">
        <v>177</v>
      </c>
      <c r="G2283" s="1" t="s">
        <v>13</v>
      </c>
      <c r="H2283" s="1" t="s">
        <v>14</v>
      </c>
      <c r="I2283" s="7">
        <v>16.88</v>
      </c>
      <c r="J2283" s="1" t="s">
        <v>38</v>
      </c>
      <c r="K2283" s="1"/>
      <c r="L2283" s="1" t="s">
        <v>39</v>
      </c>
      <c r="M2283" s="1" t="str">
        <f>INDEX(MCC_Lookup!$B$2:$B$12,MATCH(G2283,MCC_Lookup!$A$2:$A$12,0))</f>
        <v>Software</v>
      </c>
      <c r="N2283" s="1" t="str">
        <f>IF(TRIM(H2283)="","BLANK",IF(PROPER(TRIM(H2283))=TRIM(M2283),"MATCH","MISMATCH"))</f>
        <v>MATCH</v>
      </c>
      <c r="O2283" s="5" t="str">
        <f>INDEX([1]Employee!$C$2:$C$276,MATCH(B2283,[1]Employee!$A$2:$A$276,0))</f>
        <v>Sales &amp; Marketing</v>
      </c>
    </row>
    <row r="2284" spans="1:15">
      <c r="A2284" s="1" t="s">
        <v>4547</v>
      </c>
      <c r="B2284" s="1" t="s">
        <v>550</v>
      </c>
      <c r="C2284" s="1" t="s">
        <v>4548</v>
      </c>
      <c r="D2284" s="2">
        <v>46148</v>
      </c>
      <c r="E2284" s="2">
        <v>46148</v>
      </c>
      <c r="F2284" s="1" t="s">
        <v>124</v>
      </c>
      <c r="G2284" s="1" t="s">
        <v>17</v>
      </c>
      <c r="H2284" s="1" t="s">
        <v>403</v>
      </c>
      <c r="I2284" s="7">
        <v>167.15</v>
      </c>
      <c r="J2284" s="1" t="s">
        <v>38</v>
      </c>
      <c r="K2284" s="1"/>
      <c r="L2284" s="1" t="s">
        <v>39</v>
      </c>
      <c r="M2284" s="1" t="str">
        <f>INDEX(MCC_Lookup!$B$2:$B$12,MATCH(G2284,MCC_Lookup!$A$2:$A$12,0))</f>
        <v>Entertainment</v>
      </c>
      <c r="N2284" s="1" t="str">
        <f>IF(TRIM(H2284)="","BLANK",IF(PROPER(TRIM(H2284))=TRIM(M2284),"MATCH","MISMATCH"))</f>
        <v>MATCH</v>
      </c>
      <c r="O2284" s="5" t="str">
        <f>INDEX([1]Employee!$C$2:$C$276,MATCH(B2284,[1]Employee!$A$2:$A$276,0))</f>
        <v>Sales &amp; Marketing</v>
      </c>
    </row>
    <row r="2285" spans="1:15">
      <c r="A2285" s="1" t="s">
        <v>4549</v>
      </c>
      <c r="B2285" s="1" t="s">
        <v>643</v>
      </c>
      <c r="C2285" s="1" t="s">
        <v>4550</v>
      </c>
      <c r="D2285" s="2">
        <v>46145</v>
      </c>
      <c r="E2285" s="2">
        <v>46148</v>
      </c>
      <c r="F2285" s="1" t="s">
        <v>242</v>
      </c>
      <c r="G2285" s="1" t="s">
        <v>13</v>
      </c>
      <c r="H2285" s="1" t="s">
        <v>192</v>
      </c>
      <c r="I2285" s="7">
        <v>17.239999999999998</v>
      </c>
      <c r="J2285" s="1" t="s">
        <v>38</v>
      </c>
      <c r="K2285" s="1"/>
      <c r="L2285" s="1" t="s">
        <v>39</v>
      </c>
      <c r="M2285" s="1" t="str">
        <f>INDEX(MCC_Lookup!$B$2:$B$12,MATCH(G2285,MCC_Lookup!$A$2:$A$12,0))</f>
        <v>Software</v>
      </c>
      <c r="N2285" s="1" t="str">
        <f>IF(TRIM(H2285)="","BLANK",IF(PROPER(TRIM(H2285))=TRIM(M2285),"MATCH","MISMATCH"))</f>
        <v>MATCH</v>
      </c>
      <c r="O2285" s="5" t="str">
        <f>INDEX([1]Employee!$C$2:$C$276,MATCH(B2285,[1]Employee!$A$2:$A$276,0))</f>
        <v>Sales &amp; Marketing</v>
      </c>
    </row>
    <row r="2286" spans="1:15">
      <c r="A2286" s="1" t="s">
        <v>4551</v>
      </c>
      <c r="B2286" s="1" t="s">
        <v>585</v>
      </c>
      <c r="C2286" s="1" t="s">
        <v>4552</v>
      </c>
      <c r="D2286" s="2">
        <v>46146</v>
      </c>
      <c r="E2286" s="2">
        <v>46148</v>
      </c>
      <c r="F2286" s="1" t="s">
        <v>61</v>
      </c>
      <c r="G2286" s="1" t="s">
        <v>13</v>
      </c>
      <c r="H2286" s="1" t="s">
        <v>14</v>
      </c>
      <c r="I2286" s="7">
        <v>45.14</v>
      </c>
      <c r="J2286" s="1" t="s">
        <v>38</v>
      </c>
      <c r="K2286" s="1"/>
      <c r="L2286" s="1" t="s">
        <v>39</v>
      </c>
      <c r="M2286" s="1" t="str">
        <f>INDEX(MCC_Lookup!$B$2:$B$12,MATCH(G2286,MCC_Lookup!$A$2:$A$12,0))</f>
        <v>Software</v>
      </c>
      <c r="N2286" s="1" t="str">
        <f>IF(TRIM(H2286)="","BLANK",IF(PROPER(TRIM(H2286))=TRIM(M2286),"MATCH","MISMATCH"))</f>
        <v>MATCH</v>
      </c>
      <c r="O2286" s="5" t="str">
        <f>INDEX([1]Employee!$C$2:$C$276,MATCH(B2286,[1]Employee!$A$2:$A$276,0))</f>
        <v>Customer Support</v>
      </c>
    </row>
    <row r="2287" spans="1:15">
      <c r="A2287" s="1" t="s">
        <v>4553</v>
      </c>
      <c r="B2287" s="1" t="s">
        <v>152</v>
      </c>
      <c r="C2287" s="1" t="s">
        <v>4554</v>
      </c>
      <c r="D2287" s="2">
        <v>46146</v>
      </c>
      <c r="E2287" s="2">
        <v>46148</v>
      </c>
      <c r="F2287" s="1" t="s">
        <v>65</v>
      </c>
      <c r="G2287" s="1" t="s">
        <v>18</v>
      </c>
      <c r="H2287" s="1" t="s">
        <v>19</v>
      </c>
      <c r="I2287" s="7">
        <v>395.1</v>
      </c>
      <c r="J2287" s="1" t="s">
        <v>38</v>
      </c>
      <c r="K2287" s="1"/>
      <c r="L2287" s="1" t="s">
        <v>39</v>
      </c>
      <c r="M2287" s="1" t="str">
        <f>INDEX(MCC_Lookup!$B$2:$B$12,MATCH(G2287,MCC_Lookup!$A$2:$A$12,0))</f>
        <v>Events</v>
      </c>
      <c r="N2287" s="1" t="str">
        <f>IF(TRIM(H2287)="","BLANK",IF(PROPER(TRIM(H2287))=TRIM(M2287),"MATCH","MISMATCH"))</f>
        <v>MATCH</v>
      </c>
      <c r="O2287" s="5" t="str">
        <f>INDEX([1]Employee!$C$2:$C$276,MATCH(B2287,[1]Employee!$A$2:$A$276,0))</f>
        <v>Sales &amp; Marketing</v>
      </c>
    </row>
    <row r="2288" spans="1:15">
      <c r="A2288" s="1" t="s">
        <v>4555</v>
      </c>
      <c r="B2288" s="1" t="s">
        <v>640</v>
      </c>
      <c r="C2288" s="1" t="s">
        <v>4556</v>
      </c>
      <c r="D2288" s="2">
        <v>46141</v>
      </c>
      <c r="E2288" s="2">
        <v>46148</v>
      </c>
      <c r="F2288" s="1" t="s">
        <v>37</v>
      </c>
      <c r="G2288" s="1" t="s">
        <v>4</v>
      </c>
      <c r="H2288" s="1"/>
      <c r="I2288" s="7">
        <v>341.42</v>
      </c>
      <c r="J2288" s="1" t="s">
        <v>38</v>
      </c>
      <c r="K2288" s="1"/>
      <c r="L2288" s="1" t="s">
        <v>39</v>
      </c>
      <c r="M2288" s="1" t="str">
        <f>INDEX(MCC_Lookup!$B$2:$B$12,MATCH(G2288,MCC_Lookup!$A$2:$A$12,0))</f>
        <v>Travel</v>
      </c>
      <c r="N2288" s="1" t="str">
        <f>IF(TRIM(H2288)="","BLANK",IF(PROPER(TRIM(H2288))=TRIM(M2288),"MATCH","MISMATCH"))</f>
        <v>BLANK</v>
      </c>
      <c r="O2288" s="5" t="str">
        <f>INDEX([1]Employee!$C$2:$C$276,MATCH(B2288,[1]Employee!$A$2:$A$276,0))</f>
        <v>Underwriting</v>
      </c>
    </row>
    <row r="2289" spans="1:15">
      <c r="A2289" s="1" t="s">
        <v>4557</v>
      </c>
      <c r="B2289" s="1" t="s">
        <v>732</v>
      </c>
      <c r="C2289" s="1" t="s">
        <v>4558</v>
      </c>
      <c r="D2289" s="2">
        <v>46141</v>
      </c>
      <c r="E2289" s="2">
        <v>46148</v>
      </c>
      <c r="F2289" s="1" t="s">
        <v>69</v>
      </c>
      <c r="G2289" s="1" t="s">
        <v>8</v>
      </c>
      <c r="H2289" s="1" t="s">
        <v>494</v>
      </c>
      <c r="I2289" s="7">
        <v>43.19</v>
      </c>
      <c r="J2289" s="1" t="s">
        <v>38</v>
      </c>
      <c r="K2289" s="1"/>
      <c r="L2289" s="1" t="s">
        <v>48</v>
      </c>
      <c r="M2289" s="1" t="str">
        <f>INDEX(MCC_Lookup!$B$2:$B$12,MATCH(G2289,MCC_Lookup!$A$2:$A$12,0))</f>
        <v>Transportation</v>
      </c>
      <c r="N2289" s="1" t="str">
        <f>IF(TRIM(H2289)="","BLANK",IF(PROPER(TRIM(H2289))=TRIM(M2289),"MATCH","MISMATCH"))</f>
        <v>MATCH</v>
      </c>
      <c r="O2289" s="5" t="str">
        <f>INDEX([1]Employee!$C$2:$C$276,MATCH(B2289,[1]Employee!$A$2:$A$276,0))</f>
        <v>Underwriting</v>
      </c>
    </row>
    <row r="2290" spans="1:15">
      <c r="A2290" s="1" t="s">
        <v>4559</v>
      </c>
      <c r="B2290" s="1" t="s">
        <v>667</v>
      </c>
      <c r="C2290" s="1" t="s">
        <v>4560</v>
      </c>
      <c r="D2290" s="2">
        <v>46143</v>
      </c>
      <c r="E2290" s="2">
        <v>46148</v>
      </c>
      <c r="F2290" s="1" t="s">
        <v>160</v>
      </c>
      <c r="G2290" s="1" t="s">
        <v>6</v>
      </c>
      <c r="H2290" s="1" t="s">
        <v>7</v>
      </c>
      <c r="I2290" s="7">
        <v>470.5</v>
      </c>
      <c r="J2290" s="1" t="s">
        <v>38</v>
      </c>
      <c r="K2290" s="1"/>
      <c r="L2290" s="1" t="s">
        <v>39</v>
      </c>
      <c r="M2290" s="1" t="str">
        <f>INDEX(MCC_Lookup!$B$2:$B$12,MATCH(G2290,MCC_Lookup!$A$2:$A$12,0))</f>
        <v>Lodging</v>
      </c>
      <c r="N2290" s="1" t="str">
        <f>IF(TRIM(H2290)="","BLANK",IF(PROPER(TRIM(H2290))=TRIM(M2290),"MATCH","MISMATCH"))</f>
        <v>MATCH</v>
      </c>
      <c r="O2290" s="5" t="str">
        <f>INDEX([1]Employee!$C$2:$C$276,MATCH(B2290,[1]Employee!$A$2:$A$276,0))</f>
        <v>Sales &amp; Marketing</v>
      </c>
    </row>
    <row r="2291" spans="1:15">
      <c r="A2291" s="1" t="s">
        <v>4561</v>
      </c>
      <c r="B2291" s="1" t="s">
        <v>136</v>
      </c>
      <c r="C2291" s="1" t="s">
        <v>4562</v>
      </c>
      <c r="D2291" s="2">
        <v>46147</v>
      </c>
      <c r="E2291" s="2">
        <v>46148</v>
      </c>
      <c r="F2291" s="1" t="s">
        <v>160</v>
      </c>
      <c r="G2291" s="1" t="s">
        <v>6</v>
      </c>
      <c r="H2291" s="1" t="s">
        <v>7</v>
      </c>
      <c r="I2291" s="7">
        <v>341.93</v>
      </c>
      <c r="J2291" s="1" t="s">
        <v>38</v>
      </c>
      <c r="K2291" s="1"/>
      <c r="L2291" s="1" t="s">
        <v>39</v>
      </c>
      <c r="M2291" s="1" t="str">
        <f>INDEX(MCC_Lookup!$B$2:$B$12,MATCH(G2291,MCC_Lookup!$A$2:$A$12,0))</f>
        <v>Lodging</v>
      </c>
      <c r="N2291" s="1" t="str">
        <f>IF(TRIM(H2291)="","BLANK",IF(PROPER(TRIM(H2291))=TRIM(M2291),"MATCH","MISMATCH"))</f>
        <v>MATCH</v>
      </c>
      <c r="O2291" s="5" t="str">
        <f>INDEX([1]Employee!$C$2:$C$276,MATCH(B2291,[1]Employee!$A$2:$A$276,0))</f>
        <v>Sales &amp; Marketing</v>
      </c>
    </row>
    <row r="2292" spans="1:15">
      <c r="A2292" s="1" t="s">
        <v>4563</v>
      </c>
      <c r="B2292" s="1" t="s">
        <v>597</v>
      </c>
      <c r="C2292" s="1" t="s">
        <v>4564</v>
      </c>
      <c r="D2292" s="2">
        <v>46138</v>
      </c>
      <c r="E2292" s="2">
        <v>46148</v>
      </c>
      <c r="F2292" s="1" t="s">
        <v>72</v>
      </c>
      <c r="G2292" s="1" t="s">
        <v>8</v>
      </c>
      <c r="H2292" s="1" t="s">
        <v>494</v>
      </c>
      <c r="I2292" s="7">
        <v>24.94</v>
      </c>
      <c r="J2292" s="1" t="s">
        <v>38</v>
      </c>
      <c r="K2292" s="1"/>
      <c r="L2292" s="1" t="s">
        <v>39</v>
      </c>
      <c r="M2292" s="1" t="str">
        <f>INDEX(MCC_Lookup!$B$2:$B$12,MATCH(G2292,MCC_Lookup!$A$2:$A$12,0))</f>
        <v>Transportation</v>
      </c>
      <c r="N2292" s="1" t="str">
        <f>IF(TRIM(H2292)="","BLANK",IF(PROPER(TRIM(H2292))=TRIM(M2292),"MATCH","MISMATCH"))</f>
        <v>MATCH</v>
      </c>
      <c r="O2292" s="5" t="str">
        <f>INDEX([1]Employee!$C$2:$C$276,MATCH(B2292,[1]Employee!$A$2:$A$276,0))</f>
        <v>Sales &amp; Marketing</v>
      </c>
    </row>
    <row r="2293" spans="1:15">
      <c r="A2293" s="1" t="s">
        <v>4565</v>
      </c>
      <c r="B2293" s="1" t="s">
        <v>738</v>
      </c>
      <c r="C2293" s="1" t="s">
        <v>4566</v>
      </c>
      <c r="D2293" s="2">
        <v>46141</v>
      </c>
      <c r="E2293" s="2">
        <v>46149</v>
      </c>
      <c r="F2293" s="1" t="s">
        <v>120</v>
      </c>
      <c r="G2293" s="1" t="s">
        <v>12</v>
      </c>
      <c r="H2293" s="1" t="s">
        <v>11</v>
      </c>
      <c r="I2293" s="7">
        <v>127.11</v>
      </c>
      <c r="J2293" s="1" t="s">
        <v>38</v>
      </c>
      <c r="K2293" s="1"/>
      <c r="L2293" s="1" t="s">
        <v>48</v>
      </c>
      <c r="M2293" s="1" t="str">
        <f>INDEX(MCC_Lookup!$B$2:$B$12,MATCH(G2293,MCC_Lookup!$A$2:$A$12,0))</f>
        <v>Office Supplies</v>
      </c>
      <c r="N2293" s="1" t="str">
        <f>IF(TRIM(H2293)="","BLANK",IF(PROPER(TRIM(H2293))=TRIM(M2293),"MATCH","MISMATCH"))</f>
        <v>MATCH</v>
      </c>
      <c r="O2293" s="5" t="str">
        <f>INDEX([1]Employee!$C$2:$C$276,MATCH(B2293,[1]Employee!$A$2:$A$276,0))</f>
        <v>Sales &amp; Marketing</v>
      </c>
    </row>
    <row r="2294" spans="1:15">
      <c r="A2294" s="1" t="s">
        <v>4567</v>
      </c>
      <c r="B2294" s="1" t="s">
        <v>738</v>
      </c>
      <c r="C2294" s="1" t="s">
        <v>4568</v>
      </c>
      <c r="D2294" s="2">
        <v>46141</v>
      </c>
      <c r="E2294" s="2">
        <v>46149</v>
      </c>
      <c r="F2294" s="1" t="s">
        <v>120</v>
      </c>
      <c r="G2294" s="1" t="s">
        <v>12</v>
      </c>
      <c r="H2294" s="1" t="s">
        <v>11</v>
      </c>
      <c r="I2294" s="7">
        <v>36.57</v>
      </c>
      <c r="J2294" s="1" t="s">
        <v>38</v>
      </c>
      <c r="K2294" s="1"/>
      <c r="L2294" s="1" t="s">
        <v>39</v>
      </c>
      <c r="M2294" s="1" t="str">
        <f>INDEX(MCC_Lookup!$B$2:$B$12,MATCH(G2294,MCC_Lookup!$A$2:$A$12,0))</f>
        <v>Office Supplies</v>
      </c>
      <c r="N2294" s="1" t="str">
        <f>IF(TRIM(H2294)="","BLANK",IF(PROPER(TRIM(H2294))=TRIM(M2294),"MATCH","MISMATCH"))</f>
        <v>MATCH</v>
      </c>
      <c r="O2294" s="5" t="str">
        <f>INDEX([1]Employee!$C$2:$C$276,MATCH(B2294,[1]Employee!$A$2:$A$276,0))</f>
        <v>Sales &amp; Marketing</v>
      </c>
    </row>
    <row r="2295" spans="1:15">
      <c r="A2295" s="1" t="s">
        <v>4569</v>
      </c>
      <c r="B2295" s="1" t="s">
        <v>303</v>
      </c>
      <c r="C2295" s="1" t="s">
        <v>4570</v>
      </c>
      <c r="D2295" s="2">
        <v>46146</v>
      </c>
      <c r="E2295" s="2">
        <v>46149</v>
      </c>
      <c r="F2295" s="1" t="s">
        <v>65</v>
      </c>
      <c r="G2295" s="1" t="s">
        <v>18</v>
      </c>
      <c r="H2295" s="1" t="s">
        <v>19</v>
      </c>
      <c r="I2295" s="7">
        <v>500.1</v>
      </c>
      <c r="J2295" s="1" t="s">
        <v>38</v>
      </c>
      <c r="K2295" s="1"/>
      <c r="L2295" s="1" t="s">
        <v>39</v>
      </c>
      <c r="M2295" s="1" t="str">
        <f>INDEX(MCC_Lookup!$B$2:$B$12,MATCH(G2295,MCC_Lookup!$A$2:$A$12,0))</f>
        <v>Events</v>
      </c>
      <c r="N2295" s="1" t="str">
        <f>IF(TRIM(H2295)="","BLANK",IF(PROPER(TRIM(H2295))=TRIM(M2295),"MATCH","MISMATCH"))</f>
        <v>MATCH</v>
      </c>
      <c r="O2295" s="5" t="str">
        <f>INDEX([1]Employee!$C$2:$C$276,MATCH(B2295,[1]Employee!$A$2:$A$276,0))</f>
        <v>Sales &amp; Marketing</v>
      </c>
    </row>
    <row r="2296" spans="1:15">
      <c r="A2296" s="1" t="s">
        <v>4571</v>
      </c>
      <c r="B2296" s="1" t="s">
        <v>2046</v>
      </c>
      <c r="C2296" s="1" t="s">
        <v>4572</v>
      </c>
      <c r="D2296" s="2">
        <v>46147</v>
      </c>
      <c r="E2296" s="2">
        <v>46149</v>
      </c>
      <c r="F2296" s="1" t="s">
        <v>72</v>
      </c>
      <c r="G2296" s="1" t="s">
        <v>8</v>
      </c>
      <c r="H2296" s="1" t="s">
        <v>9</v>
      </c>
      <c r="I2296" s="7">
        <v>15.37</v>
      </c>
      <c r="J2296" s="1" t="s">
        <v>38</v>
      </c>
      <c r="K2296" s="1"/>
      <c r="L2296" s="1" t="s">
        <v>39</v>
      </c>
      <c r="M2296" s="1" t="str">
        <f>INDEX(MCC_Lookup!$B$2:$B$12,MATCH(G2296,MCC_Lookup!$A$2:$A$12,0))</f>
        <v>Transportation</v>
      </c>
      <c r="N2296" s="1" t="str">
        <f>IF(TRIM(H2296)="","BLANK",IF(PROPER(TRIM(H2296))=TRIM(M2296),"MATCH","MISMATCH"))</f>
        <v>MATCH</v>
      </c>
      <c r="O2296" s="5" t="str">
        <f>INDEX([1]Employee!$C$2:$C$276,MATCH(B2296,[1]Employee!$A$2:$A$276,0))</f>
        <v>Claims</v>
      </c>
    </row>
    <row r="2297" spans="1:15">
      <c r="A2297" s="1" t="s">
        <v>4573</v>
      </c>
      <c r="B2297" s="1" t="s">
        <v>90</v>
      </c>
      <c r="C2297" s="1" t="s">
        <v>4574</v>
      </c>
      <c r="D2297" s="2">
        <v>46144</v>
      </c>
      <c r="E2297" s="2">
        <v>46149</v>
      </c>
      <c r="F2297" s="1" t="s">
        <v>43</v>
      </c>
      <c r="G2297" s="1" t="s">
        <v>2</v>
      </c>
      <c r="H2297" s="1" t="s">
        <v>3</v>
      </c>
      <c r="I2297" s="7">
        <v>7.2</v>
      </c>
      <c r="J2297" s="1" t="s">
        <v>38</v>
      </c>
      <c r="K2297" s="1"/>
      <c r="L2297" s="1" t="s">
        <v>39</v>
      </c>
      <c r="M2297" s="1" t="str">
        <f>INDEX(MCC_Lookup!$B$2:$B$12,MATCH(G2297,MCC_Lookup!$A$2:$A$12,0))</f>
        <v>Meals</v>
      </c>
      <c r="N2297" s="1" t="str">
        <f>IF(TRIM(H2297)="","BLANK",IF(PROPER(TRIM(H2297))=TRIM(M2297),"MATCH","MISMATCH"))</f>
        <v>MATCH</v>
      </c>
      <c r="O2297" s="5" t="str">
        <f>INDEX([1]Employee!$C$2:$C$276,MATCH(B2297,[1]Employee!$A$2:$A$276,0))</f>
        <v>Sales &amp; Marketing</v>
      </c>
    </row>
    <row r="2298" spans="1:15">
      <c r="A2298" s="1" t="s">
        <v>4575</v>
      </c>
      <c r="B2298" s="1" t="s">
        <v>277</v>
      </c>
      <c r="C2298" s="1"/>
      <c r="D2298" s="2">
        <v>46148</v>
      </c>
      <c r="E2298" s="2">
        <v>46149</v>
      </c>
      <c r="F2298" s="1" t="s">
        <v>95</v>
      </c>
      <c r="G2298" s="1" t="s">
        <v>6</v>
      </c>
      <c r="H2298" s="1" t="s">
        <v>7</v>
      </c>
      <c r="I2298" s="7">
        <v>188.29</v>
      </c>
      <c r="J2298" s="1" t="s">
        <v>38</v>
      </c>
      <c r="K2298" s="1"/>
      <c r="L2298" s="1" t="s">
        <v>39</v>
      </c>
      <c r="M2298" s="1" t="str">
        <f>INDEX(MCC_Lookup!$B$2:$B$12,MATCH(G2298,MCC_Lookup!$A$2:$A$12,0))</f>
        <v>Lodging</v>
      </c>
      <c r="N2298" s="1" t="str">
        <f>IF(TRIM(H2298)="","BLANK",IF(PROPER(TRIM(H2298))=TRIM(M2298),"MATCH","MISMATCH"))</f>
        <v>MATCH</v>
      </c>
      <c r="O2298" s="5" t="str">
        <f>INDEX([1]Employee!$C$2:$C$276,MATCH(B2298,[1]Employee!$A$2:$A$276,0))</f>
        <v>Claims</v>
      </c>
    </row>
    <row r="2299" spans="1:15">
      <c r="A2299" s="1" t="s">
        <v>4576</v>
      </c>
      <c r="B2299" s="1" t="s">
        <v>433</v>
      </c>
      <c r="C2299" s="1" t="s">
        <v>4577</v>
      </c>
      <c r="D2299" s="2">
        <v>46147</v>
      </c>
      <c r="E2299" s="2">
        <v>46149</v>
      </c>
      <c r="F2299" s="1" t="s">
        <v>173</v>
      </c>
      <c r="G2299" s="1" t="s">
        <v>2</v>
      </c>
      <c r="H2299" s="1" t="s">
        <v>3</v>
      </c>
      <c r="I2299" s="7">
        <v>66.36</v>
      </c>
      <c r="J2299" s="1" t="s">
        <v>38</v>
      </c>
      <c r="K2299" s="1"/>
      <c r="L2299" s="1" t="s">
        <v>39</v>
      </c>
      <c r="M2299" s="1" t="str">
        <f>INDEX(MCC_Lookup!$B$2:$B$12,MATCH(G2299,MCC_Lookup!$A$2:$A$12,0))</f>
        <v>Meals</v>
      </c>
      <c r="N2299" s="1" t="str">
        <f>IF(TRIM(H2299)="","BLANK",IF(PROPER(TRIM(H2299))=TRIM(M2299),"MATCH","MISMATCH"))</f>
        <v>MATCH</v>
      </c>
      <c r="O2299" s="5" t="str">
        <f>INDEX([1]Employee!$C$2:$C$276,MATCH(B2299,[1]Employee!$A$2:$A$276,0))</f>
        <v>Sales &amp; Marketing</v>
      </c>
    </row>
    <row r="2300" spans="1:15">
      <c r="A2300" s="1" t="s">
        <v>4578</v>
      </c>
      <c r="B2300" s="1" t="s">
        <v>789</v>
      </c>
      <c r="C2300" s="1" t="s">
        <v>4579</v>
      </c>
      <c r="D2300" s="2">
        <v>46141</v>
      </c>
      <c r="E2300" s="2">
        <v>46149</v>
      </c>
      <c r="F2300" s="1" t="s">
        <v>201</v>
      </c>
      <c r="G2300" s="1" t="s">
        <v>4</v>
      </c>
      <c r="H2300" s="1"/>
      <c r="I2300" s="7">
        <v>487.85</v>
      </c>
      <c r="J2300" s="1" t="s">
        <v>38</v>
      </c>
      <c r="K2300" s="1"/>
      <c r="L2300" s="1" t="s">
        <v>39</v>
      </c>
      <c r="M2300" s="1" t="str">
        <f>INDEX(MCC_Lookup!$B$2:$B$12,MATCH(G2300,MCC_Lookup!$A$2:$A$12,0))</f>
        <v>Travel</v>
      </c>
      <c r="N2300" s="1" t="str">
        <f>IF(TRIM(H2300)="","BLANK",IF(PROPER(TRIM(H2300))=TRIM(M2300),"MATCH","MISMATCH"))</f>
        <v>BLANK</v>
      </c>
      <c r="O2300" s="5" t="str">
        <f>INDEX([1]Employee!$C$2:$C$276,MATCH(B2300,[1]Employee!$A$2:$A$276,0))</f>
        <v>Actuarial &amp; Risk</v>
      </c>
    </row>
    <row r="2301" spans="1:15">
      <c r="A2301" s="1" t="s">
        <v>4580</v>
      </c>
      <c r="B2301" s="1" t="s">
        <v>1206</v>
      </c>
      <c r="C2301" s="1" t="s">
        <v>4581</v>
      </c>
      <c r="D2301" s="2">
        <v>46140</v>
      </c>
      <c r="E2301" s="2">
        <v>46149</v>
      </c>
      <c r="F2301" s="1" t="s">
        <v>79</v>
      </c>
      <c r="G2301" s="1" t="s">
        <v>13</v>
      </c>
      <c r="H2301" s="1" t="s">
        <v>14</v>
      </c>
      <c r="I2301" s="7">
        <v>100.09</v>
      </c>
      <c r="J2301" s="1" t="s">
        <v>38</v>
      </c>
      <c r="K2301" s="1"/>
      <c r="L2301" s="1" t="s">
        <v>39</v>
      </c>
      <c r="M2301" s="1" t="str">
        <f>INDEX(MCC_Lookup!$B$2:$B$12,MATCH(G2301,MCC_Lookup!$A$2:$A$12,0))</f>
        <v>Software</v>
      </c>
      <c r="N2301" s="1" t="str">
        <f>IF(TRIM(H2301)="","BLANK",IF(PROPER(TRIM(H2301))=TRIM(M2301),"MATCH","MISMATCH"))</f>
        <v>MATCH</v>
      </c>
      <c r="O2301" s="5" t="str">
        <f>INDEX([1]Employee!$C$2:$C$276,MATCH(B2301,[1]Employee!$A$2:$A$276,0))</f>
        <v>Customer Support</v>
      </c>
    </row>
    <row r="2302" spans="1:15">
      <c r="A2302" s="1" t="s">
        <v>4582</v>
      </c>
      <c r="B2302" s="1" t="s">
        <v>3511</v>
      </c>
      <c r="C2302" s="1"/>
      <c r="D2302" s="2">
        <v>46145</v>
      </c>
      <c r="E2302" s="2">
        <v>46149</v>
      </c>
      <c r="F2302" s="1" t="s">
        <v>79</v>
      </c>
      <c r="G2302" s="1" t="s">
        <v>13</v>
      </c>
      <c r="H2302" s="1" t="s">
        <v>14</v>
      </c>
      <c r="I2302" s="7">
        <v>229.52</v>
      </c>
      <c r="J2302" s="1" t="s">
        <v>111</v>
      </c>
      <c r="K2302" s="1" t="s">
        <v>229</v>
      </c>
      <c r="L2302" s="1" t="s">
        <v>39</v>
      </c>
      <c r="M2302" s="1" t="str">
        <f>INDEX(MCC_Lookup!$B$2:$B$12,MATCH(G2302,MCC_Lookup!$A$2:$A$12,0))</f>
        <v>Software</v>
      </c>
      <c r="N2302" s="1" t="str">
        <f>IF(TRIM(H2302)="","BLANK",IF(PROPER(TRIM(H2302))=TRIM(M2302),"MATCH","MISMATCH"))</f>
        <v>MATCH</v>
      </c>
      <c r="O2302" s="5" t="str">
        <f>INDEX([1]Employee!$C$2:$C$276,MATCH(B2302,[1]Employee!$A$2:$A$276,0))</f>
        <v>IT &amp; Platform Engineering</v>
      </c>
    </row>
    <row r="2303" spans="1:15">
      <c r="A2303" s="1" t="s">
        <v>4583</v>
      </c>
      <c r="B2303" s="1" t="s">
        <v>182</v>
      </c>
      <c r="C2303" s="1" t="s">
        <v>4584</v>
      </c>
      <c r="D2303" s="2">
        <v>46148</v>
      </c>
      <c r="E2303" s="2">
        <v>46149</v>
      </c>
      <c r="F2303" s="1" t="s">
        <v>109</v>
      </c>
      <c r="G2303" s="1" t="s">
        <v>18</v>
      </c>
      <c r="H2303" s="1" t="s">
        <v>517</v>
      </c>
      <c r="I2303" s="7">
        <v>63.75</v>
      </c>
      <c r="J2303" s="1" t="s">
        <v>38</v>
      </c>
      <c r="K2303" s="1"/>
      <c r="L2303" s="1" t="s">
        <v>39</v>
      </c>
      <c r="M2303" s="1" t="str">
        <f>INDEX(MCC_Lookup!$B$2:$B$12,MATCH(G2303,MCC_Lookup!$A$2:$A$12,0))</f>
        <v>Events</v>
      </c>
      <c r="N2303" s="1" t="str">
        <f>IF(TRIM(H2303)="","BLANK",IF(PROPER(TRIM(H2303))=TRIM(M2303),"MATCH","MISMATCH"))</f>
        <v>MATCH</v>
      </c>
      <c r="O2303" s="5" t="str">
        <f>INDEX([1]Employee!$C$2:$C$276,MATCH(B2303,[1]Employee!$A$2:$A$276,0))</f>
        <v>Sales &amp; Marketing</v>
      </c>
    </row>
    <row r="2304" spans="1:15">
      <c r="A2304" s="1" t="s">
        <v>4585</v>
      </c>
      <c r="B2304" s="1" t="s">
        <v>175</v>
      </c>
      <c r="C2304" s="1" t="s">
        <v>4586</v>
      </c>
      <c r="D2304" s="2">
        <v>46146</v>
      </c>
      <c r="E2304" s="2">
        <v>46149</v>
      </c>
      <c r="F2304" s="1" t="s">
        <v>92</v>
      </c>
      <c r="G2304" s="1" t="s">
        <v>10</v>
      </c>
      <c r="H2304" s="1" t="s">
        <v>11</v>
      </c>
      <c r="I2304" s="7">
        <v>74.34</v>
      </c>
      <c r="J2304" s="1" t="s">
        <v>38</v>
      </c>
      <c r="K2304" s="1"/>
      <c r="L2304" s="1" t="s">
        <v>39</v>
      </c>
      <c r="M2304" s="1" t="str">
        <f>INDEX(MCC_Lookup!$B$2:$B$12,MATCH(G2304,MCC_Lookup!$A$2:$A$12,0))</f>
        <v>Office Supplies</v>
      </c>
      <c r="N2304" s="1" t="str">
        <f>IF(TRIM(H2304)="","BLANK",IF(PROPER(TRIM(H2304))=TRIM(M2304),"MATCH","MISMATCH"))</f>
        <v>MATCH</v>
      </c>
      <c r="O2304" s="5" t="str">
        <f>INDEX([1]Employee!$C$2:$C$276,MATCH(B2304,[1]Employee!$A$2:$A$276,0))</f>
        <v>Claims</v>
      </c>
    </row>
    <row r="2305" spans="1:15">
      <c r="A2305" s="1" t="s">
        <v>4587</v>
      </c>
      <c r="B2305" s="1" t="s">
        <v>890</v>
      </c>
      <c r="C2305" s="1" t="s">
        <v>4588</v>
      </c>
      <c r="D2305" s="2">
        <v>46148</v>
      </c>
      <c r="E2305" s="2">
        <v>46149</v>
      </c>
      <c r="F2305" s="1" t="s">
        <v>37</v>
      </c>
      <c r="G2305" s="1" t="s">
        <v>4</v>
      </c>
      <c r="H2305" s="1" t="s">
        <v>5</v>
      </c>
      <c r="I2305" s="7">
        <v>238.97</v>
      </c>
      <c r="J2305" s="1" t="s">
        <v>38</v>
      </c>
      <c r="K2305" s="1"/>
      <c r="L2305" s="1" t="s">
        <v>39</v>
      </c>
      <c r="M2305" s="1" t="str">
        <f>INDEX(MCC_Lookup!$B$2:$B$12,MATCH(G2305,MCC_Lookup!$A$2:$A$12,0))</f>
        <v>Travel</v>
      </c>
      <c r="N2305" s="1" t="str">
        <f>IF(TRIM(H2305)="","BLANK",IF(PROPER(TRIM(H2305))=TRIM(M2305),"MATCH","MISMATCH"))</f>
        <v>MATCH</v>
      </c>
      <c r="O2305" s="5" t="str">
        <f>INDEX([1]Employee!$C$2:$C$276,MATCH(B2305,[1]Employee!$A$2:$A$276,0))</f>
        <v>Sales &amp; Marketing</v>
      </c>
    </row>
    <row r="2306" spans="1:15">
      <c r="A2306" s="1" t="s">
        <v>4589</v>
      </c>
      <c r="B2306" s="1" t="s">
        <v>677</v>
      </c>
      <c r="C2306" s="1" t="s">
        <v>4590</v>
      </c>
      <c r="D2306" s="2">
        <v>46141</v>
      </c>
      <c r="E2306" s="2">
        <v>46149</v>
      </c>
      <c r="F2306" s="1" t="s">
        <v>305</v>
      </c>
      <c r="G2306" s="1" t="s">
        <v>2</v>
      </c>
      <c r="H2306" s="1" t="s">
        <v>3</v>
      </c>
      <c r="I2306" s="7">
        <v>14.05</v>
      </c>
      <c r="J2306" s="1" t="s">
        <v>38</v>
      </c>
      <c r="K2306" s="1"/>
      <c r="L2306" s="1" t="s">
        <v>39</v>
      </c>
      <c r="M2306" s="1" t="str">
        <f>INDEX(MCC_Lookup!$B$2:$B$12,MATCH(G2306,MCC_Lookup!$A$2:$A$12,0))</f>
        <v>Meals</v>
      </c>
      <c r="N2306" s="1" t="str">
        <f>IF(TRIM(H2306)="","BLANK",IF(PROPER(TRIM(H2306))=TRIM(M2306),"MATCH","MISMATCH"))</f>
        <v>MATCH</v>
      </c>
      <c r="O2306" s="5" t="str">
        <f>INDEX([1]Employee!$C$2:$C$276,MATCH(B2306,[1]Employee!$A$2:$A$276,0))</f>
        <v>Sales &amp; Marketing</v>
      </c>
    </row>
    <row r="2307" spans="1:15">
      <c r="A2307" s="1" t="s">
        <v>4591</v>
      </c>
      <c r="B2307" s="1" t="s">
        <v>108</v>
      </c>
      <c r="C2307" s="1" t="s">
        <v>4592</v>
      </c>
      <c r="D2307" s="2">
        <v>46147</v>
      </c>
      <c r="E2307" s="2">
        <v>46149</v>
      </c>
      <c r="F2307" s="1" t="s">
        <v>61</v>
      </c>
      <c r="G2307" s="1" t="s">
        <v>13</v>
      </c>
      <c r="H2307" s="1" t="s">
        <v>470</v>
      </c>
      <c r="I2307" s="7">
        <v>52.03</v>
      </c>
      <c r="J2307" s="1" t="s">
        <v>38</v>
      </c>
      <c r="K2307" s="1"/>
      <c r="L2307" s="1" t="s">
        <v>39</v>
      </c>
      <c r="M2307" s="1" t="str">
        <f>INDEX(MCC_Lookup!$B$2:$B$12,MATCH(G2307,MCC_Lookup!$A$2:$A$12,0))</f>
        <v>Software</v>
      </c>
      <c r="N2307" s="1" t="str">
        <f>IF(TRIM(H2307)="","BLANK",IF(PROPER(TRIM(H2307))=TRIM(M2307),"MATCH","MISMATCH"))</f>
        <v>MATCH</v>
      </c>
      <c r="O2307" s="5" t="str">
        <f>INDEX([1]Employee!$C$2:$C$276,MATCH(B2307,[1]Employee!$A$2:$A$276,0))</f>
        <v>Sales &amp; Marketing</v>
      </c>
    </row>
    <row r="2308" spans="1:15">
      <c r="A2308" s="1" t="s">
        <v>4593</v>
      </c>
      <c r="B2308" s="1" t="s">
        <v>108</v>
      </c>
      <c r="C2308" s="1" t="s">
        <v>4594</v>
      </c>
      <c r="D2308" s="2">
        <v>46148</v>
      </c>
      <c r="E2308" s="2">
        <v>46149</v>
      </c>
      <c r="F2308" s="1" t="s">
        <v>72</v>
      </c>
      <c r="G2308" s="1" t="s">
        <v>8</v>
      </c>
      <c r="H2308" s="1" t="s">
        <v>9</v>
      </c>
      <c r="I2308" s="7">
        <v>26.24</v>
      </c>
      <c r="J2308" s="1" t="s">
        <v>38</v>
      </c>
      <c r="K2308" s="1"/>
      <c r="L2308" s="1" t="s">
        <v>39</v>
      </c>
      <c r="M2308" s="1" t="str">
        <f>INDEX(MCC_Lookup!$B$2:$B$12,MATCH(G2308,MCC_Lookup!$A$2:$A$12,0))</f>
        <v>Transportation</v>
      </c>
      <c r="N2308" s="1" t="str">
        <f>IF(TRIM(H2308)="","BLANK",IF(PROPER(TRIM(H2308))=TRIM(M2308),"MATCH","MISMATCH"))</f>
        <v>MATCH</v>
      </c>
      <c r="O2308" s="5" t="str">
        <f>INDEX([1]Employee!$C$2:$C$276,MATCH(B2308,[1]Employee!$A$2:$A$276,0))</f>
        <v>Sales &amp; Marketing</v>
      </c>
    </row>
    <row r="2309" spans="1:15">
      <c r="A2309" s="1" t="s">
        <v>4595</v>
      </c>
      <c r="B2309" s="1" t="s">
        <v>41</v>
      </c>
      <c r="C2309" s="1" t="s">
        <v>4596</v>
      </c>
      <c r="D2309" s="2">
        <v>46146</v>
      </c>
      <c r="E2309" s="2">
        <v>46150</v>
      </c>
      <c r="F2309" s="1" t="s">
        <v>242</v>
      </c>
      <c r="G2309" s="1" t="s">
        <v>13</v>
      </c>
      <c r="H2309" s="1"/>
      <c r="I2309" s="7">
        <v>54.03</v>
      </c>
      <c r="J2309" s="1" t="s">
        <v>38</v>
      </c>
      <c r="K2309" s="1"/>
      <c r="L2309" s="1" t="s">
        <v>39</v>
      </c>
      <c r="M2309" s="1" t="str">
        <f>INDEX(MCC_Lookup!$B$2:$B$12,MATCH(G2309,MCC_Lookup!$A$2:$A$12,0))</f>
        <v>Software</v>
      </c>
      <c r="N2309" s="1" t="str">
        <f>IF(TRIM(H2309)="","BLANK",IF(PROPER(TRIM(H2309))=TRIM(M2309),"MATCH","MISMATCH"))</f>
        <v>BLANK</v>
      </c>
      <c r="O2309" s="5" t="str">
        <f>INDEX([1]Employee!$C$2:$C$276,MATCH(B2309,[1]Employee!$A$2:$A$276,0))</f>
        <v>Sales &amp; Marketing</v>
      </c>
    </row>
    <row r="2310" spans="1:15">
      <c r="A2310" s="1" t="s">
        <v>4597</v>
      </c>
      <c r="B2310" s="1" t="s">
        <v>45</v>
      </c>
      <c r="C2310" s="1" t="s">
        <v>4598</v>
      </c>
      <c r="D2310" s="2">
        <v>46142</v>
      </c>
      <c r="E2310" s="2">
        <v>46150</v>
      </c>
      <c r="F2310" s="1" t="s">
        <v>79</v>
      </c>
      <c r="G2310" s="1" t="s">
        <v>13</v>
      </c>
      <c r="H2310" s="1"/>
      <c r="I2310" s="7">
        <v>144.72</v>
      </c>
      <c r="J2310" s="1" t="s">
        <v>38</v>
      </c>
      <c r="K2310" s="1"/>
      <c r="L2310" s="1" t="s">
        <v>48</v>
      </c>
      <c r="M2310" s="1" t="str">
        <f>INDEX(MCC_Lookup!$B$2:$B$12,MATCH(G2310,MCC_Lookup!$A$2:$A$12,0))</f>
        <v>Software</v>
      </c>
      <c r="N2310" s="1" t="str">
        <f>IF(TRIM(H2310)="","BLANK",IF(PROPER(TRIM(H2310))=TRIM(M2310),"MATCH","MISMATCH"))</f>
        <v>BLANK</v>
      </c>
      <c r="O2310" s="5" t="str">
        <f>INDEX([1]Employee!$C$2:$C$276,MATCH(B2310,[1]Employee!$A$2:$A$276,0))</f>
        <v>IT &amp; Platform Engineering</v>
      </c>
    </row>
    <row r="2311" spans="1:15">
      <c r="A2311" s="1" t="s">
        <v>4599</v>
      </c>
      <c r="B2311" s="1" t="s">
        <v>104</v>
      </c>
      <c r="C2311" s="1" t="s">
        <v>4600</v>
      </c>
      <c r="D2311" s="2">
        <v>46146</v>
      </c>
      <c r="E2311" s="2">
        <v>46150</v>
      </c>
      <c r="F2311" s="1" t="s">
        <v>347</v>
      </c>
      <c r="G2311" s="1" t="s">
        <v>8</v>
      </c>
      <c r="H2311" s="1" t="s">
        <v>9</v>
      </c>
      <c r="I2311" s="7">
        <v>57.18</v>
      </c>
      <c r="J2311" s="1" t="s">
        <v>38</v>
      </c>
      <c r="K2311" s="1"/>
      <c r="L2311" s="1" t="s">
        <v>39</v>
      </c>
      <c r="M2311" s="1" t="str">
        <f>INDEX(MCC_Lookup!$B$2:$B$12,MATCH(G2311,MCC_Lookup!$A$2:$A$12,0))</f>
        <v>Transportation</v>
      </c>
      <c r="N2311" s="1" t="str">
        <f>IF(TRIM(H2311)="","BLANK",IF(PROPER(TRIM(H2311))=TRIM(M2311),"MATCH","MISMATCH"))</f>
        <v>MATCH</v>
      </c>
      <c r="O2311" s="5" t="str">
        <f>INDEX([1]Employee!$C$2:$C$276,MATCH(B2311,[1]Employee!$A$2:$A$276,0))</f>
        <v>Sales &amp; Marketing</v>
      </c>
    </row>
    <row r="2312" spans="1:15">
      <c r="A2312" s="1" t="s">
        <v>4601</v>
      </c>
      <c r="B2312" s="1" t="s">
        <v>136</v>
      </c>
      <c r="C2312" s="1"/>
      <c r="D2312" s="2">
        <v>46146</v>
      </c>
      <c r="E2312" s="2">
        <v>46150</v>
      </c>
      <c r="F2312" s="1" t="s">
        <v>242</v>
      </c>
      <c r="G2312" s="1" t="s">
        <v>13</v>
      </c>
      <c r="H2312" s="1" t="s">
        <v>14</v>
      </c>
      <c r="I2312" s="7">
        <v>37.200000000000003</v>
      </c>
      <c r="J2312" s="1" t="s">
        <v>111</v>
      </c>
      <c r="K2312" s="1" t="s">
        <v>229</v>
      </c>
      <c r="L2312" s="1" t="s">
        <v>48</v>
      </c>
      <c r="M2312" s="1" t="str">
        <f>INDEX(MCC_Lookup!$B$2:$B$12,MATCH(G2312,MCC_Lookup!$A$2:$A$12,0))</f>
        <v>Software</v>
      </c>
      <c r="N2312" s="1" t="str">
        <f>IF(TRIM(H2312)="","BLANK",IF(PROPER(TRIM(H2312))=TRIM(M2312),"MATCH","MISMATCH"))</f>
        <v>MATCH</v>
      </c>
      <c r="O2312" s="5" t="str">
        <f>INDEX([1]Employee!$C$2:$C$276,MATCH(B2312,[1]Employee!$A$2:$A$276,0))</f>
        <v>Sales &amp; Marketing</v>
      </c>
    </row>
    <row r="2313" spans="1:15">
      <c r="A2313" s="1" t="s">
        <v>4602</v>
      </c>
      <c r="B2313" s="1" t="s">
        <v>531</v>
      </c>
      <c r="C2313" s="1" t="s">
        <v>4603</v>
      </c>
      <c r="D2313" s="2">
        <v>46144</v>
      </c>
      <c r="E2313" s="2">
        <v>46150</v>
      </c>
      <c r="F2313" s="1" t="s">
        <v>160</v>
      </c>
      <c r="G2313" s="1" t="s">
        <v>6</v>
      </c>
      <c r="H2313" s="1" t="s">
        <v>7</v>
      </c>
      <c r="I2313" s="7">
        <v>273.73</v>
      </c>
      <c r="J2313" s="1" t="s">
        <v>38</v>
      </c>
      <c r="K2313" s="1"/>
      <c r="L2313" s="1" t="s">
        <v>39</v>
      </c>
      <c r="M2313" s="1" t="str">
        <f>INDEX(MCC_Lookup!$B$2:$B$12,MATCH(G2313,MCC_Lookup!$A$2:$A$12,0))</f>
        <v>Lodging</v>
      </c>
      <c r="N2313" s="1" t="str">
        <f>IF(TRIM(H2313)="","BLANK",IF(PROPER(TRIM(H2313))=TRIM(M2313),"MATCH","MISMATCH"))</f>
        <v>MATCH</v>
      </c>
      <c r="O2313" s="5" t="str">
        <f>INDEX([1]Employee!$C$2:$C$276,MATCH(B2313,[1]Employee!$A$2:$A$276,0))</f>
        <v>Sales &amp; Marketing</v>
      </c>
    </row>
    <row r="2314" spans="1:15">
      <c r="A2314" s="1" t="s">
        <v>4604</v>
      </c>
      <c r="B2314" s="1" t="s">
        <v>553</v>
      </c>
      <c r="C2314" s="1" t="s">
        <v>4605</v>
      </c>
      <c r="D2314" s="2">
        <v>46145</v>
      </c>
      <c r="E2314" s="2">
        <v>46150</v>
      </c>
      <c r="F2314" s="1" t="s">
        <v>173</v>
      </c>
      <c r="G2314" s="1" t="s">
        <v>2</v>
      </c>
      <c r="H2314" s="1" t="s">
        <v>154</v>
      </c>
      <c r="I2314" s="7">
        <v>40.57</v>
      </c>
      <c r="J2314" s="1" t="s">
        <v>38</v>
      </c>
      <c r="K2314" s="1"/>
      <c r="L2314" s="1" t="s">
        <v>39</v>
      </c>
      <c r="M2314" s="1" t="str">
        <f>INDEX(MCC_Lookup!$B$2:$B$12,MATCH(G2314,MCC_Lookup!$A$2:$A$12,0))</f>
        <v>Meals</v>
      </c>
      <c r="N2314" s="1" t="str">
        <f>IF(TRIM(H2314)="","BLANK",IF(PROPER(TRIM(H2314))=TRIM(M2314),"MATCH","MISMATCH"))</f>
        <v>MATCH</v>
      </c>
      <c r="O2314" s="5" t="str">
        <f>INDEX([1]Employee!$C$2:$C$276,MATCH(B2314,[1]Employee!$A$2:$A$276,0))</f>
        <v>Claims</v>
      </c>
    </row>
    <row r="2315" spans="1:15">
      <c r="A2315" s="1" t="s">
        <v>4606</v>
      </c>
      <c r="B2315" s="1" t="s">
        <v>3071</v>
      </c>
      <c r="C2315" s="1" t="s">
        <v>4607</v>
      </c>
      <c r="D2315" s="2">
        <v>46143</v>
      </c>
      <c r="E2315" s="2">
        <v>46150</v>
      </c>
      <c r="F2315" s="1" t="s">
        <v>76</v>
      </c>
      <c r="G2315" s="1" t="s">
        <v>13</v>
      </c>
      <c r="H2315" s="1" t="s">
        <v>419</v>
      </c>
      <c r="I2315" s="7">
        <v>237.92</v>
      </c>
      <c r="J2315" s="1" t="s">
        <v>38</v>
      </c>
      <c r="K2315" s="1"/>
      <c r="L2315" s="1" t="s">
        <v>39</v>
      </c>
      <c r="M2315" s="1" t="str">
        <f>INDEX(MCC_Lookup!$B$2:$B$12,MATCH(G2315,MCC_Lookup!$A$2:$A$12,0))</f>
        <v>Software</v>
      </c>
      <c r="N2315" s="1" t="str">
        <f>IF(TRIM(H2315)="","BLANK",IF(PROPER(TRIM(H2315))=TRIM(M2315),"MATCH","MISMATCH"))</f>
        <v>MATCH</v>
      </c>
      <c r="O2315" s="5" t="str">
        <f>INDEX([1]Employee!$C$2:$C$276,MATCH(B2315,[1]Employee!$A$2:$A$276,0))</f>
        <v>Customer Support</v>
      </c>
    </row>
    <row r="2316" spans="1:15">
      <c r="A2316" s="1" t="s">
        <v>4608</v>
      </c>
      <c r="B2316" s="1" t="s">
        <v>433</v>
      </c>
      <c r="C2316" s="1" t="s">
        <v>4609</v>
      </c>
      <c r="D2316" s="2">
        <v>46144</v>
      </c>
      <c r="E2316" s="2">
        <v>46150</v>
      </c>
      <c r="F2316" s="1" t="s">
        <v>347</v>
      </c>
      <c r="G2316" s="1" t="s">
        <v>8</v>
      </c>
      <c r="H2316" s="1" t="s">
        <v>9</v>
      </c>
      <c r="I2316" s="7">
        <v>46.93</v>
      </c>
      <c r="J2316" s="1" t="s">
        <v>38</v>
      </c>
      <c r="K2316" s="1"/>
      <c r="L2316" s="1" t="s">
        <v>39</v>
      </c>
      <c r="M2316" s="1" t="str">
        <f>INDEX(MCC_Lookup!$B$2:$B$12,MATCH(G2316,MCC_Lookup!$A$2:$A$12,0))</f>
        <v>Transportation</v>
      </c>
      <c r="N2316" s="1" t="str">
        <f>IF(TRIM(H2316)="","BLANK",IF(PROPER(TRIM(H2316))=TRIM(M2316),"MATCH","MISMATCH"))</f>
        <v>MATCH</v>
      </c>
      <c r="O2316" s="5" t="str">
        <f>INDEX([1]Employee!$C$2:$C$276,MATCH(B2316,[1]Employee!$A$2:$A$276,0))</f>
        <v>Sales &amp; Marketing</v>
      </c>
    </row>
    <row r="2317" spans="1:15">
      <c r="A2317" s="1" t="s">
        <v>4610</v>
      </c>
      <c r="B2317" s="1" t="s">
        <v>1064</v>
      </c>
      <c r="C2317" s="1" t="s">
        <v>4611</v>
      </c>
      <c r="D2317" s="2">
        <v>46140</v>
      </c>
      <c r="E2317" s="2">
        <v>46150</v>
      </c>
      <c r="F2317" s="1" t="s">
        <v>52</v>
      </c>
      <c r="G2317" s="1" t="s">
        <v>15</v>
      </c>
      <c r="H2317" s="1" t="s">
        <v>16</v>
      </c>
      <c r="I2317" s="7">
        <v>32.49</v>
      </c>
      <c r="J2317" s="1" t="s">
        <v>38</v>
      </c>
      <c r="K2317" s="1"/>
      <c r="L2317" s="1" t="s">
        <v>39</v>
      </c>
      <c r="M2317" s="1" t="str">
        <f>INDEX(MCC_Lookup!$B$2:$B$12,MATCH(G2317,MCC_Lookup!$A$2:$A$12,0))</f>
        <v>Entertainment</v>
      </c>
      <c r="N2317" s="1" t="str">
        <f>IF(TRIM(H2317)="","BLANK",IF(PROPER(TRIM(H2317))=TRIM(M2317),"MATCH","MISMATCH"))</f>
        <v>MATCH</v>
      </c>
      <c r="O2317" s="5" t="str">
        <f>INDEX([1]Employee!$C$2:$C$276,MATCH(B2317,[1]Employee!$A$2:$A$276,0))</f>
        <v>Actuarial &amp; Risk</v>
      </c>
    </row>
    <row r="2318" spans="1:15">
      <c r="A2318" s="1" t="s">
        <v>4612</v>
      </c>
      <c r="B2318" s="1" t="s">
        <v>643</v>
      </c>
      <c r="C2318" s="1"/>
      <c r="D2318" s="2">
        <v>46149</v>
      </c>
      <c r="E2318" s="2">
        <v>46150</v>
      </c>
      <c r="F2318" s="1" t="s">
        <v>79</v>
      </c>
      <c r="G2318" s="1" t="s">
        <v>13</v>
      </c>
      <c r="H2318" s="1" t="s">
        <v>14</v>
      </c>
      <c r="I2318" s="7">
        <v>137.94999999999999</v>
      </c>
      <c r="J2318" s="1" t="s">
        <v>111</v>
      </c>
      <c r="K2318" s="1" t="s">
        <v>112</v>
      </c>
      <c r="L2318" s="1" t="s">
        <v>39</v>
      </c>
      <c r="M2318" s="1" t="str">
        <f>INDEX(MCC_Lookup!$B$2:$B$12,MATCH(G2318,MCC_Lookup!$A$2:$A$12,0))</f>
        <v>Software</v>
      </c>
      <c r="N2318" s="1" t="str">
        <f>IF(TRIM(H2318)="","BLANK",IF(PROPER(TRIM(H2318))=TRIM(M2318),"MATCH","MISMATCH"))</f>
        <v>MATCH</v>
      </c>
      <c r="O2318" s="5" t="str">
        <f>INDEX([1]Employee!$C$2:$C$276,MATCH(B2318,[1]Employee!$A$2:$A$276,0))</f>
        <v>Sales &amp; Marketing</v>
      </c>
    </row>
    <row r="2319" spans="1:15">
      <c r="A2319" s="1" t="s">
        <v>4613</v>
      </c>
      <c r="B2319" s="1" t="s">
        <v>738</v>
      </c>
      <c r="C2319" s="1"/>
      <c r="D2319" s="2">
        <v>46146</v>
      </c>
      <c r="E2319" s="2">
        <v>46150</v>
      </c>
      <c r="F2319" s="1" t="s">
        <v>120</v>
      </c>
      <c r="G2319" s="1" t="s">
        <v>12</v>
      </c>
      <c r="H2319" s="1" t="s">
        <v>11</v>
      </c>
      <c r="I2319" s="7">
        <v>289.52</v>
      </c>
      <c r="J2319" s="1" t="s">
        <v>38</v>
      </c>
      <c r="K2319" s="1"/>
      <c r="L2319" s="1" t="s">
        <v>39</v>
      </c>
      <c r="M2319" s="1" t="str">
        <f>INDEX(MCC_Lookup!$B$2:$B$12,MATCH(G2319,MCC_Lookup!$A$2:$A$12,0))</f>
        <v>Office Supplies</v>
      </c>
      <c r="N2319" s="1" t="str">
        <f>IF(TRIM(H2319)="","BLANK",IF(PROPER(TRIM(H2319))=TRIM(M2319),"MATCH","MISMATCH"))</f>
        <v>MATCH</v>
      </c>
      <c r="O2319" s="5" t="str">
        <f>INDEX([1]Employee!$C$2:$C$276,MATCH(B2319,[1]Employee!$A$2:$A$276,0))</f>
        <v>Sales &amp; Marketing</v>
      </c>
    </row>
    <row r="2320" spans="1:15">
      <c r="A2320" s="1" t="s">
        <v>4614</v>
      </c>
      <c r="B2320" s="1" t="s">
        <v>219</v>
      </c>
      <c r="C2320" s="1" t="s">
        <v>4615</v>
      </c>
      <c r="D2320" s="2">
        <v>46149</v>
      </c>
      <c r="E2320" s="2">
        <v>46150</v>
      </c>
      <c r="F2320" s="1" t="s">
        <v>106</v>
      </c>
      <c r="G2320" s="1" t="s">
        <v>13</v>
      </c>
      <c r="H2320" s="1" t="s">
        <v>14</v>
      </c>
      <c r="I2320" s="7">
        <v>173.82</v>
      </c>
      <c r="J2320" s="1" t="s">
        <v>38</v>
      </c>
      <c r="K2320" s="1"/>
      <c r="L2320" s="1" t="s">
        <v>39</v>
      </c>
      <c r="M2320" s="1" t="str">
        <f>INDEX(MCC_Lookup!$B$2:$B$12,MATCH(G2320,MCC_Lookup!$A$2:$A$12,0))</f>
        <v>Software</v>
      </c>
      <c r="N2320" s="1" t="str">
        <f>IF(TRIM(H2320)="","BLANK",IF(PROPER(TRIM(H2320))=TRIM(M2320),"MATCH","MISMATCH"))</f>
        <v>MATCH</v>
      </c>
      <c r="O2320" s="5" t="str">
        <f>INDEX([1]Employee!$C$2:$C$276,MATCH(B2320,[1]Employee!$A$2:$A$276,0))</f>
        <v>Underwriting</v>
      </c>
    </row>
    <row r="2321" spans="1:15">
      <c r="A2321" s="1" t="s">
        <v>4616</v>
      </c>
      <c r="B2321" s="1" t="s">
        <v>843</v>
      </c>
      <c r="C2321" s="1" t="s">
        <v>4617</v>
      </c>
      <c r="D2321" s="2">
        <v>46141</v>
      </c>
      <c r="E2321" s="2">
        <v>46150</v>
      </c>
      <c r="F2321" s="1" t="s">
        <v>173</v>
      </c>
      <c r="G2321" s="1" t="s">
        <v>2</v>
      </c>
      <c r="H2321" s="1" t="s">
        <v>11</v>
      </c>
      <c r="I2321" s="7">
        <v>72.650000000000006</v>
      </c>
      <c r="J2321" s="1" t="s">
        <v>38</v>
      </c>
      <c r="K2321" s="1"/>
      <c r="L2321" s="1" t="s">
        <v>39</v>
      </c>
      <c r="M2321" s="1" t="str">
        <f>INDEX(MCC_Lookup!$B$2:$B$12,MATCH(G2321,MCC_Lookup!$A$2:$A$12,0))</f>
        <v>Meals</v>
      </c>
      <c r="N2321" s="1" t="str">
        <f>IF(TRIM(H2321)="","BLANK",IF(PROPER(TRIM(H2321))=TRIM(M2321),"MATCH","MISMATCH"))</f>
        <v>MISMATCH</v>
      </c>
      <c r="O2321" s="5" t="str">
        <f>INDEX([1]Employee!$C$2:$C$276,MATCH(B2321,[1]Employee!$A$2:$A$276,0))</f>
        <v>Customer Support</v>
      </c>
    </row>
    <row r="2322" spans="1:15">
      <c r="A2322" s="1" t="s">
        <v>4618</v>
      </c>
      <c r="B2322" s="1" t="s">
        <v>255</v>
      </c>
      <c r="C2322" s="1" t="s">
        <v>4619</v>
      </c>
      <c r="D2322" s="2">
        <v>46148</v>
      </c>
      <c r="E2322" s="2">
        <v>46150</v>
      </c>
      <c r="F2322" s="1" t="s">
        <v>347</v>
      </c>
      <c r="G2322" s="1" t="s">
        <v>8</v>
      </c>
      <c r="H2322" s="1" t="s">
        <v>9</v>
      </c>
      <c r="I2322" s="7">
        <v>44.68</v>
      </c>
      <c r="J2322" s="1" t="s">
        <v>38</v>
      </c>
      <c r="K2322" s="1"/>
      <c r="L2322" s="1" t="s">
        <v>39</v>
      </c>
      <c r="M2322" s="1" t="str">
        <f>INDEX(MCC_Lookup!$B$2:$B$12,MATCH(G2322,MCC_Lookup!$A$2:$A$12,0))</f>
        <v>Transportation</v>
      </c>
      <c r="N2322" s="1" t="str">
        <f>IF(TRIM(H2322)="","BLANK",IF(PROPER(TRIM(H2322))=TRIM(M2322),"MATCH","MISMATCH"))</f>
        <v>MATCH</v>
      </c>
      <c r="O2322" s="5" t="str">
        <f>INDEX([1]Employee!$C$2:$C$276,MATCH(B2322,[1]Employee!$A$2:$A$276,0))</f>
        <v>Claims</v>
      </c>
    </row>
    <row r="2323" spans="1:15">
      <c r="A2323" s="1" t="s">
        <v>4620</v>
      </c>
      <c r="B2323" s="1" t="s">
        <v>94</v>
      </c>
      <c r="C2323" s="1" t="s">
        <v>4621</v>
      </c>
      <c r="D2323" s="2">
        <v>46147</v>
      </c>
      <c r="E2323" s="2">
        <v>46150</v>
      </c>
      <c r="F2323" s="1" t="s">
        <v>37</v>
      </c>
      <c r="G2323" s="1" t="s">
        <v>4</v>
      </c>
      <c r="H2323" s="1" t="s">
        <v>5</v>
      </c>
      <c r="I2323" s="7">
        <v>317.33999999999997</v>
      </c>
      <c r="J2323" s="1" t="s">
        <v>38</v>
      </c>
      <c r="K2323" s="1"/>
      <c r="L2323" s="1" t="s">
        <v>39</v>
      </c>
      <c r="M2323" s="1" t="str">
        <f>INDEX(MCC_Lookup!$B$2:$B$12,MATCH(G2323,MCC_Lookup!$A$2:$A$12,0))</f>
        <v>Travel</v>
      </c>
      <c r="N2323" s="1" t="str">
        <f>IF(TRIM(H2323)="","BLANK",IF(PROPER(TRIM(H2323))=TRIM(M2323),"MATCH","MISMATCH"))</f>
        <v>MATCH</v>
      </c>
      <c r="O2323" s="5" t="str">
        <f>INDEX([1]Employee!$C$2:$C$276,MATCH(B2323,[1]Employee!$A$2:$A$276,0))</f>
        <v>IT &amp; Platform Engineering</v>
      </c>
    </row>
    <row r="2324" spans="1:15">
      <c r="A2324" s="1" t="s">
        <v>4622</v>
      </c>
      <c r="B2324" s="1" t="s">
        <v>224</v>
      </c>
      <c r="C2324" s="1" t="s">
        <v>4623</v>
      </c>
      <c r="D2324" s="2">
        <v>46143</v>
      </c>
      <c r="E2324" s="2">
        <v>46150</v>
      </c>
      <c r="F2324" s="1" t="s">
        <v>109</v>
      </c>
      <c r="G2324" s="1" t="s">
        <v>18</v>
      </c>
      <c r="H2324" s="1" t="s">
        <v>16</v>
      </c>
      <c r="I2324" s="7">
        <v>241.72</v>
      </c>
      <c r="J2324" s="1" t="s">
        <v>38</v>
      </c>
      <c r="K2324" s="1"/>
      <c r="L2324" s="1" t="s">
        <v>39</v>
      </c>
      <c r="M2324" s="1" t="str">
        <f>INDEX(MCC_Lookup!$B$2:$B$12,MATCH(G2324,MCC_Lookup!$A$2:$A$12,0))</f>
        <v>Events</v>
      </c>
      <c r="N2324" s="1" t="str">
        <f>IF(TRIM(H2324)="","BLANK",IF(PROPER(TRIM(H2324))=TRIM(M2324),"MATCH","MISMATCH"))</f>
        <v>MISMATCH</v>
      </c>
      <c r="O2324" s="5" t="str">
        <f>INDEX([1]Employee!$C$2:$C$276,MATCH(B2324,[1]Employee!$A$2:$A$276,0))</f>
        <v>Finance</v>
      </c>
    </row>
    <row r="2325" spans="1:15">
      <c r="A2325" s="1" t="s">
        <v>4624</v>
      </c>
      <c r="B2325" s="1" t="s">
        <v>179</v>
      </c>
      <c r="C2325" s="1" t="s">
        <v>4625</v>
      </c>
      <c r="D2325" s="2">
        <v>46140</v>
      </c>
      <c r="E2325" s="2">
        <v>46150</v>
      </c>
      <c r="F2325" s="1" t="s">
        <v>259</v>
      </c>
      <c r="G2325" s="1" t="s">
        <v>20</v>
      </c>
      <c r="H2325" s="1" t="s">
        <v>19</v>
      </c>
      <c r="I2325" s="7">
        <v>565.53</v>
      </c>
      <c r="J2325" s="1" t="s">
        <v>38</v>
      </c>
      <c r="K2325" s="1"/>
      <c r="L2325" s="1" t="s">
        <v>39</v>
      </c>
      <c r="M2325" s="1" t="str">
        <f>INDEX(MCC_Lookup!$B$2:$B$12,MATCH(G2325,MCC_Lookup!$A$2:$A$12,0))</f>
        <v>Events</v>
      </c>
      <c r="N2325" s="1" t="str">
        <f>IF(TRIM(H2325)="","BLANK",IF(PROPER(TRIM(H2325))=TRIM(M2325),"MATCH","MISMATCH"))</f>
        <v>MATCH</v>
      </c>
      <c r="O2325" s="5" t="str">
        <f>INDEX([1]Employee!$C$2:$C$276,MATCH(B2325,[1]Employee!$A$2:$A$276,0))</f>
        <v>Claims</v>
      </c>
    </row>
    <row r="2326" spans="1:15">
      <c r="A2326" s="1" t="s">
        <v>4626</v>
      </c>
      <c r="B2326" s="1" t="s">
        <v>499</v>
      </c>
      <c r="C2326" s="1"/>
      <c r="D2326" s="2">
        <v>46146</v>
      </c>
      <c r="E2326" s="2">
        <v>46151</v>
      </c>
      <c r="F2326" s="1" t="s">
        <v>69</v>
      </c>
      <c r="G2326" s="1" t="s">
        <v>8</v>
      </c>
      <c r="H2326" s="1" t="s">
        <v>343</v>
      </c>
      <c r="I2326" s="7">
        <v>15.85</v>
      </c>
      <c r="J2326" s="1" t="s">
        <v>38</v>
      </c>
      <c r="K2326" s="1"/>
      <c r="L2326" s="1" t="s">
        <v>39</v>
      </c>
      <c r="M2326" s="1" t="str">
        <f>INDEX(MCC_Lookup!$B$2:$B$12,MATCH(G2326,MCC_Lookup!$A$2:$A$12,0))</f>
        <v>Transportation</v>
      </c>
      <c r="N2326" s="1" t="str">
        <f>IF(TRIM(H2326)="","BLANK",IF(PROPER(TRIM(H2326))=TRIM(M2326),"MATCH","MISMATCH"))</f>
        <v>MATCH</v>
      </c>
      <c r="O2326" s="5" t="str">
        <f>INDEX([1]Employee!$C$2:$C$276,MATCH(B2326,[1]Employee!$A$2:$A$276,0))</f>
        <v>Sales &amp; Marketing</v>
      </c>
    </row>
    <row r="2327" spans="1:15">
      <c r="A2327" s="1" t="s">
        <v>4627</v>
      </c>
      <c r="B2327" s="1" t="s">
        <v>772</v>
      </c>
      <c r="C2327" s="1" t="s">
        <v>4628</v>
      </c>
      <c r="D2327" s="2">
        <v>46146</v>
      </c>
      <c r="E2327" s="2">
        <v>46151</v>
      </c>
      <c r="F2327" s="1" t="s">
        <v>52</v>
      </c>
      <c r="G2327" s="1" t="s">
        <v>15</v>
      </c>
      <c r="H2327" s="1" t="s">
        <v>16</v>
      </c>
      <c r="I2327" s="7">
        <v>59</v>
      </c>
      <c r="J2327" s="1" t="s">
        <v>38</v>
      </c>
      <c r="K2327" s="1"/>
      <c r="L2327" s="1" t="s">
        <v>39</v>
      </c>
      <c r="M2327" s="1" t="str">
        <f>INDEX(MCC_Lookup!$B$2:$B$12,MATCH(G2327,MCC_Lookup!$A$2:$A$12,0))</f>
        <v>Entertainment</v>
      </c>
      <c r="N2327" s="1" t="str">
        <f>IF(TRIM(H2327)="","BLANK",IF(PROPER(TRIM(H2327))=TRIM(M2327),"MATCH","MISMATCH"))</f>
        <v>MATCH</v>
      </c>
      <c r="O2327" s="5" t="str">
        <f>INDEX([1]Employee!$C$2:$C$276,MATCH(B2327,[1]Employee!$A$2:$A$276,0))</f>
        <v>Underwriting</v>
      </c>
    </row>
    <row r="2328" spans="1:15">
      <c r="A2328" s="1" t="s">
        <v>4629</v>
      </c>
      <c r="B2328" s="1" t="s">
        <v>3348</v>
      </c>
      <c r="C2328" s="1" t="s">
        <v>4630</v>
      </c>
      <c r="D2328" s="2">
        <v>46151</v>
      </c>
      <c r="E2328" s="2">
        <v>46151</v>
      </c>
      <c r="F2328" s="1" t="s">
        <v>83</v>
      </c>
      <c r="G2328" s="1" t="s">
        <v>2</v>
      </c>
      <c r="H2328" s="1" t="s">
        <v>3</v>
      </c>
      <c r="I2328" s="7">
        <v>18.5</v>
      </c>
      <c r="J2328" s="1" t="s">
        <v>38</v>
      </c>
      <c r="K2328" s="1"/>
      <c r="L2328" s="1" t="s">
        <v>39</v>
      </c>
      <c r="M2328" s="1" t="str">
        <f>INDEX(MCC_Lookup!$B$2:$B$12,MATCH(G2328,MCC_Lookup!$A$2:$A$12,0))</f>
        <v>Meals</v>
      </c>
      <c r="N2328" s="1" t="str">
        <f>IF(TRIM(H2328)="","BLANK",IF(PROPER(TRIM(H2328))=TRIM(M2328),"MATCH","MISMATCH"))</f>
        <v>MATCH</v>
      </c>
      <c r="O2328" s="5" t="str">
        <f>INDEX([1]Employee!$C$2:$C$276,MATCH(B2328,[1]Employee!$A$2:$A$276,0))</f>
        <v>Underwriting</v>
      </c>
    </row>
    <row r="2329" spans="1:15">
      <c r="A2329" s="1" t="s">
        <v>4631</v>
      </c>
      <c r="B2329" s="1" t="s">
        <v>1116</v>
      </c>
      <c r="C2329" s="1" t="s">
        <v>4632</v>
      </c>
      <c r="D2329" s="2">
        <v>46147</v>
      </c>
      <c r="E2329" s="2">
        <v>46151</v>
      </c>
      <c r="F2329" s="1" t="s">
        <v>106</v>
      </c>
      <c r="G2329" s="1" t="s">
        <v>13</v>
      </c>
      <c r="H2329" s="1" t="s">
        <v>14</v>
      </c>
      <c r="I2329" s="7">
        <v>182.76</v>
      </c>
      <c r="J2329" s="1" t="s">
        <v>38</v>
      </c>
      <c r="K2329" s="1"/>
      <c r="L2329" s="1" t="s">
        <v>39</v>
      </c>
      <c r="M2329" s="1" t="str">
        <f>INDEX(MCC_Lookup!$B$2:$B$12,MATCH(G2329,MCC_Lookup!$A$2:$A$12,0))</f>
        <v>Software</v>
      </c>
      <c r="N2329" s="1" t="str">
        <f>IF(TRIM(H2329)="","BLANK",IF(PROPER(TRIM(H2329))=TRIM(M2329),"MATCH","MISMATCH"))</f>
        <v>MATCH</v>
      </c>
      <c r="O2329" s="5" t="str">
        <f>INDEX([1]Employee!$C$2:$C$276,MATCH(B2329,[1]Employee!$A$2:$A$276,0))</f>
        <v>Underwriting</v>
      </c>
    </row>
    <row r="2330" spans="1:15">
      <c r="A2330" s="1" t="s">
        <v>4633</v>
      </c>
      <c r="B2330" s="1" t="s">
        <v>868</v>
      </c>
      <c r="C2330" s="1"/>
      <c r="D2330" s="2">
        <v>46150</v>
      </c>
      <c r="E2330" s="2">
        <v>46151</v>
      </c>
      <c r="F2330" s="1" t="s">
        <v>173</v>
      </c>
      <c r="G2330" s="1" t="s">
        <v>2</v>
      </c>
      <c r="H2330" s="1" t="s">
        <v>3</v>
      </c>
      <c r="I2330" s="7">
        <v>41.65</v>
      </c>
      <c r="J2330" s="1" t="s">
        <v>38</v>
      </c>
      <c r="K2330" s="1"/>
      <c r="L2330" s="1" t="s">
        <v>39</v>
      </c>
      <c r="M2330" s="1" t="str">
        <f>INDEX(MCC_Lookup!$B$2:$B$12,MATCH(G2330,MCC_Lookup!$A$2:$A$12,0))</f>
        <v>Meals</v>
      </c>
      <c r="N2330" s="1" t="str">
        <f>IF(TRIM(H2330)="","BLANK",IF(PROPER(TRIM(H2330))=TRIM(M2330),"MATCH","MISMATCH"))</f>
        <v>MATCH</v>
      </c>
      <c r="O2330" s="5" t="str">
        <f>INDEX([1]Employee!$C$2:$C$276,MATCH(B2330,[1]Employee!$A$2:$A$276,0))</f>
        <v>Sales &amp; Marketing</v>
      </c>
    </row>
    <row r="2331" spans="1:15">
      <c r="A2331" s="1" t="s">
        <v>4634</v>
      </c>
      <c r="B2331" s="1" t="s">
        <v>387</v>
      </c>
      <c r="C2331" s="1"/>
      <c r="D2331" s="2">
        <v>46145</v>
      </c>
      <c r="E2331" s="2">
        <v>46151</v>
      </c>
      <c r="F2331" s="1" t="s">
        <v>259</v>
      </c>
      <c r="G2331" s="1" t="s">
        <v>20</v>
      </c>
      <c r="H2331" s="1" t="s">
        <v>19</v>
      </c>
      <c r="I2331" s="7">
        <v>525.55999999999995</v>
      </c>
      <c r="J2331" s="1" t="s">
        <v>38</v>
      </c>
      <c r="K2331" s="1"/>
      <c r="L2331" s="1" t="s">
        <v>39</v>
      </c>
      <c r="M2331" s="1" t="str">
        <f>INDEX(MCC_Lookup!$B$2:$B$12,MATCH(G2331,MCC_Lookup!$A$2:$A$12,0))</f>
        <v>Events</v>
      </c>
      <c r="N2331" s="1" t="str">
        <f>IF(TRIM(H2331)="","BLANK",IF(PROPER(TRIM(H2331))=TRIM(M2331),"MATCH","MISMATCH"))</f>
        <v>MATCH</v>
      </c>
      <c r="O2331" s="5" t="str">
        <f>INDEX([1]Employee!$C$2:$C$276,MATCH(B2331,[1]Employee!$A$2:$A$276,0))</f>
        <v>IT &amp; Platform Engineering</v>
      </c>
    </row>
    <row r="2332" spans="1:15">
      <c r="A2332" s="1" t="s">
        <v>4635</v>
      </c>
      <c r="B2332" s="1" t="s">
        <v>136</v>
      </c>
      <c r="C2332" s="1" t="s">
        <v>4636</v>
      </c>
      <c r="D2332" s="2">
        <v>46145</v>
      </c>
      <c r="E2332" s="2">
        <v>46151</v>
      </c>
      <c r="F2332" s="1" t="s">
        <v>76</v>
      </c>
      <c r="G2332" s="1" t="s">
        <v>13</v>
      </c>
      <c r="H2332" s="1" t="s">
        <v>14</v>
      </c>
      <c r="I2332" s="7">
        <v>346.82</v>
      </c>
      <c r="J2332" s="1" t="s">
        <v>38</v>
      </c>
      <c r="K2332" s="1"/>
      <c r="L2332" s="1" t="s">
        <v>48</v>
      </c>
      <c r="M2332" s="1" t="str">
        <f>INDEX(MCC_Lookup!$B$2:$B$12,MATCH(G2332,MCC_Lookup!$A$2:$A$12,0))</f>
        <v>Software</v>
      </c>
      <c r="N2332" s="1" t="str">
        <f>IF(TRIM(H2332)="","BLANK",IF(PROPER(TRIM(H2332))=TRIM(M2332),"MATCH","MISMATCH"))</f>
        <v>MATCH</v>
      </c>
      <c r="O2332" s="5" t="str">
        <f>INDEX([1]Employee!$C$2:$C$276,MATCH(B2332,[1]Employee!$A$2:$A$276,0))</f>
        <v>Sales &amp; Marketing</v>
      </c>
    </row>
    <row r="2333" spans="1:15">
      <c r="A2333" s="1" t="s">
        <v>4637</v>
      </c>
      <c r="B2333" s="1" t="s">
        <v>81</v>
      </c>
      <c r="C2333" s="1" t="s">
        <v>4638</v>
      </c>
      <c r="D2333" s="2">
        <v>46141</v>
      </c>
      <c r="E2333" s="2">
        <v>46151</v>
      </c>
      <c r="F2333" s="1" t="s">
        <v>52</v>
      </c>
      <c r="G2333" s="1" t="s">
        <v>15</v>
      </c>
      <c r="H2333" s="1" t="s">
        <v>16</v>
      </c>
      <c r="I2333" s="7">
        <v>25.3</v>
      </c>
      <c r="J2333" s="1" t="s">
        <v>38</v>
      </c>
      <c r="K2333" s="1"/>
      <c r="L2333" s="1" t="s">
        <v>39</v>
      </c>
      <c r="M2333" s="1" t="str">
        <f>INDEX(MCC_Lookup!$B$2:$B$12,MATCH(G2333,MCC_Lookup!$A$2:$A$12,0))</f>
        <v>Entertainment</v>
      </c>
      <c r="N2333" s="1" t="str">
        <f>IF(TRIM(H2333)="","BLANK",IF(PROPER(TRIM(H2333))=TRIM(M2333),"MATCH","MISMATCH"))</f>
        <v>MATCH</v>
      </c>
      <c r="O2333" s="5" t="str">
        <f>INDEX([1]Employee!$C$2:$C$276,MATCH(B2333,[1]Employee!$A$2:$A$276,0))</f>
        <v>Sales &amp; Marketing</v>
      </c>
    </row>
    <row r="2334" spans="1:15">
      <c r="A2334" s="1" t="s">
        <v>4639</v>
      </c>
      <c r="B2334" s="1" t="s">
        <v>1051</v>
      </c>
      <c r="C2334" s="1" t="s">
        <v>4640</v>
      </c>
      <c r="D2334" s="2">
        <v>46142</v>
      </c>
      <c r="E2334" s="2">
        <v>46151</v>
      </c>
      <c r="F2334" s="1" t="s">
        <v>177</v>
      </c>
      <c r="G2334" s="1" t="s">
        <v>13</v>
      </c>
      <c r="H2334" s="1" t="s">
        <v>14</v>
      </c>
      <c r="I2334" s="7">
        <v>57.65</v>
      </c>
      <c r="J2334" s="1" t="s">
        <v>38</v>
      </c>
      <c r="K2334" s="1"/>
      <c r="L2334" s="1" t="s">
        <v>48</v>
      </c>
      <c r="M2334" s="1" t="str">
        <f>INDEX(MCC_Lookup!$B$2:$B$12,MATCH(G2334,MCC_Lookup!$A$2:$A$12,0))</f>
        <v>Software</v>
      </c>
      <c r="N2334" s="1" t="str">
        <f>IF(TRIM(H2334)="","BLANK",IF(PROPER(TRIM(H2334))=TRIM(M2334),"MATCH","MISMATCH"))</f>
        <v>MATCH</v>
      </c>
      <c r="O2334" s="5" t="str">
        <f>INDEX([1]Employee!$C$2:$C$276,MATCH(B2334,[1]Employee!$A$2:$A$276,0))</f>
        <v>Finance</v>
      </c>
    </row>
    <row r="2335" spans="1:15">
      <c r="A2335" s="1" t="s">
        <v>4641</v>
      </c>
      <c r="B2335" s="1" t="s">
        <v>1399</v>
      </c>
      <c r="C2335" s="1" t="s">
        <v>4642</v>
      </c>
      <c r="D2335" s="2">
        <v>46142</v>
      </c>
      <c r="E2335" s="2">
        <v>46151</v>
      </c>
      <c r="F2335" s="1" t="s">
        <v>72</v>
      </c>
      <c r="G2335" s="1" t="s">
        <v>8</v>
      </c>
      <c r="H2335" s="1" t="s">
        <v>9</v>
      </c>
      <c r="I2335" s="7">
        <v>24.94</v>
      </c>
      <c r="J2335" s="1" t="s">
        <v>38</v>
      </c>
      <c r="K2335" s="1"/>
      <c r="L2335" s="1" t="s">
        <v>39</v>
      </c>
      <c r="M2335" s="1" t="str">
        <f>INDEX(MCC_Lookup!$B$2:$B$12,MATCH(G2335,MCC_Lookup!$A$2:$A$12,0))</f>
        <v>Transportation</v>
      </c>
      <c r="N2335" s="1" t="str">
        <f>IF(TRIM(H2335)="","BLANK",IF(PROPER(TRIM(H2335))=TRIM(M2335),"MATCH","MISMATCH"))</f>
        <v>MATCH</v>
      </c>
      <c r="O2335" s="5" t="str">
        <f>INDEX([1]Employee!$C$2:$C$276,MATCH(B2335,[1]Employee!$A$2:$A$276,0))</f>
        <v>Underwriting</v>
      </c>
    </row>
    <row r="2336" spans="1:15">
      <c r="A2336" s="1" t="s">
        <v>4643</v>
      </c>
      <c r="B2336" s="1" t="s">
        <v>846</v>
      </c>
      <c r="C2336" s="1" t="s">
        <v>4644</v>
      </c>
      <c r="D2336" s="2">
        <v>46146</v>
      </c>
      <c r="E2336" s="2">
        <v>46151</v>
      </c>
      <c r="F2336" s="1" t="s">
        <v>347</v>
      </c>
      <c r="G2336" s="1" t="s">
        <v>8</v>
      </c>
      <c r="H2336" s="1" t="s">
        <v>9</v>
      </c>
      <c r="I2336" s="7">
        <v>57.92</v>
      </c>
      <c r="J2336" s="1" t="s">
        <v>38</v>
      </c>
      <c r="K2336" s="1"/>
      <c r="L2336" s="1" t="s">
        <v>39</v>
      </c>
      <c r="M2336" s="1" t="str">
        <f>INDEX(MCC_Lookup!$B$2:$B$12,MATCH(G2336,MCC_Lookup!$A$2:$A$12,0))</f>
        <v>Transportation</v>
      </c>
      <c r="N2336" s="1" t="str">
        <f>IF(TRIM(H2336)="","BLANK",IF(PROPER(TRIM(H2336))=TRIM(M2336),"MATCH","MISMATCH"))</f>
        <v>MATCH</v>
      </c>
      <c r="O2336" s="5" t="str">
        <f>INDEX([1]Employee!$C$2:$C$276,MATCH(B2336,[1]Employee!$A$2:$A$276,0))</f>
        <v>Sales &amp; Marketing</v>
      </c>
    </row>
    <row r="2337" spans="1:15">
      <c r="A2337" s="1" t="s">
        <v>4645</v>
      </c>
      <c r="B2337" s="1" t="s">
        <v>2812</v>
      </c>
      <c r="C2337" s="1"/>
      <c r="D2337" s="2">
        <v>46145</v>
      </c>
      <c r="E2337" s="2">
        <v>46151</v>
      </c>
      <c r="F2337" s="1" t="s">
        <v>347</v>
      </c>
      <c r="G2337" s="1" t="s">
        <v>8</v>
      </c>
      <c r="H2337" s="1" t="s">
        <v>9</v>
      </c>
      <c r="I2337" s="7">
        <v>32.68</v>
      </c>
      <c r="J2337" s="1" t="s">
        <v>111</v>
      </c>
      <c r="K2337" s="1" t="s">
        <v>112</v>
      </c>
      <c r="L2337" s="1" t="s">
        <v>39</v>
      </c>
      <c r="M2337" s="1" t="str">
        <f>INDEX(MCC_Lookup!$B$2:$B$12,MATCH(G2337,MCC_Lookup!$A$2:$A$12,0))</f>
        <v>Transportation</v>
      </c>
      <c r="N2337" s="1" t="str">
        <f>IF(TRIM(H2337)="","BLANK",IF(PROPER(TRIM(H2337))=TRIM(M2337),"MATCH","MISMATCH"))</f>
        <v>MATCH</v>
      </c>
      <c r="O2337" s="5" t="str">
        <f>INDEX([1]Employee!$C$2:$C$276,MATCH(B2337,[1]Employee!$A$2:$A$276,0))</f>
        <v>Customer Support</v>
      </c>
    </row>
    <row r="2338" spans="1:15">
      <c r="A2338" s="1" t="s">
        <v>4646</v>
      </c>
      <c r="B2338" s="1" t="s">
        <v>433</v>
      </c>
      <c r="C2338" s="1" t="s">
        <v>4647</v>
      </c>
      <c r="D2338" s="2">
        <v>46146</v>
      </c>
      <c r="E2338" s="2">
        <v>46151</v>
      </c>
      <c r="F2338" s="1" t="s">
        <v>242</v>
      </c>
      <c r="G2338" s="1" t="s">
        <v>13</v>
      </c>
      <c r="H2338" s="1" t="s">
        <v>470</v>
      </c>
      <c r="I2338" s="7">
        <v>21.15</v>
      </c>
      <c r="J2338" s="1" t="s">
        <v>38</v>
      </c>
      <c r="K2338" s="1"/>
      <c r="L2338" s="1" t="s">
        <v>48</v>
      </c>
      <c r="M2338" s="1" t="str">
        <f>INDEX(MCC_Lookup!$B$2:$B$12,MATCH(G2338,MCC_Lookup!$A$2:$A$12,0))</f>
        <v>Software</v>
      </c>
      <c r="N2338" s="1" t="str">
        <f>IF(TRIM(H2338)="","BLANK",IF(PROPER(TRIM(H2338))=TRIM(M2338),"MATCH","MISMATCH"))</f>
        <v>MATCH</v>
      </c>
      <c r="O2338" s="5" t="str">
        <f>INDEX([1]Employee!$C$2:$C$276,MATCH(B2338,[1]Employee!$A$2:$A$276,0))</f>
        <v>Sales &amp; Marketing</v>
      </c>
    </row>
    <row r="2339" spans="1:15">
      <c r="A2339" s="1" t="s">
        <v>4648</v>
      </c>
      <c r="B2339" s="1" t="s">
        <v>1567</v>
      </c>
      <c r="C2339" s="1" t="s">
        <v>4649</v>
      </c>
      <c r="D2339" s="2">
        <v>46146</v>
      </c>
      <c r="E2339" s="2">
        <v>46151</v>
      </c>
      <c r="F2339" s="1" t="s">
        <v>47</v>
      </c>
      <c r="G2339" s="1" t="s">
        <v>6</v>
      </c>
      <c r="H2339" s="1" t="s">
        <v>7</v>
      </c>
      <c r="I2339" s="7">
        <v>316.62</v>
      </c>
      <c r="J2339" s="1" t="s">
        <v>38</v>
      </c>
      <c r="K2339" s="1"/>
      <c r="L2339" s="1" t="s">
        <v>39</v>
      </c>
      <c r="M2339" s="1" t="str">
        <f>INDEX(MCC_Lookup!$B$2:$B$12,MATCH(G2339,MCC_Lookup!$A$2:$A$12,0))</f>
        <v>Lodging</v>
      </c>
      <c r="N2339" s="1" t="str">
        <f>IF(TRIM(H2339)="","BLANK",IF(PROPER(TRIM(H2339))=TRIM(M2339),"MATCH","MISMATCH"))</f>
        <v>MATCH</v>
      </c>
      <c r="O2339" s="5" t="str">
        <f>INDEX([1]Employee!$C$2:$C$276,MATCH(B2339,[1]Employee!$A$2:$A$276,0))</f>
        <v>Underwriting</v>
      </c>
    </row>
    <row r="2340" spans="1:15">
      <c r="A2340" s="1" t="s">
        <v>4650</v>
      </c>
      <c r="B2340" s="1" t="s">
        <v>179</v>
      </c>
      <c r="C2340" s="1" t="s">
        <v>4651</v>
      </c>
      <c r="D2340" s="2">
        <v>46151</v>
      </c>
      <c r="E2340" s="2">
        <v>46151</v>
      </c>
      <c r="F2340" s="1" t="s">
        <v>305</v>
      </c>
      <c r="G2340" s="1" t="s">
        <v>2</v>
      </c>
      <c r="H2340" s="1" t="s">
        <v>3</v>
      </c>
      <c r="I2340" s="7">
        <v>7.62</v>
      </c>
      <c r="J2340" s="1" t="s">
        <v>38</v>
      </c>
      <c r="K2340" s="1"/>
      <c r="L2340" s="1" t="s">
        <v>39</v>
      </c>
      <c r="M2340" s="1" t="str">
        <f>INDEX(MCC_Lookup!$B$2:$B$12,MATCH(G2340,MCC_Lookup!$A$2:$A$12,0))</f>
        <v>Meals</v>
      </c>
      <c r="N2340" s="1" t="str">
        <f>IF(TRIM(H2340)="","BLANK",IF(PROPER(TRIM(H2340))=TRIM(M2340),"MATCH","MISMATCH"))</f>
        <v>MATCH</v>
      </c>
      <c r="O2340" s="5" t="str">
        <f>INDEX([1]Employee!$C$2:$C$276,MATCH(B2340,[1]Employee!$A$2:$A$276,0))</f>
        <v>Claims</v>
      </c>
    </row>
    <row r="2341" spans="1:15">
      <c r="A2341" s="1" t="s">
        <v>4652</v>
      </c>
      <c r="B2341" s="1" t="s">
        <v>303</v>
      </c>
      <c r="C2341" s="1" t="s">
        <v>4653</v>
      </c>
      <c r="D2341" s="2">
        <v>46142</v>
      </c>
      <c r="E2341" s="2">
        <v>46151</v>
      </c>
      <c r="F2341" s="1" t="s">
        <v>52</v>
      </c>
      <c r="G2341" s="1" t="s">
        <v>15</v>
      </c>
      <c r="H2341" s="1" t="s">
        <v>16</v>
      </c>
      <c r="I2341" s="7">
        <v>56.66</v>
      </c>
      <c r="J2341" s="1" t="s">
        <v>38</v>
      </c>
      <c r="K2341" s="1"/>
      <c r="L2341" s="1" t="s">
        <v>48</v>
      </c>
      <c r="M2341" s="1" t="str">
        <f>INDEX(MCC_Lookup!$B$2:$B$12,MATCH(G2341,MCC_Lookup!$A$2:$A$12,0))</f>
        <v>Entertainment</v>
      </c>
      <c r="N2341" s="1" t="str">
        <f>IF(TRIM(H2341)="","BLANK",IF(PROPER(TRIM(H2341))=TRIM(M2341),"MATCH","MISMATCH"))</f>
        <v>MATCH</v>
      </c>
      <c r="O2341" s="5" t="str">
        <f>INDEX([1]Employee!$C$2:$C$276,MATCH(B2341,[1]Employee!$A$2:$A$276,0))</f>
        <v>Sales &amp; Marketing</v>
      </c>
    </row>
    <row r="2342" spans="1:15">
      <c r="A2342" s="1" t="s">
        <v>4654</v>
      </c>
      <c r="B2342" s="1" t="s">
        <v>261</v>
      </c>
      <c r="C2342" s="1" t="s">
        <v>4655</v>
      </c>
      <c r="D2342" s="2">
        <v>46143</v>
      </c>
      <c r="E2342" s="2">
        <v>46151</v>
      </c>
      <c r="F2342" s="1" t="s">
        <v>61</v>
      </c>
      <c r="G2342" s="1" t="s">
        <v>13</v>
      </c>
      <c r="H2342" s="1" t="s">
        <v>5</v>
      </c>
      <c r="I2342" s="7">
        <v>61.2</v>
      </c>
      <c r="J2342" s="1" t="s">
        <v>38</v>
      </c>
      <c r="K2342" s="1"/>
      <c r="L2342" s="1" t="s">
        <v>39</v>
      </c>
      <c r="M2342" s="1" t="str">
        <f>INDEX(MCC_Lookup!$B$2:$B$12,MATCH(G2342,MCC_Lookup!$A$2:$A$12,0))</f>
        <v>Software</v>
      </c>
      <c r="N2342" s="1" t="str">
        <f>IF(TRIM(H2342)="","BLANK",IF(PROPER(TRIM(H2342))=TRIM(M2342),"MATCH","MISMATCH"))</f>
        <v>MISMATCH</v>
      </c>
      <c r="O2342" s="5" t="str">
        <f>INDEX([1]Employee!$C$2:$C$276,MATCH(B2342,[1]Employee!$A$2:$A$276,0))</f>
        <v>Sales &amp; Marketing</v>
      </c>
    </row>
    <row r="2343" spans="1:15">
      <c r="A2343" s="1" t="s">
        <v>4656</v>
      </c>
      <c r="B2343" s="1" t="s">
        <v>122</v>
      </c>
      <c r="C2343" s="1"/>
      <c r="D2343" s="2">
        <v>46149</v>
      </c>
      <c r="E2343" s="2">
        <v>46151</v>
      </c>
      <c r="F2343" s="1" t="s">
        <v>242</v>
      </c>
      <c r="G2343" s="1" t="s">
        <v>13</v>
      </c>
      <c r="H2343" s="1" t="s">
        <v>14</v>
      </c>
      <c r="I2343" s="7">
        <v>48.04</v>
      </c>
      <c r="J2343" s="1" t="s">
        <v>38</v>
      </c>
      <c r="K2343" s="1"/>
      <c r="L2343" s="1" t="s">
        <v>39</v>
      </c>
      <c r="M2343" s="1" t="str">
        <f>INDEX(MCC_Lookup!$B$2:$B$12,MATCH(G2343,MCC_Lookup!$A$2:$A$12,0))</f>
        <v>Software</v>
      </c>
      <c r="N2343" s="1" t="str">
        <f>IF(TRIM(H2343)="","BLANK",IF(PROPER(TRIM(H2343))=TRIM(M2343),"MATCH","MISMATCH"))</f>
        <v>MATCH</v>
      </c>
      <c r="O2343" s="5" t="str">
        <f>INDEX([1]Employee!$C$2:$C$276,MATCH(B2343,[1]Employee!$A$2:$A$276,0))</f>
        <v>Sales &amp; Marketing</v>
      </c>
    </row>
    <row r="2344" spans="1:15">
      <c r="A2344" s="1" t="s">
        <v>4657</v>
      </c>
      <c r="B2344" s="1" t="s">
        <v>4344</v>
      </c>
      <c r="C2344" s="1" t="s">
        <v>4658</v>
      </c>
      <c r="D2344" s="2">
        <v>46148</v>
      </c>
      <c r="E2344" s="2">
        <v>46151</v>
      </c>
      <c r="F2344" s="1" t="s">
        <v>124</v>
      </c>
      <c r="G2344" s="1" t="s">
        <v>17</v>
      </c>
      <c r="H2344" s="1" t="s">
        <v>16</v>
      </c>
      <c r="I2344" s="7">
        <v>130.82</v>
      </c>
      <c r="J2344" s="1" t="s">
        <v>38</v>
      </c>
      <c r="K2344" s="1"/>
      <c r="L2344" s="1" t="s">
        <v>39</v>
      </c>
      <c r="M2344" s="1" t="str">
        <f>INDEX(MCC_Lookup!$B$2:$B$12,MATCH(G2344,MCC_Lookup!$A$2:$A$12,0))</f>
        <v>Entertainment</v>
      </c>
      <c r="N2344" s="1" t="str">
        <f>IF(TRIM(H2344)="","BLANK",IF(PROPER(TRIM(H2344))=TRIM(M2344),"MATCH","MISMATCH"))</f>
        <v>MATCH</v>
      </c>
      <c r="O2344" s="5" t="str">
        <f>INDEX([1]Employee!$C$2:$C$276,MATCH(B2344,[1]Employee!$A$2:$A$276,0))</f>
        <v>Customer Support</v>
      </c>
    </row>
    <row r="2345" spans="1:15">
      <c r="A2345" s="1" t="s">
        <v>4659</v>
      </c>
      <c r="B2345" s="1" t="s">
        <v>843</v>
      </c>
      <c r="C2345" s="1" t="s">
        <v>4660</v>
      </c>
      <c r="D2345" s="2">
        <v>46142</v>
      </c>
      <c r="E2345" s="2">
        <v>46151</v>
      </c>
      <c r="F2345" s="1" t="s">
        <v>120</v>
      </c>
      <c r="G2345" s="1" t="s">
        <v>12</v>
      </c>
      <c r="H2345" s="1" t="s">
        <v>11</v>
      </c>
      <c r="I2345" s="7">
        <v>30.56</v>
      </c>
      <c r="J2345" s="1" t="s">
        <v>38</v>
      </c>
      <c r="K2345" s="1"/>
      <c r="L2345" s="1" t="s">
        <v>39</v>
      </c>
      <c r="M2345" s="1" t="str">
        <f>INDEX(MCC_Lookup!$B$2:$B$12,MATCH(G2345,MCC_Lookup!$A$2:$A$12,0))</f>
        <v>Office Supplies</v>
      </c>
      <c r="N2345" s="1" t="str">
        <f>IF(TRIM(H2345)="","BLANK",IF(PROPER(TRIM(H2345))=TRIM(M2345),"MATCH","MISMATCH"))</f>
        <v>MATCH</v>
      </c>
      <c r="O2345" s="5" t="str">
        <f>INDEX([1]Employee!$C$2:$C$276,MATCH(B2345,[1]Employee!$A$2:$A$276,0))</f>
        <v>Customer Support</v>
      </c>
    </row>
    <row r="2346" spans="1:15">
      <c r="A2346" s="1" t="s">
        <v>4661</v>
      </c>
      <c r="B2346" s="1" t="s">
        <v>461</v>
      </c>
      <c r="C2346" s="1"/>
      <c r="D2346" s="2">
        <v>46148</v>
      </c>
      <c r="E2346" s="2">
        <v>46151</v>
      </c>
      <c r="F2346" s="1" t="s">
        <v>173</v>
      </c>
      <c r="G2346" s="1" t="s">
        <v>2</v>
      </c>
      <c r="H2346" s="1" t="s">
        <v>3</v>
      </c>
      <c r="I2346" s="7">
        <v>84.5</v>
      </c>
      <c r="J2346" s="1" t="s">
        <v>38</v>
      </c>
      <c r="K2346" s="1"/>
      <c r="L2346" s="1" t="s">
        <v>39</v>
      </c>
      <c r="M2346" s="1" t="str">
        <f>INDEX(MCC_Lookup!$B$2:$B$12,MATCH(G2346,MCC_Lookup!$A$2:$A$12,0))</f>
        <v>Meals</v>
      </c>
      <c r="N2346" s="1" t="str">
        <f>IF(TRIM(H2346)="","BLANK",IF(PROPER(TRIM(H2346))=TRIM(M2346),"MATCH","MISMATCH"))</f>
        <v>MATCH</v>
      </c>
      <c r="O2346" s="5" t="str">
        <f>INDEX([1]Employee!$C$2:$C$276,MATCH(B2346,[1]Employee!$A$2:$A$276,0))</f>
        <v>Finance</v>
      </c>
    </row>
    <row r="2347" spans="1:15">
      <c r="A2347" s="1" t="s">
        <v>4662</v>
      </c>
      <c r="B2347" s="1" t="s">
        <v>322</v>
      </c>
      <c r="C2347" s="1" t="s">
        <v>4663</v>
      </c>
      <c r="D2347" s="2">
        <v>46146</v>
      </c>
      <c r="E2347" s="2">
        <v>46152</v>
      </c>
      <c r="F2347" s="1" t="s">
        <v>99</v>
      </c>
      <c r="G2347" s="1" t="s">
        <v>2</v>
      </c>
      <c r="H2347" s="1" t="s">
        <v>3</v>
      </c>
      <c r="I2347" s="7">
        <v>43.95</v>
      </c>
      <c r="J2347" s="1" t="s">
        <v>38</v>
      </c>
      <c r="K2347" s="1"/>
      <c r="L2347" s="1" t="s">
        <v>39</v>
      </c>
      <c r="M2347" s="1" t="str">
        <f>INDEX(MCC_Lookup!$B$2:$B$12,MATCH(G2347,MCC_Lookup!$A$2:$A$12,0))</f>
        <v>Meals</v>
      </c>
      <c r="N2347" s="1" t="str">
        <f>IF(TRIM(H2347)="","BLANK",IF(PROPER(TRIM(H2347))=TRIM(M2347),"MATCH","MISMATCH"))</f>
        <v>MATCH</v>
      </c>
      <c r="O2347" s="5" t="str">
        <f>INDEX([1]Employee!$C$2:$C$276,MATCH(B2347,[1]Employee!$A$2:$A$276,0))</f>
        <v>Customer Support</v>
      </c>
    </row>
    <row r="2348" spans="1:15">
      <c r="A2348" s="1" t="s">
        <v>4664</v>
      </c>
      <c r="B2348" s="1" t="s">
        <v>593</v>
      </c>
      <c r="C2348" s="1" t="s">
        <v>4665</v>
      </c>
      <c r="D2348" s="2">
        <v>46148</v>
      </c>
      <c r="E2348" s="2">
        <v>46152</v>
      </c>
      <c r="F2348" s="1" t="s">
        <v>37</v>
      </c>
      <c r="G2348" s="1" t="s">
        <v>4</v>
      </c>
      <c r="H2348" s="1" t="s">
        <v>57</v>
      </c>
      <c r="I2348" s="7">
        <v>281.43</v>
      </c>
      <c r="J2348" s="1" t="s">
        <v>38</v>
      </c>
      <c r="K2348" s="1"/>
      <c r="L2348" s="1" t="s">
        <v>39</v>
      </c>
      <c r="M2348" s="1" t="str">
        <f>INDEX(MCC_Lookup!$B$2:$B$12,MATCH(G2348,MCC_Lookup!$A$2:$A$12,0))</f>
        <v>Travel</v>
      </c>
      <c r="N2348" s="1" t="str">
        <f>IF(TRIM(H2348)="","BLANK",IF(PROPER(TRIM(H2348))=TRIM(M2348),"MATCH","MISMATCH"))</f>
        <v>MATCH</v>
      </c>
      <c r="O2348" s="5" t="str">
        <f>INDEX([1]Employee!$C$2:$C$276,MATCH(B2348,[1]Employee!$A$2:$A$276,0))</f>
        <v>Sales &amp; Marketing</v>
      </c>
    </row>
    <row r="2349" spans="1:15">
      <c r="A2349" s="1" t="s">
        <v>4666</v>
      </c>
      <c r="B2349" s="1" t="s">
        <v>129</v>
      </c>
      <c r="C2349" s="1" t="s">
        <v>4667</v>
      </c>
      <c r="D2349" s="2">
        <v>46145</v>
      </c>
      <c r="E2349" s="2">
        <v>46152</v>
      </c>
      <c r="F2349" s="1" t="s">
        <v>72</v>
      </c>
      <c r="G2349" s="1" t="s">
        <v>8</v>
      </c>
      <c r="H2349" s="1" t="s">
        <v>9</v>
      </c>
      <c r="I2349" s="7">
        <v>41.29</v>
      </c>
      <c r="J2349" s="1" t="s">
        <v>38</v>
      </c>
      <c r="K2349" s="1"/>
      <c r="L2349" s="1" t="s">
        <v>39</v>
      </c>
      <c r="M2349" s="1" t="str">
        <f>INDEX(MCC_Lookup!$B$2:$B$12,MATCH(G2349,MCC_Lookup!$A$2:$A$12,0))</f>
        <v>Transportation</v>
      </c>
      <c r="N2349" s="1" t="str">
        <f>IF(TRIM(H2349)="","BLANK",IF(PROPER(TRIM(H2349))=TRIM(M2349),"MATCH","MISMATCH"))</f>
        <v>MATCH</v>
      </c>
      <c r="O2349" s="5" t="str">
        <f>INDEX([1]Employee!$C$2:$C$276,MATCH(B2349,[1]Employee!$A$2:$A$276,0))</f>
        <v>Sales &amp; Marketing</v>
      </c>
    </row>
    <row r="2350" spans="1:15">
      <c r="A2350" s="1" t="s">
        <v>4668</v>
      </c>
      <c r="B2350" s="1" t="s">
        <v>156</v>
      </c>
      <c r="C2350" s="1"/>
      <c r="D2350" s="2">
        <v>46148</v>
      </c>
      <c r="E2350" s="2">
        <v>46152</v>
      </c>
      <c r="F2350" s="1" t="s">
        <v>106</v>
      </c>
      <c r="G2350" s="1" t="s">
        <v>13</v>
      </c>
      <c r="H2350" s="1" t="s">
        <v>14</v>
      </c>
      <c r="I2350" s="7">
        <v>131.35</v>
      </c>
      <c r="J2350" s="1" t="s">
        <v>111</v>
      </c>
      <c r="K2350" s="1" t="s">
        <v>161</v>
      </c>
      <c r="L2350" s="1" t="s">
        <v>39</v>
      </c>
      <c r="M2350" s="1" t="str">
        <f>INDEX(MCC_Lookup!$B$2:$B$12,MATCH(G2350,MCC_Lookup!$A$2:$A$12,0))</f>
        <v>Software</v>
      </c>
      <c r="N2350" s="1" t="str">
        <f>IF(TRIM(H2350)="","BLANK",IF(PROPER(TRIM(H2350))=TRIM(M2350),"MATCH","MISMATCH"))</f>
        <v>MATCH</v>
      </c>
      <c r="O2350" s="5" t="str">
        <f>INDEX([1]Employee!$C$2:$C$276,MATCH(B2350,[1]Employee!$A$2:$A$276,0))</f>
        <v>Sales &amp; Marketing</v>
      </c>
    </row>
    <row r="2351" spans="1:15">
      <c r="A2351" s="1" t="s">
        <v>4669</v>
      </c>
      <c r="B2351" s="1" t="s">
        <v>524</v>
      </c>
      <c r="C2351" s="1" t="s">
        <v>4670</v>
      </c>
      <c r="D2351" s="2">
        <v>46150</v>
      </c>
      <c r="E2351" s="2">
        <v>46152</v>
      </c>
      <c r="F2351" s="1" t="s">
        <v>259</v>
      </c>
      <c r="G2351" s="1" t="s">
        <v>20</v>
      </c>
      <c r="H2351" s="1" t="s">
        <v>19</v>
      </c>
      <c r="I2351" s="7">
        <v>255.99</v>
      </c>
      <c r="J2351" s="1" t="s">
        <v>38</v>
      </c>
      <c r="K2351" s="1"/>
      <c r="L2351" s="1" t="s">
        <v>39</v>
      </c>
      <c r="M2351" s="1" t="str">
        <f>INDEX(MCC_Lookup!$B$2:$B$12,MATCH(G2351,MCC_Lookup!$A$2:$A$12,0))</f>
        <v>Events</v>
      </c>
      <c r="N2351" s="1" t="str">
        <f>IF(TRIM(H2351)="","BLANK",IF(PROPER(TRIM(H2351))=TRIM(M2351),"MATCH","MISMATCH"))</f>
        <v>MATCH</v>
      </c>
      <c r="O2351" s="5" t="str">
        <f>INDEX([1]Employee!$C$2:$C$276,MATCH(B2351,[1]Employee!$A$2:$A$276,0))</f>
        <v>Claims</v>
      </c>
    </row>
    <row r="2352" spans="1:15">
      <c r="A2352" s="1" t="s">
        <v>4671</v>
      </c>
      <c r="B2352" s="1" t="s">
        <v>1821</v>
      </c>
      <c r="C2352" s="1" t="s">
        <v>4672</v>
      </c>
      <c r="D2352" s="2">
        <v>46149</v>
      </c>
      <c r="E2352" s="2">
        <v>46152</v>
      </c>
      <c r="F2352" s="1" t="s">
        <v>79</v>
      </c>
      <c r="G2352" s="1" t="s">
        <v>13</v>
      </c>
      <c r="H2352" s="1" t="s">
        <v>14</v>
      </c>
      <c r="I2352" s="7">
        <v>220.9</v>
      </c>
      <c r="J2352" s="1" t="s">
        <v>38</v>
      </c>
      <c r="K2352" s="1"/>
      <c r="L2352" s="1" t="s">
        <v>39</v>
      </c>
      <c r="M2352" s="1" t="str">
        <f>INDEX(MCC_Lookup!$B$2:$B$12,MATCH(G2352,MCC_Lookup!$A$2:$A$12,0))</f>
        <v>Software</v>
      </c>
      <c r="N2352" s="1" t="str">
        <f>IF(TRIM(H2352)="","BLANK",IF(PROPER(TRIM(H2352))=TRIM(M2352),"MATCH","MISMATCH"))</f>
        <v>MATCH</v>
      </c>
      <c r="O2352" s="5" t="str">
        <f>INDEX([1]Employee!$C$2:$C$276,MATCH(B2352,[1]Employee!$A$2:$A$276,0))</f>
        <v>Finance</v>
      </c>
    </row>
    <row r="2353" spans="1:15">
      <c r="A2353" s="1" t="s">
        <v>4673</v>
      </c>
      <c r="B2353" s="1" t="s">
        <v>732</v>
      </c>
      <c r="C2353" s="1" t="s">
        <v>4674</v>
      </c>
      <c r="D2353" s="2">
        <v>46142</v>
      </c>
      <c r="E2353" s="2">
        <v>46152</v>
      </c>
      <c r="F2353" s="1" t="s">
        <v>72</v>
      </c>
      <c r="G2353" s="1" t="s">
        <v>8</v>
      </c>
      <c r="H2353" s="1" t="s">
        <v>435</v>
      </c>
      <c r="I2353" s="7">
        <v>15.99</v>
      </c>
      <c r="J2353" s="1" t="s">
        <v>38</v>
      </c>
      <c r="K2353" s="1"/>
      <c r="L2353" s="1" t="s">
        <v>39</v>
      </c>
      <c r="M2353" s="1" t="str">
        <f>INDEX(MCC_Lookup!$B$2:$B$12,MATCH(G2353,MCC_Lookup!$A$2:$A$12,0))</f>
        <v>Transportation</v>
      </c>
      <c r="N2353" s="1" t="str">
        <f>IF(TRIM(H2353)="","BLANK",IF(PROPER(TRIM(H2353))=TRIM(M2353),"MATCH","MISMATCH"))</f>
        <v>MATCH</v>
      </c>
      <c r="O2353" s="5" t="str">
        <f>INDEX([1]Employee!$C$2:$C$276,MATCH(B2353,[1]Employee!$A$2:$A$276,0))</f>
        <v>Underwriting</v>
      </c>
    </row>
    <row r="2354" spans="1:15">
      <c r="A2354" s="1" t="s">
        <v>4675</v>
      </c>
      <c r="B2354" s="1" t="s">
        <v>2997</v>
      </c>
      <c r="C2354" s="1" t="s">
        <v>4676</v>
      </c>
      <c r="D2354" s="2">
        <v>46150</v>
      </c>
      <c r="E2354" s="2">
        <v>46152</v>
      </c>
      <c r="F2354" s="1" t="s">
        <v>106</v>
      </c>
      <c r="G2354" s="1" t="s">
        <v>13</v>
      </c>
      <c r="H2354" s="1" t="s">
        <v>14</v>
      </c>
      <c r="I2354" s="7">
        <v>188.47</v>
      </c>
      <c r="J2354" s="1" t="s">
        <v>38</v>
      </c>
      <c r="K2354" s="1"/>
      <c r="L2354" s="1" t="s">
        <v>39</v>
      </c>
      <c r="M2354" s="1" t="str">
        <f>INDEX(MCC_Lookup!$B$2:$B$12,MATCH(G2354,MCC_Lookup!$A$2:$A$12,0))</f>
        <v>Software</v>
      </c>
      <c r="N2354" s="1" t="str">
        <f>IF(TRIM(H2354)="","BLANK",IF(PROPER(TRIM(H2354))=TRIM(M2354),"MATCH","MISMATCH"))</f>
        <v>MATCH</v>
      </c>
      <c r="O2354" s="5" t="str">
        <f>INDEX([1]Employee!$C$2:$C$276,MATCH(B2354,[1]Employee!$A$2:$A$276,0))</f>
        <v>Finance</v>
      </c>
    </row>
    <row r="2355" spans="1:15">
      <c r="A2355" s="1" t="s">
        <v>4677</v>
      </c>
      <c r="B2355" s="1" t="s">
        <v>667</v>
      </c>
      <c r="C2355" s="1"/>
      <c r="D2355" s="2">
        <v>46148</v>
      </c>
      <c r="E2355" s="2">
        <v>46152</v>
      </c>
      <c r="F2355" s="1" t="s">
        <v>177</v>
      </c>
      <c r="G2355" s="1" t="s">
        <v>13</v>
      </c>
      <c r="H2355" s="1" t="s">
        <v>14</v>
      </c>
      <c r="I2355" s="7">
        <v>27.58</v>
      </c>
      <c r="J2355" s="1" t="s">
        <v>38</v>
      </c>
      <c r="K2355" s="1"/>
      <c r="L2355" s="1" t="s">
        <v>39</v>
      </c>
      <c r="M2355" s="1" t="str">
        <f>INDEX(MCC_Lookup!$B$2:$B$12,MATCH(G2355,MCC_Lookup!$A$2:$A$12,0))</f>
        <v>Software</v>
      </c>
      <c r="N2355" s="1" t="str">
        <f>IF(TRIM(H2355)="","BLANK",IF(PROPER(TRIM(H2355))=TRIM(M2355),"MATCH","MISMATCH"))</f>
        <v>MATCH</v>
      </c>
      <c r="O2355" s="5" t="str">
        <f>INDEX([1]Employee!$C$2:$C$276,MATCH(B2355,[1]Employee!$A$2:$A$276,0))</f>
        <v>Sales &amp; Marketing</v>
      </c>
    </row>
    <row r="2356" spans="1:15">
      <c r="A2356" s="1" t="s">
        <v>4678</v>
      </c>
      <c r="B2356" s="1" t="s">
        <v>899</v>
      </c>
      <c r="C2356" s="1" t="s">
        <v>4679</v>
      </c>
      <c r="D2356" s="2">
        <v>46145</v>
      </c>
      <c r="E2356" s="2">
        <v>46152</v>
      </c>
      <c r="F2356" s="1" t="s">
        <v>201</v>
      </c>
      <c r="G2356" s="1" t="s">
        <v>4</v>
      </c>
      <c r="H2356" s="1" t="s">
        <v>5</v>
      </c>
      <c r="I2356" s="7">
        <v>229.28</v>
      </c>
      <c r="J2356" s="1" t="s">
        <v>38</v>
      </c>
      <c r="K2356" s="1"/>
      <c r="L2356" s="1" t="s">
        <v>39</v>
      </c>
      <c r="M2356" s="1" t="str">
        <f>INDEX(MCC_Lookup!$B$2:$B$12,MATCH(G2356,MCC_Lookup!$A$2:$A$12,0))</f>
        <v>Travel</v>
      </c>
      <c r="N2356" s="1" t="str">
        <f>IF(TRIM(H2356)="","BLANK",IF(PROPER(TRIM(H2356))=TRIM(M2356),"MATCH","MISMATCH"))</f>
        <v>MATCH</v>
      </c>
      <c r="O2356" s="5" t="str">
        <f>INDEX([1]Employee!$C$2:$C$276,MATCH(B2356,[1]Employee!$A$2:$A$276,0))</f>
        <v>IT &amp; Platform Engineering</v>
      </c>
    </row>
    <row r="2357" spans="1:15">
      <c r="A2357" s="1" t="s">
        <v>4680</v>
      </c>
      <c r="B2357" s="1" t="s">
        <v>2178</v>
      </c>
      <c r="C2357" s="1" t="s">
        <v>4681</v>
      </c>
      <c r="D2357" s="2">
        <v>46151</v>
      </c>
      <c r="E2357" s="2">
        <v>46152</v>
      </c>
      <c r="F2357" s="1" t="s">
        <v>83</v>
      </c>
      <c r="G2357" s="1" t="s">
        <v>2</v>
      </c>
      <c r="H2357" s="1" t="s">
        <v>3</v>
      </c>
      <c r="I2357" s="7">
        <v>20.94</v>
      </c>
      <c r="J2357" s="1" t="s">
        <v>38</v>
      </c>
      <c r="K2357" s="1"/>
      <c r="L2357" s="1" t="s">
        <v>39</v>
      </c>
      <c r="M2357" s="1" t="str">
        <f>INDEX(MCC_Lookup!$B$2:$B$12,MATCH(G2357,MCC_Lookup!$A$2:$A$12,0))</f>
        <v>Meals</v>
      </c>
      <c r="N2357" s="1" t="str">
        <f>IF(TRIM(H2357)="","BLANK",IF(PROPER(TRIM(H2357))=TRIM(M2357),"MATCH","MISMATCH"))</f>
        <v>MATCH</v>
      </c>
      <c r="O2357" s="5" t="str">
        <f>INDEX([1]Employee!$C$2:$C$276,MATCH(B2357,[1]Employee!$A$2:$A$276,0))</f>
        <v>Customer Support</v>
      </c>
    </row>
    <row r="2358" spans="1:15">
      <c r="A2358" s="1" t="s">
        <v>4682</v>
      </c>
      <c r="B2358" s="1" t="s">
        <v>1188</v>
      </c>
      <c r="C2358" s="1" t="s">
        <v>4683</v>
      </c>
      <c r="D2358" s="2">
        <v>46150</v>
      </c>
      <c r="E2358" s="2">
        <v>46152</v>
      </c>
      <c r="F2358" s="1" t="s">
        <v>99</v>
      </c>
      <c r="G2358" s="1" t="s">
        <v>2</v>
      </c>
      <c r="H2358" s="1" t="s">
        <v>3</v>
      </c>
      <c r="I2358" s="7">
        <v>93.34</v>
      </c>
      <c r="J2358" s="1" t="s">
        <v>38</v>
      </c>
      <c r="K2358" s="1"/>
      <c r="L2358" s="1" t="s">
        <v>39</v>
      </c>
      <c r="M2358" s="1" t="str">
        <f>INDEX(MCC_Lookup!$B$2:$B$12,MATCH(G2358,MCC_Lookup!$A$2:$A$12,0))</f>
        <v>Meals</v>
      </c>
      <c r="N2358" s="1" t="str">
        <f>IF(TRIM(H2358)="","BLANK",IF(PROPER(TRIM(H2358))=TRIM(M2358),"MATCH","MISMATCH"))</f>
        <v>MATCH</v>
      </c>
      <c r="O2358" s="5" t="str">
        <f>INDEX([1]Employee!$C$2:$C$276,MATCH(B2358,[1]Employee!$A$2:$A$276,0))</f>
        <v>Executive &amp; Corporate</v>
      </c>
    </row>
    <row r="2359" spans="1:15">
      <c r="A2359" s="1" t="s">
        <v>4684</v>
      </c>
      <c r="B2359" s="1" t="s">
        <v>890</v>
      </c>
      <c r="C2359" s="1" t="s">
        <v>4685</v>
      </c>
      <c r="D2359" s="2">
        <v>46150</v>
      </c>
      <c r="E2359" s="2">
        <v>46152</v>
      </c>
      <c r="F2359" s="1" t="s">
        <v>347</v>
      </c>
      <c r="G2359" s="1" t="s">
        <v>8</v>
      </c>
      <c r="H2359" s="1" t="s">
        <v>9</v>
      </c>
      <c r="I2359" s="7">
        <v>43.98</v>
      </c>
      <c r="J2359" s="1" t="s">
        <v>38</v>
      </c>
      <c r="K2359" s="1"/>
      <c r="L2359" s="1" t="s">
        <v>39</v>
      </c>
      <c r="M2359" s="1" t="str">
        <f>INDEX(MCC_Lookup!$B$2:$B$12,MATCH(G2359,MCC_Lookup!$A$2:$A$12,0))</f>
        <v>Transportation</v>
      </c>
      <c r="N2359" s="1" t="str">
        <f>IF(TRIM(H2359)="","BLANK",IF(PROPER(TRIM(H2359))=TRIM(M2359),"MATCH","MISMATCH"))</f>
        <v>MATCH</v>
      </c>
      <c r="O2359" s="5" t="str">
        <f>INDEX([1]Employee!$C$2:$C$276,MATCH(B2359,[1]Employee!$A$2:$A$276,0))</f>
        <v>Sales &amp; Marketing</v>
      </c>
    </row>
    <row r="2360" spans="1:15">
      <c r="A2360" s="1" t="s">
        <v>4686</v>
      </c>
      <c r="B2360" s="1" t="s">
        <v>407</v>
      </c>
      <c r="C2360" s="1" t="s">
        <v>4687</v>
      </c>
      <c r="D2360" s="2">
        <v>46151</v>
      </c>
      <c r="E2360" s="2">
        <v>46152</v>
      </c>
      <c r="F2360" s="1" t="s">
        <v>92</v>
      </c>
      <c r="G2360" s="1" t="s">
        <v>10</v>
      </c>
      <c r="H2360" s="1" t="s">
        <v>11</v>
      </c>
      <c r="I2360" s="7">
        <v>21.08</v>
      </c>
      <c r="J2360" s="1" t="s">
        <v>38</v>
      </c>
      <c r="K2360" s="1"/>
      <c r="L2360" s="1" t="s">
        <v>39</v>
      </c>
      <c r="M2360" s="1" t="str">
        <f>INDEX(MCC_Lookup!$B$2:$B$12,MATCH(G2360,MCC_Lookup!$A$2:$A$12,0))</f>
        <v>Office Supplies</v>
      </c>
      <c r="N2360" s="1" t="str">
        <f>IF(TRIM(H2360)="","BLANK",IF(PROPER(TRIM(H2360))=TRIM(M2360),"MATCH","MISMATCH"))</f>
        <v>MATCH</v>
      </c>
      <c r="O2360" s="5" t="str">
        <f>INDEX([1]Employee!$C$2:$C$276,MATCH(B2360,[1]Employee!$A$2:$A$276,0))</f>
        <v>Executive &amp; Corporate</v>
      </c>
    </row>
    <row r="2361" spans="1:15">
      <c r="A2361" s="1" t="s">
        <v>4688</v>
      </c>
      <c r="B2361" s="1" t="s">
        <v>810</v>
      </c>
      <c r="C2361" s="1"/>
      <c r="D2361" s="2">
        <v>46148</v>
      </c>
      <c r="E2361" s="2">
        <v>46152</v>
      </c>
      <c r="F2361" s="1" t="s">
        <v>177</v>
      </c>
      <c r="G2361" s="1" t="s">
        <v>13</v>
      </c>
      <c r="H2361" s="1" t="s">
        <v>14</v>
      </c>
      <c r="I2361" s="7">
        <v>19.7</v>
      </c>
      <c r="J2361" s="1" t="s">
        <v>111</v>
      </c>
      <c r="K2361" s="1" t="s">
        <v>229</v>
      </c>
      <c r="L2361" s="1" t="s">
        <v>39</v>
      </c>
      <c r="M2361" s="1" t="str">
        <f>INDEX(MCC_Lookup!$B$2:$B$12,MATCH(G2361,MCC_Lookup!$A$2:$A$12,0))</f>
        <v>Software</v>
      </c>
      <c r="N2361" s="1" t="str">
        <f>IF(TRIM(H2361)="","BLANK",IF(PROPER(TRIM(H2361))=TRIM(M2361),"MATCH","MISMATCH"))</f>
        <v>MATCH</v>
      </c>
      <c r="O2361" s="5" t="str">
        <f>INDEX([1]Employee!$C$2:$C$276,MATCH(B2361,[1]Employee!$A$2:$A$276,0))</f>
        <v>Sales &amp; Marketing</v>
      </c>
    </row>
    <row r="2362" spans="1:15">
      <c r="A2362" s="1" t="s">
        <v>4689</v>
      </c>
      <c r="B2362" s="1" t="s">
        <v>475</v>
      </c>
      <c r="C2362" s="1" t="s">
        <v>4690</v>
      </c>
      <c r="D2362" s="2">
        <v>46147</v>
      </c>
      <c r="E2362" s="2">
        <v>46152</v>
      </c>
      <c r="F2362" s="1" t="s">
        <v>116</v>
      </c>
      <c r="G2362" s="1" t="s">
        <v>2</v>
      </c>
      <c r="H2362" s="1" t="s">
        <v>3</v>
      </c>
      <c r="I2362" s="7">
        <v>13.25</v>
      </c>
      <c r="J2362" s="1" t="s">
        <v>38</v>
      </c>
      <c r="K2362" s="1"/>
      <c r="L2362" s="1" t="s">
        <v>39</v>
      </c>
      <c r="M2362" s="1" t="str">
        <f>INDEX(MCC_Lookup!$B$2:$B$12,MATCH(G2362,MCC_Lookup!$A$2:$A$12,0))</f>
        <v>Meals</v>
      </c>
      <c r="N2362" s="1" t="str">
        <f>IF(TRIM(H2362)="","BLANK",IF(PROPER(TRIM(H2362))=TRIM(M2362),"MATCH","MISMATCH"))</f>
        <v>MATCH</v>
      </c>
      <c r="O2362" s="5" t="str">
        <f>INDEX([1]Employee!$C$2:$C$276,MATCH(B2362,[1]Employee!$A$2:$A$276,0))</f>
        <v>Sales &amp; Marketing</v>
      </c>
    </row>
    <row r="2363" spans="1:15">
      <c r="A2363" s="1" t="s">
        <v>4691</v>
      </c>
      <c r="B2363" s="1" t="s">
        <v>1440</v>
      </c>
      <c r="C2363" s="1" t="s">
        <v>4692</v>
      </c>
      <c r="D2363" s="2">
        <v>46148</v>
      </c>
      <c r="E2363" s="2">
        <v>46152</v>
      </c>
      <c r="F2363" s="1" t="s">
        <v>242</v>
      </c>
      <c r="G2363" s="1" t="s">
        <v>13</v>
      </c>
      <c r="H2363" s="1" t="s">
        <v>14</v>
      </c>
      <c r="I2363" s="7">
        <v>29.07</v>
      </c>
      <c r="J2363" s="1" t="s">
        <v>38</v>
      </c>
      <c r="K2363" s="1"/>
      <c r="L2363" s="1" t="s">
        <v>39</v>
      </c>
      <c r="M2363" s="1" t="str">
        <f>INDEX(MCC_Lookup!$B$2:$B$12,MATCH(G2363,MCC_Lookup!$A$2:$A$12,0))</f>
        <v>Software</v>
      </c>
      <c r="N2363" s="1" t="str">
        <f>IF(TRIM(H2363)="","BLANK",IF(PROPER(TRIM(H2363))=TRIM(M2363),"MATCH","MISMATCH"))</f>
        <v>MATCH</v>
      </c>
      <c r="O2363" s="5" t="str">
        <f>INDEX([1]Employee!$C$2:$C$276,MATCH(B2363,[1]Employee!$A$2:$A$276,0))</f>
        <v>Claims</v>
      </c>
    </row>
    <row r="2364" spans="1:15">
      <c r="A2364" s="1" t="s">
        <v>4693</v>
      </c>
      <c r="B2364" s="1" t="s">
        <v>382</v>
      </c>
      <c r="C2364" s="1" t="s">
        <v>4694</v>
      </c>
      <c r="D2364" s="2">
        <v>46148</v>
      </c>
      <c r="E2364" s="2">
        <v>46152</v>
      </c>
      <c r="F2364" s="1" t="s">
        <v>95</v>
      </c>
      <c r="G2364" s="1" t="s">
        <v>6</v>
      </c>
      <c r="H2364" s="1" t="s">
        <v>7</v>
      </c>
      <c r="I2364" s="7">
        <v>349.72</v>
      </c>
      <c r="J2364" s="1" t="s">
        <v>38</v>
      </c>
      <c r="K2364" s="1"/>
      <c r="L2364" s="1" t="s">
        <v>39</v>
      </c>
      <c r="M2364" s="1" t="str">
        <f>INDEX(MCC_Lookup!$B$2:$B$12,MATCH(G2364,MCC_Lookup!$A$2:$A$12,0))</f>
        <v>Lodging</v>
      </c>
      <c r="N2364" s="1" t="str">
        <f>IF(TRIM(H2364)="","BLANK",IF(PROPER(TRIM(H2364))=TRIM(M2364),"MATCH","MISMATCH"))</f>
        <v>MATCH</v>
      </c>
      <c r="O2364" s="5" t="str">
        <f>INDEX([1]Employee!$C$2:$C$276,MATCH(B2364,[1]Employee!$A$2:$A$276,0))</f>
        <v>Sales &amp; Marketing</v>
      </c>
    </row>
    <row r="2365" spans="1:15">
      <c r="A2365" s="1" t="s">
        <v>4695</v>
      </c>
      <c r="B2365" s="1" t="s">
        <v>303</v>
      </c>
      <c r="C2365" s="1"/>
      <c r="D2365" s="2">
        <v>46150</v>
      </c>
      <c r="E2365" s="2">
        <v>46153</v>
      </c>
      <c r="F2365" s="1" t="s">
        <v>69</v>
      </c>
      <c r="G2365" s="1" t="s">
        <v>8</v>
      </c>
      <c r="H2365" s="1" t="s">
        <v>9</v>
      </c>
      <c r="I2365" s="7">
        <v>54.04</v>
      </c>
      <c r="J2365" s="1" t="s">
        <v>111</v>
      </c>
      <c r="K2365" s="1" t="s">
        <v>161</v>
      </c>
      <c r="L2365" s="1" t="s">
        <v>39</v>
      </c>
      <c r="M2365" s="1" t="str">
        <f>INDEX(MCC_Lookup!$B$2:$B$12,MATCH(G2365,MCC_Lookup!$A$2:$A$12,0))</f>
        <v>Transportation</v>
      </c>
      <c r="N2365" s="1" t="str">
        <f>IF(TRIM(H2365)="","BLANK",IF(PROPER(TRIM(H2365))=TRIM(M2365),"MATCH","MISMATCH"))</f>
        <v>MATCH</v>
      </c>
      <c r="O2365" s="5" t="str">
        <f>INDEX([1]Employee!$C$2:$C$276,MATCH(B2365,[1]Employee!$A$2:$A$276,0))</f>
        <v>Sales &amp; Marketing</v>
      </c>
    </row>
    <row r="2366" spans="1:15">
      <c r="A2366" s="1" t="s">
        <v>4696</v>
      </c>
      <c r="B2366" s="1" t="s">
        <v>71</v>
      </c>
      <c r="C2366" s="1"/>
      <c r="D2366" s="2">
        <v>46149</v>
      </c>
      <c r="E2366" s="2">
        <v>46153</v>
      </c>
      <c r="F2366" s="1" t="s">
        <v>160</v>
      </c>
      <c r="G2366" s="1" t="s">
        <v>6</v>
      </c>
      <c r="H2366" s="1" t="s">
        <v>7</v>
      </c>
      <c r="I2366" s="7">
        <v>210.78</v>
      </c>
      <c r="J2366" s="1" t="s">
        <v>38</v>
      </c>
      <c r="K2366" s="1"/>
      <c r="L2366" s="1" t="s">
        <v>39</v>
      </c>
      <c r="M2366" s="1" t="str">
        <f>INDEX(MCC_Lookup!$B$2:$B$12,MATCH(G2366,MCC_Lookup!$A$2:$A$12,0))</f>
        <v>Lodging</v>
      </c>
      <c r="N2366" s="1" t="str">
        <f>IF(TRIM(H2366)="","BLANK",IF(PROPER(TRIM(H2366))=TRIM(M2366),"MATCH","MISMATCH"))</f>
        <v>MATCH</v>
      </c>
      <c r="O2366" s="5" t="str">
        <f>INDEX([1]Employee!$C$2:$C$276,MATCH(B2366,[1]Employee!$A$2:$A$276,0))</f>
        <v>Sales &amp; Marketing</v>
      </c>
    </row>
    <row r="2367" spans="1:15">
      <c r="A2367" s="1" t="s">
        <v>4697</v>
      </c>
      <c r="B2367" s="1" t="s">
        <v>2046</v>
      </c>
      <c r="C2367" s="1" t="s">
        <v>4698</v>
      </c>
      <c r="D2367" s="2">
        <v>46149</v>
      </c>
      <c r="E2367" s="2">
        <v>46153</v>
      </c>
      <c r="F2367" s="1" t="s">
        <v>116</v>
      </c>
      <c r="G2367" s="1" t="s">
        <v>2</v>
      </c>
      <c r="H2367" s="1" t="s">
        <v>154</v>
      </c>
      <c r="I2367" s="7">
        <v>15.99</v>
      </c>
      <c r="J2367" s="1" t="s">
        <v>38</v>
      </c>
      <c r="K2367" s="1"/>
      <c r="L2367" s="1" t="s">
        <v>48</v>
      </c>
      <c r="M2367" s="1" t="str">
        <f>INDEX(MCC_Lookup!$B$2:$B$12,MATCH(G2367,MCC_Lookup!$A$2:$A$12,0))</f>
        <v>Meals</v>
      </c>
      <c r="N2367" s="1" t="str">
        <f>IF(TRIM(H2367)="","BLANK",IF(PROPER(TRIM(H2367))=TRIM(M2367),"MATCH","MISMATCH"))</f>
        <v>MATCH</v>
      </c>
      <c r="O2367" s="5" t="str">
        <f>INDEX([1]Employee!$C$2:$C$276,MATCH(B2367,[1]Employee!$A$2:$A$276,0))</f>
        <v>Claims</v>
      </c>
    </row>
    <row r="2368" spans="1:15">
      <c r="A2368" s="1" t="s">
        <v>4699</v>
      </c>
      <c r="B2368" s="1" t="s">
        <v>679</v>
      </c>
      <c r="C2368" s="1"/>
      <c r="D2368" s="2">
        <v>46148</v>
      </c>
      <c r="E2368" s="2">
        <v>46153</v>
      </c>
      <c r="F2368" s="1" t="s">
        <v>106</v>
      </c>
      <c r="G2368" s="1" t="s">
        <v>13</v>
      </c>
      <c r="H2368" s="1" t="s">
        <v>14</v>
      </c>
      <c r="I2368" s="7">
        <v>67.13</v>
      </c>
      <c r="J2368" s="1" t="s">
        <v>111</v>
      </c>
      <c r="K2368" s="1" t="s">
        <v>127</v>
      </c>
      <c r="L2368" s="1" t="s">
        <v>39</v>
      </c>
      <c r="M2368" s="1" t="str">
        <f>INDEX(MCC_Lookup!$B$2:$B$12,MATCH(G2368,MCC_Lookup!$A$2:$A$12,0))</f>
        <v>Software</v>
      </c>
      <c r="N2368" s="1" t="str">
        <f>IF(TRIM(H2368)="","BLANK",IF(PROPER(TRIM(H2368))=TRIM(M2368),"MATCH","MISMATCH"))</f>
        <v>MATCH</v>
      </c>
      <c r="O2368" s="5" t="str">
        <f>INDEX([1]Employee!$C$2:$C$276,MATCH(B2368,[1]Employee!$A$2:$A$276,0))</f>
        <v>Sales &amp; Marketing</v>
      </c>
    </row>
    <row r="2369" spans="1:15">
      <c r="A2369" s="1" t="s">
        <v>4700</v>
      </c>
      <c r="B2369" s="1" t="s">
        <v>687</v>
      </c>
      <c r="C2369" s="1" t="s">
        <v>4701</v>
      </c>
      <c r="D2369" s="2">
        <v>46147</v>
      </c>
      <c r="E2369" s="2">
        <v>46153</v>
      </c>
      <c r="F2369" s="1" t="s">
        <v>61</v>
      </c>
      <c r="G2369" s="1" t="s">
        <v>13</v>
      </c>
      <c r="H2369" s="1" t="s">
        <v>14</v>
      </c>
      <c r="I2369" s="7">
        <v>86.91</v>
      </c>
      <c r="J2369" s="1" t="s">
        <v>38</v>
      </c>
      <c r="K2369" s="1"/>
      <c r="L2369" s="1" t="s">
        <v>39</v>
      </c>
      <c r="M2369" s="1" t="str">
        <f>INDEX(MCC_Lookup!$B$2:$B$12,MATCH(G2369,MCC_Lookup!$A$2:$A$12,0))</f>
        <v>Software</v>
      </c>
      <c r="N2369" s="1" t="str">
        <f>IF(TRIM(H2369)="","BLANK",IF(PROPER(TRIM(H2369))=TRIM(M2369),"MATCH","MISMATCH"))</f>
        <v>MATCH</v>
      </c>
      <c r="O2369" s="5" t="str">
        <f>INDEX([1]Employee!$C$2:$C$276,MATCH(B2369,[1]Employee!$A$2:$A$276,0))</f>
        <v>Executive &amp; Corporate</v>
      </c>
    </row>
    <row r="2370" spans="1:15">
      <c r="A2370" s="1" t="s">
        <v>4702</v>
      </c>
      <c r="B2370" s="1" t="s">
        <v>81</v>
      </c>
      <c r="C2370" s="1"/>
      <c r="D2370" s="2">
        <v>46149</v>
      </c>
      <c r="E2370" s="2">
        <v>46153</v>
      </c>
      <c r="F2370" s="1" t="s">
        <v>201</v>
      </c>
      <c r="G2370" s="1" t="s">
        <v>4</v>
      </c>
      <c r="H2370" s="1" t="s">
        <v>734</v>
      </c>
      <c r="I2370" s="7">
        <v>444.62</v>
      </c>
      <c r="J2370" s="1" t="s">
        <v>38</v>
      </c>
      <c r="K2370" s="1"/>
      <c r="L2370" s="1" t="s">
        <v>48</v>
      </c>
      <c r="M2370" s="1" t="str">
        <f>INDEX(MCC_Lookup!$B$2:$B$12,MATCH(G2370,MCC_Lookup!$A$2:$A$12,0))</f>
        <v>Travel</v>
      </c>
      <c r="N2370" s="1" t="str">
        <f>IF(TRIM(H2370)="","BLANK",IF(PROPER(TRIM(H2370))=TRIM(M2370),"MATCH","MISMATCH"))</f>
        <v>MATCH</v>
      </c>
      <c r="O2370" s="5" t="str">
        <f>INDEX([1]Employee!$C$2:$C$276,MATCH(B2370,[1]Employee!$A$2:$A$276,0))</f>
        <v>Sales &amp; Marketing</v>
      </c>
    </row>
    <row r="2371" spans="1:15">
      <c r="A2371" s="1" t="s">
        <v>4703</v>
      </c>
      <c r="B2371" s="1" t="s">
        <v>472</v>
      </c>
      <c r="C2371" s="1" t="s">
        <v>4704</v>
      </c>
      <c r="D2371" s="2">
        <v>46148</v>
      </c>
      <c r="E2371" s="2">
        <v>46153</v>
      </c>
      <c r="F2371" s="1" t="s">
        <v>37</v>
      </c>
      <c r="G2371" s="1" t="s">
        <v>4</v>
      </c>
      <c r="H2371" s="1" t="s">
        <v>5</v>
      </c>
      <c r="I2371" s="7">
        <v>335.54</v>
      </c>
      <c r="J2371" s="1" t="s">
        <v>38</v>
      </c>
      <c r="K2371" s="1"/>
      <c r="L2371" s="1" t="s">
        <v>39</v>
      </c>
      <c r="M2371" s="1" t="str">
        <f>INDEX(MCC_Lookup!$B$2:$B$12,MATCH(G2371,MCC_Lookup!$A$2:$A$12,0))</f>
        <v>Travel</v>
      </c>
      <c r="N2371" s="1" t="str">
        <f>IF(TRIM(H2371)="","BLANK",IF(PROPER(TRIM(H2371))=TRIM(M2371),"MATCH","MISMATCH"))</f>
        <v>MATCH</v>
      </c>
      <c r="O2371" s="5" t="str">
        <f>INDEX([1]Employee!$C$2:$C$276,MATCH(B2371,[1]Employee!$A$2:$A$276,0))</f>
        <v>Sales &amp; Marketing</v>
      </c>
    </row>
    <row r="2372" spans="1:15">
      <c r="A2372" s="1" t="s">
        <v>4705</v>
      </c>
      <c r="B2372" s="1" t="s">
        <v>354</v>
      </c>
      <c r="C2372" s="1" t="s">
        <v>4706</v>
      </c>
      <c r="D2372" s="2">
        <v>46147</v>
      </c>
      <c r="E2372" s="2">
        <v>46153</v>
      </c>
      <c r="F2372" s="1" t="s">
        <v>72</v>
      </c>
      <c r="G2372" s="1" t="s">
        <v>8</v>
      </c>
      <c r="H2372" s="1" t="s">
        <v>9</v>
      </c>
      <c r="I2372" s="7">
        <v>27.05</v>
      </c>
      <c r="J2372" s="1" t="s">
        <v>38</v>
      </c>
      <c r="K2372" s="1"/>
      <c r="L2372" s="1" t="s">
        <v>39</v>
      </c>
      <c r="M2372" s="1" t="str">
        <f>INDEX(MCC_Lookup!$B$2:$B$12,MATCH(G2372,MCC_Lookup!$A$2:$A$12,0))</f>
        <v>Transportation</v>
      </c>
      <c r="N2372" s="1" t="str">
        <f>IF(TRIM(H2372)="","BLANK",IF(PROPER(TRIM(H2372))=TRIM(M2372),"MATCH","MISMATCH"))</f>
        <v>MATCH</v>
      </c>
      <c r="O2372" s="5" t="str">
        <f>INDEX([1]Employee!$C$2:$C$276,MATCH(B2372,[1]Employee!$A$2:$A$276,0))</f>
        <v>Customer Support</v>
      </c>
    </row>
    <row r="2373" spans="1:15">
      <c r="A2373" s="1" t="s">
        <v>4707</v>
      </c>
      <c r="B2373" s="1" t="s">
        <v>588</v>
      </c>
      <c r="C2373" s="1" t="s">
        <v>4708</v>
      </c>
      <c r="D2373" s="2">
        <v>46150</v>
      </c>
      <c r="E2373" s="2">
        <v>46153</v>
      </c>
      <c r="F2373" s="1" t="s">
        <v>95</v>
      </c>
      <c r="G2373" s="1" t="s">
        <v>6</v>
      </c>
      <c r="H2373" s="1" t="s">
        <v>7</v>
      </c>
      <c r="I2373" s="7">
        <v>369.9</v>
      </c>
      <c r="J2373" s="1" t="s">
        <v>38</v>
      </c>
      <c r="K2373" s="1"/>
      <c r="L2373" s="1" t="s">
        <v>48</v>
      </c>
      <c r="M2373" s="1" t="str">
        <f>INDEX(MCC_Lookup!$B$2:$B$12,MATCH(G2373,MCC_Lookup!$A$2:$A$12,0))</f>
        <v>Lodging</v>
      </c>
      <c r="N2373" s="1" t="str">
        <f>IF(TRIM(H2373)="","BLANK",IF(PROPER(TRIM(H2373))=TRIM(M2373),"MATCH","MISMATCH"))</f>
        <v>MATCH</v>
      </c>
      <c r="O2373" s="5" t="str">
        <f>INDEX([1]Employee!$C$2:$C$276,MATCH(B2373,[1]Employee!$A$2:$A$276,0))</f>
        <v>Claims</v>
      </c>
    </row>
    <row r="2374" spans="1:15">
      <c r="A2374" s="1" t="s">
        <v>4709</v>
      </c>
      <c r="B2374" s="1" t="s">
        <v>267</v>
      </c>
      <c r="C2374" s="1" t="s">
        <v>4710</v>
      </c>
      <c r="D2374" s="2">
        <v>46147</v>
      </c>
      <c r="E2374" s="2">
        <v>46153</v>
      </c>
      <c r="F2374" s="1" t="s">
        <v>56</v>
      </c>
      <c r="G2374" s="1" t="s">
        <v>4</v>
      </c>
      <c r="H2374" s="1" t="s">
        <v>57</v>
      </c>
      <c r="I2374" s="7">
        <v>513.17999999999995</v>
      </c>
      <c r="J2374" s="1" t="s">
        <v>38</v>
      </c>
      <c r="K2374" s="1"/>
      <c r="L2374" s="1" t="s">
        <v>39</v>
      </c>
      <c r="M2374" s="1" t="str">
        <f>INDEX(MCC_Lookup!$B$2:$B$12,MATCH(G2374,MCC_Lookup!$A$2:$A$12,0))</f>
        <v>Travel</v>
      </c>
      <c r="N2374" s="1" t="str">
        <f>IF(TRIM(H2374)="","BLANK",IF(PROPER(TRIM(H2374))=TRIM(M2374),"MATCH","MISMATCH"))</f>
        <v>MATCH</v>
      </c>
      <c r="O2374" s="5" t="str">
        <f>INDEX([1]Employee!$C$2:$C$276,MATCH(B2374,[1]Employee!$A$2:$A$276,0))</f>
        <v>Claims</v>
      </c>
    </row>
    <row r="2375" spans="1:15">
      <c r="A2375" s="1" t="s">
        <v>4711</v>
      </c>
      <c r="B2375" s="1" t="s">
        <v>763</v>
      </c>
      <c r="C2375" s="1" t="s">
        <v>4712</v>
      </c>
      <c r="D2375" s="2">
        <v>46153</v>
      </c>
      <c r="E2375" s="2">
        <v>46153</v>
      </c>
      <c r="F2375" s="1" t="s">
        <v>56</v>
      </c>
      <c r="G2375" s="1" t="s">
        <v>4</v>
      </c>
      <c r="H2375" s="1" t="s">
        <v>5</v>
      </c>
      <c r="I2375" s="7">
        <v>562.45000000000005</v>
      </c>
      <c r="J2375" s="1" t="s">
        <v>38</v>
      </c>
      <c r="K2375" s="1"/>
      <c r="L2375" s="1" t="s">
        <v>48</v>
      </c>
      <c r="M2375" s="1" t="str">
        <f>INDEX(MCC_Lookup!$B$2:$B$12,MATCH(G2375,MCC_Lookup!$A$2:$A$12,0))</f>
        <v>Travel</v>
      </c>
      <c r="N2375" s="1" t="str">
        <f>IF(TRIM(H2375)="","BLANK",IF(PROPER(TRIM(H2375))=TRIM(M2375),"MATCH","MISMATCH"))</f>
        <v>MATCH</v>
      </c>
      <c r="O2375" s="5" t="str">
        <f>INDEX([1]Employee!$C$2:$C$276,MATCH(B2375,[1]Employee!$A$2:$A$276,0))</f>
        <v>Executive &amp; Corporate</v>
      </c>
    </row>
    <row r="2376" spans="1:15">
      <c r="A2376" s="1" t="s">
        <v>4713</v>
      </c>
      <c r="B2376" s="1" t="s">
        <v>553</v>
      </c>
      <c r="C2376" s="1" t="s">
        <v>4714</v>
      </c>
      <c r="D2376" s="2">
        <v>46150</v>
      </c>
      <c r="E2376" s="2">
        <v>46153</v>
      </c>
      <c r="F2376" s="1" t="s">
        <v>177</v>
      </c>
      <c r="G2376" s="1" t="s">
        <v>13</v>
      </c>
      <c r="H2376" s="1" t="s">
        <v>14</v>
      </c>
      <c r="I2376" s="7">
        <v>25.67</v>
      </c>
      <c r="J2376" s="1" t="s">
        <v>38</v>
      </c>
      <c r="K2376" s="1"/>
      <c r="L2376" s="1" t="s">
        <v>39</v>
      </c>
      <c r="M2376" s="1" t="str">
        <f>INDEX(MCC_Lookup!$B$2:$B$12,MATCH(G2376,MCC_Lookup!$A$2:$A$12,0))</f>
        <v>Software</v>
      </c>
      <c r="N2376" s="1" t="str">
        <f>IF(TRIM(H2376)="","BLANK",IF(PROPER(TRIM(H2376))=TRIM(M2376),"MATCH","MISMATCH"))</f>
        <v>MATCH</v>
      </c>
      <c r="O2376" s="5" t="str">
        <f>INDEX([1]Employee!$C$2:$C$276,MATCH(B2376,[1]Employee!$A$2:$A$276,0))</f>
        <v>Claims</v>
      </c>
    </row>
    <row r="2377" spans="1:15">
      <c r="A2377" s="1" t="s">
        <v>4715</v>
      </c>
      <c r="B2377" s="1" t="s">
        <v>364</v>
      </c>
      <c r="C2377" s="1" t="s">
        <v>4716</v>
      </c>
      <c r="D2377" s="2">
        <v>46147</v>
      </c>
      <c r="E2377" s="2">
        <v>46153</v>
      </c>
      <c r="F2377" s="1" t="s">
        <v>37</v>
      </c>
      <c r="G2377" s="1" t="s">
        <v>4</v>
      </c>
      <c r="H2377" s="1" t="s">
        <v>5</v>
      </c>
      <c r="I2377" s="7">
        <v>254.42</v>
      </c>
      <c r="J2377" s="1" t="s">
        <v>38</v>
      </c>
      <c r="K2377" s="1"/>
      <c r="L2377" s="1" t="s">
        <v>39</v>
      </c>
      <c r="M2377" s="1" t="str">
        <f>INDEX(MCC_Lookup!$B$2:$B$12,MATCH(G2377,MCC_Lookup!$A$2:$A$12,0))</f>
        <v>Travel</v>
      </c>
      <c r="N2377" s="1" t="str">
        <f>IF(TRIM(H2377)="","BLANK",IF(PROPER(TRIM(H2377))=TRIM(M2377),"MATCH","MISMATCH"))</f>
        <v>MATCH</v>
      </c>
      <c r="O2377" s="5" t="str">
        <f>INDEX([1]Employee!$C$2:$C$276,MATCH(B2377,[1]Employee!$A$2:$A$276,0))</f>
        <v>Sales &amp; Marketing</v>
      </c>
    </row>
    <row r="2378" spans="1:15">
      <c r="A2378" s="1" t="s">
        <v>4717</v>
      </c>
      <c r="B2378" s="1" t="s">
        <v>667</v>
      </c>
      <c r="C2378" s="1" t="s">
        <v>4718</v>
      </c>
      <c r="D2378" s="2">
        <v>46145</v>
      </c>
      <c r="E2378" s="2">
        <v>46154</v>
      </c>
      <c r="F2378" s="1" t="s">
        <v>173</v>
      </c>
      <c r="G2378" s="1" t="s">
        <v>2</v>
      </c>
      <c r="H2378" s="1" t="s">
        <v>3</v>
      </c>
      <c r="I2378" s="7">
        <v>44.71</v>
      </c>
      <c r="J2378" s="1" t="s">
        <v>38</v>
      </c>
      <c r="K2378" s="1"/>
      <c r="L2378" s="1" t="s">
        <v>48</v>
      </c>
      <c r="M2378" s="1" t="str">
        <f>INDEX(MCC_Lookup!$B$2:$B$12,MATCH(G2378,MCC_Lookup!$A$2:$A$12,0))</f>
        <v>Meals</v>
      </c>
      <c r="N2378" s="1" t="str">
        <f>IF(TRIM(H2378)="","BLANK",IF(PROPER(TRIM(H2378))=TRIM(M2378),"MATCH","MISMATCH"))</f>
        <v>MATCH</v>
      </c>
      <c r="O2378" s="5" t="str">
        <f>INDEX([1]Employee!$C$2:$C$276,MATCH(B2378,[1]Employee!$A$2:$A$276,0))</f>
        <v>Sales &amp; Marketing</v>
      </c>
    </row>
    <row r="2379" spans="1:15">
      <c r="A2379" s="1" t="s">
        <v>4719</v>
      </c>
      <c r="B2379" s="1" t="s">
        <v>832</v>
      </c>
      <c r="C2379" s="1" t="s">
        <v>4720</v>
      </c>
      <c r="D2379" s="2">
        <v>46146</v>
      </c>
      <c r="E2379" s="2">
        <v>46154</v>
      </c>
      <c r="F2379" s="1" t="s">
        <v>120</v>
      </c>
      <c r="G2379" s="1" t="s">
        <v>12</v>
      </c>
      <c r="H2379" s="1" t="s">
        <v>11</v>
      </c>
      <c r="I2379" s="7">
        <v>326.35000000000002</v>
      </c>
      <c r="J2379" s="1" t="s">
        <v>38</v>
      </c>
      <c r="K2379" s="1"/>
      <c r="L2379" s="1" t="s">
        <v>39</v>
      </c>
      <c r="M2379" s="1" t="str">
        <f>INDEX(MCC_Lookup!$B$2:$B$12,MATCH(G2379,MCC_Lookup!$A$2:$A$12,0))</f>
        <v>Office Supplies</v>
      </c>
      <c r="N2379" s="1" t="str">
        <f>IF(TRIM(H2379)="","BLANK",IF(PROPER(TRIM(H2379))=TRIM(M2379),"MATCH","MISMATCH"))</f>
        <v>MATCH</v>
      </c>
      <c r="O2379" s="5" t="str">
        <f>INDEX([1]Employee!$C$2:$C$276,MATCH(B2379,[1]Employee!$A$2:$A$276,0))</f>
        <v>Sales &amp; Marketing</v>
      </c>
    </row>
    <row r="2380" spans="1:15">
      <c r="A2380" s="1" t="s">
        <v>4721</v>
      </c>
      <c r="B2380" s="1" t="s">
        <v>610</v>
      </c>
      <c r="C2380" s="1" t="s">
        <v>4722</v>
      </c>
      <c r="D2380" s="2">
        <v>46151</v>
      </c>
      <c r="E2380" s="2">
        <v>46154</v>
      </c>
      <c r="F2380" s="1" t="s">
        <v>99</v>
      </c>
      <c r="G2380" s="1" t="s">
        <v>2</v>
      </c>
      <c r="H2380" s="1" t="s">
        <v>3</v>
      </c>
      <c r="I2380" s="7">
        <v>136.66</v>
      </c>
      <c r="J2380" s="1" t="s">
        <v>38</v>
      </c>
      <c r="K2380" s="1"/>
      <c r="L2380" s="1" t="s">
        <v>39</v>
      </c>
      <c r="M2380" s="1" t="str">
        <f>INDEX(MCC_Lookup!$B$2:$B$12,MATCH(G2380,MCC_Lookup!$A$2:$A$12,0))</f>
        <v>Meals</v>
      </c>
      <c r="N2380" s="1" t="str">
        <f>IF(TRIM(H2380)="","BLANK",IF(PROPER(TRIM(H2380))=TRIM(M2380),"MATCH","MISMATCH"))</f>
        <v>MATCH</v>
      </c>
      <c r="O2380" s="5" t="str">
        <f>INDEX([1]Employee!$C$2:$C$276,MATCH(B2380,[1]Employee!$A$2:$A$276,0))</f>
        <v>Actuarial &amp; Risk</v>
      </c>
    </row>
    <row r="2381" spans="1:15">
      <c r="A2381" s="1" t="s">
        <v>4723</v>
      </c>
      <c r="B2381" s="1" t="s">
        <v>1064</v>
      </c>
      <c r="C2381" s="1" t="s">
        <v>4724</v>
      </c>
      <c r="D2381" s="2">
        <v>46153</v>
      </c>
      <c r="E2381" s="2">
        <v>46154</v>
      </c>
      <c r="F2381" s="1" t="s">
        <v>1466</v>
      </c>
      <c r="G2381" s="1" t="s">
        <v>17</v>
      </c>
      <c r="H2381" s="1" t="s">
        <v>690</v>
      </c>
      <c r="I2381" s="7">
        <v>213.7</v>
      </c>
      <c r="J2381" s="1" t="s">
        <v>38</v>
      </c>
      <c r="K2381" s="1"/>
      <c r="L2381" s="1" t="s">
        <v>39</v>
      </c>
      <c r="M2381" s="1" t="str">
        <f>INDEX(MCC_Lookup!$B$2:$B$12,MATCH(G2381,MCC_Lookup!$A$2:$A$12,0))</f>
        <v>Entertainment</v>
      </c>
      <c r="N2381" s="1" t="str">
        <f>IF(TRIM(H2381)="","BLANK",IF(PROPER(TRIM(H2381))=TRIM(M2381),"MATCH","MISMATCH"))</f>
        <v>MATCH</v>
      </c>
      <c r="O2381" s="5" t="str">
        <f>INDEX([1]Employee!$C$2:$C$276,MATCH(B2381,[1]Employee!$A$2:$A$276,0))</f>
        <v>Actuarial &amp; Risk</v>
      </c>
    </row>
    <row r="2382" spans="1:15">
      <c r="A2382" s="1" t="s">
        <v>4725</v>
      </c>
      <c r="B2382" s="1" t="s">
        <v>716</v>
      </c>
      <c r="C2382" s="1" t="s">
        <v>4726</v>
      </c>
      <c r="D2382" s="2">
        <v>46149</v>
      </c>
      <c r="E2382" s="2">
        <v>46154</v>
      </c>
      <c r="F2382" s="1" t="s">
        <v>173</v>
      </c>
      <c r="G2382" s="1" t="s">
        <v>2</v>
      </c>
      <c r="H2382" s="1" t="s">
        <v>3</v>
      </c>
      <c r="I2382" s="7">
        <v>31.41</v>
      </c>
      <c r="J2382" s="1" t="s">
        <v>38</v>
      </c>
      <c r="K2382" s="1"/>
      <c r="L2382" s="1" t="s">
        <v>39</v>
      </c>
      <c r="M2382" s="1" t="str">
        <f>INDEX(MCC_Lookup!$B$2:$B$12,MATCH(G2382,MCC_Lookup!$A$2:$A$12,0))</f>
        <v>Meals</v>
      </c>
      <c r="N2382" s="1" t="str">
        <f>IF(TRIM(H2382)="","BLANK",IF(PROPER(TRIM(H2382))=TRIM(M2382),"MATCH","MISMATCH"))</f>
        <v>MATCH</v>
      </c>
      <c r="O2382" s="5" t="str">
        <f>INDEX([1]Employee!$C$2:$C$276,MATCH(B2382,[1]Employee!$A$2:$A$276,0))</f>
        <v>Claims</v>
      </c>
    </row>
    <row r="2383" spans="1:15">
      <c r="A2383" s="1" t="s">
        <v>4727</v>
      </c>
      <c r="B2383" s="1" t="s">
        <v>433</v>
      </c>
      <c r="C2383" s="1"/>
      <c r="D2383" s="2">
        <v>46151</v>
      </c>
      <c r="E2383" s="2">
        <v>46154</v>
      </c>
      <c r="F2383" s="1" t="s">
        <v>120</v>
      </c>
      <c r="G2383" s="1" t="s">
        <v>12</v>
      </c>
      <c r="H2383" s="1" t="s">
        <v>11</v>
      </c>
      <c r="I2383" s="7">
        <v>102.29</v>
      </c>
      <c r="J2383" s="1" t="s">
        <v>111</v>
      </c>
      <c r="K2383" s="1" t="s">
        <v>229</v>
      </c>
      <c r="L2383" s="1" t="s">
        <v>39</v>
      </c>
      <c r="M2383" s="1" t="str">
        <f>INDEX(MCC_Lookup!$B$2:$B$12,MATCH(G2383,MCC_Lookup!$A$2:$A$12,0))</f>
        <v>Office Supplies</v>
      </c>
      <c r="N2383" s="1" t="str">
        <f>IF(TRIM(H2383)="","BLANK",IF(PROPER(TRIM(H2383))=TRIM(M2383),"MATCH","MISMATCH"))</f>
        <v>MATCH</v>
      </c>
      <c r="O2383" s="5" t="str">
        <f>INDEX([1]Employee!$C$2:$C$276,MATCH(B2383,[1]Employee!$A$2:$A$276,0))</f>
        <v>Sales &amp; Marketing</v>
      </c>
    </row>
    <row r="2384" spans="1:15">
      <c r="A2384" s="1" t="s">
        <v>4728</v>
      </c>
      <c r="B2384" s="1" t="s">
        <v>661</v>
      </c>
      <c r="C2384" s="1" t="s">
        <v>4729</v>
      </c>
      <c r="D2384" s="2">
        <v>46151</v>
      </c>
      <c r="E2384" s="2">
        <v>46154</v>
      </c>
      <c r="F2384" s="1" t="s">
        <v>95</v>
      </c>
      <c r="G2384" s="1" t="s">
        <v>6</v>
      </c>
      <c r="H2384" s="1" t="s">
        <v>7</v>
      </c>
      <c r="I2384" s="7">
        <v>329.39</v>
      </c>
      <c r="J2384" s="1" t="s">
        <v>38</v>
      </c>
      <c r="K2384" s="1"/>
      <c r="L2384" s="1" t="s">
        <v>39</v>
      </c>
      <c r="M2384" s="1" t="str">
        <f>INDEX(MCC_Lookup!$B$2:$B$12,MATCH(G2384,MCC_Lookup!$A$2:$A$12,0))</f>
        <v>Lodging</v>
      </c>
      <c r="N2384" s="1" t="str">
        <f>IF(TRIM(H2384)="","BLANK",IF(PROPER(TRIM(H2384))=TRIM(M2384),"MATCH","MISMATCH"))</f>
        <v>MATCH</v>
      </c>
      <c r="O2384" s="5" t="str">
        <f>INDEX([1]Employee!$C$2:$C$276,MATCH(B2384,[1]Employee!$A$2:$A$276,0))</f>
        <v>Sales &amp; Marketing</v>
      </c>
    </row>
    <row r="2385" spans="1:15">
      <c r="A2385" s="1" t="s">
        <v>4730</v>
      </c>
      <c r="B2385" s="1" t="s">
        <v>469</v>
      </c>
      <c r="C2385" s="1"/>
      <c r="D2385" s="2">
        <v>46144</v>
      </c>
      <c r="E2385" s="2">
        <v>46154</v>
      </c>
      <c r="F2385" s="1" t="s">
        <v>79</v>
      </c>
      <c r="G2385" s="1" t="s">
        <v>13</v>
      </c>
      <c r="H2385" s="1" t="s">
        <v>14</v>
      </c>
      <c r="I2385" s="7">
        <v>175.41</v>
      </c>
      <c r="J2385" s="1" t="s">
        <v>111</v>
      </c>
      <c r="K2385" s="1" t="s">
        <v>127</v>
      </c>
      <c r="L2385" s="1" t="s">
        <v>39</v>
      </c>
      <c r="M2385" s="1" t="str">
        <f>INDEX(MCC_Lookup!$B$2:$B$12,MATCH(G2385,MCC_Lookup!$A$2:$A$12,0))</f>
        <v>Software</v>
      </c>
      <c r="N2385" s="1" t="str">
        <f>IF(TRIM(H2385)="","BLANK",IF(PROPER(TRIM(H2385))=TRIM(M2385),"MATCH","MISMATCH"))</f>
        <v>MATCH</v>
      </c>
      <c r="O2385" s="5" t="str">
        <f>INDEX([1]Employee!$C$2:$C$276,MATCH(B2385,[1]Employee!$A$2:$A$276,0))</f>
        <v>Sales &amp; Marketing</v>
      </c>
    </row>
    <row r="2386" spans="1:15">
      <c r="A2386" s="1" t="s">
        <v>4731</v>
      </c>
      <c r="B2386" s="1" t="s">
        <v>2027</v>
      </c>
      <c r="C2386" s="1" t="s">
        <v>4732</v>
      </c>
      <c r="D2386" s="2">
        <v>46154</v>
      </c>
      <c r="E2386" s="2">
        <v>46154</v>
      </c>
      <c r="F2386" s="1" t="s">
        <v>61</v>
      </c>
      <c r="G2386" s="1" t="s">
        <v>13</v>
      </c>
      <c r="H2386" s="1" t="s">
        <v>14</v>
      </c>
      <c r="I2386" s="7">
        <v>47.51</v>
      </c>
      <c r="J2386" s="1" t="s">
        <v>38</v>
      </c>
      <c r="K2386" s="1"/>
      <c r="L2386" s="1" t="s">
        <v>39</v>
      </c>
      <c r="M2386" s="1" t="str">
        <f>INDEX(MCC_Lookup!$B$2:$B$12,MATCH(G2386,MCC_Lookup!$A$2:$A$12,0))</f>
        <v>Software</v>
      </c>
      <c r="N2386" s="1" t="str">
        <f>IF(TRIM(H2386)="","BLANK",IF(PROPER(TRIM(H2386))=TRIM(M2386),"MATCH","MISMATCH"))</f>
        <v>MATCH</v>
      </c>
      <c r="O2386" s="5" t="str">
        <f>INDEX([1]Employee!$C$2:$C$276,MATCH(B2386,[1]Employee!$A$2:$A$276,0))</f>
        <v>Customer Support</v>
      </c>
    </row>
    <row r="2387" spans="1:15">
      <c r="A2387" s="1" t="s">
        <v>4733</v>
      </c>
      <c r="B2387" s="1" t="s">
        <v>114</v>
      </c>
      <c r="C2387" s="1" t="s">
        <v>4734</v>
      </c>
      <c r="D2387" s="2">
        <v>46147</v>
      </c>
      <c r="E2387" s="2">
        <v>46154</v>
      </c>
      <c r="F2387" s="1" t="s">
        <v>83</v>
      </c>
      <c r="G2387" s="1" t="s">
        <v>2</v>
      </c>
      <c r="H2387" s="1" t="s">
        <v>794</v>
      </c>
      <c r="I2387" s="7">
        <v>19.25</v>
      </c>
      <c r="J2387" s="1" t="s">
        <v>38</v>
      </c>
      <c r="K2387" s="1"/>
      <c r="L2387" s="1" t="s">
        <v>39</v>
      </c>
      <c r="M2387" s="1" t="str">
        <f>INDEX(MCC_Lookup!$B$2:$B$12,MATCH(G2387,MCC_Lookup!$A$2:$A$12,0))</f>
        <v>Meals</v>
      </c>
      <c r="N2387" s="1" t="str">
        <f>IF(TRIM(H2387)="","BLANK",IF(PROPER(TRIM(H2387))=TRIM(M2387),"MATCH","MISMATCH"))</f>
        <v>MATCH</v>
      </c>
      <c r="O2387" s="5" t="str">
        <f>INDEX([1]Employee!$C$2:$C$276,MATCH(B2387,[1]Employee!$A$2:$A$276,0))</f>
        <v>Underwriting</v>
      </c>
    </row>
    <row r="2388" spans="1:15">
      <c r="A2388" s="1" t="s">
        <v>4735</v>
      </c>
      <c r="B2388" s="1" t="s">
        <v>821</v>
      </c>
      <c r="C2388" s="1"/>
      <c r="D2388" s="2">
        <v>46153</v>
      </c>
      <c r="E2388" s="2">
        <v>46154</v>
      </c>
      <c r="F2388" s="1" t="s">
        <v>61</v>
      </c>
      <c r="G2388" s="1" t="s">
        <v>13</v>
      </c>
      <c r="H2388" s="1" t="s">
        <v>419</v>
      </c>
      <c r="I2388" s="7">
        <v>48.51</v>
      </c>
      <c r="J2388" s="1" t="s">
        <v>111</v>
      </c>
      <c r="K2388" s="1" t="s">
        <v>229</v>
      </c>
      <c r="L2388" s="1" t="s">
        <v>39</v>
      </c>
      <c r="M2388" s="1" t="str">
        <f>INDEX(MCC_Lookup!$B$2:$B$12,MATCH(G2388,MCC_Lookup!$A$2:$A$12,0))</f>
        <v>Software</v>
      </c>
      <c r="N2388" s="1" t="str">
        <f>IF(TRIM(H2388)="","BLANK",IF(PROPER(TRIM(H2388))=TRIM(M2388),"MATCH","MISMATCH"))</f>
        <v>MATCH</v>
      </c>
      <c r="O2388" s="5" t="str">
        <f>INDEX([1]Employee!$C$2:$C$276,MATCH(B2388,[1]Employee!$A$2:$A$276,0))</f>
        <v>Claims</v>
      </c>
    </row>
    <row r="2389" spans="1:15">
      <c r="A2389" s="1" t="s">
        <v>4736</v>
      </c>
      <c r="B2389" s="1" t="s">
        <v>231</v>
      </c>
      <c r="C2389" s="1" t="s">
        <v>4737</v>
      </c>
      <c r="D2389" s="2">
        <v>46149</v>
      </c>
      <c r="E2389" s="2">
        <v>46154</v>
      </c>
      <c r="F2389" s="1" t="s">
        <v>116</v>
      </c>
      <c r="G2389" s="1" t="s">
        <v>2</v>
      </c>
      <c r="H2389" s="1" t="s">
        <v>154</v>
      </c>
      <c r="I2389" s="7">
        <v>17.350000000000001</v>
      </c>
      <c r="J2389" s="1" t="s">
        <v>38</v>
      </c>
      <c r="K2389" s="1"/>
      <c r="L2389" s="1" t="s">
        <v>39</v>
      </c>
      <c r="M2389" s="1" t="str">
        <f>INDEX(MCC_Lookup!$B$2:$B$12,MATCH(G2389,MCC_Lookup!$A$2:$A$12,0))</f>
        <v>Meals</v>
      </c>
      <c r="N2389" s="1" t="str">
        <f>IF(TRIM(H2389)="","BLANK",IF(PROPER(TRIM(H2389))=TRIM(M2389),"MATCH","MISMATCH"))</f>
        <v>MATCH</v>
      </c>
      <c r="O2389" s="5" t="str">
        <f>INDEX([1]Employee!$C$2:$C$276,MATCH(B2389,[1]Employee!$A$2:$A$276,0))</f>
        <v>Finance</v>
      </c>
    </row>
    <row r="2390" spans="1:15">
      <c r="A2390" s="1" t="s">
        <v>4738</v>
      </c>
      <c r="B2390" s="1" t="s">
        <v>277</v>
      </c>
      <c r="C2390" s="1" t="s">
        <v>4739</v>
      </c>
      <c r="D2390" s="2">
        <v>46150</v>
      </c>
      <c r="E2390" s="2">
        <v>46154</v>
      </c>
      <c r="F2390" s="1" t="s">
        <v>173</v>
      </c>
      <c r="G2390" s="1" t="s">
        <v>2</v>
      </c>
      <c r="H2390" s="1"/>
      <c r="I2390" s="7">
        <v>69.17</v>
      </c>
      <c r="J2390" s="1" t="s">
        <v>38</v>
      </c>
      <c r="K2390" s="1"/>
      <c r="L2390" s="1" t="s">
        <v>39</v>
      </c>
      <c r="M2390" s="1" t="str">
        <f>INDEX(MCC_Lookup!$B$2:$B$12,MATCH(G2390,MCC_Lookup!$A$2:$A$12,0))</f>
        <v>Meals</v>
      </c>
      <c r="N2390" s="1" t="str">
        <f>IF(TRIM(H2390)="","BLANK",IF(PROPER(TRIM(H2390))=TRIM(M2390),"MATCH","MISMATCH"))</f>
        <v>BLANK</v>
      </c>
      <c r="O2390" s="5" t="str">
        <f>INDEX([1]Employee!$C$2:$C$276,MATCH(B2390,[1]Employee!$A$2:$A$276,0))</f>
        <v>Claims</v>
      </c>
    </row>
    <row r="2391" spans="1:15">
      <c r="A2391" s="1" t="s">
        <v>4740</v>
      </c>
      <c r="B2391" s="1" t="s">
        <v>349</v>
      </c>
      <c r="C2391" s="1"/>
      <c r="D2391" s="2">
        <v>46144</v>
      </c>
      <c r="E2391" s="2">
        <v>46154</v>
      </c>
      <c r="F2391" s="1" t="s">
        <v>347</v>
      </c>
      <c r="G2391" s="1" t="s">
        <v>8</v>
      </c>
      <c r="H2391" s="1" t="s">
        <v>9</v>
      </c>
      <c r="I2391" s="7">
        <v>55.72</v>
      </c>
      <c r="J2391" s="1" t="s">
        <v>111</v>
      </c>
      <c r="K2391" s="1" t="s">
        <v>112</v>
      </c>
      <c r="L2391" s="1" t="s">
        <v>39</v>
      </c>
      <c r="M2391" s="1" t="str">
        <f>INDEX(MCC_Lookup!$B$2:$B$12,MATCH(G2391,MCC_Lookup!$A$2:$A$12,0))</f>
        <v>Transportation</v>
      </c>
      <c r="N2391" s="1" t="str">
        <f>IF(TRIM(H2391)="","BLANK",IF(PROPER(TRIM(H2391))=TRIM(M2391),"MATCH","MISMATCH"))</f>
        <v>MATCH</v>
      </c>
      <c r="O2391" s="5" t="str">
        <f>INDEX([1]Employee!$C$2:$C$276,MATCH(B2391,[1]Employee!$A$2:$A$276,0))</f>
        <v>Sales &amp; Marketing</v>
      </c>
    </row>
    <row r="2392" spans="1:15">
      <c r="A2392" s="1" t="s">
        <v>4741</v>
      </c>
      <c r="B2392" s="1" t="s">
        <v>292</v>
      </c>
      <c r="C2392" s="1"/>
      <c r="D2392" s="2">
        <v>46154</v>
      </c>
      <c r="E2392" s="2">
        <v>46154</v>
      </c>
      <c r="F2392" s="1" t="s">
        <v>124</v>
      </c>
      <c r="G2392" s="1" t="s">
        <v>17</v>
      </c>
      <c r="H2392" s="1" t="s">
        <v>690</v>
      </c>
      <c r="I2392" s="7">
        <v>94.9</v>
      </c>
      <c r="J2392" s="1" t="s">
        <v>111</v>
      </c>
      <c r="K2392" s="1" t="s">
        <v>161</v>
      </c>
      <c r="L2392" s="1" t="s">
        <v>39</v>
      </c>
      <c r="M2392" s="1" t="str">
        <f>INDEX(MCC_Lookup!$B$2:$B$12,MATCH(G2392,MCC_Lookup!$A$2:$A$12,0))</f>
        <v>Entertainment</v>
      </c>
      <c r="N2392" s="1" t="str">
        <f>IF(TRIM(H2392)="","BLANK",IF(PROPER(TRIM(H2392))=TRIM(M2392),"MATCH","MISMATCH"))</f>
        <v>MATCH</v>
      </c>
      <c r="O2392" s="5" t="str">
        <f>INDEX([1]Employee!$C$2:$C$276,MATCH(B2392,[1]Employee!$A$2:$A$276,0))</f>
        <v>Sales &amp; Marketing</v>
      </c>
    </row>
    <row r="2393" spans="1:15">
      <c r="A2393" s="1" t="s">
        <v>4742</v>
      </c>
      <c r="B2393" s="1" t="s">
        <v>1061</v>
      </c>
      <c r="C2393" s="1" t="s">
        <v>4743</v>
      </c>
      <c r="D2393" s="2">
        <v>46151</v>
      </c>
      <c r="E2393" s="2">
        <v>46155</v>
      </c>
      <c r="F2393" s="1" t="s">
        <v>95</v>
      </c>
      <c r="G2393" s="1" t="s">
        <v>6</v>
      </c>
      <c r="H2393" s="1" t="s">
        <v>7</v>
      </c>
      <c r="I2393" s="7">
        <v>148.53</v>
      </c>
      <c r="J2393" s="1" t="s">
        <v>38</v>
      </c>
      <c r="K2393" s="1"/>
      <c r="L2393" s="1" t="s">
        <v>48</v>
      </c>
      <c r="M2393" s="1" t="str">
        <f>INDEX(MCC_Lookup!$B$2:$B$12,MATCH(G2393,MCC_Lookup!$A$2:$A$12,0))</f>
        <v>Lodging</v>
      </c>
      <c r="N2393" s="1" t="str">
        <f>IF(TRIM(H2393)="","BLANK",IF(PROPER(TRIM(H2393))=TRIM(M2393),"MATCH","MISMATCH"))</f>
        <v>MATCH</v>
      </c>
      <c r="O2393" s="5" t="str">
        <f>INDEX([1]Employee!$C$2:$C$276,MATCH(B2393,[1]Employee!$A$2:$A$276,0))</f>
        <v>Claims</v>
      </c>
    </row>
    <row r="2394" spans="1:15">
      <c r="A2394" s="1" t="s">
        <v>4744</v>
      </c>
      <c r="B2394" s="1" t="s">
        <v>1399</v>
      </c>
      <c r="C2394" s="1" t="s">
        <v>4745</v>
      </c>
      <c r="D2394" s="2">
        <v>46153</v>
      </c>
      <c r="E2394" s="2">
        <v>46155</v>
      </c>
      <c r="F2394" s="1" t="s">
        <v>305</v>
      </c>
      <c r="G2394" s="1" t="s">
        <v>2</v>
      </c>
      <c r="H2394" s="1" t="s">
        <v>3</v>
      </c>
      <c r="I2394" s="7">
        <v>7</v>
      </c>
      <c r="J2394" s="1" t="s">
        <v>38</v>
      </c>
      <c r="K2394" s="1"/>
      <c r="L2394" s="1" t="s">
        <v>39</v>
      </c>
      <c r="M2394" s="1" t="str">
        <f>INDEX(MCC_Lookup!$B$2:$B$12,MATCH(G2394,MCC_Lookup!$A$2:$A$12,0))</f>
        <v>Meals</v>
      </c>
      <c r="N2394" s="1" t="str">
        <f>IF(TRIM(H2394)="","BLANK",IF(PROPER(TRIM(H2394))=TRIM(M2394),"MATCH","MISMATCH"))</f>
        <v>MATCH</v>
      </c>
      <c r="O2394" s="5" t="str">
        <f>INDEX([1]Employee!$C$2:$C$276,MATCH(B2394,[1]Employee!$A$2:$A$276,0))</f>
        <v>Underwriting</v>
      </c>
    </row>
    <row r="2395" spans="1:15">
      <c r="A2395" s="1" t="s">
        <v>4746</v>
      </c>
      <c r="B2395" s="1" t="s">
        <v>1440</v>
      </c>
      <c r="C2395" s="1" t="s">
        <v>4747</v>
      </c>
      <c r="D2395" s="2">
        <v>46155</v>
      </c>
      <c r="E2395" s="2">
        <v>46155</v>
      </c>
      <c r="F2395" s="1" t="s">
        <v>201</v>
      </c>
      <c r="G2395" s="1" t="s">
        <v>4</v>
      </c>
      <c r="H2395" s="1"/>
      <c r="I2395" s="7">
        <v>460.84</v>
      </c>
      <c r="J2395" s="1" t="s">
        <v>38</v>
      </c>
      <c r="K2395" s="1"/>
      <c r="L2395" s="1" t="s">
        <v>39</v>
      </c>
      <c r="M2395" s="1" t="str">
        <f>INDEX(MCC_Lookup!$B$2:$B$12,MATCH(G2395,MCC_Lookup!$A$2:$A$12,0))</f>
        <v>Travel</v>
      </c>
      <c r="N2395" s="1" t="str">
        <f>IF(TRIM(H2395)="","BLANK",IF(PROPER(TRIM(H2395))=TRIM(M2395),"MATCH","MISMATCH"))</f>
        <v>BLANK</v>
      </c>
      <c r="O2395" s="5" t="str">
        <f>INDEX([1]Employee!$C$2:$C$276,MATCH(B2395,[1]Employee!$A$2:$A$276,0))</f>
        <v>Claims</v>
      </c>
    </row>
    <row r="2396" spans="1:15">
      <c r="A2396" s="1" t="s">
        <v>4748</v>
      </c>
      <c r="B2396" s="1" t="s">
        <v>216</v>
      </c>
      <c r="C2396" s="1" t="s">
        <v>4749</v>
      </c>
      <c r="D2396" s="2">
        <v>46147</v>
      </c>
      <c r="E2396" s="2">
        <v>46155</v>
      </c>
      <c r="F2396" s="1" t="s">
        <v>83</v>
      </c>
      <c r="G2396" s="1" t="s">
        <v>2</v>
      </c>
      <c r="H2396" s="1" t="s">
        <v>154</v>
      </c>
      <c r="I2396" s="7">
        <v>13.02</v>
      </c>
      <c r="J2396" s="1" t="s">
        <v>38</v>
      </c>
      <c r="K2396" s="1"/>
      <c r="L2396" s="1" t="s">
        <v>39</v>
      </c>
      <c r="M2396" s="1" t="str">
        <f>INDEX(MCC_Lookup!$B$2:$B$12,MATCH(G2396,MCC_Lookup!$A$2:$A$12,0))</f>
        <v>Meals</v>
      </c>
      <c r="N2396" s="1" t="str">
        <f>IF(TRIM(H2396)="","BLANK",IF(PROPER(TRIM(H2396))=TRIM(M2396),"MATCH","MISMATCH"))</f>
        <v>MATCH</v>
      </c>
      <c r="O2396" s="5" t="str">
        <f>INDEX([1]Employee!$C$2:$C$276,MATCH(B2396,[1]Employee!$A$2:$A$276,0))</f>
        <v>Sales &amp; Marketing</v>
      </c>
    </row>
    <row r="2397" spans="1:15">
      <c r="A2397" s="1" t="s">
        <v>4750</v>
      </c>
      <c r="B2397" s="1" t="s">
        <v>716</v>
      </c>
      <c r="C2397" s="1" t="s">
        <v>4751</v>
      </c>
      <c r="D2397" s="2">
        <v>46153</v>
      </c>
      <c r="E2397" s="2">
        <v>46155</v>
      </c>
      <c r="F2397" s="1" t="s">
        <v>65</v>
      </c>
      <c r="G2397" s="1" t="s">
        <v>18</v>
      </c>
      <c r="H2397" s="1" t="s">
        <v>19</v>
      </c>
      <c r="I2397" s="7">
        <v>321.72000000000003</v>
      </c>
      <c r="J2397" s="1" t="s">
        <v>38</v>
      </c>
      <c r="K2397" s="1"/>
      <c r="L2397" s="1" t="s">
        <v>39</v>
      </c>
      <c r="M2397" s="1" t="str">
        <f>INDEX(MCC_Lookup!$B$2:$B$12,MATCH(G2397,MCC_Lookup!$A$2:$A$12,0))</f>
        <v>Events</v>
      </c>
      <c r="N2397" s="1" t="str">
        <f>IF(TRIM(H2397)="","BLANK",IF(PROPER(TRIM(H2397))=TRIM(M2397),"MATCH","MISMATCH"))</f>
        <v>MATCH</v>
      </c>
      <c r="O2397" s="5" t="str">
        <f>INDEX([1]Employee!$C$2:$C$276,MATCH(B2397,[1]Employee!$A$2:$A$276,0))</f>
        <v>Claims</v>
      </c>
    </row>
    <row r="2398" spans="1:15">
      <c r="A2398" s="1" t="s">
        <v>4752</v>
      </c>
      <c r="B2398" s="1" t="s">
        <v>550</v>
      </c>
      <c r="C2398" s="1" t="s">
        <v>4753</v>
      </c>
      <c r="D2398" s="2">
        <v>46151</v>
      </c>
      <c r="E2398" s="2">
        <v>46155</v>
      </c>
      <c r="F2398" s="1" t="s">
        <v>69</v>
      </c>
      <c r="G2398" s="1" t="s">
        <v>8</v>
      </c>
      <c r="H2398" s="1" t="s">
        <v>9</v>
      </c>
      <c r="I2398" s="7">
        <v>27.94</v>
      </c>
      <c r="J2398" s="1" t="s">
        <v>38</v>
      </c>
      <c r="K2398" s="1"/>
      <c r="L2398" s="1" t="s">
        <v>39</v>
      </c>
      <c r="M2398" s="1" t="str">
        <f>INDEX(MCC_Lookup!$B$2:$B$12,MATCH(G2398,MCC_Lookup!$A$2:$A$12,0))</f>
        <v>Transportation</v>
      </c>
      <c r="N2398" s="1" t="str">
        <f>IF(TRIM(H2398)="","BLANK",IF(PROPER(TRIM(H2398))=TRIM(M2398),"MATCH","MISMATCH"))</f>
        <v>MATCH</v>
      </c>
      <c r="O2398" s="5" t="str">
        <f>INDEX([1]Employee!$C$2:$C$276,MATCH(B2398,[1]Employee!$A$2:$A$276,0))</f>
        <v>Sales &amp; Marketing</v>
      </c>
    </row>
    <row r="2399" spans="1:15">
      <c r="A2399" s="1" t="s">
        <v>4754</v>
      </c>
      <c r="B2399" s="1" t="s">
        <v>187</v>
      </c>
      <c r="C2399" s="1" t="s">
        <v>4755</v>
      </c>
      <c r="D2399" s="2">
        <v>46147</v>
      </c>
      <c r="E2399" s="2">
        <v>46155</v>
      </c>
      <c r="F2399" s="1" t="s">
        <v>305</v>
      </c>
      <c r="G2399" s="1" t="s">
        <v>2</v>
      </c>
      <c r="H2399" s="1" t="s">
        <v>3</v>
      </c>
      <c r="I2399" s="7">
        <v>16.95</v>
      </c>
      <c r="J2399" s="1" t="s">
        <v>38</v>
      </c>
      <c r="K2399" s="1"/>
      <c r="L2399" s="1" t="s">
        <v>39</v>
      </c>
      <c r="M2399" s="1" t="str">
        <f>INDEX(MCC_Lookup!$B$2:$B$12,MATCH(G2399,MCC_Lookup!$A$2:$A$12,0))</f>
        <v>Meals</v>
      </c>
      <c r="N2399" s="1" t="str">
        <f>IF(TRIM(H2399)="","BLANK",IF(PROPER(TRIM(H2399))=TRIM(M2399),"MATCH","MISMATCH"))</f>
        <v>MATCH</v>
      </c>
      <c r="O2399" s="5" t="str">
        <f>INDEX([1]Employee!$C$2:$C$276,MATCH(B2399,[1]Employee!$A$2:$A$276,0))</f>
        <v>HR &amp; Events</v>
      </c>
    </row>
    <row r="2400" spans="1:15">
      <c r="A2400" s="1" t="s">
        <v>4756</v>
      </c>
      <c r="B2400" s="1" t="s">
        <v>182</v>
      </c>
      <c r="C2400" s="1" t="s">
        <v>4757</v>
      </c>
      <c r="D2400" s="2">
        <v>46152</v>
      </c>
      <c r="E2400" s="2">
        <v>46155</v>
      </c>
      <c r="F2400" s="1" t="s">
        <v>95</v>
      </c>
      <c r="G2400" s="1" t="s">
        <v>6</v>
      </c>
      <c r="H2400" s="1"/>
      <c r="I2400" s="7">
        <v>150.69</v>
      </c>
      <c r="J2400" s="1" t="s">
        <v>38</v>
      </c>
      <c r="K2400" s="1"/>
      <c r="L2400" s="1" t="s">
        <v>39</v>
      </c>
      <c r="M2400" s="1" t="str">
        <f>INDEX(MCC_Lookup!$B$2:$B$12,MATCH(G2400,MCC_Lookup!$A$2:$A$12,0))</f>
        <v>Lodging</v>
      </c>
      <c r="N2400" s="1" t="str">
        <f>IF(TRIM(H2400)="","BLANK",IF(PROPER(TRIM(H2400))=TRIM(M2400),"MATCH","MISMATCH"))</f>
        <v>BLANK</v>
      </c>
      <c r="O2400" s="5" t="str">
        <f>INDEX([1]Employee!$C$2:$C$276,MATCH(B2400,[1]Employee!$A$2:$A$276,0))</f>
        <v>Sales &amp; Marketing</v>
      </c>
    </row>
    <row r="2401" spans="1:15">
      <c r="A2401" s="1" t="s">
        <v>4758</v>
      </c>
      <c r="B2401" s="1" t="s">
        <v>90</v>
      </c>
      <c r="C2401" s="1" t="s">
        <v>4759</v>
      </c>
      <c r="D2401" s="2">
        <v>46148</v>
      </c>
      <c r="E2401" s="2">
        <v>46155</v>
      </c>
      <c r="F2401" s="1" t="s">
        <v>177</v>
      </c>
      <c r="G2401" s="1" t="s">
        <v>13</v>
      </c>
      <c r="H2401" s="1" t="s">
        <v>14</v>
      </c>
      <c r="I2401" s="7">
        <v>23.44</v>
      </c>
      <c r="J2401" s="1" t="s">
        <v>38</v>
      </c>
      <c r="K2401" s="1"/>
      <c r="L2401" s="1" t="s">
        <v>39</v>
      </c>
      <c r="M2401" s="1" t="str">
        <f>INDEX(MCC_Lookup!$B$2:$B$12,MATCH(G2401,MCC_Lookup!$A$2:$A$12,0))</f>
        <v>Software</v>
      </c>
      <c r="N2401" s="1" t="str">
        <f>IF(TRIM(H2401)="","BLANK",IF(PROPER(TRIM(H2401))=TRIM(M2401),"MATCH","MISMATCH"))</f>
        <v>MATCH</v>
      </c>
      <c r="O2401" s="5" t="str">
        <f>INDEX([1]Employee!$C$2:$C$276,MATCH(B2401,[1]Employee!$A$2:$A$276,0))</f>
        <v>Sales &amp; Marketing</v>
      </c>
    </row>
    <row r="2402" spans="1:15">
      <c r="A2402" s="1" t="s">
        <v>4760</v>
      </c>
      <c r="B2402" s="1" t="s">
        <v>325</v>
      </c>
      <c r="C2402" s="1" t="s">
        <v>4761</v>
      </c>
      <c r="D2402" s="2">
        <v>46151</v>
      </c>
      <c r="E2402" s="2">
        <v>46155</v>
      </c>
      <c r="F2402" s="1" t="s">
        <v>37</v>
      </c>
      <c r="G2402" s="1" t="s">
        <v>4</v>
      </c>
      <c r="H2402" s="1" t="s">
        <v>5</v>
      </c>
      <c r="I2402" s="7">
        <v>300.04000000000002</v>
      </c>
      <c r="J2402" s="1" t="s">
        <v>38</v>
      </c>
      <c r="K2402" s="1"/>
      <c r="L2402" s="1" t="s">
        <v>39</v>
      </c>
      <c r="M2402" s="1" t="str">
        <f>INDEX(MCC_Lookup!$B$2:$B$12,MATCH(G2402,MCC_Lookup!$A$2:$A$12,0))</f>
        <v>Travel</v>
      </c>
      <c r="N2402" s="1" t="str">
        <f>IF(TRIM(H2402)="","BLANK",IF(PROPER(TRIM(H2402))=TRIM(M2402),"MATCH","MISMATCH"))</f>
        <v>MATCH</v>
      </c>
      <c r="O2402" s="5" t="str">
        <f>INDEX([1]Employee!$C$2:$C$276,MATCH(B2402,[1]Employee!$A$2:$A$276,0))</f>
        <v>Sales &amp; Marketing</v>
      </c>
    </row>
    <row r="2403" spans="1:15">
      <c r="A2403" s="1" t="s">
        <v>4762</v>
      </c>
      <c r="B2403" s="1" t="s">
        <v>118</v>
      </c>
      <c r="C2403" s="1" t="s">
        <v>4763</v>
      </c>
      <c r="D2403" s="2">
        <v>46155</v>
      </c>
      <c r="E2403" s="2">
        <v>46155</v>
      </c>
      <c r="F2403" s="1" t="s">
        <v>43</v>
      </c>
      <c r="G2403" s="1" t="s">
        <v>2</v>
      </c>
      <c r="H2403" s="1" t="s">
        <v>3</v>
      </c>
      <c r="I2403" s="7">
        <v>24.06</v>
      </c>
      <c r="J2403" s="1" t="s">
        <v>38</v>
      </c>
      <c r="K2403" s="1"/>
      <c r="L2403" s="1" t="s">
        <v>39</v>
      </c>
      <c r="M2403" s="1" t="str">
        <f>INDEX(MCC_Lookup!$B$2:$B$12,MATCH(G2403,MCC_Lookup!$A$2:$A$12,0))</f>
        <v>Meals</v>
      </c>
      <c r="N2403" s="1" t="str">
        <f>IF(TRIM(H2403)="","BLANK",IF(PROPER(TRIM(H2403))=TRIM(M2403),"MATCH","MISMATCH"))</f>
        <v>MATCH</v>
      </c>
      <c r="O2403" s="5" t="str">
        <f>INDEX([1]Employee!$C$2:$C$276,MATCH(B2403,[1]Employee!$A$2:$A$276,0))</f>
        <v>Underwriting</v>
      </c>
    </row>
    <row r="2404" spans="1:15">
      <c r="A2404" s="1" t="s">
        <v>4764</v>
      </c>
      <c r="B2404" s="1" t="s">
        <v>433</v>
      </c>
      <c r="C2404" s="1" t="s">
        <v>4765</v>
      </c>
      <c r="D2404" s="2">
        <v>46153</v>
      </c>
      <c r="E2404" s="2">
        <v>46155</v>
      </c>
      <c r="F2404" s="1" t="s">
        <v>83</v>
      </c>
      <c r="G2404" s="1" t="s">
        <v>2</v>
      </c>
      <c r="H2404" s="1" t="s">
        <v>3</v>
      </c>
      <c r="I2404" s="7">
        <v>28.38</v>
      </c>
      <c r="J2404" s="1" t="s">
        <v>38</v>
      </c>
      <c r="K2404" s="1"/>
      <c r="L2404" s="1" t="s">
        <v>39</v>
      </c>
      <c r="M2404" s="1" t="str">
        <f>INDEX(MCC_Lookup!$B$2:$B$12,MATCH(G2404,MCC_Lookup!$A$2:$A$12,0))</f>
        <v>Meals</v>
      </c>
      <c r="N2404" s="1" t="str">
        <f>IF(TRIM(H2404)="","BLANK",IF(PROPER(TRIM(H2404))=TRIM(M2404),"MATCH","MISMATCH"))</f>
        <v>MATCH</v>
      </c>
      <c r="O2404" s="5" t="str">
        <f>INDEX([1]Employee!$C$2:$C$276,MATCH(B2404,[1]Employee!$A$2:$A$276,0))</f>
        <v>Sales &amp; Marketing</v>
      </c>
    </row>
    <row r="2405" spans="1:15">
      <c r="A2405" s="1" t="s">
        <v>4766</v>
      </c>
      <c r="B2405" s="1" t="s">
        <v>35</v>
      </c>
      <c r="C2405" s="1" t="s">
        <v>4767</v>
      </c>
      <c r="D2405" s="2">
        <v>46155</v>
      </c>
      <c r="E2405" s="2">
        <v>46155</v>
      </c>
      <c r="F2405" s="1" t="s">
        <v>69</v>
      </c>
      <c r="G2405" s="1" t="s">
        <v>8</v>
      </c>
      <c r="H2405" s="1" t="s">
        <v>494</v>
      </c>
      <c r="I2405" s="7">
        <v>16.46</v>
      </c>
      <c r="J2405" s="1" t="s">
        <v>38</v>
      </c>
      <c r="K2405" s="1"/>
      <c r="L2405" s="1" t="s">
        <v>39</v>
      </c>
      <c r="M2405" s="1" t="str">
        <f>INDEX(MCC_Lookup!$B$2:$B$12,MATCH(G2405,MCC_Lookup!$A$2:$A$12,0))</f>
        <v>Transportation</v>
      </c>
      <c r="N2405" s="1" t="str">
        <f>IF(TRIM(H2405)="","BLANK",IF(PROPER(TRIM(H2405))=TRIM(M2405),"MATCH","MISMATCH"))</f>
        <v>MATCH</v>
      </c>
      <c r="O2405" s="5" t="str">
        <f>INDEX([1]Employee!$C$2:$C$276,MATCH(B2405,[1]Employee!$A$2:$A$276,0))</f>
        <v>Sales &amp; Marketing</v>
      </c>
    </row>
    <row r="2406" spans="1:15">
      <c r="A2406" s="1" t="s">
        <v>4768</v>
      </c>
      <c r="B2406" s="1" t="s">
        <v>185</v>
      </c>
      <c r="C2406" s="1" t="s">
        <v>4769</v>
      </c>
      <c r="D2406" s="2">
        <v>46153</v>
      </c>
      <c r="E2406" s="2">
        <v>46155</v>
      </c>
      <c r="F2406" s="1" t="s">
        <v>56</v>
      </c>
      <c r="G2406" s="1" t="s">
        <v>4</v>
      </c>
      <c r="H2406" s="1" t="s">
        <v>5</v>
      </c>
      <c r="I2406" s="7">
        <v>207.57</v>
      </c>
      <c r="J2406" s="1" t="s">
        <v>38</v>
      </c>
      <c r="K2406" s="1"/>
      <c r="L2406" s="1" t="s">
        <v>39</v>
      </c>
      <c r="M2406" s="1" t="str">
        <f>INDEX(MCC_Lookup!$B$2:$B$12,MATCH(G2406,MCC_Lookup!$A$2:$A$12,0))</f>
        <v>Travel</v>
      </c>
      <c r="N2406" s="1" t="str">
        <f>IF(TRIM(H2406)="","BLANK",IF(PROPER(TRIM(H2406))=TRIM(M2406),"MATCH","MISMATCH"))</f>
        <v>MATCH</v>
      </c>
      <c r="O2406" s="5" t="str">
        <f>INDEX([1]Employee!$C$2:$C$276,MATCH(B2406,[1]Employee!$A$2:$A$276,0))</f>
        <v>Underwriting</v>
      </c>
    </row>
    <row r="2407" spans="1:15">
      <c r="A2407" s="1" t="s">
        <v>4770</v>
      </c>
      <c r="B2407" s="1" t="s">
        <v>1150</v>
      </c>
      <c r="C2407" s="1" t="s">
        <v>4771</v>
      </c>
      <c r="D2407" s="2">
        <v>46150</v>
      </c>
      <c r="E2407" s="2">
        <v>46155</v>
      </c>
      <c r="F2407" s="1" t="s">
        <v>120</v>
      </c>
      <c r="G2407" s="1" t="s">
        <v>12</v>
      </c>
      <c r="H2407" s="1" t="s">
        <v>19</v>
      </c>
      <c r="I2407" s="7">
        <v>10.08</v>
      </c>
      <c r="J2407" s="1" t="s">
        <v>38</v>
      </c>
      <c r="K2407" s="1"/>
      <c r="L2407" s="1" t="s">
        <v>39</v>
      </c>
      <c r="M2407" s="1" t="str">
        <f>INDEX(MCC_Lookup!$B$2:$B$12,MATCH(G2407,MCC_Lookup!$A$2:$A$12,0))</f>
        <v>Office Supplies</v>
      </c>
      <c r="N2407" s="1" t="str">
        <f>IF(TRIM(H2407)="","BLANK",IF(PROPER(TRIM(H2407))=TRIM(M2407),"MATCH","MISMATCH"))</f>
        <v>MISMATCH</v>
      </c>
      <c r="O2407" s="5" t="str">
        <f>INDEX([1]Employee!$C$2:$C$276,MATCH(B2407,[1]Employee!$A$2:$A$276,0))</f>
        <v>Finance</v>
      </c>
    </row>
    <row r="2408" spans="1:15">
      <c r="A2408" s="1" t="s">
        <v>4772</v>
      </c>
      <c r="B2408" s="1" t="s">
        <v>1147</v>
      </c>
      <c r="C2408" s="1" t="s">
        <v>4773</v>
      </c>
      <c r="D2408" s="2">
        <v>46145</v>
      </c>
      <c r="E2408" s="2">
        <v>46155</v>
      </c>
      <c r="F2408" s="1" t="s">
        <v>92</v>
      </c>
      <c r="G2408" s="1" t="s">
        <v>10</v>
      </c>
      <c r="H2408" s="1" t="s">
        <v>19</v>
      </c>
      <c r="I2408" s="7">
        <v>89.07</v>
      </c>
      <c r="J2408" s="1" t="s">
        <v>38</v>
      </c>
      <c r="K2408" s="1"/>
      <c r="L2408" s="1" t="s">
        <v>39</v>
      </c>
      <c r="M2408" s="1" t="str">
        <f>INDEX(MCC_Lookup!$B$2:$B$12,MATCH(G2408,MCC_Lookup!$A$2:$A$12,0))</f>
        <v>Office Supplies</v>
      </c>
      <c r="N2408" s="1" t="str">
        <f>IF(TRIM(H2408)="","BLANK",IF(PROPER(TRIM(H2408))=TRIM(M2408),"MATCH","MISMATCH"))</f>
        <v>MISMATCH</v>
      </c>
      <c r="O2408" s="5" t="str">
        <f>INDEX([1]Employee!$C$2:$C$276,MATCH(B2408,[1]Employee!$A$2:$A$276,0))</f>
        <v>Finance</v>
      </c>
    </row>
    <row r="2409" spans="1:15">
      <c r="A2409" s="1" t="s">
        <v>4774</v>
      </c>
      <c r="B2409" s="1" t="s">
        <v>426</v>
      </c>
      <c r="C2409" s="1" t="s">
        <v>4775</v>
      </c>
      <c r="D2409" s="2">
        <v>46146</v>
      </c>
      <c r="E2409" s="2">
        <v>46155</v>
      </c>
      <c r="F2409" s="1" t="s">
        <v>43</v>
      </c>
      <c r="G2409" s="1" t="s">
        <v>2</v>
      </c>
      <c r="H2409" s="1" t="s">
        <v>3</v>
      </c>
      <c r="I2409" s="7">
        <v>12.06</v>
      </c>
      <c r="J2409" s="1" t="s">
        <v>38</v>
      </c>
      <c r="K2409" s="1"/>
      <c r="L2409" s="1" t="s">
        <v>39</v>
      </c>
      <c r="M2409" s="1" t="str">
        <f>INDEX(MCC_Lookup!$B$2:$B$12,MATCH(G2409,MCC_Lookup!$A$2:$A$12,0))</f>
        <v>Meals</v>
      </c>
      <c r="N2409" s="1" t="str">
        <f>IF(TRIM(H2409)="","BLANK",IF(PROPER(TRIM(H2409))=TRIM(M2409),"MATCH","MISMATCH"))</f>
        <v>MATCH</v>
      </c>
      <c r="O2409" s="5" t="str">
        <f>INDEX([1]Employee!$C$2:$C$276,MATCH(B2409,[1]Employee!$A$2:$A$276,0))</f>
        <v>Sales &amp; Marketing</v>
      </c>
    </row>
    <row r="2410" spans="1:15">
      <c r="A2410" s="1" t="s">
        <v>4776</v>
      </c>
      <c r="B2410" s="1" t="s">
        <v>3348</v>
      </c>
      <c r="C2410" s="1" t="s">
        <v>4777</v>
      </c>
      <c r="D2410" s="2">
        <v>46151</v>
      </c>
      <c r="E2410" s="2">
        <v>46155</v>
      </c>
      <c r="F2410" s="1" t="s">
        <v>43</v>
      </c>
      <c r="G2410" s="1" t="s">
        <v>2</v>
      </c>
      <c r="H2410" s="1" t="s">
        <v>3</v>
      </c>
      <c r="I2410" s="7">
        <v>13.65</v>
      </c>
      <c r="J2410" s="1" t="s">
        <v>38</v>
      </c>
      <c r="K2410" s="1"/>
      <c r="L2410" s="1" t="s">
        <v>39</v>
      </c>
      <c r="M2410" s="1" t="str">
        <f>INDEX(MCC_Lookup!$B$2:$B$12,MATCH(G2410,MCC_Lookup!$A$2:$A$12,0))</f>
        <v>Meals</v>
      </c>
      <c r="N2410" s="1" t="str">
        <f>IF(TRIM(H2410)="","BLANK",IF(PROPER(TRIM(H2410))=TRIM(M2410),"MATCH","MISMATCH"))</f>
        <v>MATCH</v>
      </c>
      <c r="O2410" s="5" t="str">
        <f>INDEX([1]Employee!$C$2:$C$276,MATCH(B2410,[1]Employee!$A$2:$A$276,0))</f>
        <v>Underwriting</v>
      </c>
    </row>
    <row r="2411" spans="1:15">
      <c r="A2411" s="1" t="s">
        <v>4778</v>
      </c>
      <c r="B2411" s="1" t="s">
        <v>969</v>
      </c>
      <c r="C2411" s="1" t="s">
        <v>4779</v>
      </c>
      <c r="D2411" s="2">
        <v>46147</v>
      </c>
      <c r="E2411" s="2">
        <v>46155</v>
      </c>
      <c r="F2411" s="1" t="s">
        <v>201</v>
      </c>
      <c r="G2411" s="1" t="s">
        <v>4</v>
      </c>
      <c r="H2411" s="1" t="s">
        <v>5</v>
      </c>
      <c r="I2411" s="7">
        <v>639.19000000000005</v>
      </c>
      <c r="J2411" s="1" t="s">
        <v>38</v>
      </c>
      <c r="K2411" s="1"/>
      <c r="L2411" s="1" t="s">
        <v>39</v>
      </c>
      <c r="M2411" s="1" t="str">
        <f>INDEX(MCC_Lookup!$B$2:$B$12,MATCH(G2411,MCC_Lookup!$A$2:$A$12,0))</f>
        <v>Travel</v>
      </c>
      <c r="N2411" s="1" t="str">
        <f>IF(TRIM(H2411)="","BLANK",IF(PROPER(TRIM(H2411))=TRIM(M2411),"MATCH","MISMATCH"))</f>
        <v>MATCH</v>
      </c>
      <c r="O2411" s="5" t="str">
        <f>INDEX([1]Employee!$C$2:$C$276,MATCH(B2411,[1]Employee!$A$2:$A$276,0))</f>
        <v>HR &amp; Events</v>
      </c>
    </row>
    <row r="2412" spans="1:15">
      <c r="A2412" s="1" t="s">
        <v>4780</v>
      </c>
      <c r="B2412" s="1" t="s">
        <v>524</v>
      </c>
      <c r="C2412" s="1" t="s">
        <v>4781</v>
      </c>
      <c r="D2412" s="2">
        <v>46148</v>
      </c>
      <c r="E2412" s="2">
        <v>46155</v>
      </c>
      <c r="F2412" s="1" t="s">
        <v>120</v>
      </c>
      <c r="G2412" s="1" t="s">
        <v>12</v>
      </c>
      <c r="H2412" s="1" t="s">
        <v>11</v>
      </c>
      <c r="I2412" s="7">
        <v>438.27</v>
      </c>
      <c r="J2412" s="1" t="s">
        <v>38</v>
      </c>
      <c r="K2412" s="1"/>
      <c r="L2412" s="1" t="s">
        <v>39</v>
      </c>
      <c r="M2412" s="1" t="str">
        <f>INDEX(MCC_Lookup!$B$2:$B$12,MATCH(G2412,MCC_Lookup!$A$2:$A$12,0))</f>
        <v>Office Supplies</v>
      </c>
      <c r="N2412" s="1" t="str">
        <f>IF(TRIM(H2412)="","BLANK",IF(PROPER(TRIM(H2412))=TRIM(M2412),"MATCH","MISMATCH"))</f>
        <v>MATCH</v>
      </c>
      <c r="O2412" s="5" t="str">
        <f>INDEX([1]Employee!$C$2:$C$276,MATCH(B2412,[1]Employee!$A$2:$A$276,0))</f>
        <v>Claims</v>
      </c>
    </row>
    <row r="2413" spans="1:15">
      <c r="A2413" s="1" t="s">
        <v>4782</v>
      </c>
      <c r="B2413" s="1" t="s">
        <v>1206</v>
      </c>
      <c r="C2413" s="1" t="s">
        <v>4783</v>
      </c>
      <c r="D2413" s="2">
        <v>46155</v>
      </c>
      <c r="E2413" s="2">
        <v>46155</v>
      </c>
      <c r="F2413" s="1" t="s">
        <v>72</v>
      </c>
      <c r="G2413" s="1" t="s">
        <v>8</v>
      </c>
      <c r="H2413" s="1" t="s">
        <v>494</v>
      </c>
      <c r="I2413" s="7">
        <v>8.27</v>
      </c>
      <c r="J2413" s="1" t="s">
        <v>38</v>
      </c>
      <c r="K2413" s="1"/>
      <c r="L2413" s="1" t="s">
        <v>39</v>
      </c>
      <c r="M2413" s="1" t="str">
        <f>INDEX(MCC_Lookup!$B$2:$B$12,MATCH(G2413,MCC_Lookup!$A$2:$A$12,0))</f>
        <v>Transportation</v>
      </c>
      <c r="N2413" s="1" t="str">
        <f>IF(TRIM(H2413)="","BLANK",IF(PROPER(TRIM(H2413))=TRIM(M2413),"MATCH","MISMATCH"))</f>
        <v>MATCH</v>
      </c>
      <c r="O2413" s="5" t="str">
        <f>INDEX([1]Employee!$C$2:$C$276,MATCH(B2413,[1]Employee!$A$2:$A$276,0))</f>
        <v>Customer Support</v>
      </c>
    </row>
    <row r="2414" spans="1:15">
      <c r="A2414" s="1" t="s">
        <v>4784</v>
      </c>
      <c r="B2414" s="1" t="s">
        <v>564</v>
      </c>
      <c r="C2414" s="1"/>
      <c r="D2414" s="2">
        <v>46150</v>
      </c>
      <c r="E2414" s="2">
        <v>46155</v>
      </c>
      <c r="F2414" s="1" t="s">
        <v>124</v>
      </c>
      <c r="G2414" s="1" t="s">
        <v>17</v>
      </c>
      <c r="H2414" s="1" t="s">
        <v>16</v>
      </c>
      <c r="I2414" s="7">
        <v>145.93</v>
      </c>
      <c r="J2414" s="1" t="s">
        <v>111</v>
      </c>
      <c r="K2414" s="1" t="s">
        <v>112</v>
      </c>
      <c r="L2414" s="1" t="s">
        <v>39</v>
      </c>
      <c r="M2414" s="1" t="str">
        <f>INDEX(MCC_Lookup!$B$2:$B$12,MATCH(G2414,MCC_Lookup!$A$2:$A$12,0))</f>
        <v>Entertainment</v>
      </c>
      <c r="N2414" s="1" t="str">
        <f>IF(TRIM(H2414)="","BLANK",IF(PROPER(TRIM(H2414))=TRIM(M2414),"MATCH","MISMATCH"))</f>
        <v>MATCH</v>
      </c>
      <c r="O2414" s="5" t="str">
        <f>INDEX([1]Employee!$C$2:$C$276,MATCH(B2414,[1]Employee!$A$2:$A$276,0))</f>
        <v>Sales &amp; Marketing</v>
      </c>
    </row>
    <row r="2415" spans="1:15">
      <c r="A2415" s="1" t="s">
        <v>4785</v>
      </c>
      <c r="B2415" s="1" t="s">
        <v>1159</v>
      </c>
      <c r="C2415" s="1" t="s">
        <v>4786</v>
      </c>
      <c r="D2415" s="2">
        <v>46149</v>
      </c>
      <c r="E2415" s="2">
        <v>46156</v>
      </c>
      <c r="F2415" s="1" t="s">
        <v>109</v>
      </c>
      <c r="G2415" s="1" t="s">
        <v>18</v>
      </c>
      <c r="H2415" s="1" t="s">
        <v>332</v>
      </c>
      <c r="I2415" s="7">
        <v>126.43</v>
      </c>
      <c r="J2415" s="1" t="s">
        <v>38</v>
      </c>
      <c r="K2415" s="1"/>
      <c r="L2415" s="1" t="s">
        <v>39</v>
      </c>
      <c r="M2415" s="1" t="str">
        <f>INDEX(MCC_Lookup!$B$2:$B$12,MATCH(G2415,MCC_Lookup!$A$2:$A$12,0))</f>
        <v>Events</v>
      </c>
      <c r="N2415" s="1" t="str">
        <f>IF(TRIM(H2415)="","BLANK",IF(PROPER(TRIM(H2415))=TRIM(M2415),"MATCH","MISMATCH"))</f>
        <v>MATCH</v>
      </c>
      <c r="O2415" s="5" t="str">
        <f>INDEX([1]Employee!$C$2:$C$276,MATCH(B2415,[1]Employee!$A$2:$A$276,0))</f>
        <v>Customer Support</v>
      </c>
    </row>
    <row r="2416" spans="1:15">
      <c r="A2416" s="1" t="s">
        <v>4787</v>
      </c>
      <c r="B2416" s="1" t="s">
        <v>1876</v>
      </c>
      <c r="C2416" s="1" t="s">
        <v>4788</v>
      </c>
      <c r="D2416" s="2">
        <v>46148</v>
      </c>
      <c r="E2416" s="2">
        <v>46156</v>
      </c>
      <c r="F2416" s="1" t="s">
        <v>47</v>
      </c>
      <c r="G2416" s="1" t="s">
        <v>6</v>
      </c>
      <c r="H2416" s="1" t="s">
        <v>1476</v>
      </c>
      <c r="I2416" s="7">
        <v>209.53</v>
      </c>
      <c r="J2416" s="1" t="s">
        <v>38</v>
      </c>
      <c r="K2416" s="1"/>
      <c r="L2416" s="1" t="s">
        <v>39</v>
      </c>
      <c r="M2416" s="1" t="str">
        <f>INDEX(MCC_Lookup!$B$2:$B$12,MATCH(G2416,MCC_Lookup!$A$2:$A$12,0))</f>
        <v>Lodging</v>
      </c>
      <c r="N2416" s="1" t="str">
        <f>IF(TRIM(H2416)="","BLANK",IF(PROPER(TRIM(H2416))=TRIM(M2416),"MATCH","MISMATCH"))</f>
        <v>MATCH</v>
      </c>
      <c r="O2416" s="5" t="str">
        <f>INDEX([1]Employee!$C$2:$C$276,MATCH(B2416,[1]Employee!$A$2:$A$276,0))</f>
        <v>IT &amp; Platform Engineering</v>
      </c>
    </row>
    <row r="2417" spans="1:15">
      <c r="A2417" s="1" t="s">
        <v>4789</v>
      </c>
      <c r="B2417" s="1" t="s">
        <v>588</v>
      </c>
      <c r="C2417" s="1" t="s">
        <v>4790</v>
      </c>
      <c r="D2417" s="2">
        <v>46154</v>
      </c>
      <c r="E2417" s="2">
        <v>46156</v>
      </c>
      <c r="F2417" s="1" t="s">
        <v>201</v>
      </c>
      <c r="G2417" s="1" t="s">
        <v>4</v>
      </c>
      <c r="H2417" s="1" t="s">
        <v>57</v>
      </c>
      <c r="I2417" s="7">
        <v>514.22</v>
      </c>
      <c r="J2417" s="1" t="s">
        <v>38</v>
      </c>
      <c r="K2417" s="1"/>
      <c r="L2417" s="1" t="s">
        <v>39</v>
      </c>
      <c r="M2417" s="1" t="str">
        <f>INDEX(MCC_Lookup!$B$2:$B$12,MATCH(G2417,MCC_Lookup!$A$2:$A$12,0))</f>
        <v>Travel</v>
      </c>
      <c r="N2417" s="1" t="str">
        <f>IF(TRIM(H2417)="","BLANK",IF(PROPER(TRIM(H2417))=TRIM(M2417),"MATCH","MISMATCH"))</f>
        <v>MATCH</v>
      </c>
      <c r="O2417" s="5" t="str">
        <f>INDEX([1]Employee!$C$2:$C$276,MATCH(B2417,[1]Employee!$A$2:$A$276,0))</f>
        <v>Claims</v>
      </c>
    </row>
    <row r="2418" spans="1:15">
      <c r="A2418" s="1" t="s">
        <v>4791</v>
      </c>
      <c r="B2418" s="1" t="s">
        <v>836</v>
      </c>
      <c r="C2418" s="1" t="s">
        <v>4792</v>
      </c>
      <c r="D2418" s="2">
        <v>46150</v>
      </c>
      <c r="E2418" s="2">
        <v>46156</v>
      </c>
      <c r="F2418" s="1" t="s">
        <v>259</v>
      </c>
      <c r="G2418" s="1" t="s">
        <v>20</v>
      </c>
      <c r="H2418" s="1" t="s">
        <v>332</v>
      </c>
      <c r="I2418" s="7">
        <v>405.32</v>
      </c>
      <c r="J2418" s="1" t="s">
        <v>38</v>
      </c>
      <c r="K2418" s="1"/>
      <c r="L2418" s="1" t="s">
        <v>48</v>
      </c>
      <c r="M2418" s="1" t="str">
        <f>INDEX(MCC_Lookup!$B$2:$B$12,MATCH(G2418,MCC_Lookup!$A$2:$A$12,0))</f>
        <v>Events</v>
      </c>
      <c r="N2418" s="1" t="str">
        <f>IF(TRIM(H2418)="","BLANK",IF(PROPER(TRIM(H2418))=TRIM(M2418),"MATCH","MISMATCH"))</f>
        <v>MATCH</v>
      </c>
      <c r="O2418" s="5" t="str">
        <f>INDEX([1]Employee!$C$2:$C$276,MATCH(B2418,[1]Employee!$A$2:$A$276,0))</f>
        <v>Sales &amp; Marketing</v>
      </c>
    </row>
    <row r="2419" spans="1:15">
      <c r="A2419" s="1" t="s">
        <v>4793</v>
      </c>
      <c r="B2419" s="1" t="s">
        <v>472</v>
      </c>
      <c r="C2419" s="1" t="s">
        <v>4794</v>
      </c>
      <c r="D2419" s="2">
        <v>46156</v>
      </c>
      <c r="E2419" s="2">
        <v>46156</v>
      </c>
      <c r="F2419" s="1" t="s">
        <v>79</v>
      </c>
      <c r="G2419" s="1" t="s">
        <v>13</v>
      </c>
      <c r="H2419" s="1" t="s">
        <v>14</v>
      </c>
      <c r="I2419" s="7">
        <v>125.6</v>
      </c>
      <c r="J2419" s="1" t="s">
        <v>38</v>
      </c>
      <c r="K2419" s="1"/>
      <c r="L2419" s="1" t="s">
        <v>39</v>
      </c>
      <c r="M2419" s="1" t="str">
        <f>INDEX(MCC_Lookup!$B$2:$B$12,MATCH(G2419,MCC_Lookup!$A$2:$A$12,0))</f>
        <v>Software</v>
      </c>
      <c r="N2419" s="1" t="str">
        <f>IF(TRIM(H2419)="","BLANK",IF(PROPER(TRIM(H2419))=TRIM(M2419),"MATCH","MISMATCH"))</f>
        <v>MATCH</v>
      </c>
      <c r="O2419" s="5" t="str">
        <f>INDEX([1]Employee!$C$2:$C$276,MATCH(B2419,[1]Employee!$A$2:$A$276,0))</f>
        <v>Sales &amp; Marketing</v>
      </c>
    </row>
    <row r="2420" spans="1:15">
      <c r="A2420" s="1" t="s">
        <v>4795</v>
      </c>
      <c r="B2420" s="1" t="s">
        <v>1632</v>
      </c>
      <c r="C2420" s="1" t="s">
        <v>4796</v>
      </c>
      <c r="D2420" s="2">
        <v>46150</v>
      </c>
      <c r="E2420" s="2">
        <v>46156</v>
      </c>
      <c r="F2420" s="1" t="s">
        <v>347</v>
      </c>
      <c r="G2420" s="1" t="s">
        <v>8</v>
      </c>
      <c r="H2420" s="1" t="s">
        <v>9</v>
      </c>
      <c r="I2420" s="7">
        <v>56.01</v>
      </c>
      <c r="J2420" s="1" t="s">
        <v>38</v>
      </c>
      <c r="K2420" s="1"/>
      <c r="L2420" s="1" t="s">
        <v>39</v>
      </c>
      <c r="M2420" s="1" t="str">
        <f>INDEX(MCC_Lookup!$B$2:$B$12,MATCH(G2420,MCC_Lookup!$A$2:$A$12,0))</f>
        <v>Transportation</v>
      </c>
      <c r="N2420" s="1" t="str">
        <f>IF(TRIM(H2420)="","BLANK",IF(PROPER(TRIM(H2420))=TRIM(M2420),"MATCH","MISMATCH"))</f>
        <v>MATCH</v>
      </c>
      <c r="O2420" s="5" t="str">
        <f>INDEX([1]Employee!$C$2:$C$276,MATCH(B2420,[1]Employee!$A$2:$A$276,0))</f>
        <v>HR &amp; Events</v>
      </c>
    </row>
    <row r="2421" spans="1:15">
      <c r="A2421" s="1" t="s">
        <v>4797</v>
      </c>
      <c r="B2421" s="1" t="s">
        <v>547</v>
      </c>
      <c r="C2421" s="1" t="s">
        <v>4798</v>
      </c>
      <c r="D2421" s="2">
        <v>46155</v>
      </c>
      <c r="E2421" s="2">
        <v>46156</v>
      </c>
      <c r="F2421" s="1" t="s">
        <v>305</v>
      </c>
      <c r="G2421" s="1" t="s">
        <v>2</v>
      </c>
      <c r="H2421" s="1" t="s">
        <v>154</v>
      </c>
      <c r="I2421" s="7">
        <v>16.25</v>
      </c>
      <c r="J2421" s="1" t="s">
        <v>38</v>
      </c>
      <c r="K2421" s="1"/>
      <c r="L2421" s="1" t="s">
        <v>39</v>
      </c>
      <c r="M2421" s="1" t="str">
        <f>INDEX(MCC_Lookup!$B$2:$B$12,MATCH(G2421,MCC_Lookup!$A$2:$A$12,0))</f>
        <v>Meals</v>
      </c>
      <c r="N2421" s="1" t="str">
        <f>IF(TRIM(H2421)="","BLANK",IF(PROPER(TRIM(H2421))=TRIM(M2421),"MATCH","MISMATCH"))</f>
        <v>MATCH</v>
      </c>
      <c r="O2421" s="5" t="str">
        <f>INDEX([1]Employee!$C$2:$C$276,MATCH(B2421,[1]Employee!$A$2:$A$276,0))</f>
        <v>Sales &amp; Marketing</v>
      </c>
    </row>
    <row r="2422" spans="1:15">
      <c r="A2422" s="1" t="s">
        <v>4799</v>
      </c>
      <c r="B2422" s="1" t="s">
        <v>687</v>
      </c>
      <c r="C2422" s="1" t="s">
        <v>4800</v>
      </c>
      <c r="D2422" s="2">
        <v>46154</v>
      </c>
      <c r="E2422" s="2">
        <v>46156</v>
      </c>
      <c r="F2422" s="1" t="s">
        <v>106</v>
      </c>
      <c r="G2422" s="1" t="s">
        <v>13</v>
      </c>
      <c r="H2422" s="1" t="s">
        <v>14</v>
      </c>
      <c r="I2422" s="7">
        <v>154.72</v>
      </c>
      <c r="J2422" s="1" t="s">
        <v>38</v>
      </c>
      <c r="K2422" s="1"/>
      <c r="L2422" s="1" t="s">
        <v>39</v>
      </c>
      <c r="M2422" s="1" t="str">
        <f>INDEX(MCC_Lookup!$B$2:$B$12,MATCH(G2422,MCC_Lookup!$A$2:$A$12,0))</f>
        <v>Software</v>
      </c>
      <c r="N2422" s="1" t="str">
        <f>IF(TRIM(H2422)="","BLANK",IF(PROPER(TRIM(H2422))=TRIM(M2422),"MATCH","MISMATCH"))</f>
        <v>MATCH</v>
      </c>
      <c r="O2422" s="5" t="str">
        <f>INDEX([1]Employee!$C$2:$C$276,MATCH(B2422,[1]Employee!$A$2:$A$276,0))</f>
        <v>Executive &amp; Corporate</v>
      </c>
    </row>
    <row r="2423" spans="1:15">
      <c r="A2423" s="1" t="s">
        <v>4801</v>
      </c>
      <c r="B2423" s="1" t="s">
        <v>512</v>
      </c>
      <c r="C2423" s="1" t="s">
        <v>4802</v>
      </c>
      <c r="D2423" s="2">
        <v>46156</v>
      </c>
      <c r="E2423" s="2">
        <v>46156</v>
      </c>
      <c r="F2423" s="1" t="s">
        <v>95</v>
      </c>
      <c r="G2423" s="1" t="s">
        <v>6</v>
      </c>
      <c r="H2423" s="1"/>
      <c r="I2423" s="7">
        <v>296.20999999999998</v>
      </c>
      <c r="J2423" s="1" t="s">
        <v>38</v>
      </c>
      <c r="K2423" s="1"/>
      <c r="L2423" s="1" t="s">
        <v>39</v>
      </c>
      <c r="M2423" s="1" t="str">
        <f>INDEX(MCC_Lookup!$B$2:$B$12,MATCH(G2423,MCC_Lookup!$A$2:$A$12,0))</f>
        <v>Lodging</v>
      </c>
      <c r="N2423" s="1" t="str">
        <f>IF(TRIM(H2423)="","BLANK",IF(PROPER(TRIM(H2423))=TRIM(M2423),"MATCH","MISMATCH"))</f>
        <v>BLANK</v>
      </c>
      <c r="O2423" s="5" t="str">
        <f>INDEX([1]Employee!$C$2:$C$276,MATCH(B2423,[1]Employee!$A$2:$A$276,0))</f>
        <v>Sales &amp; Marketing</v>
      </c>
    </row>
    <row r="2424" spans="1:15">
      <c r="A2424" s="1" t="s">
        <v>4803</v>
      </c>
      <c r="B2424" s="1" t="s">
        <v>352</v>
      </c>
      <c r="C2424" s="1"/>
      <c r="D2424" s="2">
        <v>46152</v>
      </c>
      <c r="E2424" s="2">
        <v>46156</v>
      </c>
      <c r="F2424" s="1" t="s">
        <v>116</v>
      </c>
      <c r="G2424" s="1" t="s">
        <v>2</v>
      </c>
      <c r="H2424" s="1" t="s">
        <v>3</v>
      </c>
      <c r="I2424" s="7">
        <v>19.29</v>
      </c>
      <c r="J2424" s="1" t="s">
        <v>38</v>
      </c>
      <c r="K2424" s="1"/>
      <c r="L2424" s="1" t="s">
        <v>39</v>
      </c>
      <c r="M2424" s="1" t="str">
        <f>INDEX(MCC_Lookup!$B$2:$B$12,MATCH(G2424,MCC_Lookup!$A$2:$A$12,0))</f>
        <v>Meals</v>
      </c>
      <c r="N2424" s="1" t="str">
        <f>IF(TRIM(H2424)="","BLANK",IF(PROPER(TRIM(H2424))=TRIM(M2424),"MATCH","MISMATCH"))</f>
        <v>MATCH</v>
      </c>
      <c r="O2424" s="5" t="str">
        <f>INDEX([1]Employee!$C$2:$C$276,MATCH(B2424,[1]Employee!$A$2:$A$276,0))</f>
        <v>Sales &amp; Marketing</v>
      </c>
    </row>
    <row r="2425" spans="1:15">
      <c r="A2425" s="1" t="s">
        <v>4804</v>
      </c>
      <c r="B2425" s="1" t="s">
        <v>1110</v>
      </c>
      <c r="C2425" s="1"/>
      <c r="D2425" s="2">
        <v>46156</v>
      </c>
      <c r="E2425" s="2">
        <v>46156</v>
      </c>
      <c r="F2425" s="1" t="s">
        <v>4390</v>
      </c>
      <c r="G2425" s="1" t="s">
        <v>13</v>
      </c>
      <c r="H2425" s="1" t="s">
        <v>14</v>
      </c>
      <c r="I2425" s="7">
        <v>247.9</v>
      </c>
      <c r="J2425" s="1" t="s">
        <v>38</v>
      </c>
      <c r="K2425" s="1"/>
      <c r="L2425" s="1" t="s">
        <v>39</v>
      </c>
      <c r="M2425" s="1" t="str">
        <f>INDEX(MCC_Lookup!$B$2:$B$12,MATCH(G2425,MCC_Lookup!$A$2:$A$12,0))</f>
        <v>Software</v>
      </c>
      <c r="N2425" s="1" t="str">
        <f>IF(TRIM(H2425)="","BLANK",IF(PROPER(TRIM(H2425))=TRIM(M2425),"MATCH","MISMATCH"))</f>
        <v>MATCH</v>
      </c>
      <c r="O2425" s="5" t="str">
        <f>INDEX([1]Employee!$C$2:$C$276,MATCH(B2425,[1]Employee!$A$2:$A$276,0))</f>
        <v>Executive &amp; Corporate</v>
      </c>
    </row>
    <row r="2426" spans="1:15">
      <c r="A2426" s="1" t="s">
        <v>4805</v>
      </c>
      <c r="B2426" s="1" t="s">
        <v>300</v>
      </c>
      <c r="C2426" s="1" t="s">
        <v>4806</v>
      </c>
      <c r="D2426" s="2">
        <v>46148</v>
      </c>
      <c r="E2426" s="2">
        <v>46156</v>
      </c>
      <c r="F2426" s="1" t="s">
        <v>201</v>
      </c>
      <c r="G2426" s="1" t="s">
        <v>4</v>
      </c>
      <c r="H2426" s="1" t="s">
        <v>5</v>
      </c>
      <c r="I2426" s="7">
        <v>496</v>
      </c>
      <c r="J2426" s="1" t="s">
        <v>38</v>
      </c>
      <c r="K2426" s="1"/>
      <c r="L2426" s="1" t="s">
        <v>39</v>
      </c>
      <c r="M2426" s="1" t="str">
        <f>INDEX(MCC_Lookup!$B$2:$B$12,MATCH(G2426,MCC_Lookup!$A$2:$A$12,0))</f>
        <v>Travel</v>
      </c>
      <c r="N2426" s="1" t="str">
        <f>IF(TRIM(H2426)="","BLANK",IF(PROPER(TRIM(H2426))=TRIM(M2426),"MATCH","MISMATCH"))</f>
        <v>MATCH</v>
      </c>
      <c r="O2426" s="5" t="str">
        <f>INDEX([1]Employee!$C$2:$C$276,MATCH(B2426,[1]Employee!$A$2:$A$276,0))</f>
        <v>Sales &amp; Marketing</v>
      </c>
    </row>
    <row r="2427" spans="1:15">
      <c r="A2427" s="1" t="s">
        <v>4807</v>
      </c>
      <c r="B2427" s="1" t="s">
        <v>303</v>
      </c>
      <c r="C2427" s="1" t="s">
        <v>4808</v>
      </c>
      <c r="D2427" s="2">
        <v>46153</v>
      </c>
      <c r="E2427" s="2">
        <v>46156</v>
      </c>
      <c r="F2427" s="1" t="s">
        <v>109</v>
      </c>
      <c r="G2427" s="1" t="s">
        <v>18</v>
      </c>
      <c r="H2427" s="1" t="s">
        <v>19</v>
      </c>
      <c r="I2427" s="7">
        <v>31.47</v>
      </c>
      <c r="J2427" s="1" t="s">
        <v>38</v>
      </c>
      <c r="K2427" s="1"/>
      <c r="L2427" s="1" t="s">
        <v>39</v>
      </c>
      <c r="M2427" s="1" t="str">
        <f>INDEX(MCC_Lookup!$B$2:$B$12,MATCH(G2427,MCC_Lookup!$A$2:$A$12,0))</f>
        <v>Events</v>
      </c>
      <c r="N2427" s="1" t="str">
        <f>IF(TRIM(H2427)="","BLANK",IF(PROPER(TRIM(H2427))=TRIM(M2427),"MATCH","MISMATCH"))</f>
        <v>MATCH</v>
      </c>
      <c r="O2427" s="5" t="str">
        <f>INDEX([1]Employee!$C$2:$C$276,MATCH(B2427,[1]Employee!$A$2:$A$276,0))</f>
        <v>Sales &amp; Marketing</v>
      </c>
    </row>
    <row r="2428" spans="1:15">
      <c r="A2428" s="1" t="s">
        <v>4809</v>
      </c>
      <c r="B2428" s="1" t="s">
        <v>836</v>
      </c>
      <c r="C2428" s="1" t="s">
        <v>4810</v>
      </c>
      <c r="D2428" s="2">
        <v>46155</v>
      </c>
      <c r="E2428" s="2">
        <v>46157</v>
      </c>
      <c r="F2428" s="1" t="s">
        <v>4811</v>
      </c>
      <c r="G2428" s="1" t="s">
        <v>8</v>
      </c>
      <c r="H2428" s="1" t="s">
        <v>9</v>
      </c>
      <c r="I2428" s="7">
        <v>14.13</v>
      </c>
      <c r="J2428" s="1" t="s">
        <v>38</v>
      </c>
      <c r="K2428" s="1"/>
      <c r="L2428" s="1" t="s">
        <v>39</v>
      </c>
      <c r="M2428" s="1" t="str">
        <f>INDEX(MCC_Lookup!$B$2:$B$12,MATCH(G2428,MCC_Lookup!$A$2:$A$12,0))</f>
        <v>Transportation</v>
      </c>
      <c r="N2428" s="1" t="str">
        <f>IF(TRIM(H2428)="","BLANK",IF(PROPER(TRIM(H2428))=TRIM(M2428),"MATCH","MISMATCH"))</f>
        <v>MATCH</v>
      </c>
      <c r="O2428" s="5" t="str">
        <f>INDEX([1]Employee!$C$2:$C$276,MATCH(B2428,[1]Employee!$A$2:$A$276,0))</f>
        <v>Sales &amp; Marketing</v>
      </c>
    </row>
    <row r="2429" spans="1:15">
      <c r="A2429" s="1" t="s">
        <v>4812</v>
      </c>
      <c r="B2429" s="1" t="s">
        <v>67</v>
      </c>
      <c r="C2429" s="1"/>
      <c r="D2429" s="2">
        <v>46156</v>
      </c>
      <c r="E2429" s="2">
        <v>46157</v>
      </c>
      <c r="F2429" s="1" t="s">
        <v>69</v>
      </c>
      <c r="G2429" s="1" t="s">
        <v>8</v>
      </c>
      <c r="H2429" s="1" t="s">
        <v>9</v>
      </c>
      <c r="I2429" s="7">
        <v>37.39</v>
      </c>
      <c r="J2429" s="1" t="s">
        <v>38</v>
      </c>
      <c r="K2429" s="1"/>
      <c r="L2429" s="1" t="s">
        <v>39</v>
      </c>
      <c r="M2429" s="1" t="str">
        <f>INDEX(MCC_Lookup!$B$2:$B$12,MATCH(G2429,MCC_Lookup!$A$2:$A$12,0))</f>
        <v>Transportation</v>
      </c>
      <c r="N2429" s="1" t="str">
        <f>IF(TRIM(H2429)="","BLANK",IF(PROPER(TRIM(H2429))=TRIM(M2429),"MATCH","MISMATCH"))</f>
        <v>MATCH</v>
      </c>
      <c r="O2429" s="5" t="str">
        <f>INDEX([1]Employee!$C$2:$C$276,MATCH(B2429,[1]Employee!$A$2:$A$276,0))</f>
        <v>Sales &amp; Marketing</v>
      </c>
    </row>
    <row r="2430" spans="1:15">
      <c r="A2430" s="1" t="s">
        <v>4813</v>
      </c>
      <c r="B2430" s="1" t="s">
        <v>97</v>
      </c>
      <c r="C2430" s="1" t="s">
        <v>4814</v>
      </c>
      <c r="D2430" s="2">
        <v>46154</v>
      </c>
      <c r="E2430" s="2">
        <v>46157</v>
      </c>
      <c r="F2430" s="1" t="s">
        <v>201</v>
      </c>
      <c r="G2430" s="1" t="s">
        <v>4</v>
      </c>
      <c r="H2430" s="1" t="s">
        <v>5</v>
      </c>
      <c r="I2430" s="7">
        <v>285.87</v>
      </c>
      <c r="J2430" s="1" t="s">
        <v>38</v>
      </c>
      <c r="K2430" s="1"/>
      <c r="L2430" s="1" t="s">
        <v>39</v>
      </c>
      <c r="M2430" s="1" t="str">
        <f>INDEX(MCC_Lookup!$B$2:$B$12,MATCH(G2430,MCC_Lookup!$A$2:$A$12,0))</f>
        <v>Travel</v>
      </c>
      <c r="N2430" s="1" t="str">
        <f>IF(TRIM(H2430)="","BLANK",IF(PROPER(TRIM(H2430))=TRIM(M2430),"MATCH","MISMATCH"))</f>
        <v>MATCH</v>
      </c>
      <c r="O2430" s="5" t="str">
        <f>INDEX([1]Employee!$C$2:$C$276,MATCH(B2430,[1]Employee!$A$2:$A$276,0))</f>
        <v>Sales &amp; Marketing</v>
      </c>
    </row>
    <row r="2431" spans="1:15">
      <c r="A2431" s="1" t="s">
        <v>4815</v>
      </c>
      <c r="B2431" s="1" t="s">
        <v>2333</v>
      </c>
      <c r="C2431" s="1" t="s">
        <v>4816</v>
      </c>
      <c r="D2431" s="2">
        <v>46150</v>
      </c>
      <c r="E2431" s="2">
        <v>46157</v>
      </c>
      <c r="F2431" s="1" t="s">
        <v>160</v>
      </c>
      <c r="G2431" s="1" t="s">
        <v>6</v>
      </c>
      <c r="H2431" s="1" t="s">
        <v>7</v>
      </c>
      <c r="I2431" s="7">
        <v>393.43</v>
      </c>
      <c r="J2431" s="1" t="s">
        <v>38</v>
      </c>
      <c r="K2431" s="1"/>
      <c r="L2431" s="1" t="s">
        <v>39</v>
      </c>
      <c r="M2431" s="1" t="str">
        <f>INDEX(MCC_Lookup!$B$2:$B$12,MATCH(G2431,MCC_Lookup!$A$2:$A$12,0))</f>
        <v>Lodging</v>
      </c>
      <c r="N2431" s="1" t="str">
        <f>IF(TRIM(H2431)="","BLANK",IF(PROPER(TRIM(H2431))=TRIM(M2431),"MATCH","MISMATCH"))</f>
        <v>MATCH</v>
      </c>
      <c r="O2431" s="5" t="str">
        <f>INDEX([1]Employee!$C$2:$C$276,MATCH(B2431,[1]Employee!$A$2:$A$276,0))</f>
        <v>HR &amp; Events</v>
      </c>
    </row>
    <row r="2432" spans="1:15">
      <c r="A2432" s="1" t="s">
        <v>4817</v>
      </c>
      <c r="B2432" s="1" t="s">
        <v>190</v>
      </c>
      <c r="C2432" s="1" t="s">
        <v>4818</v>
      </c>
      <c r="D2432" s="2">
        <v>46154</v>
      </c>
      <c r="E2432" s="2">
        <v>46157</v>
      </c>
      <c r="F2432" s="1" t="s">
        <v>109</v>
      </c>
      <c r="G2432" s="1" t="s">
        <v>18</v>
      </c>
      <c r="H2432" s="1"/>
      <c r="I2432" s="7">
        <v>19.489999999999998</v>
      </c>
      <c r="J2432" s="1" t="s">
        <v>38</v>
      </c>
      <c r="K2432" s="1"/>
      <c r="L2432" s="1" t="s">
        <v>39</v>
      </c>
      <c r="M2432" s="1" t="str">
        <f>INDEX(MCC_Lookup!$B$2:$B$12,MATCH(G2432,MCC_Lookup!$A$2:$A$12,0))</f>
        <v>Events</v>
      </c>
      <c r="N2432" s="1" t="str">
        <f>IF(TRIM(H2432)="","BLANK",IF(PROPER(TRIM(H2432))=TRIM(M2432),"MATCH","MISMATCH"))</f>
        <v>BLANK</v>
      </c>
      <c r="O2432" s="5" t="str">
        <f>INDEX([1]Employee!$C$2:$C$276,MATCH(B2432,[1]Employee!$A$2:$A$276,0))</f>
        <v>Sales &amp; Marketing</v>
      </c>
    </row>
    <row r="2433" spans="1:15">
      <c r="A2433" s="1" t="s">
        <v>4819</v>
      </c>
      <c r="B2433" s="1" t="s">
        <v>354</v>
      </c>
      <c r="C2433" s="1" t="s">
        <v>4820</v>
      </c>
      <c r="D2433" s="2">
        <v>46156</v>
      </c>
      <c r="E2433" s="2">
        <v>46157</v>
      </c>
      <c r="F2433" s="1" t="s">
        <v>92</v>
      </c>
      <c r="G2433" s="1" t="s">
        <v>10</v>
      </c>
      <c r="H2433" s="1" t="s">
        <v>11</v>
      </c>
      <c r="I2433" s="7">
        <v>44.98</v>
      </c>
      <c r="J2433" s="1" t="s">
        <v>38</v>
      </c>
      <c r="K2433" s="1"/>
      <c r="L2433" s="1" t="s">
        <v>48</v>
      </c>
      <c r="M2433" s="1" t="str">
        <f>INDEX(MCC_Lookup!$B$2:$B$12,MATCH(G2433,MCC_Lookup!$A$2:$A$12,0))</f>
        <v>Office Supplies</v>
      </c>
      <c r="N2433" s="1" t="str">
        <f>IF(TRIM(H2433)="","BLANK",IF(PROPER(TRIM(H2433))=TRIM(M2433),"MATCH","MISMATCH"))</f>
        <v>MATCH</v>
      </c>
      <c r="O2433" s="5" t="str">
        <f>INDEX([1]Employee!$C$2:$C$276,MATCH(B2433,[1]Employee!$A$2:$A$276,0))</f>
        <v>Customer Support</v>
      </c>
    </row>
    <row r="2434" spans="1:15">
      <c r="A2434" s="1" t="s">
        <v>4821</v>
      </c>
      <c r="B2434" s="1" t="s">
        <v>966</v>
      </c>
      <c r="C2434" s="1" t="s">
        <v>4822</v>
      </c>
      <c r="D2434" s="2">
        <v>46149</v>
      </c>
      <c r="E2434" s="2">
        <v>46157</v>
      </c>
      <c r="F2434" s="1" t="s">
        <v>56</v>
      </c>
      <c r="G2434" s="1" t="s">
        <v>4</v>
      </c>
      <c r="H2434" s="1" t="s">
        <v>5</v>
      </c>
      <c r="I2434" s="7">
        <v>495.03</v>
      </c>
      <c r="J2434" s="1" t="s">
        <v>38</v>
      </c>
      <c r="K2434" s="1"/>
      <c r="L2434" s="1" t="s">
        <v>39</v>
      </c>
      <c r="M2434" s="1" t="str">
        <f>INDEX(MCC_Lookup!$B$2:$B$12,MATCH(G2434,MCC_Lookup!$A$2:$A$12,0))</f>
        <v>Travel</v>
      </c>
      <c r="N2434" s="1" t="str">
        <f>IF(TRIM(H2434)="","BLANK",IF(PROPER(TRIM(H2434))=TRIM(M2434),"MATCH","MISMATCH"))</f>
        <v>MATCH</v>
      </c>
      <c r="O2434" s="5" t="str">
        <f>INDEX([1]Employee!$C$2:$C$276,MATCH(B2434,[1]Employee!$A$2:$A$276,0))</f>
        <v>Finance</v>
      </c>
    </row>
    <row r="2435" spans="1:15">
      <c r="A2435" s="1" t="s">
        <v>4823</v>
      </c>
      <c r="B2435" s="1" t="s">
        <v>152</v>
      </c>
      <c r="C2435" s="1"/>
      <c r="D2435" s="2">
        <v>46152</v>
      </c>
      <c r="E2435" s="2">
        <v>46157</v>
      </c>
      <c r="F2435" s="1" t="s">
        <v>65</v>
      </c>
      <c r="G2435" s="1" t="s">
        <v>18</v>
      </c>
      <c r="H2435" s="1" t="s">
        <v>19</v>
      </c>
      <c r="I2435" s="7">
        <v>70.72</v>
      </c>
      <c r="J2435" s="1" t="s">
        <v>38</v>
      </c>
      <c r="K2435" s="1"/>
      <c r="L2435" s="1" t="s">
        <v>39</v>
      </c>
      <c r="M2435" s="1" t="str">
        <f>INDEX(MCC_Lookup!$B$2:$B$12,MATCH(G2435,MCC_Lookup!$A$2:$A$12,0))</f>
        <v>Events</v>
      </c>
      <c r="N2435" s="1" t="str">
        <f>IF(TRIM(H2435)="","BLANK",IF(PROPER(TRIM(H2435))=TRIM(M2435),"MATCH","MISMATCH"))</f>
        <v>MATCH</v>
      </c>
      <c r="O2435" s="5" t="str">
        <f>INDEX([1]Employee!$C$2:$C$276,MATCH(B2435,[1]Employee!$A$2:$A$276,0))</f>
        <v>Sales &amp; Marketing</v>
      </c>
    </row>
    <row r="2436" spans="1:15">
      <c r="A2436" s="1" t="s">
        <v>4824</v>
      </c>
      <c r="B2436" s="1" t="s">
        <v>499</v>
      </c>
      <c r="C2436" s="1" t="s">
        <v>4825</v>
      </c>
      <c r="D2436" s="2">
        <v>46151</v>
      </c>
      <c r="E2436" s="2">
        <v>46157</v>
      </c>
      <c r="F2436" s="1" t="s">
        <v>106</v>
      </c>
      <c r="G2436" s="1" t="s">
        <v>13</v>
      </c>
      <c r="H2436" s="1" t="s">
        <v>419</v>
      </c>
      <c r="I2436" s="7">
        <v>194.74</v>
      </c>
      <c r="J2436" s="1" t="s">
        <v>38</v>
      </c>
      <c r="K2436" s="1"/>
      <c r="L2436" s="1" t="s">
        <v>39</v>
      </c>
      <c r="M2436" s="1" t="str">
        <f>INDEX(MCC_Lookup!$B$2:$B$12,MATCH(G2436,MCC_Lookup!$A$2:$A$12,0))</f>
        <v>Software</v>
      </c>
      <c r="N2436" s="1" t="str">
        <f>IF(TRIM(H2436)="","BLANK",IF(PROPER(TRIM(H2436))=TRIM(M2436),"MATCH","MISMATCH"))</f>
        <v>MATCH</v>
      </c>
      <c r="O2436" s="5" t="str">
        <f>INDEX([1]Employee!$C$2:$C$276,MATCH(B2436,[1]Employee!$A$2:$A$276,0))</f>
        <v>Sales &amp; Marketing</v>
      </c>
    </row>
    <row r="2437" spans="1:15">
      <c r="A2437" s="1" t="s">
        <v>4826</v>
      </c>
      <c r="B2437" s="1" t="s">
        <v>1440</v>
      </c>
      <c r="C2437" s="1" t="s">
        <v>4827</v>
      </c>
      <c r="D2437" s="2">
        <v>46152</v>
      </c>
      <c r="E2437" s="2">
        <v>46157</v>
      </c>
      <c r="F2437" s="1" t="s">
        <v>43</v>
      </c>
      <c r="G2437" s="1" t="s">
        <v>2</v>
      </c>
      <c r="H2437" s="1" t="s">
        <v>154</v>
      </c>
      <c r="I2437" s="7">
        <v>9.98</v>
      </c>
      <c r="J2437" s="1" t="s">
        <v>38</v>
      </c>
      <c r="K2437" s="1"/>
      <c r="L2437" s="1" t="s">
        <v>39</v>
      </c>
      <c r="M2437" s="1" t="str">
        <f>INDEX(MCC_Lookup!$B$2:$B$12,MATCH(G2437,MCC_Lookup!$A$2:$A$12,0))</f>
        <v>Meals</v>
      </c>
      <c r="N2437" s="1" t="str">
        <f>IF(TRIM(H2437)="","BLANK",IF(PROPER(TRIM(H2437))=TRIM(M2437),"MATCH","MISMATCH"))</f>
        <v>MATCH</v>
      </c>
      <c r="O2437" s="5" t="str">
        <f>INDEX([1]Employee!$C$2:$C$276,MATCH(B2437,[1]Employee!$A$2:$A$276,0))</f>
        <v>Claims</v>
      </c>
    </row>
    <row r="2438" spans="1:15">
      <c r="A2438" s="1" t="s">
        <v>4828</v>
      </c>
      <c r="B2438" s="1" t="s">
        <v>352</v>
      </c>
      <c r="C2438" s="1" t="s">
        <v>4829</v>
      </c>
      <c r="D2438" s="2">
        <v>46155</v>
      </c>
      <c r="E2438" s="2">
        <v>46157</v>
      </c>
      <c r="F2438" s="1" t="s">
        <v>37</v>
      </c>
      <c r="G2438" s="1" t="s">
        <v>4</v>
      </c>
      <c r="H2438" s="1" t="s">
        <v>5</v>
      </c>
      <c r="I2438" s="7">
        <v>383.53</v>
      </c>
      <c r="J2438" s="1" t="s">
        <v>38</v>
      </c>
      <c r="K2438" s="1"/>
      <c r="L2438" s="1" t="s">
        <v>39</v>
      </c>
      <c r="M2438" s="1" t="str">
        <f>INDEX(MCC_Lookup!$B$2:$B$12,MATCH(G2438,MCC_Lookup!$A$2:$A$12,0))</f>
        <v>Travel</v>
      </c>
      <c r="N2438" s="1" t="str">
        <f>IF(TRIM(H2438)="","BLANK",IF(PROPER(TRIM(H2438))=TRIM(M2438),"MATCH","MISMATCH"))</f>
        <v>MATCH</v>
      </c>
      <c r="O2438" s="5" t="str">
        <f>INDEX([1]Employee!$C$2:$C$276,MATCH(B2438,[1]Employee!$A$2:$A$276,0))</f>
        <v>Sales &amp; Marketing</v>
      </c>
    </row>
    <row r="2439" spans="1:15">
      <c r="A2439" s="1" t="s">
        <v>4830</v>
      </c>
      <c r="B2439" s="1" t="s">
        <v>352</v>
      </c>
      <c r="C2439" s="1" t="s">
        <v>4831</v>
      </c>
      <c r="D2439" s="2">
        <v>46156</v>
      </c>
      <c r="E2439" s="2">
        <v>46157</v>
      </c>
      <c r="F2439" s="1" t="s">
        <v>95</v>
      </c>
      <c r="G2439" s="1" t="s">
        <v>6</v>
      </c>
      <c r="H2439" s="1" t="s">
        <v>7</v>
      </c>
      <c r="I2439" s="7">
        <v>162.75</v>
      </c>
      <c r="J2439" s="1" t="s">
        <v>38</v>
      </c>
      <c r="K2439" s="1"/>
      <c r="L2439" s="1" t="s">
        <v>39</v>
      </c>
      <c r="M2439" s="1" t="str">
        <f>INDEX(MCC_Lookup!$B$2:$B$12,MATCH(G2439,MCC_Lookup!$A$2:$A$12,0))</f>
        <v>Lodging</v>
      </c>
      <c r="N2439" s="1" t="str">
        <f>IF(TRIM(H2439)="","BLANK",IF(PROPER(TRIM(H2439))=TRIM(M2439),"MATCH","MISMATCH"))</f>
        <v>MATCH</v>
      </c>
      <c r="O2439" s="5" t="str">
        <f>INDEX([1]Employee!$C$2:$C$276,MATCH(B2439,[1]Employee!$A$2:$A$276,0))</f>
        <v>Sales &amp; Marketing</v>
      </c>
    </row>
    <row r="2440" spans="1:15">
      <c r="A2440" s="1" t="s">
        <v>4832</v>
      </c>
      <c r="B2440" s="1" t="s">
        <v>292</v>
      </c>
      <c r="C2440" s="1" t="s">
        <v>4833</v>
      </c>
      <c r="D2440" s="2">
        <v>46149</v>
      </c>
      <c r="E2440" s="2">
        <v>46157</v>
      </c>
      <c r="F2440" s="1" t="s">
        <v>95</v>
      </c>
      <c r="G2440" s="1" t="s">
        <v>6</v>
      </c>
      <c r="H2440" s="1" t="s">
        <v>228</v>
      </c>
      <c r="I2440" s="7">
        <v>143.88</v>
      </c>
      <c r="J2440" s="1" t="s">
        <v>38</v>
      </c>
      <c r="K2440" s="1"/>
      <c r="L2440" s="1" t="s">
        <v>39</v>
      </c>
      <c r="M2440" s="1" t="str">
        <f>INDEX(MCC_Lookup!$B$2:$B$12,MATCH(G2440,MCC_Lookup!$A$2:$A$12,0))</f>
        <v>Lodging</v>
      </c>
      <c r="N2440" s="1" t="str">
        <f>IF(TRIM(H2440)="","BLANK",IF(PROPER(TRIM(H2440))=TRIM(M2440),"MATCH","MISMATCH"))</f>
        <v>MATCH</v>
      </c>
      <c r="O2440" s="5" t="str">
        <f>INDEX([1]Employee!$C$2:$C$276,MATCH(B2440,[1]Employee!$A$2:$A$276,0))</f>
        <v>Sales &amp; Marketing</v>
      </c>
    </row>
    <row r="2441" spans="1:15">
      <c r="A2441" s="1" t="s">
        <v>4834</v>
      </c>
      <c r="B2441" s="1" t="s">
        <v>277</v>
      </c>
      <c r="C2441" s="1" t="s">
        <v>4835</v>
      </c>
      <c r="D2441" s="2">
        <v>46152</v>
      </c>
      <c r="E2441" s="2">
        <v>46158</v>
      </c>
      <c r="F2441" s="1" t="s">
        <v>109</v>
      </c>
      <c r="G2441" s="1" t="s">
        <v>18</v>
      </c>
      <c r="H2441" s="1" t="s">
        <v>19</v>
      </c>
      <c r="I2441" s="7">
        <v>39.659999999999997</v>
      </c>
      <c r="J2441" s="1" t="s">
        <v>38</v>
      </c>
      <c r="K2441" s="1"/>
      <c r="L2441" s="1" t="s">
        <v>39</v>
      </c>
      <c r="M2441" s="1" t="str">
        <f>INDEX(MCC_Lookup!$B$2:$B$12,MATCH(G2441,MCC_Lookup!$A$2:$A$12,0))</f>
        <v>Events</v>
      </c>
      <c r="N2441" s="1" t="str">
        <f>IF(TRIM(H2441)="","BLANK",IF(PROPER(TRIM(H2441))=TRIM(M2441),"MATCH","MISMATCH"))</f>
        <v>MATCH</v>
      </c>
      <c r="O2441" s="5" t="str">
        <f>INDEX([1]Employee!$C$2:$C$276,MATCH(B2441,[1]Employee!$A$2:$A$276,0))</f>
        <v>Claims</v>
      </c>
    </row>
    <row r="2442" spans="1:15">
      <c r="A2442" s="1" t="s">
        <v>4836</v>
      </c>
      <c r="B2442" s="1" t="s">
        <v>1634</v>
      </c>
      <c r="C2442" s="1" t="s">
        <v>4837</v>
      </c>
      <c r="D2442" s="2">
        <v>46153</v>
      </c>
      <c r="E2442" s="2">
        <v>46158</v>
      </c>
      <c r="F2442" s="1" t="s">
        <v>201</v>
      </c>
      <c r="G2442" s="1" t="s">
        <v>4</v>
      </c>
      <c r="H2442" s="1" t="s">
        <v>5</v>
      </c>
      <c r="I2442" s="7">
        <v>310.57</v>
      </c>
      <c r="J2442" s="1" t="s">
        <v>38</v>
      </c>
      <c r="K2442" s="1"/>
      <c r="L2442" s="1" t="s">
        <v>39</v>
      </c>
      <c r="M2442" s="1" t="str">
        <f>INDEX(MCC_Lookup!$B$2:$B$12,MATCH(G2442,MCC_Lookup!$A$2:$A$12,0))</f>
        <v>Travel</v>
      </c>
      <c r="N2442" s="1" t="str">
        <f>IF(TRIM(H2442)="","BLANK",IF(PROPER(TRIM(H2442))=TRIM(M2442),"MATCH","MISMATCH"))</f>
        <v>MATCH</v>
      </c>
      <c r="O2442" s="5" t="str">
        <f>INDEX([1]Employee!$C$2:$C$276,MATCH(B2442,[1]Employee!$A$2:$A$276,0))</f>
        <v>Customer Support</v>
      </c>
    </row>
    <row r="2443" spans="1:15">
      <c r="A2443" s="1" t="s">
        <v>4838</v>
      </c>
      <c r="B2443" s="1" t="s">
        <v>868</v>
      </c>
      <c r="C2443" s="1" t="s">
        <v>4839</v>
      </c>
      <c r="D2443" s="2">
        <v>46153</v>
      </c>
      <c r="E2443" s="2">
        <v>46158</v>
      </c>
      <c r="F2443" s="1" t="s">
        <v>120</v>
      </c>
      <c r="G2443" s="1" t="s">
        <v>12</v>
      </c>
      <c r="H2443" s="1" t="s">
        <v>11</v>
      </c>
      <c r="I2443" s="7">
        <v>50.89</v>
      </c>
      <c r="J2443" s="1" t="s">
        <v>38</v>
      </c>
      <c r="K2443" s="1"/>
      <c r="L2443" s="1" t="s">
        <v>39</v>
      </c>
      <c r="M2443" s="1" t="str">
        <f>INDEX(MCC_Lookup!$B$2:$B$12,MATCH(G2443,MCC_Lookup!$A$2:$A$12,0))</f>
        <v>Office Supplies</v>
      </c>
      <c r="N2443" s="1" t="str">
        <f>IF(TRIM(H2443)="","BLANK",IF(PROPER(TRIM(H2443))=TRIM(M2443),"MATCH","MISMATCH"))</f>
        <v>MATCH</v>
      </c>
      <c r="O2443" s="5" t="str">
        <f>INDEX([1]Employee!$C$2:$C$276,MATCH(B2443,[1]Employee!$A$2:$A$276,0))</f>
        <v>Sales &amp; Marketing</v>
      </c>
    </row>
    <row r="2444" spans="1:15">
      <c r="A2444" s="1" t="s">
        <v>4840</v>
      </c>
      <c r="B2444" s="1" t="s">
        <v>515</v>
      </c>
      <c r="C2444" s="1" t="s">
        <v>4841</v>
      </c>
      <c r="D2444" s="2">
        <v>46158</v>
      </c>
      <c r="E2444" s="2">
        <v>46158</v>
      </c>
      <c r="F2444" s="1" t="s">
        <v>37</v>
      </c>
      <c r="G2444" s="1" t="s">
        <v>4</v>
      </c>
      <c r="H2444" s="1"/>
      <c r="I2444" s="7">
        <v>325.44</v>
      </c>
      <c r="J2444" s="1" t="s">
        <v>38</v>
      </c>
      <c r="K2444" s="1"/>
      <c r="L2444" s="1" t="s">
        <v>39</v>
      </c>
      <c r="M2444" s="1" t="str">
        <f>INDEX(MCC_Lookup!$B$2:$B$12,MATCH(G2444,MCC_Lookup!$A$2:$A$12,0))</f>
        <v>Travel</v>
      </c>
      <c r="N2444" s="1" t="str">
        <f>IF(TRIM(H2444)="","BLANK",IF(PROPER(TRIM(H2444))=TRIM(M2444),"MATCH","MISMATCH"))</f>
        <v>BLANK</v>
      </c>
      <c r="O2444" s="5" t="str">
        <f>INDEX([1]Employee!$C$2:$C$276,MATCH(B2444,[1]Employee!$A$2:$A$276,0))</f>
        <v>Actuarial &amp; Risk</v>
      </c>
    </row>
    <row r="2445" spans="1:15">
      <c r="A2445" s="1" t="s">
        <v>4842</v>
      </c>
      <c r="B2445" s="1" t="s">
        <v>152</v>
      </c>
      <c r="C2445" s="1"/>
      <c r="D2445" s="2">
        <v>46158</v>
      </c>
      <c r="E2445" s="2">
        <v>46158</v>
      </c>
      <c r="F2445" s="1" t="s">
        <v>116</v>
      </c>
      <c r="G2445" s="1" t="s">
        <v>2</v>
      </c>
      <c r="H2445" s="1" t="s">
        <v>3</v>
      </c>
      <c r="I2445" s="7">
        <v>18.05</v>
      </c>
      <c r="J2445" s="1" t="s">
        <v>111</v>
      </c>
      <c r="K2445" s="1" t="s">
        <v>229</v>
      </c>
      <c r="L2445" s="1" t="s">
        <v>39</v>
      </c>
      <c r="M2445" s="1" t="str">
        <f>INDEX(MCC_Lookup!$B$2:$B$12,MATCH(G2445,MCC_Lookup!$A$2:$A$12,0))</f>
        <v>Meals</v>
      </c>
      <c r="N2445" s="1" t="str">
        <f>IF(TRIM(H2445)="","BLANK",IF(PROPER(TRIM(H2445))=TRIM(M2445),"MATCH","MISMATCH"))</f>
        <v>MATCH</v>
      </c>
      <c r="O2445" s="5" t="str">
        <f>INDEX([1]Employee!$C$2:$C$276,MATCH(B2445,[1]Employee!$A$2:$A$276,0))</f>
        <v>Sales &amp; Marketing</v>
      </c>
    </row>
    <row r="2446" spans="1:15">
      <c r="A2446" s="1" t="s">
        <v>4843</v>
      </c>
      <c r="B2446" s="1" t="s">
        <v>292</v>
      </c>
      <c r="C2446" s="1"/>
      <c r="D2446" s="2">
        <v>46153</v>
      </c>
      <c r="E2446" s="2">
        <v>46158</v>
      </c>
      <c r="F2446" s="1" t="s">
        <v>69</v>
      </c>
      <c r="G2446" s="1" t="s">
        <v>8</v>
      </c>
      <c r="H2446" s="1" t="s">
        <v>9</v>
      </c>
      <c r="I2446" s="7">
        <v>43.05</v>
      </c>
      <c r="J2446" s="1" t="s">
        <v>111</v>
      </c>
      <c r="K2446" s="1" t="s">
        <v>229</v>
      </c>
      <c r="L2446" s="1" t="s">
        <v>39</v>
      </c>
      <c r="M2446" s="1" t="str">
        <f>INDEX(MCC_Lookup!$B$2:$B$12,MATCH(G2446,MCC_Lookup!$A$2:$A$12,0))</f>
        <v>Transportation</v>
      </c>
      <c r="N2446" s="1" t="str">
        <f>IF(TRIM(H2446)="","BLANK",IF(PROPER(TRIM(H2446))=TRIM(M2446),"MATCH","MISMATCH"))</f>
        <v>MATCH</v>
      </c>
      <c r="O2446" s="5" t="str">
        <f>INDEX([1]Employee!$C$2:$C$276,MATCH(B2446,[1]Employee!$A$2:$A$276,0))</f>
        <v>Sales &amp; Marketing</v>
      </c>
    </row>
    <row r="2447" spans="1:15">
      <c r="A2447" s="1" t="s">
        <v>4844</v>
      </c>
      <c r="B2447" s="1" t="s">
        <v>2037</v>
      </c>
      <c r="C2447" s="1"/>
      <c r="D2447" s="2">
        <v>46158</v>
      </c>
      <c r="E2447" s="2">
        <v>46158</v>
      </c>
      <c r="F2447" s="1" t="s">
        <v>95</v>
      </c>
      <c r="G2447" s="1" t="s">
        <v>6</v>
      </c>
      <c r="H2447" s="1" t="s">
        <v>726</v>
      </c>
      <c r="I2447" s="7">
        <v>349.52</v>
      </c>
      <c r="J2447" s="1" t="s">
        <v>111</v>
      </c>
      <c r="K2447" s="1" t="s">
        <v>161</v>
      </c>
      <c r="L2447" s="1" t="s">
        <v>39</v>
      </c>
      <c r="M2447" s="1" t="str">
        <f>INDEX(MCC_Lookup!$B$2:$B$12,MATCH(G2447,MCC_Lookup!$A$2:$A$12,0))</f>
        <v>Lodging</v>
      </c>
      <c r="N2447" s="1" t="str">
        <f>IF(TRIM(H2447)="","BLANK",IF(PROPER(TRIM(H2447))=TRIM(M2447),"MATCH","MISMATCH"))</f>
        <v>MATCH</v>
      </c>
      <c r="O2447" s="5" t="str">
        <f>INDEX([1]Employee!$C$2:$C$276,MATCH(B2447,[1]Employee!$A$2:$A$276,0))</f>
        <v>Customer Support</v>
      </c>
    </row>
    <row r="2448" spans="1:15">
      <c r="A2448" s="1" t="s">
        <v>4845</v>
      </c>
      <c r="B2448" s="1" t="s">
        <v>1180</v>
      </c>
      <c r="C2448" s="1" t="s">
        <v>4846</v>
      </c>
      <c r="D2448" s="2">
        <v>46149</v>
      </c>
      <c r="E2448" s="2">
        <v>46158</v>
      </c>
      <c r="F2448" s="1" t="s">
        <v>305</v>
      </c>
      <c r="G2448" s="1" t="s">
        <v>2</v>
      </c>
      <c r="H2448" s="1"/>
      <c r="I2448" s="7">
        <v>13.7</v>
      </c>
      <c r="J2448" s="1" t="s">
        <v>38</v>
      </c>
      <c r="K2448" s="1"/>
      <c r="L2448" s="1" t="s">
        <v>39</v>
      </c>
      <c r="M2448" s="1" t="str">
        <f>INDEX(MCC_Lookup!$B$2:$B$12,MATCH(G2448,MCC_Lookup!$A$2:$A$12,0))</f>
        <v>Meals</v>
      </c>
      <c r="N2448" s="1" t="str">
        <f>IF(TRIM(H2448)="","BLANK",IF(PROPER(TRIM(H2448))=TRIM(M2448),"MATCH","MISMATCH"))</f>
        <v>BLANK</v>
      </c>
      <c r="O2448" s="5" t="str">
        <f>INDEX([1]Employee!$C$2:$C$276,MATCH(B2448,[1]Employee!$A$2:$A$276,0))</f>
        <v>IT &amp; Platform Engineering</v>
      </c>
    </row>
    <row r="2449" spans="1:15">
      <c r="A2449" s="1" t="s">
        <v>4847</v>
      </c>
      <c r="B2449" s="1" t="s">
        <v>623</v>
      </c>
      <c r="C2449" s="1" t="s">
        <v>4848</v>
      </c>
      <c r="D2449" s="2">
        <v>46153</v>
      </c>
      <c r="E2449" s="2">
        <v>46158</v>
      </c>
      <c r="F2449" s="1" t="s">
        <v>52</v>
      </c>
      <c r="G2449" s="1" t="s">
        <v>15</v>
      </c>
      <c r="H2449" s="1" t="s">
        <v>403</v>
      </c>
      <c r="I2449" s="7">
        <v>59.69</v>
      </c>
      <c r="J2449" s="1" t="s">
        <v>38</v>
      </c>
      <c r="K2449" s="1"/>
      <c r="L2449" s="1" t="s">
        <v>39</v>
      </c>
      <c r="M2449" s="1" t="str">
        <f>INDEX(MCC_Lookup!$B$2:$B$12,MATCH(G2449,MCC_Lookup!$A$2:$A$12,0))</f>
        <v>Entertainment</v>
      </c>
      <c r="N2449" s="1" t="str">
        <f>IF(TRIM(H2449)="","BLANK",IF(PROPER(TRIM(H2449))=TRIM(M2449),"MATCH","MISMATCH"))</f>
        <v>MATCH</v>
      </c>
      <c r="O2449" s="5" t="str">
        <f>INDEX([1]Employee!$C$2:$C$276,MATCH(B2449,[1]Employee!$A$2:$A$276,0))</f>
        <v>Underwriting</v>
      </c>
    </row>
    <row r="2450" spans="1:15">
      <c r="A2450" s="1" t="s">
        <v>4849</v>
      </c>
      <c r="B2450" s="1" t="s">
        <v>593</v>
      </c>
      <c r="C2450" s="1"/>
      <c r="D2450" s="2">
        <v>46151</v>
      </c>
      <c r="E2450" s="2">
        <v>46158</v>
      </c>
      <c r="F2450" s="1" t="s">
        <v>52</v>
      </c>
      <c r="G2450" s="1" t="s">
        <v>15</v>
      </c>
      <c r="H2450" s="1"/>
      <c r="I2450" s="7">
        <v>39.869999999999997</v>
      </c>
      <c r="J2450" s="1" t="s">
        <v>38</v>
      </c>
      <c r="K2450" s="1"/>
      <c r="L2450" s="1" t="s">
        <v>48</v>
      </c>
      <c r="M2450" s="1" t="str">
        <f>INDEX(MCC_Lookup!$B$2:$B$12,MATCH(G2450,MCC_Lookup!$A$2:$A$12,0))</f>
        <v>Entertainment</v>
      </c>
      <c r="N2450" s="1" t="str">
        <f>IF(TRIM(H2450)="","BLANK",IF(PROPER(TRIM(H2450))=TRIM(M2450),"MATCH","MISMATCH"))</f>
        <v>BLANK</v>
      </c>
      <c r="O2450" s="5" t="str">
        <f>INDEX([1]Employee!$C$2:$C$276,MATCH(B2450,[1]Employee!$A$2:$A$276,0))</f>
        <v>Sales &amp; Marketing</v>
      </c>
    </row>
    <row r="2451" spans="1:15">
      <c r="A2451" s="1" t="s">
        <v>4850</v>
      </c>
      <c r="B2451" s="1" t="s">
        <v>247</v>
      </c>
      <c r="C2451" s="1" t="s">
        <v>4851</v>
      </c>
      <c r="D2451" s="2">
        <v>46148</v>
      </c>
      <c r="E2451" s="2">
        <v>46158</v>
      </c>
      <c r="F2451" s="1" t="s">
        <v>823</v>
      </c>
      <c r="G2451" s="1" t="s">
        <v>4</v>
      </c>
      <c r="H2451" s="1" t="s">
        <v>5</v>
      </c>
      <c r="I2451" s="7">
        <v>332.56</v>
      </c>
      <c r="J2451" s="1" t="s">
        <v>38</v>
      </c>
      <c r="K2451" s="1"/>
      <c r="L2451" s="1" t="s">
        <v>48</v>
      </c>
      <c r="M2451" s="1" t="str">
        <f>INDEX(MCC_Lookup!$B$2:$B$12,MATCH(G2451,MCC_Lookup!$A$2:$A$12,0))</f>
        <v>Travel</v>
      </c>
      <c r="N2451" s="1" t="str">
        <f>IF(TRIM(H2451)="","BLANK",IF(PROPER(TRIM(H2451))=TRIM(M2451),"MATCH","MISMATCH"))</f>
        <v>MATCH</v>
      </c>
      <c r="O2451" s="5" t="str">
        <f>INDEX([1]Employee!$C$2:$C$276,MATCH(B2451,[1]Employee!$A$2:$A$276,0))</f>
        <v>HR &amp; Events</v>
      </c>
    </row>
    <row r="2452" spans="1:15">
      <c r="A2452" s="1" t="s">
        <v>4852</v>
      </c>
      <c r="B2452" s="1" t="s">
        <v>1116</v>
      </c>
      <c r="C2452" s="1" t="s">
        <v>4853</v>
      </c>
      <c r="D2452" s="2">
        <v>46155</v>
      </c>
      <c r="E2452" s="2">
        <v>46158</v>
      </c>
      <c r="F2452" s="1" t="s">
        <v>76</v>
      </c>
      <c r="G2452" s="1" t="s">
        <v>13</v>
      </c>
      <c r="H2452" s="1" t="s">
        <v>14</v>
      </c>
      <c r="I2452" s="7">
        <v>512.17999999999995</v>
      </c>
      <c r="J2452" s="1" t="s">
        <v>38</v>
      </c>
      <c r="K2452" s="1"/>
      <c r="L2452" s="1" t="s">
        <v>39</v>
      </c>
      <c r="M2452" s="1" t="str">
        <f>INDEX(MCC_Lookup!$B$2:$B$12,MATCH(G2452,MCC_Lookup!$A$2:$A$12,0))</f>
        <v>Software</v>
      </c>
      <c r="N2452" s="1" t="str">
        <f>IF(TRIM(H2452)="","BLANK",IF(PROPER(TRIM(H2452))=TRIM(M2452),"MATCH","MISMATCH"))</f>
        <v>MATCH</v>
      </c>
      <c r="O2452" s="5" t="str">
        <f>INDEX([1]Employee!$C$2:$C$276,MATCH(B2452,[1]Employee!$A$2:$A$276,0))</f>
        <v>Underwriting</v>
      </c>
    </row>
    <row r="2453" spans="1:15">
      <c r="A2453" s="1" t="s">
        <v>4854</v>
      </c>
      <c r="B2453" s="1" t="s">
        <v>667</v>
      </c>
      <c r="C2453" s="1" t="s">
        <v>4855</v>
      </c>
      <c r="D2453" s="2">
        <v>46149</v>
      </c>
      <c r="E2453" s="2">
        <v>46158</v>
      </c>
      <c r="F2453" s="1" t="s">
        <v>259</v>
      </c>
      <c r="G2453" s="1" t="s">
        <v>20</v>
      </c>
      <c r="H2453" s="1" t="s">
        <v>312</v>
      </c>
      <c r="I2453" s="7">
        <v>53.78</v>
      </c>
      <c r="J2453" s="1" t="s">
        <v>38</v>
      </c>
      <c r="K2453" s="1"/>
      <c r="L2453" s="1" t="s">
        <v>39</v>
      </c>
      <c r="M2453" s="1" t="str">
        <f>INDEX(MCC_Lookup!$B$2:$B$12,MATCH(G2453,MCC_Lookup!$A$2:$A$12,0))</f>
        <v>Events</v>
      </c>
      <c r="N2453" s="1" t="str">
        <f>IF(TRIM(H2453)="","BLANK",IF(PROPER(TRIM(H2453))=TRIM(M2453),"MATCH","MISMATCH"))</f>
        <v>MATCH</v>
      </c>
      <c r="O2453" s="5" t="str">
        <f>INDEX([1]Employee!$C$2:$C$276,MATCH(B2453,[1]Employee!$A$2:$A$276,0))</f>
        <v>Sales &amp; Marketing</v>
      </c>
    </row>
    <row r="2454" spans="1:15">
      <c r="A2454" s="1" t="s">
        <v>4856</v>
      </c>
      <c r="B2454" s="1" t="s">
        <v>126</v>
      </c>
      <c r="C2454" s="1"/>
      <c r="D2454" s="2">
        <v>46155</v>
      </c>
      <c r="E2454" s="2">
        <v>46158</v>
      </c>
      <c r="F2454" s="1" t="s">
        <v>124</v>
      </c>
      <c r="G2454" s="1" t="s">
        <v>17</v>
      </c>
      <c r="H2454" s="1" t="s">
        <v>16</v>
      </c>
      <c r="I2454" s="7">
        <v>133.58000000000001</v>
      </c>
      <c r="J2454" s="1" t="s">
        <v>111</v>
      </c>
      <c r="K2454" s="1" t="s">
        <v>127</v>
      </c>
      <c r="L2454" s="1" t="s">
        <v>39</v>
      </c>
      <c r="M2454" s="1" t="str">
        <f>INDEX(MCC_Lookup!$B$2:$B$12,MATCH(G2454,MCC_Lookup!$A$2:$A$12,0))</f>
        <v>Entertainment</v>
      </c>
      <c r="N2454" s="1" t="str">
        <f>IF(TRIM(H2454)="","BLANK",IF(PROPER(TRIM(H2454))=TRIM(M2454),"MATCH","MISMATCH"))</f>
        <v>MATCH</v>
      </c>
      <c r="O2454" s="5" t="str">
        <f>INDEX([1]Employee!$C$2:$C$276,MATCH(B2454,[1]Employee!$A$2:$A$276,0))</f>
        <v>Actuarial &amp; Risk</v>
      </c>
    </row>
    <row r="2455" spans="1:15">
      <c r="A2455" s="1" t="s">
        <v>4857</v>
      </c>
      <c r="B2455" s="1" t="s">
        <v>2902</v>
      </c>
      <c r="C2455" s="1"/>
      <c r="D2455" s="2">
        <v>46153</v>
      </c>
      <c r="E2455" s="2">
        <v>46158</v>
      </c>
      <c r="F2455" s="1" t="s">
        <v>106</v>
      </c>
      <c r="G2455" s="1" t="s">
        <v>13</v>
      </c>
      <c r="H2455" s="1" t="s">
        <v>419</v>
      </c>
      <c r="I2455" s="7">
        <v>182.94</v>
      </c>
      <c r="J2455" s="1" t="s">
        <v>38</v>
      </c>
      <c r="K2455" s="1"/>
      <c r="L2455" s="1" t="s">
        <v>39</v>
      </c>
      <c r="M2455" s="1" t="str">
        <f>INDEX(MCC_Lookup!$B$2:$B$12,MATCH(G2455,MCC_Lookup!$A$2:$A$12,0))</f>
        <v>Software</v>
      </c>
      <c r="N2455" s="1" t="str">
        <f>IF(TRIM(H2455)="","BLANK",IF(PROPER(TRIM(H2455))=TRIM(M2455),"MATCH","MISMATCH"))</f>
        <v>MATCH</v>
      </c>
      <c r="O2455" s="5" t="str">
        <f>INDEX([1]Employee!$C$2:$C$276,MATCH(B2455,[1]Employee!$A$2:$A$276,0))</f>
        <v>Underwriting</v>
      </c>
    </row>
    <row r="2456" spans="1:15">
      <c r="A2456" s="1" t="s">
        <v>4858</v>
      </c>
      <c r="B2456" s="1" t="s">
        <v>461</v>
      </c>
      <c r="C2456" s="1" t="s">
        <v>4859</v>
      </c>
      <c r="D2456" s="2">
        <v>46158</v>
      </c>
      <c r="E2456" s="2">
        <v>46158</v>
      </c>
      <c r="F2456" s="1" t="s">
        <v>69</v>
      </c>
      <c r="G2456" s="1" t="s">
        <v>8</v>
      </c>
      <c r="H2456" s="1" t="s">
        <v>9</v>
      </c>
      <c r="I2456" s="7">
        <v>36.590000000000003</v>
      </c>
      <c r="J2456" s="1" t="s">
        <v>38</v>
      </c>
      <c r="K2456" s="1"/>
      <c r="L2456" s="1" t="s">
        <v>39</v>
      </c>
      <c r="M2456" s="1" t="str">
        <f>INDEX(MCC_Lookup!$B$2:$B$12,MATCH(G2456,MCC_Lookup!$A$2:$A$12,0))</f>
        <v>Transportation</v>
      </c>
      <c r="N2456" s="1" t="str">
        <f>IF(TRIM(H2456)="","BLANK",IF(PROPER(TRIM(H2456))=TRIM(M2456),"MATCH","MISMATCH"))</f>
        <v>MATCH</v>
      </c>
      <c r="O2456" s="5" t="str">
        <f>INDEX([1]Employee!$C$2:$C$276,MATCH(B2456,[1]Employee!$A$2:$A$276,0))</f>
        <v>Finance</v>
      </c>
    </row>
    <row r="2457" spans="1:15">
      <c r="A2457" s="1" t="s">
        <v>4860</v>
      </c>
      <c r="B2457" s="1" t="s">
        <v>1188</v>
      </c>
      <c r="C2457" s="1" t="s">
        <v>4861</v>
      </c>
      <c r="D2457" s="2">
        <v>46149</v>
      </c>
      <c r="E2457" s="2">
        <v>46158</v>
      </c>
      <c r="F2457" s="1" t="s">
        <v>76</v>
      </c>
      <c r="G2457" s="1" t="s">
        <v>13</v>
      </c>
      <c r="H2457" s="1" t="s">
        <v>419</v>
      </c>
      <c r="I2457" s="7">
        <v>221.24</v>
      </c>
      <c r="J2457" s="1" t="s">
        <v>38</v>
      </c>
      <c r="K2457" s="1"/>
      <c r="L2457" s="1" t="s">
        <v>39</v>
      </c>
      <c r="M2457" s="1" t="str">
        <f>INDEX(MCC_Lookup!$B$2:$B$12,MATCH(G2457,MCC_Lookup!$A$2:$A$12,0))</f>
        <v>Software</v>
      </c>
      <c r="N2457" s="1" t="str">
        <f>IF(TRIM(H2457)="","BLANK",IF(PROPER(TRIM(H2457))=TRIM(M2457),"MATCH","MISMATCH"))</f>
        <v>MATCH</v>
      </c>
      <c r="O2457" s="5" t="str">
        <f>INDEX([1]Employee!$C$2:$C$276,MATCH(B2457,[1]Employee!$A$2:$A$276,0))</f>
        <v>Executive &amp; Corporate</v>
      </c>
    </row>
    <row r="2458" spans="1:15">
      <c r="A2458" s="1" t="s">
        <v>4862</v>
      </c>
      <c r="B2458" s="1" t="s">
        <v>475</v>
      </c>
      <c r="C2458" s="1" t="s">
        <v>4863</v>
      </c>
      <c r="D2458" s="2">
        <v>46155</v>
      </c>
      <c r="E2458" s="2">
        <v>46158</v>
      </c>
      <c r="F2458" s="1" t="s">
        <v>173</v>
      </c>
      <c r="G2458" s="1" t="s">
        <v>2</v>
      </c>
      <c r="H2458" s="1" t="s">
        <v>794</v>
      </c>
      <c r="I2458" s="7">
        <v>66.55</v>
      </c>
      <c r="J2458" s="1" t="s">
        <v>38</v>
      </c>
      <c r="K2458" s="1"/>
      <c r="L2458" s="1" t="s">
        <v>39</v>
      </c>
      <c r="M2458" s="1" t="str">
        <f>INDEX(MCC_Lookup!$B$2:$B$12,MATCH(G2458,MCC_Lookup!$A$2:$A$12,0))</f>
        <v>Meals</v>
      </c>
      <c r="N2458" s="1" t="str">
        <f>IF(TRIM(H2458)="","BLANK",IF(PROPER(TRIM(H2458))=TRIM(M2458),"MATCH","MISMATCH"))</f>
        <v>MATCH</v>
      </c>
      <c r="O2458" s="5" t="str">
        <f>INDEX([1]Employee!$C$2:$C$276,MATCH(B2458,[1]Employee!$A$2:$A$276,0))</f>
        <v>Sales &amp; Marketing</v>
      </c>
    </row>
    <row r="2459" spans="1:15">
      <c r="A2459" s="1" t="s">
        <v>4864</v>
      </c>
      <c r="B2459" s="1" t="s">
        <v>399</v>
      </c>
      <c r="C2459" s="1" t="s">
        <v>4865</v>
      </c>
      <c r="D2459" s="2">
        <v>46156</v>
      </c>
      <c r="E2459" s="2">
        <v>46158</v>
      </c>
      <c r="F2459" s="1" t="s">
        <v>347</v>
      </c>
      <c r="G2459" s="1" t="s">
        <v>8</v>
      </c>
      <c r="H2459" s="1" t="s">
        <v>9</v>
      </c>
      <c r="I2459" s="7">
        <v>42.71</v>
      </c>
      <c r="J2459" s="1" t="s">
        <v>38</v>
      </c>
      <c r="K2459" s="1"/>
      <c r="L2459" s="1" t="s">
        <v>39</v>
      </c>
      <c r="M2459" s="1" t="str">
        <f>INDEX(MCC_Lookup!$B$2:$B$12,MATCH(G2459,MCC_Lookup!$A$2:$A$12,0))</f>
        <v>Transportation</v>
      </c>
      <c r="N2459" s="1" t="str">
        <f>IF(TRIM(H2459)="","BLANK",IF(PROPER(TRIM(H2459))=TRIM(M2459),"MATCH","MISMATCH"))</f>
        <v>MATCH</v>
      </c>
      <c r="O2459" s="5" t="str">
        <f>INDEX([1]Employee!$C$2:$C$276,MATCH(B2459,[1]Employee!$A$2:$A$276,0))</f>
        <v>IT &amp; Platform Engineering</v>
      </c>
    </row>
    <row r="2460" spans="1:15">
      <c r="A2460" s="1" t="s">
        <v>4866</v>
      </c>
      <c r="B2460" s="1" t="s">
        <v>679</v>
      </c>
      <c r="C2460" s="1"/>
      <c r="D2460" s="2">
        <v>46153</v>
      </c>
      <c r="E2460" s="2">
        <v>46158</v>
      </c>
      <c r="F2460" s="1" t="s">
        <v>95</v>
      </c>
      <c r="G2460" s="1" t="s">
        <v>6</v>
      </c>
      <c r="H2460" s="1"/>
      <c r="I2460" s="7">
        <v>165.32</v>
      </c>
      <c r="J2460" s="1" t="s">
        <v>111</v>
      </c>
      <c r="K2460" s="1" t="s">
        <v>127</v>
      </c>
      <c r="L2460" s="1" t="s">
        <v>39</v>
      </c>
      <c r="M2460" s="1" t="str">
        <f>INDEX(MCC_Lookup!$B$2:$B$12,MATCH(G2460,MCC_Lookup!$A$2:$A$12,0))</f>
        <v>Lodging</v>
      </c>
      <c r="N2460" s="1" t="str">
        <f>IF(TRIM(H2460)="","BLANK",IF(PROPER(TRIM(H2460))=TRIM(M2460),"MATCH","MISMATCH"))</f>
        <v>BLANK</v>
      </c>
      <c r="O2460" s="5" t="str">
        <f>INDEX([1]Employee!$C$2:$C$276,MATCH(B2460,[1]Employee!$A$2:$A$276,0))</f>
        <v>Sales &amp; Marketing</v>
      </c>
    </row>
    <row r="2461" spans="1:15">
      <c r="A2461" s="1" t="s">
        <v>4867</v>
      </c>
      <c r="B2461" s="1" t="s">
        <v>506</v>
      </c>
      <c r="C2461" s="1" t="s">
        <v>4868</v>
      </c>
      <c r="D2461" s="2">
        <v>46156</v>
      </c>
      <c r="E2461" s="2">
        <v>46158</v>
      </c>
      <c r="F2461" s="1" t="s">
        <v>120</v>
      </c>
      <c r="G2461" s="1" t="s">
        <v>12</v>
      </c>
      <c r="H2461" s="1" t="s">
        <v>11</v>
      </c>
      <c r="I2461" s="7">
        <v>326.99</v>
      </c>
      <c r="J2461" s="1" t="s">
        <v>38</v>
      </c>
      <c r="K2461" s="1"/>
      <c r="L2461" s="1" t="s">
        <v>39</v>
      </c>
      <c r="M2461" s="1" t="str">
        <f>INDEX(MCC_Lookup!$B$2:$B$12,MATCH(G2461,MCC_Lookup!$A$2:$A$12,0))</f>
        <v>Office Supplies</v>
      </c>
      <c r="N2461" s="1" t="str">
        <f>IF(TRIM(H2461)="","BLANK",IF(PROPER(TRIM(H2461))=TRIM(M2461),"MATCH","MISMATCH"))</f>
        <v>MATCH</v>
      </c>
      <c r="O2461" s="5" t="str">
        <f>INDEX([1]Employee!$C$2:$C$276,MATCH(B2461,[1]Employee!$A$2:$A$276,0))</f>
        <v>Executive &amp; Corporate</v>
      </c>
    </row>
    <row r="2462" spans="1:15">
      <c r="A2462" s="1" t="s">
        <v>4869</v>
      </c>
      <c r="B2462" s="1" t="s">
        <v>496</v>
      </c>
      <c r="C2462" s="1" t="s">
        <v>4870</v>
      </c>
      <c r="D2462" s="2">
        <v>46159</v>
      </c>
      <c r="E2462" s="2">
        <v>46159</v>
      </c>
      <c r="F2462" s="1" t="s">
        <v>173</v>
      </c>
      <c r="G2462" s="1" t="s">
        <v>2</v>
      </c>
      <c r="H2462" s="1"/>
      <c r="I2462" s="7">
        <v>76.53</v>
      </c>
      <c r="J2462" s="1" t="s">
        <v>38</v>
      </c>
      <c r="K2462" s="1"/>
      <c r="L2462" s="1" t="s">
        <v>39</v>
      </c>
      <c r="M2462" s="1" t="str">
        <f>INDEX(MCC_Lookup!$B$2:$B$12,MATCH(G2462,MCC_Lookup!$A$2:$A$12,0))</f>
        <v>Meals</v>
      </c>
      <c r="N2462" s="1" t="str">
        <f>IF(TRIM(H2462)="","BLANK",IF(PROPER(TRIM(H2462))=TRIM(M2462),"MATCH","MISMATCH"))</f>
        <v>BLANK</v>
      </c>
      <c r="O2462" s="5" t="str">
        <f>INDEX([1]Employee!$C$2:$C$276,MATCH(B2462,[1]Employee!$A$2:$A$276,0))</f>
        <v>Actuarial &amp; Risk</v>
      </c>
    </row>
    <row r="2463" spans="1:15">
      <c r="A2463" s="1" t="s">
        <v>4871</v>
      </c>
      <c r="B2463" s="1" t="s">
        <v>182</v>
      </c>
      <c r="C2463" s="1" t="s">
        <v>4872</v>
      </c>
      <c r="D2463" s="2">
        <v>46152</v>
      </c>
      <c r="E2463" s="2">
        <v>46159</v>
      </c>
      <c r="F2463" s="1" t="s">
        <v>79</v>
      </c>
      <c r="G2463" s="1" t="s">
        <v>13</v>
      </c>
      <c r="H2463" s="1" t="s">
        <v>14</v>
      </c>
      <c r="I2463" s="7">
        <v>215.56</v>
      </c>
      <c r="J2463" s="1" t="s">
        <v>38</v>
      </c>
      <c r="K2463" s="1"/>
      <c r="L2463" s="1" t="s">
        <v>39</v>
      </c>
      <c r="M2463" s="1" t="str">
        <f>INDEX(MCC_Lookup!$B$2:$B$12,MATCH(G2463,MCC_Lookup!$A$2:$A$12,0))</f>
        <v>Software</v>
      </c>
      <c r="N2463" s="1" t="str">
        <f>IF(TRIM(H2463)="","BLANK",IF(PROPER(TRIM(H2463))=TRIM(M2463),"MATCH","MISMATCH"))</f>
        <v>MATCH</v>
      </c>
      <c r="O2463" s="5" t="str">
        <f>INDEX([1]Employee!$C$2:$C$276,MATCH(B2463,[1]Employee!$A$2:$A$276,0))</f>
        <v>Sales &amp; Marketing</v>
      </c>
    </row>
    <row r="2464" spans="1:15">
      <c r="A2464" s="1" t="s">
        <v>4873</v>
      </c>
      <c r="B2464" s="1" t="s">
        <v>303</v>
      </c>
      <c r="C2464" s="1" t="s">
        <v>4874</v>
      </c>
      <c r="D2464" s="2">
        <v>46152</v>
      </c>
      <c r="E2464" s="2">
        <v>46159</v>
      </c>
      <c r="F2464" s="1" t="s">
        <v>242</v>
      </c>
      <c r="G2464" s="1" t="s">
        <v>13</v>
      </c>
      <c r="H2464" s="1" t="s">
        <v>14</v>
      </c>
      <c r="I2464" s="7">
        <v>19.45</v>
      </c>
      <c r="J2464" s="1" t="s">
        <v>38</v>
      </c>
      <c r="K2464" s="1"/>
      <c r="L2464" s="1" t="s">
        <v>48</v>
      </c>
      <c r="M2464" s="1" t="str">
        <f>INDEX(MCC_Lookup!$B$2:$B$12,MATCH(G2464,MCC_Lookup!$A$2:$A$12,0))</f>
        <v>Software</v>
      </c>
      <c r="N2464" s="1" t="str">
        <f>IF(TRIM(H2464)="","BLANK",IF(PROPER(TRIM(H2464))=TRIM(M2464),"MATCH","MISMATCH"))</f>
        <v>MATCH</v>
      </c>
      <c r="O2464" s="5" t="str">
        <f>INDEX([1]Employee!$C$2:$C$276,MATCH(B2464,[1]Employee!$A$2:$A$276,0))</f>
        <v>Sales &amp; Marketing</v>
      </c>
    </row>
    <row r="2465" spans="1:15">
      <c r="A2465" s="1" t="s">
        <v>4875</v>
      </c>
      <c r="B2465" s="1" t="s">
        <v>210</v>
      </c>
      <c r="C2465" s="1" t="s">
        <v>4876</v>
      </c>
      <c r="D2465" s="2">
        <v>46156</v>
      </c>
      <c r="E2465" s="2">
        <v>46159</v>
      </c>
      <c r="F2465" s="1" t="s">
        <v>177</v>
      </c>
      <c r="G2465" s="1" t="s">
        <v>13</v>
      </c>
      <c r="H2465" s="1" t="s">
        <v>14</v>
      </c>
      <c r="I2465" s="7">
        <v>44.28</v>
      </c>
      <c r="J2465" s="1" t="s">
        <v>38</v>
      </c>
      <c r="K2465" s="1"/>
      <c r="L2465" s="1" t="s">
        <v>48</v>
      </c>
      <c r="M2465" s="1" t="str">
        <f>INDEX(MCC_Lookup!$B$2:$B$12,MATCH(G2465,MCC_Lookup!$A$2:$A$12,0))</f>
        <v>Software</v>
      </c>
      <c r="N2465" s="1" t="str">
        <f>IF(TRIM(H2465)="","BLANK",IF(PROPER(TRIM(H2465))=TRIM(M2465),"MATCH","MISMATCH"))</f>
        <v>MATCH</v>
      </c>
      <c r="O2465" s="5" t="str">
        <f>INDEX([1]Employee!$C$2:$C$276,MATCH(B2465,[1]Employee!$A$2:$A$276,0))</f>
        <v>Sales &amp; Marketing</v>
      </c>
    </row>
    <row r="2466" spans="1:15">
      <c r="A2466" s="1" t="s">
        <v>4877</v>
      </c>
      <c r="B2466" s="1" t="s">
        <v>349</v>
      </c>
      <c r="C2466" s="1" t="s">
        <v>4878</v>
      </c>
      <c r="D2466" s="2">
        <v>46154</v>
      </c>
      <c r="E2466" s="2">
        <v>46159</v>
      </c>
      <c r="F2466" s="1" t="s">
        <v>72</v>
      </c>
      <c r="G2466" s="1" t="s">
        <v>8</v>
      </c>
      <c r="H2466" s="1" t="s">
        <v>435</v>
      </c>
      <c r="I2466" s="7">
        <v>10.95</v>
      </c>
      <c r="J2466" s="1" t="s">
        <v>38</v>
      </c>
      <c r="K2466" s="1"/>
      <c r="L2466" s="1" t="s">
        <v>39</v>
      </c>
      <c r="M2466" s="1" t="str">
        <f>INDEX(MCC_Lookup!$B$2:$B$12,MATCH(G2466,MCC_Lookup!$A$2:$A$12,0))</f>
        <v>Transportation</v>
      </c>
      <c r="N2466" s="1" t="str">
        <f>IF(TRIM(H2466)="","BLANK",IF(PROPER(TRIM(H2466))=TRIM(M2466),"MATCH","MISMATCH"))</f>
        <v>MATCH</v>
      </c>
      <c r="O2466" s="5" t="str">
        <f>INDEX([1]Employee!$C$2:$C$276,MATCH(B2466,[1]Employee!$A$2:$A$276,0))</f>
        <v>Sales &amp; Marketing</v>
      </c>
    </row>
    <row r="2467" spans="1:15">
      <c r="A2467" s="1" t="s">
        <v>4879</v>
      </c>
      <c r="B2467" s="1" t="s">
        <v>2877</v>
      </c>
      <c r="C2467" s="1" t="s">
        <v>4880</v>
      </c>
      <c r="D2467" s="2">
        <v>46152</v>
      </c>
      <c r="E2467" s="2">
        <v>46159</v>
      </c>
      <c r="F2467" s="1" t="s">
        <v>305</v>
      </c>
      <c r="G2467" s="1" t="s">
        <v>2</v>
      </c>
      <c r="H2467" s="1" t="s">
        <v>3</v>
      </c>
      <c r="I2467" s="7">
        <v>10.86</v>
      </c>
      <c r="J2467" s="1" t="s">
        <v>38</v>
      </c>
      <c r="K2467" s="1"/>
      <c r="L2467" s="1" t="s">
        <v>39</v>
      </c>
      <c r="M2467" s="1" t="str">
        <f>INDEX(MCC_Lookup!$B$2:$B$12,MATCH(G2467,MCC_Lookup!$A$2:$A$12,0))</f>
        <v>Meals</v>
      </c>
      <c r="N2467" s="1" t="str">
        <f>IF(TRIM(H2467)="","BLANK",IF(PROPER(TRIM(H2467))=TRIM(M2467),"MATCH","MISMATCH"))</f>
        <v>MATCH</v>
      </c>
      <c r="O2467" s="5" t="str">
        <f>INDEX([1]Employee!$C$2:$C$276,MATCH(B2467,[1]Employee!$A$2:$A$276,0))</f>
        <v>Actuarial &amp; Risk</v>
      </c>
    </row>
    <row r="2468" spans="1:15">
      <c r="A2468" s="1" t="s">
        <v>4881</v>
      </c>
      <c r="B2468" s="1" t="s">
        <v>146</v>
      </c>
      <c r="C2468" s="1" t="s">
        <v>4882</v>
      </c>
      <c r="D2468" s="2">
        <v>46155</v>
      </c>
      <c r="E2468" s="2">
        <v>46159</v>
      </c>
      <c r="F2468" s="1" t="s">
        <v>2319</v>
      </c>
      <c r="G2468" s="1" t="s">
        <v>15</v>
      </c>
      <c r="H2468" s="1" t="s">
        <v>16</v>
      </c>
      <c r="I2468" s="7">
        <v>31.36</v>
      </c>
      <c r="J2468" s="1" t="s">
        <v>38</v>
      </c>
      <c r="K2468" s="1"/>
      <c r="L2468" s="1" t="s">
        <v>39</v>
      </c>
      <c r="M2468" s="1" t="str">
        <f>INDEX(MCC_Lookup!$B$2:$B$12,MATCH(G2468,MCC_Lookup!$A$2:$A$12,0))</f>
        <v>Entertainment</v>
      </c>
      <c r="N2468" s="1" t="str">
        <f>IF(TRIM(H2468)="","BLANK",IF(PROPER(TRIM(H2468))=TRIM(M2468),"MATCH","MISMATCH"))</f>
        <v>MATCH</v>
      </c>
      <c r="O2468" s="5" t="str">
        <f>INDEX([1]Employee!$C$2:$C$276,MATCH(B2468,[1]Employee!$A$2:$A$276,0))</f>
        <v>HR &amp; Events</v>
      </c>
    </row>
    <row r="2469" spans="1:15">
      <c r="A2469" s="1" t="s">
        <v>4883</v>
      </c>
      <c r="B2469" s="1" t="s">
        <v>550</v>
      </c>
      <c r="C2469" s="1" t="s">
        <v>4884</v>
      </c>
      <c r="D2469" s="2">
        <v>46150</v>
      </c>
      <c r="E2469" s="2">
        <v>46159</v>
      </c>
      <c r="F2469" s="1" t="s">
        <v>47</v>
      </c>
      <c r="G2469" s="1" t="s">
        <v>6</v>
      </c>
      <c r="H2469" s="1" t="s">
        <v>7</v>
      </c>
      <c r="I2469" s="7">
        <v>250.84</v>
      </c>
      <c r="J2469" s="1" t="s">
        <v>38</v>
      </c>
      <c r="K2469" s="1"/>
      <c r="L2469" s="1" t="s">
        <v>39</v>
      </c>
      <c r="M2469" s="1" t="str">
        <f>INDEX(MCC_Lookup!$B$2:$B$12,MATCH(G2469,MCC_Lookup!$A$2:$A$12,0))</f>
        <v>Lodging</v>
      </c>
      <c r="N2469" s="1" t="str">
        <f>IF(TRIM(H2469)="","BLANK",IF(PROPER(TRIM(H2469))=TRIM(M2469),"MATCH","MISMATCH"))</f>
        <v>MATCH</v>
      </c>
      <c r="O2469" s="5" t="str">
        <f>INDEX([1]Employee!$C$2:$C$276,MATCH(B2469,[1]Employee!$A$2:$A$276,0))</f>
        <v>Sales &amp; Marketing</v>
      </c>
    </row>
    <row r="2470" spans="1:15">
      <c r="A2470" s="1" t="s">
        <v>4885</v>
      </c>
      <c r="B2470" s="1" t="s">
        <v>81</v>
      </c>
      <c r="C2470" s="1" t="s">
        <v>4886</v>
      </c>
      <c r="D2470" s="2">
        <v>46152</v>
      </c>
      <c r="E2470" s="2">
        <v>46159</v>
      </c>
      <c r="F2470" s="1" t="s">
        <v>99</v>
      </c>
      <c r="G2470" s="1" t="s">
        <v>2</v>
      </c>
      <c r="H2470" s="1" t="s">
        <v>3</v>
      </c>
      <c r="I2470" s="7">
        <v>36.049999999999997</v>
      </c>
      <c r="J2470" s="1" t="s">
        <v>38</v>
      </c>
      <c r="K2470" s="1"/>
      <c r="L2470" s="1" t="s">
        <v>39</v>
      </c>
      <c r="M2470" s="1" t="str">
        <f>INDEX(MCC_Lookup!$B$2:$B$12,MATCH(G2470,MCC_Lookup!$A$2:$A$12,0))</f>
        <v>Meals</v>
      </c>
      <c r="N2470" s="1" t="str">
        <f>IF(TRIM(H2470)="","BLANK",IF(PROPER(TRIM(H2470))=TRIM(M2470),"MATCH","MISMATCH"))</f>
        <v>MATCH</v>
      </c>
      <c r="O2470" s="5" t="str">
        <f>INDEX([1]Employee!$C$2:$C$276,MATCH(B2470,[1]Employee!$A$2:$A$276,0))</f>
        <v>Sales &amp; Marketing</v>
      </c>
    </row>
    <row r="2471" spans="1:15">
      <c r="A2471" s="1" t="s">
        <v>4887</v>
      </c>
      <c r="B2471" s="1" t="s">
        <v>821</v>
      </c>
      <c r="C2471" s="1" t="s">
        <v>4888</v>
      </c>
      <c r="D2471" s="2">
        <v>46154</v>
      </c>
      <c r="E2471" s="2">
        <v>46159</v>
      </c>
      <c r="F2471" s="1" t="s">
        <v>83</v>
      </c>
      <c r="G2471" s="1" t="s">
        <v>2</v>
      </c>
      <c r="H2471" s="1" t="s">
        <v>3</v>
      </c>
      <c r="I2471" s="7">
        <v>15.77</v>
      </c>
      <c r="J2471" s="1" t="s">
        <v>38</v>
      </c>
      <c r="K2471" s="1"/>
      <c r="L2471" s="1" t="s">
        <v>39</v>
      </c>
      <c r="M2471" s="1" t="str">
        <f>INDEX(MCC_Lookup!$B$2:$B$12,MATCH(G2471,MCC_Lookup!$A$2:$A$12,0))</f>
        <v>Meals</v>
      </c>
      <c r="N2471" s="1" t="str">
        <f>IF(TRIM(H2471)="","BLANK",IF(PROPER(TRIM(H2471))=TRIM(M2471),"MATCH","MISMATCH"))</f>
        <v>MATCH</v>
      </c>
      <c r="O2471" s="5" t="str">
        <f>INDEX([1]Employee!$C$2:$C$276,MATCH(B2471,[1]Employee!$A$2:$A$276,0))</f>
        <v>Claims</v>
      </c>
    </row>
    <row r="2472" spans="1:15">
      <c r="A2472" s="1" t="s">
        <v>4889</v>
      </c>
      <c r="B2472" s="1" t="s">
        <v>35</v>
      </c>
      <c r="C2472" s="1" t="s">
        <v>4890</v>
      </c>
      <c r="D2472" s="2">
        <v>46159</v>
      </c>
      <c r="E2472" s="2">
        <v>46159</v>
      </c>
      <c r="F2472" s="1" t="s">
        <v>120</v>
      </c>
      <c r="G2472" s="1" t="s">
        <v>12</v>
      </c>
      <c r="H2472" s="1" t="s">
        <v>11</v>
      </c>
      <c r="I2472" s="7">
        <v>101.18</v>
      </c>
      <c r="J2472" s="1" t="s">
        <v>38</v>
      </c>
      <c r="K2472" s="1"/>
      <c r="L2472" s="1" t="s">
        <v>39</v>
      </c>
      <c r="M2472" s="1" t="str">
        <f>INDEX(MCC_Lookup!$B$2:$B$12,MATCH(G2472,MCC_Lookup!$A$2:$A$12,0))</f>
        <v>Office Supplies</v>
      </c>
      <c r="N2472" s="1" t="str">
        <f>IF(TRIM(H2472)="","BLANK",IF(PROPER(TRIM(H2472))=TRIM(M2472),"MATCH","MISMATCH"))</f>
        <v>MATCH</v>
      </c>
      <c r="O2472" s="5" t="str">
        <f>INDEX([1]Employee!$C$2:$C$276,MATCH(B2472,[1]Employee!$A$2:$A$276,0))</f>
        <v>Sales &amp; Marketing</v>
      </c>
    </row>
    <row r="2473" spans="1:15">
      <c r="A2473" s="1" t="s">
        <v>4891</v>
      </c>
      <c r="B2473" s="1" t="s">
        <v>118</v>
      </c>
      <c r="C2473" s="1" t="s">
        <v>4892</v>
      </c>
      <c r="D2473" s="2">
        <v>46157</v>
      </c>
      <c r="E2473" s="2">
        <v>46159</v>
      </c>
      <c r="F2473" s="1" t="s">
        <v>56</v>
      </c>
      <c r="G2473" s="1" t="s">
        <v>4</v>
      </c>
      <c r="H2473" s="1" t="s">
        <v>5</v>
      </c>
      <c r="I2473" s="7">
        <v>610.59</v>
      </c>
      <c r="J2473" s="1" t="s">
        <v>38</v>
      </c>
      <c r="K2473" s="1"/>
      <c r="L2473" s="1" t="s">
        <v>39</v>
      </c>
      <c r="M2473" s="1" t="str">
        <f>INDEX(MCC_Lookup!$B$2:$B$12,MATCH(G2473,MCC_Lookup!$A$2:$A$12,0))</f>
        <v>Travel</v>
      </c>
      <c r="N2473" s="1" t="str">
        <f>IF(TRIM(H2473)="","BLANK",IF(PROPER(TRIM(H2473))=TRIM(M2473),"MATCH","MISMATCH"))</f>
        <v>MATCH</v>
      </c>
      <c r="O2473" s="5" t="str">
        <f>INDEX([1]Employee!$C$2:$C$276,MATCH(B2473,[1]Employee!$A$2:$A$276,0))</f>
        <v>Underwriting</v>
      </c>
    </row>
    <row r="2474" spans="1:15">
      <c r="A2474" s="1" t="s">
        <v>4893</v>
      </c>
      <c r="B2474" s="1" t="s">
        <v>1595</v>
      </c>
      <c r="C2474" s="1" t="s">
        <v>4894</v>
      </c>
      <c r="D2474" s="2">
        <v>46149</v>
      </c>
      <c r="E2474" s="2">
        <v>46159</v>
      </c>
      <c r="F2474" s="1" t="s">
        <v>83</v>
      </c>
      <c r="G2474" s="1" t="s">
        <v>2</v>
      </c>
      <c r="H2474" s="1" t="s">
        <v>3</v>
      </c>
      <c r="I2474" s="7">
        <v>19.71</v>
      </c>
      <c r="J2474" s="1" t="s">
        <v>38</v>
      </c>
      <c r="K2474" s="1"/>
      <c r="L2474" s="1" t="s">
        <v>39</v>
      </c>
      <c r="M2474" s="1" t="str">
        <f>INDEX(MCC_Lookup!$B$2:$B$12,MATCH(G2474,MCC_Lookup!$A$2:$A$12,0))</f>
        <v>Meals</v>
      </c>
      <c r="N2474" s="1" t="str">
        <f>IF(TRIM(H2474)="","BLANK",IF(PROPER(TRIM(H2474))=TRIM(M2474),"MATCH","MISMATCH"))</f>
        <v>MATCH</v>
      </c>
      <c r="O2474" s="5" t="str">
        <f>INDEX([1]Employee!$C$2:$C$276,MATCH(B2474,[1]Employee!$A$2:$A$276,0))</f>
        <v>HR &amp; Events</v>
      </c>
    </row>
    <row r="2475" spans="1:15">
      <c r="A2475" s="1" t="s">
        <v>4895</v>
      </c>
      <c r="B2475" s="1" t="s">
        <v>915</v>
      </c>
      <c r="C2475" s="1" t="s">
        <v>4896</v>
      </c>
      <c r="D2475" s="2">
        <v>46151</v>
      </c>
      <c r="E2475" s="2">
        <v>46159</v>
      </c>
      <c r="F2475" s="1" t="s">
        <v>120</v>
      </c>
      <c r="G2475" s="1" t="s">
        <v>12</v>
      </c>
      <c r="H2475" s="1" t="s">
        <v>11</v>
      </c>
      <c r="I2475" s="7">
        <v>155.94999999999999</v>
      </c>
      <c r="J2475" s="1" t="s">
        <v>38</v>
      </c>
      <c r="K2475" s="1"/>
      <c r="L2475" s="1" t="s">
        <v>39</v>
      </c>
      <c r="M2475" s="1" t="str">
        <f>INDEX(MCC_Lookup!$B$2:$B$12,MATCH(G2475,MCC_Lookup!$A$2:$A$12,0))</f>
        <v>Office Supplies</v>
      </c>
      <c r="N2475" s="1" t="str">
        <f>IF(TRIM(H2475)="","BLANK",IF(PROPER(TRIM(H2475))=TRIM(M2475),"MATCH","MISMATCH"))</f>
        <v>MATCH</v>
      </c>
      <c r="O2475" s="5" t="str">
        <f>INDEX([1]Employee!$C$2:$C$276,MATCH(B2475,[1]Employee!$A$2:$A$276,0))</f>
        <v>Sales &amp; Marketing</v>
      </c>
    </row>
    <row r="2476" spans="1:15">
      <c r="A2476" s="1" t="s">
        <v>4897</v>
      </c>
      <c r="B2476" s="1" t="s">
        <v>631</v>
      </c>
      <c r="C2476" s="1"/>
      <c r="D2476" s="2">
        <v>46150</v>
      </c>
      <c r="E2476" s="2">
        <v>46160</v>
      </c>
      <c r="F2476" s="1" t="s">
        <v>201</v>
      </c>
      <c r="G2476" s="1" t="s">
        <v>4</v>
      </c>
      <c r="H2476" s="1" t="s">
        <v>5</v>
      </c>
      <c r="I2476" s="7">
        <v>389.11</v>
      </c>
      <c r="J2476" s="1" t="s">
        <v>38</v>
      </c>
      <c r="K2476" s="1"/>
      <c r="L2476" s="1" t="s">
        <v>39</v>
      </c>
      <c r="M2476" s="1" t="str">
        <f>INDEX(MCC_Lookup!$B$2:$B$12,MATCH(G2476,MCC_Lookup!$A$2:$A$12,0))</f>
        <v>Travel</v>
      </c>
      <c r="N2476" s="1" t="str">
        <f>IF(TRIM(H2476)="","BLANK",IF(PROPER(TRIM(H2476))=TRIM(M2476),"MATCH","MISMATCH"))</f>
        <v>MATCH</v>
      </c>
      <c r="O2476" s="5" t="str">
        <f>INDEX([1]Employee!$C$2:$C$276,MATCH(B2476,[1]Employee!$A$2:$A$276,0))</f>
        <v>Claims</v>
      </c>
    </row>
    <row r="2477" spans="1:15">
      <c r="A2477" s="1" t="s">
        <v>4898</v>
      </c>
      <c r="B2477" s="1" t="s">
        <v>104</v>
      </c>
      <c r="C2477" s="1"/>
      <c r="D2477" s="2">
        <v>46159</v>
      </c>
      <c r="E2477" s="2">
        <v>46160</v>
      </c>
      <c r="F2477" s="1" t="s">
        <v>56</v>
      </c>
      <c r="G2477" s="1" t="s">
        <v>4</v>
      </c>
      <c r="H2477" s="1" t="s">
        <v>5</v>
      </c>
      <c r="I2477" s="7">
        <v>437.33</v>
      </c>
      <c r="J2477" s="1" t="s">
        <v>38</v>
      </c>
      <c r="K2477" s="1"/>
      <c r="L2477" s="1" t="s">
        <v>39</v>
      </c>
      <c r="M2477" s="1" t="str">
        <f>INDEX(MCC_Lookup!$B$2:$B$12,MATCH(G2477,MCC_Lookup!$A$2:$A$12,0))</f>
        <v>Travel</v>
      </c>
      <c r="N2477" s="1" t="str">
        <f>IF(TRIM(H2477)="","BLANK",IF(PROPER(TRIM(H2477))=TRIM(M2477),"MATCH","MISMATCH"))</f>
        <v>MATCH</v>
      </c>
      <c r="O2477" s="5" t="str">
        <f>INDEX([1]Employee!$C$2:$C$276,MATCH(B2477,[1]Employee!$A$2:$A$276,0))</f>
        <v>Sales &amp; Marketing</v>
      </c>
    </row>
    <row r="2478" spans="1:15">
      <c r="A2478" s="1" t="s">
        <v>4899</v>
      </c>
      <c r="B2478" s="1" t="s">
        <v>1188</v>
      </c>
      <c r="C2478" s="1"/>
      <c r="D2478" s="2">
        <v>46158</v>
      </c>
      <c r="E2478" s="2">
        <v>46160</v>
      </c>
      <c r="F2478" s="1" t="s">
        <v>242</v>
      </c>
      <c r="G2478" s="1" t="s">
        <v>13</v>
      </c>
      <c r="H2478" s="1"/>
      <c r="I2478" s="7">
        <v>47.88</v>
      </c>
      <c r="J2478" s="1" t="s">
        <v>38</v>
      </c>
      <c r="K2478" s="1"/>
      <c r="L2478" s="1" t="s">
        <v>39</v>
      </c>
      <c r="M2478" s="1" t="str">
        <f>INDEX(MCC_Lookup!$B$2:$B$12,MATCH(G2478,MCC_Lookup!$A$2:$A$12,0))</f>
        <v>Software</v>
      </c>
      <c r="N2478" s="1" t="str">
        <f>IF(TRIM(H2478)="","BLANK",IF(PROPER(TRIM(H2478))=TRIM(M2478),"MATCH","MISMATCH"))</f>
        <v>BLANK</v>
      </c>
      <c r="O2478" s="5" t="str">
        <f>INDEX([1]Employee!$C$2:$C$276,MATCH(B2478,[1]Employee!$A$2:$A$276,0))</f>
        <v>Executive &amp; Corporate</v>
      </c>
    </row>
    <row r="2479" spans="1:15">
      <c r="A2479" s="1" t="s">
        <v>4900</v>
      </c>
      <c r="B2479" s="1" t="s">
        <v>194</v>
      </c>
      <c r="C2479" s="1" t="s">
        <v>4901</v>
      </c>
      <c r="D2479" s="2">
        <v>46157</v>
      </c>
      <c r="E2479" s="2">
        <v>46160</v>
      </c>
      <c r="F2479" s="1" t="s">
        <v>109</v>
      </c>
      <c r="G2479" s="1" t="s">
        <v>18</v>
      </c>
      <c r="H2479" s="1" t="s">
        <v>19</v>
      </c>
      <c r="I2479" s="7">
        <v>128.72</v>
      </c>
      <c r="J2479" s="1" t="s">
        <v>38</v>
      </c>
      <c r="K2479" s="1"/>
      <c r="L2479" s="1" t="s">
        <v>39</v>
      </c>
      <c r="M2479" s="1" t="str">
        <f>INDEX(MCC_Lookup!$B$2:$B$12,MATCH(G2479,MCC_Lookup!$A$2:$A$12,0))</f>
        <v>Events</v>
      </c>
      <c r="N2479" s="1" t="str">
        <f>IF(TRIM(H2479)="","BLANK",IF(PROPER(TRIM(H2479))=TRIM(M2479),"MATCH","MISMATCH"))</f>
        <v>MATCH</v>
      </c>
      <c r="O2479" s="5" t="str">
        <f>INDEX([1]Employee!$C$2:$C$276,MATCH(B2479,[1]Employee!$A$2:$A$276,0))</f>
        <v>Claims</v>
      </c>
    </row>
    <row r="2480" spans="1:15">
      <c r="A2480" s="1" t="s">
        <v>4902</v>
      </c>
      <c r="B2480" s="1" t="s">
        <v>1632</v>
      </c>
      <c r="C2480" s="1" t="s">
        <v>4903</v>
      </c>
      <c r="D2480" s="2">
        <v>46158</v>
      </c>
      <c r="E2480" s="2">
        <v>46160</v>
      </c>
      <c r="F2480" s="1" t="s">
        <v>124</v>
      </c>
      <c r="G2480" s="1" t="s">
        <v>17</v>
      </c>
      <c r="H2480" s="1" t="s">
        <v>16</v>
      </c>
      <c r="I2480" s="7">
        <v>184.47</v>
      </c>
      <c r="J2480" s="1" t="s">
        <v>38</v>
      </c>
      <c r="K2480" s="1"/>
      <c r="L2480" s="1" t="s">
        <v>39</v>
      </c>
      <c r="M2480" s="1" t="str">
        <f>INDEX(MCC_Lookup!$B$2:$B$12,MATCH(G2480,MCC_Lookup!$A$2:$A$12,0))</f>
        <v>Entertainment</v>
      </c>
      <c r="N2480" s="1" t="str">
        <f>IF(TRIM(H2480)="","BLANK",IF(PROPER(TRIM(H2480))=TRIM(M2480),"MATCH","MISMATCH"))</f>
        <v>MATCH</v>
      </c>
      <c r="O2480" s="5" t="str">
        <f>INDEX([1]Employee!$C$2:$C$276,MATCH(B2480,[1]Employee!$A$2:$A$276,0))</f>
        <v>HR &amp; Events</v>
      </c>
    </row>
    <row r="2481" spans="1:15">
      <c r="A2481" s="1" t="s">
        <v>4904</v>
      </c>
      <c r="B2481" s="1" t="s">
        <v>50</v>
      </c>
      <c r="C2481" s="1" t="s">
        <v>4905</v>
      </c>
      <c r="D2481" s="2">
        <v>46150</v>
      </c>
      <c r="E2481" s="2">
        <v>46160</v>
      </c>
      <c r="F2481" s="1" t="s">
        <v>56</v>
      </c>
      <c r="G2481" s="1" t="s">
        <v>4</v>
      </c>
      <c r="H2481" s="1" t="s">
        <v>5</v>
      </c>
      <c r="I2481" s="7">
        <v>522.25</v>
      </c>
      <c r="J2481" s="1" t="s">
        <v>38</v>
      </c>
      <c r="K2481" s="1"/>
      <c r="L2481" s="1" t="s">
        <v>39</v>
      </c>
      <c r="M2481" s="1" t="str">
        <f>INDEX(MCC_Lookup!$B$2:$B$12,MATCH(G2481,MCC_Lookup!$A$2:$A$12,0))</f>
        <v>Travel</v>
      </c>
      <c r="N2481" s="1" t="str">
        <f>IF(TRIM(H2481)="","BLANK",IF(PROPER(TRIM(H2481))=TRIM(M2481),"MATCH","MISMATCH"))</f>
        <v>MATCH</v>
      </c>
      <c r="O2481" s="5" t="str">
        <f>INDEX([1]Employee!$C$2:$C$276,MATCH(B2481,[1]Employee!$A$2:$A$276,0))</f>
        <v>Sales &amp; Marketing</v>
      </c>
    </row>
    <row r="2482" spans="1:15">
      <c r="A2482" s="1" t="s">
        <v>4906</v>
      </c>
      <c r="B2482" s="1" t="s">
        <v>512</v>
      </c>
      <c r="C2482" s="1" t="s">
        <v>4907</v>
      </c>
      <c r="D2482" s="2">
        <v>46160</v>
      </c>
      <c r="E2482" s="2">
        <v>46160</v>
      </c>
      <c r="F2482" s="1" t="s">
        <v>92</v>
      </c>
      <c r="G2482" s="1" t="s">
        <v>10</v>
      </c>
      <c r="H2482" s="1" t="s">
        <v>11</v>
      </c>
      <c r="I2482" s="7">
        <v>38.700000000000003</v>
      </c>
      <c r="J2482" s="1" t="s">
        <v>38</v>
      </c>
      <c r="K2482" s="1"/>
      <c r="L2482" s="1" t="s">
        <v>39</v>
      </c>
      <c r="M2482" s="1" t="str">
        <f>INDEX(MCC_Lookup!$B$2:$B$12,MATCH(G2482,MCC_Lookup!$A$2:$A$12,0))</f>
        <v>Office Supplies</v>
      </c>
      <c r="N2482" s="1" t="str">
        <f>IF(TRIM(H2482)="","BLANK",IF(PROPER(TRIM(H2482))=TRIM(M2482),"MATCH","MISMATCH"))</f>
        <v>MATCH</v>
      </c>
      <c r="O2482" s="5" t="str">
        <f>INDEX([1]Employee!$C$2:$C$276,MATCH(B2482,[1]Employee!$A$2:$A$276,0))</f>
        <v>Sales &amp; Marketing</v>
      </c>
    </row>
    <row r="2483" spans="1:15">
      <c r="A2483" s="1" t="s">
        <v>4908</v>
      </c>
      <c r="B2483" s="1" t="s">
        <v>59</v>
      </c>
      <c r="C2483" s="1" t="s">
        <v>4909</v>
      </c>
      <c r="D2483" s="2">
        <v>46159</v>
      </c>
      <c r="E2483" s="2">
        <v>46160</v>
      </c>
      <c r="F2483" s="1" t="s">
        <v>116</v>
      </c>
      <c r="G2483" s="1" t="s">
        <v>2</v>
      </c>
      <c r="H2483" s="1" t="s">
        <v>7</v>
      </c>
      <c r="I2483" s="7">
        <v>9.7200000000000006</v>
      </c>
      <c r="J2483" s="1" t="s">
        <v>38</v>
      </c>
      <c r="K2483" s="1"/>
      <c r="L2483" s="1" t="s">
        <v>39</v>
      </c>
      <c r="M2483" s="1" t="str">
        <f>INDEX(MCC_Lookup!$B$2:$B$12,MATCH(G2483,MCC_Lookup!$A$2:$A$12,0))</f>
        <v>Meals</v>
      </c>
      <c r="N2483" s="1" t="str">
        <f>IF(TRIM(H2483)="","BLANK",IF(PROPER(TRIM(H2483))=TRIM(M2483),"MATCH","MISMATCH"))</f>
        <v>MISMATCH</v>
      </c>
      <c r="O2483" s="5" t="str">
        <f>INDEX([1]Employee!$C$2:$C$276,MATCH(B2483,[1]Employee!$A$2:$A$276,0))</f>
        <v>Sales &amp; Marketing</v>
      </c>
    </row>
    <row r="2484" spans="1:15">
      <c r="A2484" s="1" t="s">
        <v>4910</v>
      </c>
      <c r="B2484" s="1" t="s">
        <v>81</v>
      </c>
      <c r="C2484" s="1" t="s">
        <v>4911</v>
      </c>
      <c r="D2484" s="2">
        <v>46159</v>
      </c>
      <c r="E2484" s="2">
        <v>46160</v>
      </c>
      <c r="F2484" s="1" t="s">
        <v>95</v>
      </c>
      <c r="G2484" s="1" t="s">
        <v>6</v>
      </c>
      <c r="H2484" s="1" t="s">
        <v>7</v>
      </c>
      <c r="I2484" s="7">
        <v>289.82</v>
      </c>
      <c r="J2484" s="1" t="s">
        <v>38</v>
      </c>
      <c r="K2484" s="1"/>
      <c r="L2484" s="1" t="s">
        <v>39</v>
      </c>
      <c r="M2484" s="1" t="str">
        <f>INDEX(MCC_Lookup!$B$2:$B$12,MATCH(G2484,MCC_Lookup!$A$2:$A$12,0))</f>
        <v>Lodging</v>
      </c>
      <c r="N2484" s="1" t="str">
        <f>IF(TRIM(H2484)="","BLANK",IF(PROPER(TRIM(H2484))=TRIM(M2484),"MATCH","MISMATCH"))</f>
        <v>MATCH</v>
      </c>
      <c r="O2484" s="5" t="str">
        <f>INDEX([1]Employee!$C$2:$C$276,MATCH(B2484,[1]Employee!$A$2:$A$276,0))</f>
        <v>Sales &amp; Marketing</v>
      </c>
    </row>
    <row r="2485" spans="1:15">
      <c r="A2485" s="1" t="s">
        <v>4912</v>
      </c>
      <c r="B2485" s="1" t="s">
        <v>81</v>
      </c>
      <c r="C2485" s="1" t="s">
        <v>4913</v>
      </c>
      <c r="D2485" s="2">
        <v>46160</v>
      </c>
      <c r="E2485" s="2">
        <v>46160</v>
      </c>
      <c r="F2485" s="1" t="s">
        <v>37</v>
      </c>
      <c r="G2485" s="1" t="s">
        <v>4</v>
      </c>
      <c r="H2485" s="1" t="s">
        <v>5</v>
      </c>
      <c r="I2485" s="7">
        <v>346.18</v>
      </c>
      <c r="J2485" s="1" t="s">
        <v>38</v>
      </c>
      <c r="K2485" s="1"/>
      <c r="L2485" s="1" t="s">
        <v>39</v>
      </c>
      <c r="M2485" s="1" t="str">
        <f>INDEX(MCC_Lookup!$B$2:$B$12,MATCH(G2485,MCC_Lookup!$A$2:$A$12,0))</f>
        <v>Travel</v>
      </c>
      <c r="N2485" s="1" t="str">
        <f>IF(TRIM(H2485)="","BLANK",IF(PROPER(TRIM(H2485))=TRIM(M2485),"MATCH","MISMATCH"))</f>
        <v>MATCH</v>
      </c>
      <c r="O2485" s="5" t="str">
        <f>INDEX([1]Employee!$C$2:$C$276,MATCH(B2485,[1]Employee!$A$2:$A$276,0))</f>
        <v>Sales &amp; Marketing</v>
      </c>
    </row>
    <row r="2486" spans="1:15">
      <c r="A2486" s="1" t="s">
        <v>4914</v>
      </c>
      <c r="B2486" s="1" t="s">
        <v>81</v>
      </c>
      <c r="C2486" s="1" t="s">
        <v>4915</v>
      </c>
      <c r="D2486" s="2">
        <v>46151</v>
      </c>
      <c r="E2486" s="2">
        <v>46160</v>
      </c>
      <c r="F2486" s="1" t="s">
        <v>83</v>
      </c>
      <c r="G2486" s="1" t="s">
        <v>2</v>
      </c>
      <c r="H2486" s="1" t="s">
        <v>3</v>
      </c>
      <c r="I2486" s="7">
        <v>25.43</v>
      </c>
      <c r="J2486" s="1" t="s">
        <v>38</v>
      </c>
      <c r="K2486" s="1"/>
      <c r="L2486" s="1" t="s">
        <v>39</v>
      </c>
      <c r="M2486" s="1" t="str">
        <f>INDEX(MCC_Lookup!$B$2:$B$12,MATCH(G2486,MCC_Lookup!$A$2:$A$12,0))</f>
        <v>Meals</v>
      </c>
      <c r="N2486" s="1" t="str">
        <f>IF(TRIM(H2486)="","BLANK",IF(PROPER(TRIM(H2486))=TRIM(M2486),"MATCH","MISMATCH"))</f>
        <v>MATCH</v>
      </c>
      <c r="O2486" s="5" t="str">
        <f>INDEX([1]Employee!$C$2:$C$276,MATCH(B2486,[1]Employee!$A$2:$A$276,0))</f>
        <v>Sales &amp; Marketing</v>
      </c>
    </row>
    <row r="2487" spans="1:15">
      <c r="A2487" s="1" t="s">
        <v>4916</v>
      </c>
      <c r="B2487" s="1" t="s">
        <v>597</v>
      </c>
      <c r="C2487" s="1" t="s">
        <v>4917</v>
      </c>
      <c r="D2487" s="2">
        <v>46156</v>
      </c>
      <c r="E2487" s="2">
        <v>46160</v>
      </c>
      <c r="F2487" s="1" t="s">
        <v>259</v>
      </c>
      <c r="G2487" s="1" t="s">
        <v>20</v>
      </c>
      <c r="H2487" s="1" t="s">
        <v>19</v>
      </c>
      <c r="I2487" s="7">
        <v>226.14</v>
      </c>
      <c r="J2487" s="1" t="s">
        <v>38</v>
      </c>
      <c r="K2487" s="1"/>
      <c r="L2487" s="1" t="s">
        <v>39</v>
      </c>
      <c r="M2487" s="1" t="str">
        <f>INDEX(MCC_Lookup!$B$2:$B$12,MATCH(G2487,MCC_Lookup!$A$2:$A$12,0))</f>
        <v>Events</v>
      </c>
      <c r="N2487" s="1" t="str">
        <f>IF(TRIM(H2487)="","BLANK",IF(PROPER(TRIM(H2487))=TRIM(M2487),"MATCH","MISMATCH"))</f>
        <v>MATCH</v>
      </c>
      <c r="O2487" s="5" t="str">
        <f>INDEX([1]Employee!$C$2:$C$276,MATCH(B2487,[1]Employee!$A$2:$A$276,0))</f>
        <v>Sales &amp; Marketing</v>
      </c>
    </row>
    <row r="2488" spans="1:15">
      <c r="A2488" s="1" t="s">
        <v>4918</v>
      </c>
      <c r="B2488" s="1" t="s">
        <v>187</v>
      </c>
      <c r="C2488" s="1" t="s">
        <v>4919</v>
      </c>
      <c r="D2488" s="2">
        <v>46159</v>
      </c>
      <c r="E2488" s="2">
        <v>46160</v>
      </c>
      <c r="F2488" s="1" t="s">
        <v>79</v>
      </c>
      <c r="G2488" s="1" t="s">
        <v>13</v>
      </c>
      <c r="H2488" s="1" t="s">
        <v>14</v>
      </c>
      <c r="I2488" s="7">
        <v>132.55000000000001</v>
      </c>
      <c r="J2488" s="1" t="s">
        <v>38</v>
      </c>
      <c r="K2488" s="1"/>
      <c r="L2488" s="1" t="s">
        <v>39</v>
      </c>
      <c r="M2488" s="1" t="str">
        <f>INDEX(MCC_Lookup!$B$2:$B$12,MATCH(G2488,MCC_Lookup!$A$2:$A$12,0))</f>
        <v>Software</v>
      </c>
      <c r="N2488" s="1" t="str">
        <f>IF(TRIM(H2488)="","BLANK",IF(PROPER(TRIM(H2488))=TRIM(M2488),"MATCH","MISMATCH"))</f>
        <v>MATCH</v>
      </c>
      <c r="O2488" s="5" t="str">
        <f>INDEX([1]Employee!$C$2:$C$276,MATCH(B2488,[1]Employee!$A$2:$A$276,0))</f>
        <v>HR &amp; Events</v>
      </c>
    </row>
    <row r="2489" spans="1:15">
      <c r="A2489" s="1" t="s">
        <v>4920</v>
      </c>
      <c r="B2489" s="1" t="s">
        <v>35</v>
      </c>
      <c r="C2489" s="1" t="s">
        <v>4921</v>
      </c>
      <c r="D2489" s="2">
        <v>46152</v>
      </c>
      <c r="E2489" s="2">
        <v>46160</v>
      </c>
      <c r="F2489" s="1" t="s">
        <v>52</v>
      </c>
      <c r="G2489" s="1" t="s">
        <v>15</v>
      </c>
      <c r="H2489" s="1" t="s">
        <v>16</v>
      </c>
      <c r="I2489" s="7">
        <v>30.22</v>
      </c>
      <c r="J2489" s="1" t="s">
        <v>38</v>
      </c>
      <c r="K2489" s="1"/>
      <c r="L2489" s="1" t="s">
        <v>48</v>
      </c>
      <c r="M2489" s="1" t="str">
        <f>INDEX(MCC_Lookup!$B$2:$B$12,MATCH(G2489,MCC_Lookup!$A$2:$A$12,0))</f>
        <v>Entertainment</v>
      </c>
      <c r="N2489" s="1" t="str">
        <f>IF(TRIM(H2489)="","BLANK",IF(PROPER(TRIM(H2489))=TRIM(M2489),"MATCH","MISMATCH"))</f>
        <v>MATCH</v>
      </c>
      <c r="O2489" s="5" t="str">
        <f>INDEX([1]Employee!$C$2:$C$276,MATCH(B2489,[1]Employee!$A$2:$A$276,0))</f>
        <v>Sales &amp; Marketing</v>
      </c>
    </row>
    <row r="2490" spans="1:15">
      <c r="A2490" s="1" t="s">
        <v>4922</v>
      </c>
      <c r="B2490" s="1" t="s">
        <v>108</v>
      </c>
      <c r="C2490" s="1" t="s">
        <v>4923</v>
      </c>
      <c r="D2490" s="2">
        <v>46160</v>
      </c>
      <c r="E2490" s="2">
        <v>46161</v>
      </c>
      <c r="F2490" s="1" t="s">
        <v>173</v>
      </c>
      <c r="G2490" s="1" t="s">
        <v>2</v>
      </c>
      <c r="H2490" s="1" t="s">
        <v>794</v>
      </c>
      <c r="I2490" s="7">
        <v>55.39</v>
      </c>
      <c r="J2490" s="1" t="s">
        <v>38</v>
      </c>
      <c r="K2490" s="1"/>
      <c r="L2490" s="1" t="s">
        <v>39</v>
      </c>
      <c r="M2490" s="1" t="str">
        <f>INDEX(MCC_Lookup!$B$2:$B$12,MATCH(G2490,MCC_Lookup!$A$2:$A$12,0))</f>
        <v>Meals</v>
      </c>
      <c r="N2490" s="1" t="str">
        <f>IF(TRIM(H2490)="","BLANK",IF(PROPER(TRIM(H2490))=TRIM(M2490),"MATCH","MISMATCH"))</f>
        <v>MATCH</v>
      </c>
      <c r="O2490" s="5" t="str">
        <f>INDEX([1]Employee!$C$2:$C$276,MATCH(B2490,[1]Employee!$A$2:$A$276,0))</f>
        <v>Sales &amp; Marketing</v>
      </c>
    </row>
    <row r="2491" spans="1:15">
      <c r="A2491" s="1" t="s">
        <v>4924</v>
      </c>
      <c r="B2491" s="1" t="s">
        <v>469</v>
      </c>
      <c r="C2491" s="1"/>
      <c r="D2491" s="2">
        <v>46157</v>
      </c>
      <c r="E2491" s="2">
        <v>46161</v>
      </c>
      <c r="F2491" s="1" t="s">
        <v>47</v>
      </c>
      <c r="G2491" s="1" t="s">
        <v>6</v>
      </c>
      <c r="H2491" s="1" t="s">
        <v>7</v>
      </c>
      <c r="I2491" s="7">
        <v>299.69</v>
      </c>
      <c r="J2491" s="1" t="s">
        <v>111</v>
      </c>
      <c r="K2491" s="1" t="s">
        <v>127</v>
      </c>
      <c r="L2491" s="1" t="s">
        <v>48</v>
      </c>
      <c r="M2491" s="1" t="str">
        <f>INDEX(MCC_Lookup!$B$2:$B$12,MATCH(G2491,MCC_Lookup!$A$2:$A$12,0))</f>
        <v>Lodging</v>
      </c>
      <c r="N2491" s="1" t="str">
        <f>IF(TRIM(H2491)="","BLANK",IF(PROPER(TRIM(H2491))=TRIM(M2491),"MATCH","MISMATCH"))</f>
        <v>MATCH</v>
      </c>
      <c r="O2491" s="5" t="str">
        <f>INDEX([1]Employee!$C$2:$C$276,MATCH(B2491,[1]Employee!$A$2:$A$276,0))</f>
        <v>Sales &amp; Marketing</v>
      </c>
    </row>
    <row r="2492" spans="1:15">
      <c r="A2492" s="1" t="s">
        <v>4925</v>
      </c>
      <c r="B2492" s="1" t="s">
        <v>469</v>
      </c>
      <c r="C2492" s="1"/>
      <c r="D2492" s="2">
        <v>46156</v>
      </c>
      <c r="E2492" s="2">
        <v>46161</v>
      </c>
      <c r="F2492" s="1" t="s">
        <v>79</v>
      </c>
      <c r="G2492" s="1" t="s">
        <v>13</v>
      </c>
      <c r="H2492" s="1" t="s">
        <v>14</v>
      </c>
      <c r="I2492" s="7">
        <v>245.69</v>
      </c>
      <c r="J2492" s="1" t="s">
        <v>111</v>
      </c>
      <c r="K2492" s="1" t="s">
        <v>127</v>
      </c>
      <c r="L2492" s="1" t="s">
        <v>39</v>
      </c>
      <c r="M2492" s="1" t="str">
        <f>INDEX(MCC_Lookup!$B$2:$B$12,MATCH(G2492,MCC_Lookup!$A$2:$A$12,0))</f>
        <v>Software</v>
      </c>
      <c r="N2492" s="1" t="str">
        <f>IF(TRIM(H2492)="","BLANK",IF(PROPER(TRIM(H2492))=TRIM(M2492),"MATCH","MISMATCH"))</f>
        <v>MATCH</v>
      </c>
      <c r="O2492" s="5" t="str">
        <f>INDEX([1]Employee!$C$2:$C$276,MATCH(B2492,[1]Employee!$A$2:$A$276,0))</f>
        <v>Sales &amp; Marketing</v>
      </c>
    </row>
    <row r="2493" spans="1:15">
      <c r="A2493" s="1" t="s">
        <v>4926</v>
      </c>
      <c r="B2493" s="1" t="s">
        <v>185</v>
      </c>
      <c r="C2493" s="1" t="s">
        <v>4927</v>
      </c>
      <c r="D2493" s="2">
        <v>46153</v>
      </c>
      <c r="E2493" s="2">
        <v>46161</v>
      </c>
      <c r="F2493" s="1" t="s">
        <v>83</v>
      </c>
      <c r="G2493" s="1" t="s">
        <v>2</v>
      </c>
      <c r="H2493" s="1" t="s">
        <v>3</v>
      </c>
      <c r="I2493" s="7">
        <v>13.54</v>
      </c>
      <c r="J2493" s="1" t="s">
        <v>38</v>
      </c>
      <c r="K2493" s="1"/>
      <c r="L2493" s="1" t="s">
        <v>39</v>
      </c>
      <c r="M2493" s="1" t="str">
        <f>INDEX(MCC_Lookup!$B$2:$B$12,MATCH(G2493,MCC_Lookup!$A$2:$A$12,0))</f>
        <v>Meals</v>
      </c>
      <c r="N2493" s="1" t="str">
        <f>IF(TRIM(H2493)="","BLANK",IF(PROPER(TRIM(H2493))=TRIM(M2493),"MATCH","MISMATCH"))</f>
        <v>MATCH</v>
      </c>
      <c r="O2493" s="5" t="str">
        <f>INDEX([1]Employee!$C$2:$C$276,MATCH(B2493,[1]Employee!$A$2:$A$276,0))</f>
        <v>Underwriting</v>
      </c>
    </row>
    <row r="2494" spans="1:15">
      <c r="A2494" s="1" t="s">
        <v>4928</v>
      </c>
      <c r="B2494" s="1" t="s">
        <v>152</v>
      </c>
      <c r="C2494" s="1" t="s">
        <v>4929</v>
      </c>
      <c r="D2494" s="2">
        <v>46158</v>
      </c>
      <c r="E2494" s="2">
        <v>46161</v>
      </c>
      <c r="F2494" s="1" t="s">
        <v>120</v>
      </c>
      <c r="G2494" s="1" t="s">
        <v>12</v>
      </c>
      <c r="H2494" s="1"/>
      <c r="I2494" s="7">
        <v>195.34</v>
      </c>
      <c r="J2494" s="1" t="s">
        <v>38</v>
      </c>
      <c r="K2494" s="1"/>
      <c r="L2494" s="1" t="s">
        <v>48</v>
      </c>
      <c r="M2494" s="1" t="str">
        <f>INDEX(MCC_Lookup!$B$2:$B$12,MATCH(G2494,MCC_Lookup!$A$2:$A$12,0))</f>
        <v>Office Supplies</v>
      </c>
      <c r="N2494" s="1" t="str">
        <f>IF(TRIM(H2494)="","BLANK",IF(PROPER(TRIM(H2494))=TRIM(M2494),"MATCH","MISMATCH"))</f>
        <v>BLANK</v>
      </c>
      <c r="O2494" s="5" t="str">
        <f>INDEX([1]Employee!$C$2:$C$276,MATCH(B2494,[1]Employee!$A$2:$A$276,0))</f>
        <v>Sales &amp; Marketing</v>
      </c>
    </row>
    <row r="2495" spans="1:15">
      <c r="A2495" s="1" t="s">
        <v>4930</v>
      </c>
      <c r="B2495" s="1" t="s">
        <v>1518</v>
      </c>
      <c r="C2495" s="1" t="s">
        <v>4931</v>
      </c>
      <c r="D2495" s="2">
        <v>46151</v>
      </c>
      <c r="E2495" s="2">
        <v>46161</v>
      </c>
      <c r="F2495" s="1" t="s">
        <v>37</v>
      </c>
      <c r="G2495" s="1" t="s">
        <v>4</v>
      </c>
      <c r="H2495" s="1" t="s">
        <v>5</v>
      </c>
      <c r="I2495" s="7">
        <v>420.04</v>
      </c>
      <c r="J2495" s="1" t="s">
        <v>38</v>
      </c>
      <c r="K2495" s="1"/>
      <c r="L2495" s="1" t="s">
        <v>39</v>
      </c>
      <c r="M2495" s="1" t="str">
        <f>INDEX(MCC_Lookup!$B$2:$B$12,MATCH(G2495,MCC_Lookup!$A$2:$A$12,0))</f>
        <v>Travel</v>
      </c>
      <c r="N2495" s="1" t="str">
        <f>IF(TRIM(H2495)="","BLANK",IF(PROPER(TRIM(H2495))=TRIM(M2495),"MATCH","MISMATCH"))</f>
        <v>MATCH</v>
      </c>
      <c r="O2495" s="5" t="str">
        <f>INDEX([1]Employee!$C$2:$C$276,MATCH(B2495,[1]Employee!$A$2:$A$276,0))</f>
        <v>HR &amp; Events</v>
      </c>
    </row>
    <row r="2496" spans="1:15">
      <c r="A2496" s="1" t="s">
        <v>4932</v>
      </c>
      <c r="B2496" s="1" t="s">
        <v>352</v>
      </c>
      <c r="C2496" s="1" t="s">
        <v>4933</v>
      </c>
      <c r="D2496" s="2">
        <v>46160</v>
      </c>
      <c r="E2496" s="2">
        <v>46161</v>
      </c>
      <c r="F2496" s="1" t="s">
        <v>106</v>
      </c>
      <c r="G2496" s="1" t="s">
        <v>13</v>
      </c>
      <c r="H2496" s="1" t="s">
        <v>192</v>
      </c>
      <c r="I2496" s="7">
        <v>223.34</v>
      </c>
      <c r="J2496" s="1" t="s">
        <v>38</v>
      </c>
      <c r="K2496" s="1"/>
      <c r="L2496" s="1" t="s">
        <v>39</v>
      </c>
      <c r="M2496" s="1" t="str">
        <f>INDEX(MCC_Lookup!$B$2:$B$12,MATCH(G2496,MCC_Lookup!$A$2:$A$12,0))</f>
        <v>Software</v>
      </c>
      <c r="N2496" s="1" t="str">
        <f>IF(TRIM(H2496)="","BLANK",IF(PROPER(TRIM(H2496))=TRIM(M2496),"MATCH","MISMATCH"))</f>
        <v>MATCH</v>
      </c>
      <c r="O2496" s="5" t="str">
        <f>INDEX([1]Employee!$C$2:$C$276,MATCH(B2496,[1]Employee!$A$2:$A$276,0))</f>
        <v>Sales &amp; Marketing</v>
      </c>
    </row>
    <row r="2497" spans="1:15">
      <c r="A2497" s="1" t="s">
        <v>4934</v>
      </c>
      <c r="B2497" s="1" t="s">
        <v>59</v>
      </c>
      <c r="C2497" s="1" t="s">
        <v>4935</v>
      </c>
      <c r="D2497" s="2">
        <v>46159</v>
      </c>
      <c r="E2497" s="2">
        <v>46161</v>
      </c>
      <c r="F2497" s="1" t="s">
        <v>43</v>
      </c>
      <c r="G2497" s="1" t="s">
        <v>2</v>
      </c>
      <c r="H2497" s="1" t="s">
        <v>3</v>
      </c>
      <c r="I2497" s="7">
        <v>22.77</v>
      </c>
      <c r="J2497" s="1" t="s">
        <v>38</v>
      </c>
      <c r="K2497" s="1"/>
      <c r="L2497" s="1" t="s">
        <v>39</v>
      </c>
      <c r="M2497" s="1" t="str">
        <f>INDEX(MCC_Lookup!$B$2:$B$12,MATCH(G2497,MCC_Lookup!$A$2:$A$12,0))</f>
        <v>Meals</v>
      </c>
      <c r="N2497" s="1" t="str">
        <f>IF(TRIM(H2497)="","BLANK",IF(PROPER(TRIM(H2497))=TRIM(M2497),"MATCH","MISMATCH"))</f>
        <v>MATCH</v>
      </c>
      <c r="O2497" s="5" t="str">
        <f>INDEX([1]Employee!$C$2:$C$276,MATCH(B2497,[1]Employee!$A$2:$A$276,0))</f>
        <v>Sales &amp; Marketing</v>
      </c>
    </row>
    <row r="2498" spans="1:15">
      <c r="A2498" s="1" t="s">
        <v>4936</v>
      </c>
      <c r="B2498" s="1" t="s">
        <v>651</v>
      </c>
      <c r="C2498" s="1" t="s">
        <v>4937</v>
      </c>
      <c r="D2498" s="2">
        <v>46159</v>
      </c>
      <c r="E2498" s="2">
        <v>46161</v>
      </c>
      <c r="F2498" s="1" t="s">
        <v>116</v>
      </c>
      <c r="G2498" s="1" t="s">
        <v>2</v>
      </c>
      <c r="H2498" s="1" t="s">
        <v>3</v>
      </c>
      <c r="I2498" s="7">
        <v>15.39</v>
      </c>
      <c r="J2498" s="1" t="s">
        <v>38</v>
      </c>
      <c r="K2498" s="1"/>
      <c r="L2498" s="1" t="s">
        <v>39</v>
      </c>
      <c r="M2498" s="1" t="str">
        <f>INDEX(MCC_Lookup!$B$2:$B$12,MATCH(G2498,MCC_Lookup!$A$2:$A$12,0))</f>
        <v>Meals</v>
      </c>
      <c r="N2498" s="1" t="str">
        <f>IF(TRIM(H2498)="","BLANK",IF(PROPER(TRIM(H2498))=TRIM(M2498),"MATCH","MISMATCH"))</f>
        <v>MATCH</v>
      </c>
      <c r="O2498" s="5" t="str">
        <f>INDEX([1]Employee!$C$2:$C$276,MATCH(B2498,[1]Employee!$A$2:$A$276,0))</f>
        <v>IT &amp; Platform Engineering</v>
      </c>
    </row>
    <row r="2499" spans="1:15">
      <c r="A2499" s="1" t="s">
        <v>4938</v>
      </c>
      <c r="B2499" s="1" t="s">
        <v>915</v>
      </c>
      <c r="C2499" s="1" t="s">
        <v>4939</v>
      </c>
      <c r="D2499" s="2">
        <v>46151</v>
      </c>
      <c r="E2499" s="2">
        <v>46161</v>
      </c>
      <c r="F2499" s="1" t="s">
        <v>173</v>
      </c>
      <c r="G2499" s="1" t="s">
        <v>2</v>
      </c>
      <c r="H2499" s="1" t="s">
        <v>3</v>
      </c>
      <c r="I2499" s="7">
        <v>21.63</v>
      </c>
      <c r="J2499" s="1" t="s">
        <v>38</v>
      </c>
      <c r="K2499" s="1"/>
      <c r="L2499" s="1" t="s">
        <v>48</v>
      </c>
      <c r="M2499" s="1" t="str">
        <f>INDEX(MCC_Lookup!$B$2:$B$12,MATCH(G2499,MCC_Lookup!$A$2:$A$12,0))</f>
        <v>Meals</v>
      </c>
      <c r="N2499" s="1" t="str">
        <f>IF(TRIM(H2499)="","BLANK",IF(PROPER(TRIM(H2499))=TRIM(M2499),"MATCH","MISMATCH"))</f>
        <v>MATCH</v>
      </c>
      <c r="O2499" s="5" t="str">
        <f>INDEX([1]Employee!$C$2:$C$276,MATCH(B2499,[1]Employee!$A$2:$A$276,0))</f>
        <v>Sales &amp; Marketing</v>
      </c>
    </row>
    <row r="2500" spans="1:15">
      <c r="A2500" s="1" t="s">
        <v>4940</v>
      </c>
      <c r="B2500" s="1" t="s">
        <v>661</v>
      </c>
      <c r="C2500" s="1" t="s">
        <v>4941</v>
      </c>
      <c r="D2500" s="2">
        <v>46153</v>
      </c>
      <c r="E2500" s="2">
        <v>46161</v>
      </c>
      <c r="F2500" s="1" t="s">
        <v>177</v>
      </c>
      <c r="G2500" s="1" t="s">
        <v>13</v>
      </c>
      <c r="H2500" s="1" t="s">
        <v>470</v>
      </c>
      <c r="I2500" s="7">
        <v>37.9</v>
      </c>
      <c r="J2500" s="1" t="s">
        <v>38</v>
      </c>
      <c r="K2500" s="1"/>
      <c r="L2500" s="1" t="s">
        <v>48</v>
      </c>
      <c r="M2500" s="1" t="str">
        <f>INDEX(MCC_Lookup!$B$2:$B$12,MATCH(G2500,MCC_Lookup!$A$2:$A$12,0))</f>
        <v>Software</v>
      </c>
      <c r="N2500" s="1" t="str">
        <f>IF(TRIM(H2500)="","BLANK",IF(PROPER(TRIM(H2500))=TRIM(M2500),"MATCH","MISMATCH"))</f>
        <v>MATCH</v>
      </c>
      <c r="O2500" s="5" t="str">
        <f>INDEX([1]Employee!$C$2:$C$276,MATCH(B2500,[1]Employee!$A$2:$A$276,0))</f>
        <v>Sales &amp; Marketing</v>
      </c>
    </row>
    <row r="2501" spans="1:15">
      <c r="A2501" s="1" t="s">
        <v>4942</v>
      </c>
      <c r="B2501" s="1" t="s">
        <v>63</v>
      </c>
      <c r="C2501" s="1"/>
      <c r="D2501" s="2">
        <v>46156</v>
      </c>
      <c r="E2501" s="2">
        <v>46161</v>
      </c>
      <c r="F2501" s="1" t="s">
        <v>160</v>
      </c>
      <c r="G2501" s="1" t="s">
        <v>6</v>
      </c>
      <c r="H2501" s="1" t="s">
        <v>7</v>
      </c>
      <c r="I2501" s="7">
        <v>406.15</v>
      </c>
      <c r="J2501" s="1" t="s">
        <v>38</v>
      </c>
      <c r="K2501" s="1"/>
      <c r="L2501" s="1" t="s">
        <v>39</v>
      </c>
      <c r="M2501" s="1" t="str">
        <f>INDEX(MCC_Lookup!$B$2:$B$12,MATCH(G2501,MCC_Lookup!$A$2:$A$12,0))</f>
        <v>Lodging</v>
      </c>
      <c r="N2501" s="1" t="str">
        <f>IF(TRIM(H2501)="","BLANK",IF(PROPER(TRIM(H2501))=TRIM(M2501),"MATCH","MISMATCH"))</f>
        <v>MATCH</v>
      </c>
      <c r="O2501" s="5" t="str">
        <f>INDEX([1]Employee!$C$2:$C$276,MATCH(B2501,[1]Employee!$A$2:$A$276,0))</f>
        <v>Sales &amp; Marketing</v>
      </c>
    </row>
    <row r="2502" spans="1:15">
      <c r="A2502" s="1" t="s">
        <v>4943</v>
      </c>
      <c r="B2502" s="1" t="s">
        <v>475</v>
      </c>
      <c r="C2502" s="1" t="s">
        <v>4944</v>
      </c>
      <c r="D2502" s="2">
        <v>46156</v>
      </c>
      <c r="E2502" s="2">
        <v>46161</v>
      </c>
      <c r="F2502" s="1" t="s">
        <v>56</v>
      </c>
      <c r="G2502" s="1" t="s">
        <v>4</v>
      </c>
      <c r="H2502" s="1" t="s">
        <v>5</v>
      </c>
      <c r="I2502" s="7">
        <v>297.99</v>
      </c>
      <c r="J2502" s="1" t="s">
        <v>38</v>
      </c>
      <c r="K2502" s="1"/>
      <c r="L2502" s="1" t="s">
        <v>39</v>
      </c>
      <c r="M2502" s="1" t="str">
        <f>INDEX(MCC_Lookup!$B$2:$B$12,MATCH(G2502,MCC_Lookup!$A$2:$A$12,0))</f>
        <v>Travel</v>
      </c>
      <c r="N2502" s="1" t="str">
        <f>IF(TRIM(H2502)="","BLANK",IF(PROPER(TRIM(H2502))=TRIM(M2502),"MATCH","MISMATCH"))</f>
        <v>MATCH</v>
      </c>
      <c r="O2502" s="5" t="str">
        <f>INDEX([1]Employee!$C$2:$C$276,MATCH(B2502,[1]Employee!$A$2:$A$276,0))</f>
        <v>Sales &amp; Marketing</v>
      </c>
    </row>
    <row r="2503" spans="1:15">
      <c r="A2503" s="1" t="s">
        <v>4945</v>
      </c>
      <c r="B2503" s="1" t="s">
        <v>4946</v>
      </c>
      <c r="C2503" s="1" t="s">
        <v>4947</v>
      </c>
      <c r="D2503" s="2">
        <v>46155</v>
      </c>
      <c r="E2503" s="2">
        <v>46161</v>
      </c>
      <c r="F2503" s="1" t="s">
        <v>177</v>
      </c>
      <c r="G2503" s="1" t="s">
        <v>13</v>
      </c>
      <c r="H2503" s="1" t="s">
        <v>14</v>
      </c>
      <c r="I2503" s="7">
        <v>26.46</v>
      </c>
      <c r="J2503" s="1" t="s">
        <v>38</v>
      </c>
      <c r="K2503" s="1"/>
      <c r="L2503" s="1" t="s">
        <v>39</v>
      </c>
      <c r="M2503" s="1" t="str">
        <f>INDEX(MCC_Lookup!$B$2:$B$12,MATCH(G2503,MCC_Lookup!$A$2:$A$12,0))</f>
        <v>Software</v>
      </c>
      <c r="N2503" s="1" t="str">
        <f>IF(TRIM(H2503)="","BLANK",IF(PROPER(TRIM(H2503))=TRIM(M2503),"MATCH","MISMATCH"))</f>
        <v>MATCH</v>
      </c>
      <c r="O2503" s="5" t="str">
        <f>INDEX([1]Employee!$C$2:$C$276,MATCH(B2503,[1]Employee!$A$2:$A$276,0))</f>
        <v>Customer Support</v>
      </c>
    </row>
    <row r="2504" spans="1:15">
      <c r="A2504" s="1" t="s">
        <v>4948</v>
      </c>
      <c r="B2504" s="1" t="s">
        <v>325</v>
      </c>
      <c r="C2504" s="1" t="s">
        <v>4949</v>
      </c>
      <c r="D2504" s="2">
        <v>46157</v>
      </c>
      <c r="E2504" s="2">
        <v>46161</v>
      </c>
      <c r="F2504" s="1" t="s">
        <v>52</v>
      </c>
      <c r="G2504" s="1" t="s">
        <v>15</v>
      </c>
      <c r="H2504" s="1" t="s">
        <v>16</v>
      </c>
      <c r="I2504" s="7">
        <v>22.12</v>
      </c>
      <c r="J2504" s="1" t="s">
        <v>38</v>
      </c>
      <c r="K2504" s="1"/>
      <c r="L2504" s="1" t="s">
        <v>39</v>
      </c>
      <c r="M2504" s="1" t="str">
        <f>INDEX(MCC_Lookup!$B$2:$B$12,MATCH(G2504,MCC_Lookup!$A$2:$A$12,0))</f>
        <v>Entertainment</v>
      </c>
      <c r="N2504" s="1" t="str">
        <f>IF(TRIM(H2504)="","BLANK",IF(PROPER(TRIM(H2504))=TRIM(M2504),"MATCH","MISMATCH"))</f>
        <v>MATCH</v>
      </c>
      <c r="O2504" s="5" t="str">
        <f>INDEX([1]Employee!$C$2:$C$276,MATCH(B2504,[1]Employee!$A$2:$A$276,0))</f>
        <v>Sales &amp; Marketing</v>
      </c>
    </row>
    <row r="2505" spans="1:15">
      <c r="A2505" s="1" t="s">
        <v>4950</v>
      </c>
      <c r="B2505" s="1" t="s">
        <v>836</v>
      </c>
      <c r="C2505" s="1" t="s">
        <v>4951</v>
      </c>
      <c r="D2505" s="2">
        <v>46157</v>
      </c>
      <c r="E2505" s="2">
        <v>46161</v>
      </c>
      <c r="F2505" s="1" t="s">
        <v>109</v>
      </c>
      <c r="G2505" s="1" t="s">
        <v>18</v>
      </c>
      <c r="H2505" s="1" t="s">
        <v>19</v>
      </c>
      <c r="I2505" s="7">
        <v>228.77</v>
      </c>
      <c r="J2505" s="1" t="s">
        <v>38</v>
      </c>
      <c r="K2505" s="1"/>
      <c r="L2505" s="1" t="s">
        <v>39</v>
      </c>
      <c r="M2505" s="1" t="str">
        <f>INDEX(MCC_Lookup!$B$2:$B$12,MATCH(G2505,MCC_Lookup!$A$2:$A$12,0))</f>
        <v>Events</v>
      </c>
      <c r="N2505" s="1" t="str">
        <f>IF(TRIM(H2505)="","BLANK",IF(PROPER(TRIM(H2505))=TRIM(M2505),"MATCH","MISMATCH"))</f>
        <v>MATCH</v>
      </c>
      <c r="O2505" s="5" t="str">
        <f>INDEX([1]Employee!$C$2:$C$276,MATCH(B2505,[1]Employee!$A$2:$A$276,0))</f>
        <v>Sales &amp; Marketing</v>
      </c>
    </row>
    <row r="2506" spans="1:15">
      <c r="A2506" s="1" t="s">
        <v>4952</v>
      </c>
      <c r="B2506" s="1" t="s">
        <v>487</v>
      </c>
      <c r="C2506" s="1" t="s">
        <v>4953</v>
      </c>
      <c r="D2506" s="2">
        <v>46152</v>
      </c>
      <c r="E2506" s="2">
        <v>46161</v>
      </c>
      <c r="F2506" s="1" t="s">
        <v>37</v>
      </c>
      <c r="G2506" s="1" t="s">
        <v>4</v>
      </c>
      <c r="H2506" s="1" t="s">
        <v>5</v>
      </c>
      <c r="I2506" s="7">
        <v>182.36</v>
      </c>
      <c r="J2506" s="1" t="s">
        <v>38</v>
      </c>
      <c r="K2506" s="1"/>
      <c r="L2506" s="1" t="s">
        <v>39</v>
      </c>
      <c r="M2506" s="1" t="str">
        <f>INDEX(MCC_Lookup!$B$2:$B$12,MATCH(G2506,MCC_Lookup!$A$2:$A$12,0))</f>
        <v>Travel</v>
      </c>
      <c r="N2506" s="1" t="str">
        <f>IF(TRIM(H2506)="","BLANK",IF(PROPER(TRIM(H2506))=TRIM(M2506),"MATCH","MISMATCH"))</f>
        <v>MATCH</v>
      </c>
      <c r="O2506" s="5" t="str">
        <f>INDEX([1]Employee!$C$2:$C$276,MATCH(B2506,[1]Employee!$A$2:$A$276,0))</f>
        <v>IT &amp; Platform Engineering</v>
      </c>
    </row>
    <row r="2507" spans="1:15">
      <c r="A2507" s="1" t="s">
        <v>4954</v>
      </c>
      <c r="B2507" s="1" t="s">
        <v>890</v>
      </c>
      <c r="C2507" s="1" t="s">
        <v>4955</v>
      </c>
      <c r="D2507" s="2">
        <v>46152</v>
      </c>
      <c r="E2507" s="2">
        <v>46161</v>
      </c>
      <c r="F2507" s="1" t="s">
        <v>201</v>
      </c>
      <c r="G2507" s="1" t="s">
        <v>4</v>
      </c>
      <c r="H2507" s="1" t="s">
        <v>5</v>
      </c>
      <c r="I2507" s="7">
        <v>641.79</v>
      </c>
      <c r="J2507" s="1" t="s">
        <v>38</v>
      </c>
      <c r="K2507" s="1"/>
      <c r="L2507" s="1" t="s">
        <v>39</v>
      </c>
      <c r="M2507" s="1" t="str">
        <f>INDEX(MCC_Lookup!$B$2:$B$12,MATCH(G2507,MCC_Lookup!$A$2:$A$12,0))</f>
        <v>Travel</v>
      </c>
      <c r="N2507" s="1" t="str">
        <f>IF(TRIM(H2507)="","BLANK",IF(PROPER(TRIM(H2507))=TRIM(M2507),"MATCH","MISMATCH"))</f>
        <v>MATCH</v>
      </c>
      <c r="O2507" s="5" t="str">
        <f>INDEX([1]Employee!$C$2:$C$276,MATCH(B2507,[1]Employee!$A$2:$A$276,0))</f>
        <v>Sales &amp; Marketing</v>
      </c>
    </row>
    <row r="2508" spans="1:15">
      <c r="A2508" s="1" t="s">
        <v>4956</v>
      </c>
      <c r="B2508" s="1" t="s">
        <v>182</v>
      </c>
      <c r="C2508" s="1" t="s">
        <v>4957</v>
      </c>
      <c r="D2508" s="2">
        <v>46152</v>
      </c>
      <c r="E2508" s="2">
        <v>46161</v>
      </c>
      <c r="F2508" s="1" t="s">
        <v>76</v>
      </c>
      <c r="G2508" s="1" t="s">
        <v>13</v>
      </c>
      <c r="H2508" s="1" t="s">
        <v>14</v>
      </c>
      <c r="I2508" s="7">
        <v>324.14</v>
      </c>
      <c r="J2508" s="1" t="s">
        <v>38</v>
      </c>
      <c r="K2508" s="1"/>
      <c r="L2508" s="1" t="s">
        <v>39</v>
      </c>
      <c r="M2508" s="1" t="str">
        <f>INDEX(MCC_Lookup!$B$2:$B$12,MATCH(G2508,MCC_Lookup!$A$2:$A$12,0))</f>
        <v>Software</v>
      </c>
      <c r="N2508" s="1" t="str">
        <f>IF(TRIM(H2508)="","BLANK",IF(PROPER(TRIM(H2508))=TRIM(M2508),"MATCH","MISMATCH"))</f>
        <v>MATCH</v>
      </c>
      <c r="O2508" s="5" t="str">
        <f>INDEX([1]Employee!$C$2:$C$276,MATCH(B2508,[1]Employee!$A$2:$A$276,0))</f>
        <v>Sales &amp; Marketing</v>
      </c>
    </row>
    <row r="2509" spans="1:15">
      <c r="A2509" s="1" t="s">
        <v>4958</v>
      </c>
      <c r="B2509" s="1" t="s">
        <v>1504</v>
      </c>
      <c r="C2509" s="1" t="s">
        <v>4959</v>
      </c>
      <c r="D2509" s="2">
        <v>46157</v>
      </c>
      <c r="E2509" s="2">
        <v>46161</v>
      </c>
      <c r="F2509" s="1" t="s">
        <v>160</v>
      </c>
      <c r="G2509" s="1" t="s">
        <v>6</v>
      </c>
      <c r="H2509" s="1" t="s">
        <v>7</v>
      </c>
      <c r="I2509" s="7">
        <v>422.19</v>
      </c>
      <c r="J2509" s="1" t="s">
        <v>38</v>
      </c>
      <c r="K2509" s="1"/>
      <c r="L2509" s="1" t="s">
        <v>39</v>
      </c>
      <c r="M2509" s="1" t="str">
        <f>INDEX(MCC_Lookup!$B$2:$B$12,MATCH(G2509,MCC_Lookup!$A$2:$A$12,0))</f>
        <v>Lodging</v>
      </c>
      <c r="N2509" s="1" t="str">
        <f>IF(TRIM(H2509)="","BLANK",IF(PROPER(TRIM(H2509))=TRIM(M2509),"MATCH","MISMATCH"))</f>
        <v>MATCH</v>
      </c>
      <c r="O2509" s="5" t="str">
        <f>INDEX([1]Employee!$C$2:$C$276,MATCH(B2509,[1]Employee!$A$2:$A$276,0))</f>
        <v>Sales &amp; Marketing</v>
      </c>
    </row>
    <row r="2510" spans="1:15">
      <c r="A2510" s="1" t="s">
        <v>4960</v>
      </c>
      <c r="B2510" s="1" t="s">
        <v>681</v>
      </c>
      <c r="C2510" s="1" t="s">
        <v>4961</v>
      </c>
      <c r="D2510" s="2">
        <v>46161</v>
      </c>
      <c r="E2510" s="2">
        <v>46161</v>
      </c>
      <c r="F2510" s="1" t="s">
        <v>201</v>
      </c>
      <c r="G2510" s="1" t="s">
        <v>4</v>
      </c>
      <c r="H2510" s="1" t="s">
        <v>5</v>
      </c>
      <c r="I2510" s="7">
        <v>334.07</v>
      </c>
      <c r="J2510" s="1" t="s">
        <v>38</v>
      </c>
      <c r="K2510" s="1"/>
      <c r="L2510" s="1" t="s">
        <v>39</v>
      </c>
      <c r="M2510" s="1" t="str">
        <f>INDEX(MCC_Lookup!$B$2:$B$12,MATCH(G2510,MCC_Lookup!$A$2:$A$12,0))</f>
        <v>Travel</v>
      </c>
      <c r="N2510" s="1" t="str">
        <f>IF(TRIM(H2510)="","BLANK",IF(PROPER(TRIM(H2510))=TRIM(M2510),"MATCH","MISMATCH"))</f>
        <v>MATCH</v>
      </c>
      <c r="O2510" s="5" t="str">
        <f>INDEX([1]Employee!$C$2:$C$276,MATCH(B2510,[1]Employee!$A$2:$A$276,0))</f>
        <v>Underwriting</v>
      </c>
    </row>
    <row r="2511" spans="1:15">
      <c r="A2511" s="1" t="s">
        <v>4962</v>
      </c>
      <c r="B2511" s="1" t="s">
        <v>190</v>
      </c>
      <c r="C2511" s="1" t="s">
        <v>4963</v>
      </c>
      <c r="D2511" s="2">
        <v>46157</v>
      </c>
      <c r="E2511" s="2">
        <v>46162</v>
      </c>
      <c r="F2511" s="1" t="s">
        <v>95</v>
      </c>
      <c r="G2511" s="1" t="s">
        <v>6</v>
      </c>
      <c r="H2511" s="1" t="s">
        <v>7</v>
      </c>
      <c r="I2511" s="7">
        <v>382.1</v>
      </c>
      <c r="J2511" s="1" t="s">
        <v>38</v>
      </c>
      <c r="K2511" s="1"/>
      <c r="L2511" s="1" t="s">
        <v>39</v>
      </c>
      <c r="M2511" s="1" t="str">
        <f>INDEX(MCC_Lookup!$B$2:$B$12,MATCH(G2511,MCC_Lookup!$A$2:$A$12,0))</f>
        <v>Lodging</v>
      </c>
      <c r="N2511" s="1" t="str">
        <f>IF(TRIM(H2511)="","BLANK",IF(PROPER(TRIM(H2511))=TRIM(M2511),"MATCH","MISMATCH"))</f>
        <v>MATCH</v>
      </c>
      <c r="O2511" s="5" t="str">
        <f>INDEX([1]Employee!$C$2:$C$276,MATCH(B2511,[1]Employee!$A$2:$A$276,0))</f>
        <v>Sales &amp; Marketing</v>
      </c>
    </row>
    <row r="2512" spans="1:15">
      <c r="A2512" s="1" t="s">
        <v>4964</v>
      </c>
      <c r="B2512" s="1" t="s">
        <v>175</v>
      </c>
      <c r="C2512" s="1" t="s">
        <v>4965</v>
      </c>
      <c r="D2512" s="2">
        <v>46162</v>
      </c>
      <c r="E2512" s="2">
        <v>46162</v>
      </c>
      <c r="F2512" s="1" t="s">
        <v>83</v>
      </c>
      <c r="G2512" s="1" t="s">
        <v>2</v>
      </c>
      <c r="H2512" s="1" t="s">
        <v>3</v>
      </c>
      <c r="I2512" s="7">
        <v>15.67</v>
      </c>
      <c r="J2512" s="1" t="s">
        <v>38</v>
      </c>
      <c r="K2512" s="1"/>
      <c r="L2512" s="1" t="s">
        <v>39</v>
      </c>
      <c r="M2512" s="1" t="str">
        <f>INDEX(MCC_Lookup!$B$2:$B$12,MATCH(G2512,MCC_Lookup!$A$2:$A$12,0))</f>
        <v>Meals</v>
      </c>
      <c r="N2512" s="1" t="str">
        <f>IF(TRIM(H2512)="","BLANK",IF(PROPER(TRIM(H2512))=TRIM(M2512),"MATCH","MISMATCH"))</f>
        <v>MATCH</v>
      </c>
      <c r="O2512" s="5" t="str">
        <f>INDEX([1]Employee!$C$2:$C$276,MATCH(B2512,[1]Employee!$A$2:$A$276,0))</f>
        <v>Claims</v>
      </c>
    </row>
    <row r="2513" spans="1:15">
      <c r="A2513" s="1" t="s">
        <v>4966</v>
      </c>
      <c r="B2513" s="1" t="s">
        <v>512</v>
      </c>
      <c r="C2513" s="1" t="s">
        <v>4967</v>
      </c>
      <c r="D2513" s="2">
        <v>46153</v>
      </c>
      <c r="E2513" s="2">
        <v>46162</v>
      </c>
      <c r="F2513" s="1" t="s">
        <v>242</v>
      </c>
      <c r="G2513" s="1" t="s">
        <v>13</v>
      </c>
      <c r="H2513" s="1" t="s">
        <v>14</v>
      </c>
      <c r="I2513" s="7">
        <v>45.77</v>
      </c>
      <c r="J2513" s="1" t="s">
        <v>38</v>
      </c>
      <c r="K2513" s="1"/>
      <c r="L2513" s="1" t="s">
        <v>39</v>
      </c>
      <c r="M2513" s="1" t="str">
        <f>INDEX(MCC_Lookup!$B$2:$B$12,MATCH(G2513,MCC_Lookup!$A$2:$A$12,0))</f>
        <v>Software</v>
      </c>
      <c r="N2513" s="1" t="str">
        <f>IF(TRIM(H2513)="","BLANK",IF(PROPER(TRIM(H2513))=TRIM(M2513),"MATCH","MISMATCH"))</f>
        <v>MATCH</v>
      </c>
      <c r="O2513" s="5" t="str">
        <f>INDEX([1]Employee!$C$2:$C$276,MATCH(B2513,[1]Employee!$A$2:$A$276,0))</f>
        <v>Sales &amp; Marketing</v>
      </c>
    </row>
    <row r="2514" spans="1:15">
      <c r="A2514" s="1" t="s">
        <v>4968</v>
      </c>
      <c r="B2514" s="1" t="s">
        <v>156</v>
      </c>
      <c r="C2514" s="1" t="s">
        <v>4969</v>
      </c>
      <c r="D2514" s="2">
        <v>46155</v>
      </c>
      <c r="E2514" s="2">
        <v>46162</v>
      </c>
      <c r="F2514" s="1" t="s">
        <v>99</v>
      </c>
      <c r="G2514" s="1" t="s">
        <v>2</v>
      </c>
      <c r="H2514" s="1" t="s">
        <v>3</v>
      </c>
      <c r="I2514" s="7">
        <v>86.46</v>
      </c>
      <c r="J2514" s="1" t="s">
        <v>38</v>
      </c>
      <c r="K2514" s="1"/>
      <c r="L2514" s="1" t="s">
        <v>39</v>
      </c>
      <c r="M2514" s="1" t="str">
        <f>INDEX(MCC_Lookup!$B$2:$B$12,MATCH(G2514,MCC_Lookup!$A$2:$A$12,0))</f>
        <v>Meals</v>
      </c>
      <c r="N2514" s="1" t="str">
        <f>IF(TRIM(H2514)="","BLANK",IF(PROPER(TRIM(H2514))=TRIM(M2514),"MATCH","MISMATCH"))</f>
        <v>MATCH</v>
      </c>
      <c r="O2514" s="5" t="str">
        <f>INDEX([1]Employee!$C$2:$C$276,MATCH(B2514,[1]Employee!$A$2:$A$276,0))</f>
        <v>Sales &amp; Marketing</v>
      </c>
    </row>
    <row r="2515" spans="1:15">
      <c r="A2515" s="1" t="s">
        <v>4970</v>
      </c>
      <c r="B2515" s="1" t="s">
        <v>709</v>
      </c>
      <c r="C2515" s="1" t="s">
        <v>4971</v>
      </c>
      <c r="D2515" s="2">
        <v>46161</v>
      </c>
      <c r="E2515" s="2">
        <v>46162</v>
      </c>
      <c r="F2515" s="1" t="s">
        <v>83</v>
      </c>
      <c r="G2515" s="1" t="s">
        <v>2</v>
      </c>
      <c r="H2515" s="1" t="s">
        <v>3</v>
      </c>
      <c r="I2515" s="7">
        <v>20.9</v>
      </c>
      <c r="J2515" s="1" t="s">
        <v>38</v>
      </c>
      <c r="K2515" s="1"/>
      <c r="L2515" s="1" t="s">
        <v>48</v>
      </c>
      <c r="M2515" s="1" t="str">
        <f>INDEX(MCC_Lookup!$B$2:$B$12,MATCH(G2515,MCC_Lookup!$A$2:$A$12,0))</f>
        <v>Meals</v>
      </c>
      <c r="N2515" s="1" t="str">
        <f>IF(TRIM(H2515)="","BLANK",IF(PROPER(TRIM(H2515))=TRIM(M2515),"MATCH","MISMATCH"))</f>
        <v>MATCH</v>
      </c>
      <c r="O2515" s="5" t="str">
        <f>INDEX([1]Employee!$C$2:$C$276,MATCH(B2515,[1]Employee!$A$2:$A$276,0))</f>
        <v>Underwriting</v>
      </c>
    </row>
    <row r="2516" spans="1:15">
      <c r="A2516" s="1" t="s">
        <v>4972</v>
      </c>
      <c r="B2516" s="1" t="s">
        <v>597</v>
      </c>
      <c r="C2516" s="1" t="s">
        <v>4973</v>
      </c>
      <c r="D2516" s="2">
        <v>46153</v>
      </c>
      <c r="E2516" s="2">
        <v>46162</v>
      </c>
      <c r="F2516" s="1" t="s">
        <v>47</v>
      </c>
      <c r="G2516" s="1" t="s">
        <v>6</v>
      </c>
      <c r="H2516" s="1" t="s">
        <v>7</v>
      </c>
      <c r="I2516" s="7">
        <v>380.17</v>
      </c>
      <c r="J2516" s="1" t="s">
        <v>38</v>
      </c>
      <c r="K2516" s="1"/>
      <c r="L2516" s="1" t="s">
        <v>39</v>
      </c>
      <c r="M2516" s="1" t="str">
        <f>INDEX(MCC_Lookup!$B$2:$B$12,MATCH(G2516,MCC_Lookup!$A$2:$A$12,0))</f>
        <v>Lodging</v>
      </c>
      <c r="N2516" s="1" t="str">
        <f>IF(TRIM(H2516)="","BLANK",IF(PROPER(TRIM(H2516))=TRIM(M2516),"MATCH","MISMATCH"))</f>
        <v>MATCH</v>
      </c>
      <c r="O2516" s="5" t="str">
        <f>INDEX([1]Employee!$C$2:$C$276,MATCH(B2516,[1]Employee!$A$2:$A$276,0))</f>
        <v>Sales &amp; Marketing</v>
      </c>
    </row>
    <row r="2517" spans="1:15">
      <c r="A2517" s="1" t="s">
        <v>4974</v>
      </c>
      <c r="B2517" s="1" t="s">
        <v>588</v>
      </c>
      <c r="C2517" s="1" t="s">
        <v>4975</v>
      </c>
      <c r="D2517" s="2">
        <v>46158</v>
      </c>
      <c r="E2517" s="2">
        <v>46162</v>
      </c>
      <c r="F2517" s="1" t="s">
        <v>106</v>
      </c>
      <c r="G2517" s="1" t="s">
        <v>13</v>
      </c>
      <c r="H2517" s="1" t="s">
        <v>14</v>
      </c>
      <c r="I2517" s="7">
        <v>204.73</v>
      </c>
      <c r="J2517" s="1" t="s">
        <v>38</v>
      </c>
      <c r="K2517" s="1"/>
      <c r="L2517" s="1" t="s">
        <v>39</v>
      </c>
      <c r="M2517" s="1" t="str">
        <f>INDEX(MCC_Lookup!$B$2:$B$12,MATCH(G2517,MCC_Lookup!$A$2:$A$12,0))</f>
        <v>Software</v>
      </c>
      <c r="N2517" s="1" t="str">
        <f>IF(TRIM(H2517)="","BLANK",IF(PROPER(TRIM(H2517))=TRIM(M2517),"MATCH","MISMATCH"))</f>
        <v>MATCH</v>
      </c>
      <c r="O2517" s="5" t="str">
        <f>INDEX([1]Employee!$C$2:$C$276,MATCH(B2517,[1]Employee!$A$2:$A$276,0))</f>
        <v>Claims</v>
      </c>
    </row>
    <row r="2518" spans="1:15">
      <c r="A2518" s="1" t="s">
        <v>4976</v>
      </c>
      <c r="B2518" s="1" t="s">
        <v>216</v>
      </c>
      <c r="C2518" s="1" t="s">
        <v>4977</v>
      </c>
      <c r="D2518" s="2">
        <v>46156</v>
      </c>
      <c r="E2518" s="2">
        <v>46162</v>
      </c>
      <c r="F2518" s="1" t="s">
        <v>99</v>
      </c>
      <c r="G2518" s="1" t="s">
        <v>2</v>
      </c>
      <c r="H2518" s="1"/>
      <c r="I2518" s="7">
        <v>59.26</v>
      </c>
      <c r="J2518" s="1" t="s">
        <v>38</v>
      </c>
      <c r="K2518" s="1"/>
      <c r="L2518" s="1" t="s">
        <v>48</v>
      </c>
      <c r="M2518" s="1" t="str">
        <f>INDEX(MCC_Lookup!$B$2:$B$12,MATCH(G2518,MCC_Lookup!$A$2:$A$12,0))</f>
        <v>Meals</v>
      </c>
      <c r="N2518" s="1" t="str">
        <f>IF(TRIM(H2518)="","BLANK",IF(PROPER(TRIM(H2518))=TRIM(M2518),"MATCH","MISMATCH"))</f>
        <v>BLANK</v>
      </c>
      <c r="O2518" s="5" t="str">
        <f>INDEX([1]Employee!$C$2:$C$276,MATCH(B2518,[1]Employee!$A$2:$A$276,0))</f>
        <v>Sales &amp; Marketing</v>
      </c>
    </row>
    <row r="2519" spans="1:15">
      <c r="A2519" s="1" t="s">
        <v>4978</v>
      </c>
      <c r="B2519" s="1" t="s">
        <v>90</v>
      </c>
      <c r="C2519" s="1"/>
      <c r="D2519" s="2">
        <v>46159</v>
      </c>
      <c r="E2519" s="2">
        <v>46162</v>
      </c>
      <c r="F2519" s="1" t="s">
        <v>242</v>
      </c>
      <c r="G2519" s="1" t="s">
        <v>13</v>
      </c>
      <c r="H2519" s="1" t="s">
        <v>14</v>
      </c>
      <c r="I2519" s="7">
        <v>47.47</v>
      </c>
      <c r="J2519" s="1" t="s">
        <v>38</v>
      </c>
      <c r="K2519" s="1"/>
      <c r="L2519" s="1" t="s">
        <v>39</v>
      </c>
      <c r="M2519" s="1" t="str">
        <f>INDEX(MCC_Lookup!$B$2:$B$12,MATCH(G2519,MCC_Lookup!$A$2:$A$12,0))</f>
        <v>Software</v>
      </c>
      <c r="N2519" s="1" t="str">
        <f>IF(TRIM(H2519)="","BLANK",IF(PROPER(TRIM(H2519))=TRIM(M2519),"MATCH","MISMATCH"))</f>
        <v>MATCH</v>
      </c>
      <c r="O2519" s="5" t="str">
        <f>INDEX([1]Employee!$C$2:$C$276,MATCH(B2519,[1]Employee!$A$2:$A$276,0))</f>
        <v>Sales &amp; Marketing</v>
      </c>
    </row>
    <row r="2520" spans="1:15">
      <c r="A2520" s="1" t="s">
        <v>4979</v>
      </c>
      <c r="B2520" s="1" t="s">
        <v>1504</v>
      </c>
      <c r="C2520" s="1" t="s">
        <v>4980</v>
      </c>
      <c r="D2520" s="2">
        <v>46157</v>
      </c>
      <c r="E2520" s="2">
        <v>46162</v>
      </c>
      <c r="F2520" s="1" t="s">
        <v>37</v>
      </c>
      <c r="G2520" s="1" t="s">
        <v>4</v>
      </c>
      <c r="H2520" s="1" t="s">
        <v>5</v>
      </c>
      <c r="I2520" s="7">
        <v>275.81</v>
      </c>
      <c r="J2520" s="1" t="s">
        <v>38</v>
      </c>
      <c r="K2520" s="1"/>
      <c r="L2520" s="1" t="s">
        <v>39</v>
      </c>
      <c r="M2520" s="1" t="str">
        <f>INDEX(MCC_Lookup!$B$2:$B$12,MATCH(G2520,MCC_Lookup!$A$2:$A$12,0))</f>
        <v>Travel</v>
      </c>
      <c r="N2520" s="1" t="str">
        <f>IF(TRIM(H2520)="","BLANK",IF(PROPER(TRIM(H2520))=TRIM(M2520),"MATCH","MISMATCH"))</f>
        <v>MATCH</v>
      </c>
      <c r="O2520" s="5" t="str">
        <f>INDEX([1]Employee!$C$2:$C$276,MATCH(B2520,[1]Employee!$A$2:$A$276,0))</f>
        <v>Sales &amp; Marketing</v>
      </c>
    </row>
    <row r="2521" spans="1:15">
      <c r="A2521" s="1" t="s">
        <v>4981</v>
      </c>
      <c r="B2521" s="1" t="s">
        <v>339</v>
      </c>
      <c r="C2521" s="1" t="s">
        <v>4982</v>
      </c>
      <c r="D2521" s="2">
        <v>46156</v>
      </c>
      <c r="E2521" s="2">
        <v>46162</v>
      </c>
      <c r="F2521" s="1" t="s">
        <v>37</v>
      </c>
      <c r="G2521" s="1" t="s">
        <v>4</v>
      </c>
      <c r="H2521" s="1" t="s">
        <v>5</v>
      </c>
      <c r="I2521" s="7">
        <v>223.07</v>
      </c>
      <c r="J2521" s="1" t="s">
        <v>38</v>
      </c>
      <c r="K2521" s="1"/>
      <c r="L2521" s="1" t="s">
        <v>39</v>
      </c>
      <c r="M2521" s="1" t="str">
        <f>INDEX(MCC_Lookup!$B$2:$B$12,MATCH(G2521,MCC_Lookup!$A$2:$A$12,0))</f>
        <v>Travel</v>
      </c>
      <c r="N2521" s="1" t="str">
        <f>IF(TRIM(H2521)="","BLANK",IF(PROPER(TRIM(H2521))=TRIM(M2521),"MATCH","MISMATCH"))</f>
        <v>MATCH</v>
      </c>
      <c r="O2521" s="5" t="str">
        <f>INDEX([1]Employee!$C$2:$C$276,MATCH(B2521,[1]Employee!$A$2:$A$276,0))</f>
        <v>Underwriting</v>
      </c>
    </row>
    <row r="2522" spans="1:15">
      <c r="A2522" s="1" t="s">
        <v>4983</v>
      </c>
      <c r="B2522" s="1" t="s">
        <v>531</v>
      </c>
      <c r="C2522" s="1" t="s">
        <v>4984</v>
      </c>
      <c r="D2522" s="2">
        <v>46155</v>
      </c>
      <c r="E2522" s="2">
        <v>46162</v>
      </c>
      <c r="F2522" s="1" t="s">
        <v>61</v>
      </c>
      <c r="G2522" s="1" t="s">
        <v>13</v>
      </c>
      <c r="H2522" s="1" t="s">
        <v>14</v>
      </c>
      <c r="I2522" s="7">
        <v>80.319999999999993</v>
      </c>
      <c r="J2522" s="1" t="s">
        <v>38</v>
      </c>
      <c r="K2522" s="1"/>
      <c r="L2522" s="1" t="s">
        <v>39</v>
      </c>
      <c r="M2522" s="1" t="str">
        <f>INDEX(MCC_Lookup!$B$2:$B$12,MATCH(G2522,MCC_Lookup!$A$2:$A$12,0))</f>
        <v>Software</v>
      </c>
      <c r="N2522" s="1" t="str">
        <f>IF(TRIM(H2522)="","BLANK",IF(PROPER(TRIM(H2522))=TRIM(M2522),"MATCH","MISMATCH"))</f>
        <v>MATCH</v>
      </c>
      <c r="O2522" s="5" t="str">
        <f>INDEX([1]Employee!$C$2:$C$276,MATCH(B2522,[1]Employee!$A$2:$A$276,0))</f>
        <v>Sales &amp; Marketing</v>
      </c>
    </row>
    <row r="2523" spans="1:15">
      <c r="A2523" s="1" t="s">
        <v>4985</v>
      </c>
      <c r="B2523" s="1" t="s">
        <v>890</v>
      </c>
      <c r="C2523" s="1"/>
      <c r="D2523" s="2">
        <v>46154</v>
      </c>
      <c r="E2523" s="2">
        <v>46162</v>
      </c>
      <c r="F2523" s="1" t="s">
        <v>173</v>
      </c>
      <c r="G2523" s="1" t="s">
        <v>2</v>
      </c>
      <c r="H2523" s="1" t="s">
        <v>3</v>
      </c>
      <c r="I2523" s="7">
        <v>20.59</v>
      </c>
      <c r="J2523" s="1" t="s">
        <v>111</v>
      </c>
      <c r="K2523" s="1" t="s">
        <v>112</v>
      </c>
      <c r="L2523" s="1" t="s">
        <v>39</v>
      </c>
      <c r="M2523" s="1" t="str">
        <f>INDEX(MCC_Lookup!$B$2:$B$12,MATCH(G2523,MCC_Lookup!$A$2:$A$12,0))</f>
        <v>Meals</v>
      </c>
      <c r="N2523" s="1" t="str">
        <f>IF(TRIM(H2523)="","BLANK",IF(PROPER(TRIM(H2523))=TRIM(M2523),"MATCH","MISMATCH"))</f>
        <v>MATCH</v>
      </c>
      <c r="O2523" s="5" t="str">
        <f>INDEX([1]Employee!$C$2:$C$276,MATCH(B2523,[1]Employee!$A$2:$A$276,0))</f>
        <v>Sales &amp; Marketing</v>
      </c>
    </row>
    <row r="2524" spans="1:15">
      <c r="A2524" s="1" t="s">
        <v>4986</v>
      </c>
      <c r="B2524" s="1" t="s">
        <v>54</v>
      </c>
      <c r="C2524" s="1" t="s">
        <v>4987</v>
      </c>
      <c r="D2524" s="2">
        <v>46161</v>
      </c>
      <c r="E2524" s="2">
        <v>46162</v>
      </c>
      <c r="F2524" s="1" t="s">
        <v>37</v>
      </c>
      <c r="G2524" s="1" t="s">
        <v>4</v>
      </c>
      <c r="H2524" s="1" t="s">
        <v>5</v>
      </c>
      <c r="I2524" s="7">
        <v>464.92</v>
      </c>
      <c r="J2524" s="1" t="s">
        <v>38</v>
      </c>
      <c r="K2524" s="1"/>
      <c r="L2524" s="1" t="s">
        <v>39</v>
      </c>
      <c r="M2524" s="1" t="str">
        <f>INDEX(MCC_Lookup!$B$2:$B$12,MATCH(G2524,MCC_Lookup!$A$2:$A$12,0))</f>
        <v>Travel</v>
      </c>
      <c r="N2524" s="1" t="str">
        <f>IF(TRIM(H2524)="","BLANK",IF(PROPER(TRIM(H2524))=TRIM(M2524),"MATCH","MISMATCH"))</f>
        <v>MATCH</v>
      </c>
      <c r="O2524" s="5" t="str">
        <f>INDEX([1]Employee!$C$2:$C$276,MATCH(B2524,[1]Employee!$A$2:$A$276,0))</f>
        <v>Sales &amp; Marketing</v>
      </c>
    </row>
    <row r="2525" spans="1:15">
      <c r="A2525" s="1" t="s">
        <v>4988</v>
      </c>
      <c r="B2525" s="1" t="s">
        <v>656</v>
      </c>
      <c r="C2525" s="1" t="s">
        <v>4989</v>
      </c>
      <c r="D2525" s="2">
        <v>46159</v>
      </c>
      <c r="E2525" s="2">
        <v>46162</v>
      </c>
      <c r="F2525" s="1" t="s">
        <v>99</v>
      </c>
      <c r="G2525" s="1" t="s">
        <v>2</v>
      </c>
      <c r="H2525" s="1"/>
      <c r="I2525" s="7">
        <v>104.86</v>
      </c>
      <c r="J2525" s="1" t="s">
        <v>38</v>
      </c>
      <c r="K2525" s="1"/>
      <c r="L2525" s="1" t="s">
        <v>39</v>
      </c>
      <c r="M2525" s="1" t="str">
        <f>INDEX(MCC_Lookup!$B$2:$B$12,MATCH(G2525,MCC_Lookup!$A$2:$A$12,0))</f>
        <v>Meals</v>
      </c>
      <c r="N2525" s="1" t="str">
        <f>IF(TRIM(H2525)="","BLANK",IF(PROPER(TRIM(H2525))=TRIM(M2525),"MATCH","MISMATCH"))</f>
        <v>BLANK</v>
      </c>
      <c r="O2525" s="5" t="str">
        <f>INDEX([1]Employee!$C$2:$C$276,MATCH(B2525,[1]Employee!$A$2:$A$276,0))</f>
        <v>Claims</v>
      </c>
    </row>
    <row r="2526" spans="1:15">
      <c r="A2526" s="1" t="s">
        <v>4990</v>
      </c>
      <c r="B2526" s="1" t="s">
        <v>836</v>
      </c>
      <c r="C2526" s="1" t="s">
        <v>4991</v>
      </c>
      <c r="D2526" s="2">
        <v>46153</v>
      </c>
      <c r="E2526" s="2">
        <v>46163</v>
      </c>
      <c r="F2526" s="1" t="s">
        <v>65</v>
      </c>
      <c r="G2526" s="1" t="s">
        <v>18</v>
      </c>
      <c r="H2526" s="1" t="s">
        <v>312</v>
      </c>
      <c r="I2526" s="7">
        <v>256.55</v>
      </c>
      <c r="J2526" s="1" t="s">
        <v>38</v>
      </c>
      <c r="K2526" s="1"/>
      <c r="L2526" s="1" t="s">
        <v>48</v>
      </c>
      <c r="M2526" s="1" t="str">
        <f>INDEX(MCC_Lookup!$B$2:$B$12,MATCH(G2526,MCC_Lookup!$A$2:$A$12,0))</f>
        <v>Events</v>
      </c>
      <c r="N2526" s="1" t="str">
        <f>IF(TRIM(H2526)="","BLANK",IF(PROPER(TRIM(H2526))=TRIM(M2526),"MATCH","MISMATCH"))</f>
        <v>MATCH</v>
      </c>
      <c r="O2526" s="5" t="str">
        <f>INDEX([1]Employee!$C$2:$C$276,MATCH(B2526,[1]Employee!$A$2:$A$276,0))</f>
        <v>Sales &amp; Marketing</v>
      </c>
    </row>
    <row r="2527" spans="1:15">
      <c r="A2527" s="1" t="s">
        <v>4992</v>
      </c>
      <c r="B2527" s="1" t="s">
        <v>836</v>
      </c>
      <c r="C2527" s="1" t="s">
        <v>4993</v>
      </c>
      <c r="D2527" s="2">
        <v>46159</v>
      </c>
      <c r="E2527" s="2">
        <v>46163</v>
      </c>
      <c r="F2527" s="1" t="s">
        <v>79</v>
      </c>
      <c r="G2527" s="1" t="s">
        <v>13</v>
      </c>
      <c r="H2527" s="1" t="s">
        <v>192</v>
      </c>
      <c r="I2527" s="7">
        <v>221.48</v>
      </c>
      <c r="J2527" s="1" t="s">
        <v>38</v>
      </c>
      <c r="K2527" s="1"/>
      <c r="L2527" s="1" t="s">
        <v>39</v>
      </c>
      <c r="M2527" s="1" t="str">
        <f>INDEX(MCC_Lookup!$B$2:$B$12,MATCH(G2527,MCC_Lookup!$A$2:$A$12,0))</f>
        <v>Software</v>
      </c>
      <c r="N2527" s="1" t="str">
        <f>IF(TRIM(H2527)="","BLANK",IF(PROPER(TRIM(H2527))=TRIM(M2527),"MATCH","MISMATCH"))</f>
        <v>MATCH</v>
      </c>
      <c r="O2527" s="5" t="str">
        <f>INDEX([1]Employee!$C$2:$C$276,MATCH(B2527,[1]Employee!$A$2:$A$276,0))</f>
        <v>Sales &amp; Marketing</v>
      </c>
    </row>
    <row r="2528" spans="1:15">
      <c r="A2528" s="1" t="s">
        <v>4994</v>
      </c>
      <c r="B2528" s="1" t="s">
        <v>63</v>
      </c>
      <c r="C2528" s="1" t="s">
        <v>4995</v>
      </c>
      <c r="D2528" s="2">
        <v>46158</v>
      </c>
      <c r="E2528" s="2">
        <v>46163</v>
      </c>
      <c r="F2528" s="1" t="s">
        <v>72</v>
      </c>
      <c r="G2528" s="1" t="s">
        <v>8</v>
      </c>
      <c r="H2528" s="1" t="s">
        <v>343</v>
      </c>
      <c r="I2528" s="7">
        <v>60.03</v>
      </c>
      <c r="J2528" s="1" t="s">
        <v>38</v>
      </c>
      <c r="K2528" s="1"/>
      <c r="L2528" s="1" t="s">
        <v>39</v>
      </c>
      <c r="M2528" s="1" t="str">
        <f>INDEX(MCC_Lookup!$B$2:$B$12,MATCH(G2528,MCC_Lookup!$A$2:$A$12,0))</f>
        <v>Transportation</v>
      </c>
      <c r="N2528" s="1" t="str">
        <f>IF(TRIM(H2528)="","BLANK",IF(PROPER(TRIM(H2528))=TRIM(M2528),"MATCH","MISMATCH"))</f>
        <v>MATCH</v>
      </c>
      <c r="O2528" s="5" t="str">
        <f>INDEX([1]Employee!$C$2:$C$276,MATCH(B2528,[1]Employee!$A$2:$A$276,0))</f>
        <v>Sales &amp; Marketing</v>
      </c>
    </row>
    <row r="2529" spans="1:15">
      <c r="A2529" s="1" t="s">
        <v>4996</v>
      </c>
      <c r="B2529" s="1" t="s">
        <v>368</v>
      </c>
      <c r="C2529" s="1"/>
      <c r="D2529" s="2">
        <v>46157</v>
      </c>
      <c r="E2529" s="2">
        <v>46163</v>
      </c>
      <c r="F2529" s="1" t="s">
        <v>47</v>
      </c>
      <c r="G2529" s="1" t="s">
        <v>6</v>
      </c>
      <c r="H2529" s="1"/>
      <c r="I2529" s="7">
        <v>267.52999999999997</v>
      </c>
      <c r="J2529" s="1" t="s">
        <v>38</v>
      </c>
      <c r="K2529" s="1"/>
      <c r="L2529" s="1" t="s">
        <v>39</v>
      </c>
      <c r="M2529" s="1" t="str">
        <f>INDEX(MCC_Lookup!$B$2:$B$12,MATCH(G2529,MCC_Lookup!$A$2:$A$12,0))</f>
        <v>Lodging</v>
      </c>
      <c r="N2529" s="1" t="str">
        <f>IF(TRIM(H2529)="","BLANK",IF(PROPER(TRIM(H2529))=TRIM(M2529),"MATCH","MISMATCH"))</f>
        <v>BLANK</v>
      </c>
      <c r="O2529" s="5" t="str">
        <f>INDEX([1]Employee!$C$2:$C$276,MATCH(B2529,[1]Employee!$A$2:$A$276,0))</f>
        <v>Actuarial &amp; Risk</v>
      </c>
    </row>
    <row r="2530" spans="1:15">
      <c r="A2530" s="1" t="s">
        <v>4997</v>
      </c>
      <c r="B2530" s="1" t="s">
        <v>1650</v>
      </c>
      <c r="C2530" s="1" t="s">
        <v>4998</v>
      </c>
      <c r="D2530" s="2">
        <v>46153</v>
      </c>
      <c r="E2530" s="2">
        <v>46163</v>
      </c>
      <c r="F2530" s="1" t="s">
        <v>76</v>
      </c>
      <c r="G2530" s="1" t="s">
        <v>13</v>
      </c>
      <c r="H2530" s="1" t="s">
        <v>14</v>
      </c>
      <c r="I2530" s="7">
        <v>551.91999999999996</v>
      </c>
      <c r="J2530" s="1" t="s">
        <v>38</v>
      </c>
      <c r="K2530" s="1"/>
      <c r="L2530" s="1" t="s">
        <v>39</v>
      </c>
      <c r="M2530" s="1" t="str">
        <f>INDEX(MCC_Lookup!$B$2:$B$12,MATCH(G2530,MCC_Lookup!$A$2:$A$12,0))</f>
        <v>Software</v>
      </c>
      <c r="N2530" s="1" t="str">
        <f>IF(TRIM(H2530)="","BLANK",IF(PROPER(TRIM(H2530))=TRIM(M2530),"MATCH","MISMATCH"))</f>
        <v>MATCH</v>
      </c>
      <c r="O2530" s="5" t="str">
        <f>INDEX([1]Employee!$C$2:$C$276,MATCH(B2530,[1]Employee!$A$2:$A$276,0))</f>
        <v>HR &amp; Events</v>
      </c>
    </row>
    <row r="2531" spans="1:15">
      <c r="A2531" s="1" t="s">
        <v>4999</v>
      </c>
      <c r="B2531" s="1" t="s">
        <v>1188</v>
      </c>
      <c r="C2531" s="1"/>
      <c r="D2531" s="2">
        <v>46153</v>
      </c>
      <c r="E2531" s="2">
        <v>46163</v>
      </c>
      <c r="F2531" s="1" t="s">
        <v>65</v>
      </c>
      <c r="G2531" s="1" t="s">
        <v>18</v>
      </c>
      <c r="H2531" s="1" t="s">
        <v>19</v>
      </c>
      <c r="I2531" s="7">
        <v>129.11000000000001</v>
      </c>
      <c r="J2531" s="1" t="s">
        <v>38</v>
      </c>
      <c r="K2531" s="1"/>
      <c r="L2531" s="1" t="s">
        <v>39</v>
      </c>
      <c r="M2531" s="1" t="str">
        <f>INDEX(MCC_Lookup!$B$2:$B$12,MATCH(G2531,MCC_Lookup!$A$2:$A$12,0))</f>
        <v>Events</v>
      </c>
      <c r="N2531" s="1" t="str">
        <f>IF(TRIM(H2531)="","BLANK",IF(PROPER(TRIM(H2531))=TRIM(M2531),"MATCH","MISMATCH"))</f>
        <v>MATCH</v>
      </c>
      <c r="O2531" s="5" t="str">
        <f>INDEX([1]Employee!$C$2:$C$276,MATCH(B2531,[1]Employee!$A$2:$A$276,0))</f>
        <v>Executive &amp; Corporate</v>
      </c>
    </row>
    <row r="2532" spans="1:15">
      <c r="A2532" s="1" t="s">
        <v>5000</v>
      </c>
      <c r="B2532" s="1" t="s">
        <v>643</v>
      </c>
      <c r="C2532" s="1" t="s">
        <v>5001</v>
      </c>
      <c r="D2532" s="2">
        <v>46157</v>
      </c>
      <c r="E2532" s="2">
        <v>46163</v>
      </c>
      <c r="F2532" s="1" t="s">
        <v>52</v>
      </c>
      <c r="G2532" s="1" t="s">
        <v>15</v>
      </c>
      <c r="H2532" s="1" t="s">
        <v>16</v>
      </c>
      <c r="I2532" s="7">
        <v>38.909999999999997</v>
      </c>
      <c r="J2532" s="1" t="s">
        <v>38</v>
      </c>
      <c r="K2532" s="1"/>
      <c r="L2532" s="1" t="s">
        <v>39</v>
      </c>
      <c r="M2532" s="1" t="str">
        <f>INDEX(MCC_Lookup!$B$2:$B$12,MATCH(G2532,MCC_Lookup!$A$2:$A$12,0))</f>
        <v>Entertainment</v>
      </c>
      <c r="N2532" s="1" t="str">
        <f>IF(TRIM(H2532)="","BLANK",IF(PROPER(TRIM(H2532))=TRIM(M2532),"MATCH","MISMATCH"))</f>
        <v>MATCH</v>
      </c>
      <c r="O2532" s="5" t="str">
        <f>INDEX([1]Employee!$C$2:$C$276,MATCH(B2532,[1]Employee!$A$2:$A$276,0))</f>
        <v>Sales &amp; Marketing</v>
      </c>
    </row>
    <row r="2533" spans="1:15">
      <c r="A2533" s="1" t="s">
        <v>5002</v>
      </c>
      <c r="B2533" s="1" t="s">
        <v>469</v>
      </c>
      <c r="C2533" s="1"/>
      <c r="D2533" s="2">
        <v>46157</v>
      </c>
      <c r="E2533" s="2">
        <v>46163</v>
      </c>
      <c r="F2533" s="1" t="s">
        <v>120</v>
      </c>
      <c r="G2533" s="1" t="s">
        <v>12</v>
      </c>
      <c r="H2533" s="1" t="s">
        <v>11</v>
      </c>
      <c r="I2533" s="7">
        <v>321.10000000000002</v>
      </c>
      <c r="J2533" s="1" t="s">
        <v>111</v>
      </c>
      <c r="K2533" s="1" t="s">
        <v>127</v>
      </c>
      <c r="L2533" s="1" t="s">
        <v>39</v>
      </c>
      <c r="M2533" s="1" t="str">
        <f>INDEX(MCC_Lookup!$B$2:$B$12,MATCH(G2533,MCC_Lookup!$A$2:$A$12,0))</f>
        <v>Office Supplies</v>
      </c>
      <c r="N2533" s="1" t="str">
        <f>IF(TRIM(H2533)="","BLANK",IF(PROPER(TRIM(H2533))=TRIM(M2533),"MATCH","MISMATCH"))</f>
        <v>MATCH</v>
      </c>
      <c r="O2533" s="5" t="str">
        <f>INDEX([1]Employee!$C$2:$C$276,MATCH(B2533,[1]Employee!$A$2:$A$276,0))</f>
        <v>Sales &amp; Marketing</v>
      </c>
    </row>
    <row r="2534" spans="1:15">
      <c r="A2534" s="1" t="s">
        <v>5003</v>
      </c>
      <c r="B2534" s="1" t="s">
        <v>3635</v>
      </c>
      <c r="C2534" s="1" t="s">
        <v>5004</v>
      </c>
      <c r="D2534" s="2">
        <v>46160</v>
      </c>
      <c r="E2534" s="2">
        <v>46163</v>
      </c>
      <c r="F2534" s="1" t="s">
        <v>56</v>
      </c>
      <c r="G2534" s="1" t="s">
        <v>4</v>
      </c>
      <c r="H2534" s="1" t="s">
        <v>5</v>
      </c>
      <c r="I2534" s="7">
        <v>270.58999999999997</v>
      </c>
      <c r="J2534" s="1" t="s">
        <v>38</v>
      </c>
      <c r="K2534" s="1"/>
      <c r="L2534" s="1" t="s">
        <v>39</v>
      </c>
      <c r="M2534" s="1" t="str">
        <f>INDEX(MCC_Lookup!$B$2:$B$12,MATCH(G2534,MCC_Lookup!$A$2:$A$12,0))</f>
        <v>Travel</v>
      </c>
      <c r="N2534" s="1" t="str">
        <f>IF(TRIM(H2534)="","BLANK",IF(PROPER(TRIM(H2534))=TRIM(M2534),"MATCH","MISMATCH"))</f>
        <v>MATCH</v>
      </c>
      <c r="O2534" s="5" t="str">
        <f>INDEX([1]Employee!$C$2:$C$276,MATCH(B2534,[1]Employee!$A$2:$A$276,0))</f>
        <v>Customer Support</v>
      </c>
    </row>
    <row r="2535" spans="1:15">
      <c r="A2535" s="1" t="s">
        <v>5005</v>
      </c>
      <c r="B2535" s="1" t="s">
        <v>207</v>
      </c>
      <c r="C2535" s="1" t="s">
        <v>5006</v>
      </c>
      <c r="D2535" s="2">
        <v>46162</v>
      </c>
      <c r="E2535" s="2">
        <v>46163</v>
      </c>
      <c r="F2535" s="1" t="s">
        <v>83</v>
      </c>
      <c r="G2535" s="1" t="s">
        <v>2</v>
      </c>
      <c r="H2535" s="1" t="s">
        <v>3</v>
      </c>
      <c r="I2535" s="7">
        <v>23.9</v>
      </c>
      <c r="J2535" s="1" t="s">
        <v>38</v>
      </c>
      <c r="K2535" s="1"/>
      <c r="L2535" s="1" t="s">
        <v>39</v>
      </c>
      <c r="M2535" s="1" t="str">
        <f>INDEX(MCC_Lookup!$B$2:$B$12,MATCH(G2535,MCC_Lookup!$A$2:$A$12,0))</f>
        <v>Meals</v>
      </c>
      <c r="N2535" s="1" t="str">
        <f>IF(TRIM(H2535)="","BLANK",IF(PROPER(TRIM(H2535))=TRIM(M2535),"MATCH","MISMATCH"))</f>
        <v>MATCH</v>
      </c>
      <c r="O2535" s="5" t="str">
        <f>INDEX([1]Employee!$C$2:$C$276,MATCH(B2535,[1]Employee!$A$2:$A$276,0))</f>
        <v>Claims</v>
      </c>
    </row>
    <row r="2536" spans="1:15">
      <c r="A2536" s="1" t="s">
        <v>5007</v>
      </c>
      <c r="B2536" s="1" t="s">
        <v>231</v>
      </c>
      <c r="C2536" s="1" t="s">
        <v>5008</v>
      </c>
      <c r="D2536" s="2">
        <v>46155</v>
      </c>
      <c r="E2536" s="2">
        <v>46163</v>
      </c>
      <c r="F2536" s="1" t="s">
        <v>173</v>
      </c>
      <c r="G2536" s="1" t="s">
        <v>2</v>
      </c>
      <c r="H2536" s="1" t="s">
        <v>3</v>
      </c>
      <c r="I2536" s="7">
        <v>81.72</v>
      </c>
      <c r="J2536" s="1" t="s">
        <v>38</v>
      </c>
      <c r="K2536" s="1"/>
      <c r="L2536" s="1" t="s">
        <v>39</v>
      </c>
      <c r="M2536" s="1" t="str">
        <f>INDEX(MCC_Lookup!$B$2:$B$12,MATCH(G2536,MCC_Lookup!$A$2:$A$12,0))</f>
        <v>Meals</v>
      </c>
      <c r="N2536" s="1" t="str">
        <f>IF(TRIM(H2536)="","BLANK",IF(PROPER(TRIM(H2536))=TRIM(M2536),"MATCH","MISMATCH"))</f>
        <v>MATCH</v>
      </c>
      <c r="O2536" s="5" t="str">
        <f>INDEX([1]Employee!$C$2:$C$276,MATCH(B2536,[1]Employee!$A$2:$A$276,0))</f>
        <v>Finance</v>
      </c>
    </row>
    <row r="2537" spans="1:15">
      <c r="A2537" s="1" t="s">
        <v>5009</v>
      </c>
      <c r="B2537" s="1" t="s">
        <v>1702</v>
      </c>
      <c r="C2537" s="1" t="s">
        <v>5010</v>
      </c>
      <c r="D2537" s="2">
        <v>46163</v>
      </c>
      <c r="E2537" s="2">
        <v>46163</v>
      </c>
      <c r="F2537" s="1" t="s">
        <v>37</v>
      </c>
      <c r="G2537" s="1" t="s">
        <v>4</v>
      </c>
      <c r="H2537" s="1" t="s">
        <v>5</v>
      </c>
      <c r="I2537" s="7">
        <v>468.61</v>
      </c>
      <c r="J2537" s="1" t="s">
        <v>38</v>
      </c>
      <c r="K2537" s="1"/>
      <c r="L2537" s="1" t="s">
        <v>39</v>
      </c>
      <c r="M2537" s="1" t="str">
        <f>INDEX(MCC_Lookup!$B$2:$B$12,MATCH(G2537,MCC_Lookup!$A$2:$A$12,0))</f>
        <v>Travel</v>
      </c>
      <c r="N2537" s="1" t="str">
        <f>IF(TRIM(H2537)="","BLANK",IF(PROPER(TRIM(H2537))=TRIM(M2537),"MATCH","MISMATCH"))</f>
        <v>MATCH</v>
      </c>
      <c r="O2537" s="5" t="str">
        <f>INDEX([1]Employee!$C$2:$C$276,MATCH(B2537,[1]Employee!$A$2:$A$276,0))</f>
        <v>Actuarial &amp; Risk</v>
      </c>
    </row>
    <row r="2538" spans="1:15">
      <c r="A2538" s="1" t="s">
        <v>5011</v>
      </c>
      <c r="B2538" s="1" t="s">
        <v>407</v>
      </c>
      <c r="C2538" s="1" t="s">
        <v>5012</v>
      </c>
      <c r="D2538" s="2">
        <v>46157</v>
      </c>
      <c r="E2538" s="2">
        <v>46163</v>
      </c>
      <c r="F2538" s="1" t="s">
        <v>99</v>
      </c>
      <c r="G2538" s="1" t="s">
        <v>2</v>
      </c>
      <c r="H2538" s="1" t="s">
        <v>3</v>
      </c>
      <c r="I2538" s="7">
        <v>33.49</v>
      </c>
      <c r="J2538" s="1" t="s">
        <v>38</v>
      </c>
      <c r="K2538" s="1"/>
      <c r="L2538" s="1" t="s">
        <v>39</v>
      </c>
      <c r="M2538" s="1" t="str">
        <f>INDEX(MCC_Lookup!$B$2:$B$12,MATCH(G2538,MCC_Lookup!$A$2:$A$12,0))</f>
        <v>Meals</v>
      </c>
      <c r="N2538" s="1" t="str">
        <f>IF(TRIM(H2538)="","BLANK",IF(PROPER(TRIM(H2538))=TRIM(M2538),"MATCH","MISMATCH"))</f>
        <v>MATCH</v>
      </c>
      <c r="O2538" s="5" t="str">
        <f>INDEX([1]Employee!$C$2:$C$276,MATCH(B2538,[1]Employee!$A$2:$A$276,0))</f>
        <v>Executive &amp; Corporate</v>
      </c>
    </row>
    <row r="2539" spans="1:15">
      <c r="A2539" s="1" t="s">
        <v>5013</v>
      </c>
      <c r="B2539" s="1" t="s">
        <v>1440</v>
      </c>
      <c r="C2539" s="1" t="s">
        <v>5014</v>
      </c>
      <c r="D2539" s="2">
        <v>46162</v>
      </c>
      <c r="E2539" s="2">
        <v>46163</v>
      </c>
      <c r="F2539" s="1" t="s">
        <v>120</v>
      </c>
      <c r="G2539" s="1" t="s">
        <v>12</v>
      </c>
      <c r="H2539" s="1"/>
      <c r="I2539" s="7">
        <v>158.93</v>
      </c>
      <c r="J2539" s="1" t="s">
        <v>38</v>
      </c>
      <c r="K2539" s="1"/>
      <c r="L2539" s="1" t="s">
        <v>39</v>
      </c>
      <c r="M2539" s="1" t="str">
        <f>INDEX(MCC_Lookup!$B$2:$B$12,MATCH(G2539,MCC_Lookup!$A$2:$A$12,0))</f>
        <v>Office Supplies</v>
      </c>
      <c r="N2539" s="1" t="str">
        <f>IF(TRIM(H2539)="","BLANK",IF(PROPER(TRIM(H2539))=TRIM(M2539),"MATCH","MISMATCH"))</f>
        <v>BLANK</v>
      </c>
      <c r="O2539" s="5" t="str">
        <f>INDEX([1]Employee!$C$2:$C$276,MATCH(B2539,[1]Employee!$A$2:$A$276,0))</f>
        <v>Claims</v>
      </c>
    </row>
    <row r="2540" spans="1:15">
      <c r="A2540" s="1" t="s">
        <v>5015</v>
      </c>
      <c r="B2540" s="1" t="s">
        <v>1440</v>
      </c>
      <c r="C2540" s="1"/>
      <c r="D2540" s="2">
        <v>46160</v>
      </c>
      <c r="E2540" s="2">
        <v>46163</v>
      </c>
      <c r="F2540" s="1" t="s">
        <v>305</v>
      </c>
      <c r="G2540" s="1" t="s">
        <v>2</v>
      </c>
      <c r="H2540" s="1" t="s">
        <v>3</v>
      </c>
      <c r="I2540" s="7">
        <v>16.23</v>
      </c>
      <c r="J2540" s="1" t="s">
        <v>38</v>
      </c>
      <c r="K2540" s="1"/>
      <c r="L2540" s="1" t="s">
        <v>39</v>
      </c>
      <c r="M2540" s="1" t="str">
        <f>INDEX(MCC_Lookup!$B$2:$B$12,MATCH(G2540,MCC_Lookup!$A$2:$A$12,0))</f>
        <v>Meals</v>
      </c>
      <c r="N2540" s="1" t="str">
        <f>IF(TRIM(H2540)="","BLANK",IF(PROPER(TRIM(H2540))=TRIM(M2540),"MATCH","MISMATCH"))</f>
        <v>MATCH</v>
      </c>
      <c r="O2540" s="5" t="str">
        <f>INDEX([1]Employee!$C$2:$C$276,MATCH(B2540,[1]Employee!$A$2:$A$276,0))</f>
        <v>Claims</v>
      </c>
    </row>
    <row r="2541" spans="1:15">
      <c r="A2541" s="1" t="s">
        <v>5016</v>
      </c>
      <c r="B2541" s="1" t="s">
        <v>677</v>
      </c>
      <c r="C2541" s="1" t="s">
        <v>5017</v>
      </c>
      <c r="D2541" s="2">
        <v>46161</v>
      </c>
      <c r="E2541" s="2">
        <v>46163</v>
      </c>
      <c r="F2541" s="1" t="s">
        <v>37</v>
      </c>
      <c r="G2541" s="1" t="s">
        <v>4</v>
      </c>
      <c r="H2541" s="1" t="s">
        <v>5</v>
      </c>
      <c r="I2541" s="7">
        <v>361.47</v>
      </c>
      <c r="J2541" s="1" t="s">
        <v>38</v>
      </c>
      <c r="K2541" s="1"/>
      <c r="L2541" s="1" t="s">
        <v>48</v>
      </c>
      <c r="M2541" s="1" t="str">
        <f>INDEX(MCC_Lookup!$B$2:$B$12,MATCH(G2541,MCC_Lookup!$A$2:$A$12,0))</f>
        <v>Travel</v>
      </c>
      <c r="N2541" s="1" t="str">
        <f>IF(TRIM(H2541)="","BLANK",IF(PROPER(TRIM(H2541))=TRIM(M2541),"MATCH","MISMATCH"))</f>
        <v>MATCH</v>
      </c>
      <c r="O2541" s="5" t="str">
        <f>INDEX([1]Employee!$C$2:$C$276,MATCH(B2541,[1]Employee!$A$2:$A$276,0))</f>
        <v>Sales &amp; Marketing</v>
      </c>
    </row>
    <row r="2542" spans="1:15">
      <c r="A2542" s="1" t="s">
        <v>5018</v>
      </c>
      <c r="B2542" s="1" t="s">
        <v>1753</v>
      </c>
      <c r="C2542" s="1" t="s">
        <v>5019</v>
      </c>
      <c r="D2542" s="2">
        <v>46157</v>
      </c>
      <c r="E2542" s="2">
        <v>46164</v>
      </c>
      <c r="F2542" s="1" t="s">
        <v>116</v>
      </c>
      <c r="G2542" s="1" t="s">
        <v>2</v>
      </c>
      <c r="H2542" s="1" t="s">
        <v>3</v>
      </c>
      <c r="I2542" s="7">
        <v>9.67</v>
      </c>
      <c r="J2542" s="1" t="s">
        <v>38</v>
      </c>
      <c r="K2542" s="1"/>
      <c r="L2542" s="1" t="s">
        <v>39</v>
      </c>
      <c r="M2542" s="1" t="str">
        <f>INDEX(MCC_Lookup!$B$2:$B$12,MATCH(G2542,MCC_Lookup!$A$2:$A$12,0))</f>
        <v>Meals</v>
      </c>
      <c r="N2542" s="1" t="str">
        <f>IF(TRIM(H2542)="","BLANK",IF(PROPER(TRIM(H2542))=TRIM(M2542),"MATCH","MISMATCH"))</f>
        <v>MATCH</v>
      </c>
      <c r="O2542" s="5" t="str">
        <f>INDEX([1]Employee!$C$2:$C$276,MATCH(B2542,[1]Employee!$A$2:$A$276,0))</f>
        <v>IT &amp; Platform Engineering</v>
      </c>
    </row>
    <row r="2543" spans="1:15">
      <c r="A2543" s="1" t="s">
        <v>5020</v>
      </c>
      <c r="B2543" s="1" t="s">
        <v>597</v>
      </c>
      <c r="C2543" s="1" t="s">
        <v>5021</v>
      </c>
      <c r="D2543" s="2">
        <v>46157</v>
      </c>
      <c r="E2543" s="2">
        <v>46164</v>
      </c>
      <c r="F2543" s="1" t="s">
        <v>99</v>
      </c>
      <c r="G2543" s="1" t="s">
        <v>2</v>
      </c>
      <c r="H2543" s="1" t="s">
        <v>7</v>
      </c>
      <c r="I2543" s="7">
        <v>128.6</v>
      </c>
      <c r="J2543" s="1" t="s">
        <v>38</v>
      </c>
      <c r="K2543" s="1"/>
      <c r="L2543" s="1" t="s">
        <v>39</v>
      </c>
      <c r="M2543" s="1" t="str">
        <f>INDEX(MCC_Lookup!$B$2:$B$12,MATCH(G2543,MCC_Lookup!$A$2:$A$12,0))</f>
        <v>Meals</v>
      </c>
      <c r="N2543" s="1" t="str">
        <f>IF(TRIM(H2543)="","BLANK",IF(PROPER(TRIM(H2543))=TRIM(M2543),"MATCH","MISMATCH"))</f>
        <v>MISMATCH</v>
      </c>
      <c r="O2543" s="5" t="str">
        <f>INDEX([1]Employee!$C$2:$C$276,MATCH(B2543,[1]Employee!$A$2:$A$276,0))</f>
        <v>Sales &amp; Marketing</v>
      </c>
    </row>
    <row r="2544" spans="1:15">
      <c r="A2544" s="1" t="s">
        <v>5022</v>
      </c>
      <c r="B2544" s="1" t="s">
        <v>196</v>
      </c>
      <c r="C2544" s="1" t="s">
        <v>5023</v>
      </c>
      <c r="D2544" s="2">
        <v>46163</v>
      </c>
      <c r="E2544" s="2">
        <v>46164</v>
      </c>
      <c r="F2544" s="1" t="s">
        <v>769</v>
      </c>
      <c r="G2544" s="1" t="s">
        <v>18</v>
      </c>
      <c r="H2544" s="1" t="s">
        <v>19</v>
      </c>
      <c r="I2544" s="7">
        <v>39.32</v>
      </c>
      <c r="J2544" s="1" t="s">
        <v>38</v>
      </c>
      <c r="K2544" s="1"/>
      <c r="L2544" s="1" t="s">
        <v>48</v>
      </c>
      <c r="M2544" s="1" t="str">
        <f>INDEX(MCC_Lookup!$B$2:$B$12,MATCH(G2544,MCC_Lookup!$A$2:$A$12,0))</f>
        <v>Events</v>
      </c>
      <c r="N2544" s="1" t="str">
        <f>IF(TRIM(H2544)="","BLANK",IF(PROPER(TRIM(H2544))=TRIM(M2544),"MATCH","MISMATCH"))</f>
        <v>MATCH</v>
      </c>
      <c r="O2544" s="5" t="str">
        <f>INDEX([1]Employee!$C$2:$C$276,MATCH(B2544,[1]Employee!$A$2:$A$276,0))</f>
        <v>Sales &amp; Marketing</v>
      </c>
    </row>
    <row r="2545" spans="1:15">
      <c r="A2545" s="1" t="s">
        <v>5024</v>
      </c>
      <c r="B2545" s="1" t="s">
        <v>2812</v>
      </c>
      <c r="C2545" s="1" t="s">
        <v>5025</v>
      </c>
      <c r="D2545" s="2">
        <v>46163</v>
      </c>
      <c r="E2545" s="2">
        <v>46164</v>
      </c>
      <c r="F2545" s="1" t="s">
        <v>259</v>
      </c>
      <c r="G2545" s="1" t="s">
        <v>20</v>
      </c>
      <c r="H2545" s="1" t="s">
        <v>19</v>
      </c>
      <c r="I2545" s="7">
        <v>528.11</v>
      </c>
      <c r="J2545" s="1" t="s">
        <v>38</v>
      </c>
      <c r="K2545" s="1"/>
      <c r="L2545" s="1" t="s">
        <v>39</v>
      </c>
      <c r="M2545" s="1" t="str">
        <f>INDEX(MCC_Lookup!$B$2:$B$12,MATCH(G2545,MCC_Lookup!$A$2:$A$12,0))</f>
        <v>Events</v>
      </c>
      <c r="N2545" s="1" t="str">
        <f>IF(TRIM(H2545)="","BLANK",IF(PROPER(TRIM(H2545))=TRIM(M2545),"MATCH","MISMATCH"))</f>
        <v>MATCH</v>
      </c>
      <c r="O2545" s="5" t="str">
        <f>INDEX([1]Employee!$C$2:$C$276,MATCH(B2545,[1]Employee!$A$2:$A$276,0))</f>
        <v>Customer Support</v>
      </c>
    </row>
    <row r="2546" spans="1:15">
      <c r="A2546" s="1" t="s">
        <v>5026</v>
      </c>
      <c r="B2546" s="1" t="s">
        <v>1252</v>
      </c>
      <c r="C2546" s="1" t="s">
        <v>5027</v>
      </c>
      <c r="D2546" s="2">
        <v>46162</v>
      </c>
      <c r="E2546" s="2">
        <v>46164</v>
      </c>
      <c r="F2546" s="1" t="s">
        <v>109</v>
      </c>
      <c r="G2546" s="1" t="s">
        <v>18</v>
      </c>
      <c r="H2546" s="1" t="s">
        <v>19</v>
      </c>
      <c r="I2546" s="7">
        <v>210.16</v>
      </c>
      <c r="J2546" s="1" t="s">
        <v>38</v>
      </c>
      <c r="K2546" s="1"/>
      <c r="L2546" s="1" t="s">
        <v>39</v>
      </c>
      <c r="M2546" s="1" t="str">
        <f>INDEX(MCC_Lookup!$B$2:$B$12,MATCH(G2546,MCC_Lookup!$A$2:$A$12,0))</f>
        <v>Events</v>
      </c>
      <c r="N2546" s="1" t="str">
        <f>IF(TRIM(H2546)="","BLANK",IF(PROPER(TRIM(H2546))=TRIM(M2546),"MATCH","MISMATCH"))</f>
        <v>MATCH</v>
      </c>
      <c r="O2546" s="5" t="str">
        <f>INDEX([1]Employee!$C$2:$C$276,MATCH(B2546,[1]Employee!$A$2:$A$276,0))</f>
        <v>Underwriting</v>
      </c>
    </row>
    <row r="2547" spans="1:15">
      <c r="A2547" s="1" t="s">
        <v>5028</v>
      </c>
      <c r="B2547" s="1" t="s">
        <v>59</v>
      </c>
      <c r="C2547" s="1" t="s">
        <v>5029</v>
      </c>
      <c r="D2547" s="2">
        <v>46161</v>
      </c>
      <c r="E2547" s="2">
        <v>46164</v>
      </c>
      <c r="F2547" s="1" t="s">
        <v>160</v>
      </c>
      <c r="G2547" s="1" t="s">
        <v>6</v>
      </c>
      <c r="H2547" s="1" t="s">
        <v>726</v>
      </c>
      <c r="I2547" s="7">
        <v>201.77</v>
      </c>
      <c r="J2547" s="1" t="s">
        <v>38</v>
      </c>
      <c r="K2547" s="1"/>
      <c r="L2547" s="1" t="s">
        <v>39</v>
      </c>
      <c r="M2547" s="1" t="str">
        <f>INDEX(MCC_Lookup!$B$2:$B$12,MATCH(G2547,MCC_Lookup!$A$2:$A$12,0))</f>
        <v>Lodging</v>
      </c>
      <c r="N2547" s="1" t="str">
        <f>IF(TRIM(H2547)="","BLANK",IF(PROPER(TRIM(H2547))=TRIM(M2547),"MATCH","MISMATCH"))</f>
        <v>MATCH</v>
      </c>
      <c r="O2547" s="5" t="str">
        <f>INDEX([1]Employee!$C$2:$C$276,MATCH(B2547,[1]Employee!$A$2:$A$276,0))</f>
        <v>Sales &amp; Marketing</v>
      </c>
    </row>
    <row r="2548" spans="1:15">
      <c r="A2548" s="1" t="s">
        <v>5030</v>
      </c>
      <c r="B2548" s="1" t="s">
        <v>104</v>
      </c>
      <c r="C2548" s="1" t="s">
        <v>5031</v>
      </c>
      <c r="D2548" s="2">
        <v>46157</v>
      </c>
      <c r="E2548" s="2">
        <v>46164</v>
      </c>
      <c r="F2548" s="1" t="s">
        <v>160</v>
      </c>
      <c r="G2548" s="1" t="s">
        <v>6</v>
      </c>
      <c r="H2548" s="1" t="s">
        <v>7</v>
      </c>
      <c r="I2548" s="7">
        <v>186.21</v>
      </c>
      <c r="J2548" s="1" t="s">
        <v>38</v>
      </c>
      <c r="K2548" s="1"/>
      <c r="L2548" s="1" t="s">
        <v>39</v>
      </c>
      <c r="M2548" s="1" t="str">
        <f>INDEX(MCC_Lookup!$B$2:$B$12,MATCH(G2548,MCC_Lookup!$A$2:$A$12,0))</f>
        <v>Lodging</v>
      </c>
      <c r="N2548" s="1" t="str">
        <f>IF(TRIM(H2548)="","BLANK",IF(PROPER(TRIM(H2548))=TRIM(M2548),"MATCH","MISMATCH"))</f>
        <v>MATCH</v>
      </c>
      <c r="O2548" s="5" t="str">
        <f>INDEX([1]Employee!$C$2:$C$276,MATCH(B2548,[1]Employee!$A$2:$A$276,0))</f>
        <v>Sales &amp; Marketing</v>
      </c>
    </row>
    <row r="2549" spans="1:15">
      <c r="A2549" s="1" t="s">
        <v>5032</v>
      </c>
      <c r="B2549" s="1" t="s">
        <v>104</v>
      </c>
      <c r="C2549" s="1" t="s">
        <v>5033</v>
      </c>
      <c r="D2549" s="2">
        <v>46163</v>
      </c>
      <c r="E2549" s="2">
        <v>46164</v>
      </c>
      <c r="F2549" s="1" t="s">
        <v>124</v>
      </c>
      <c r="G2549" s="1" t="s">
        <v>17</v>
      </c>
      <c r="H2549" s="1" t="s">
        <v>403</v>
      </c>
      <c r="I2549" s="7">
        <v>207.56</v>
      </c>
      <c r="J2549" s="1" t="s">
        <v>38</v>
      </c>
      <c r="K2549" s="1"/>
      <c r="L2549" s="1" t="s">
        <v>39</v>
      </c>
      <c r="M2549" s="1" t="str">
        <f>INDEX(MCC_Lookup!$B$2:$B$12,MATCH(G2549,MCC_Lookup!$A$2:$A$12,0))</f>
        <v>Entertainment</v>
      </c>
      <c r="N2549" s="1" t="str">
        <f>IF(TRIM(H2549)="","BLANK",IF(PROPER(TRIM(H2549))=TRIM(M2549),"MATCH","MISMATCH"))</f>
        <v>MATCH</v>
      </c>
      <c r="O2549" s="5" t="str">
        <f>INDEX([1]Employee!$C$2:$C$276,MATCH(B2549,[1]Employee!$A$2:$A$276,0))</f>
        <v>Sales &amp; Marketing</v>
      </c>
    </row>
    <row r="2550" spans="1:15">
      <c r="A2550" s="1" t="s">
        <v>5034</v>
      </c>
      <c r="B2550" s="1" t="s">
        <v>832</v>
      </c>
      <c r="C2550" s="1" t="s">
        <v>5035</v>
      </c>
      <c r="D2550" s="2">
        <v>46162</v>
      </c>
      <c r="E2550" s="2">
        <v>46164</v>
      </c>
      <c r="F2550" s="1" t="s">
        <v>305</v>
      </c>
      <c r="G2550" s="1" t="s">
        <v>2</v>
      </c>
      <c r="H2550" s="1" t="s">
        <v>3</v>
      </c>
      <c r="I2550" s="7">
        <v>17.27</v>
      </c>
      <c r="J2550" s="1" t="s">
        <v>38</v>
      </c>
      <c r="K2550" s="1"/>
      <c r="L2550" s="1" t="s">
        <v>39</v>
      </c>
      <c r="M2550" s="1" t="str">
        <f>INDEX(MCC_Lookup!$B$2:$B$12,MATCH(G2550,MCC_Lookup!$A$2:$A$12,0))</f>
        <v>Meals</v>
      </c>
      <c r="N2550" s="1" t="str">
        <f>IF(TRIM(H2550)="","BLANK",IF(PROPER(TRIM(H2550))=TRIM(M2550),"MATCH","MISMATCH"))</f>
        <v>MATCH</v>
      </c>
      <c r="O2550" s="5" t="str">
        <f>INDEX([1]Employee!$C$2:$C$276,MATCH(B2550,[1]Employee!$A$2:$A$276,0))</f>
        <v>Sales &amp; Marketing</v>
      </c>
    </row>
    <row r="2551" spans="1:15">
      <c r="A2551" s="1" t="s">
        <v>5036</v>
      </c>
      <c r="B2551" s="1" t="s">
        <v>1110</v>
      </c>
      <c r="C2551" s="1" t="s">
        <v>5037</v>
      </c>
      <c r="D2551" s="2">
        <v>46156</v>
      </c>
      <c r="E2551" s="2">
        <v>46164</v>
      </c>
      <c r="F2551" s="1" t="s">
        <v>201</v>
      </c>
      <c r="G2551" s="1" t="s">
        <v>4</v>
      </c>
      <c r="H2551" s="1" t="s">
        <v>5</v>
      </c>
      <c r="I2551" s="7">
        <v>626.72</v>
      </c>
      <c r="J2551" s="1" t="s">
        <v>38</v>
      </c>
      <c r="K2551" s="1"/>
      <c r="L2551" s="1" t="s">
        <v>39</v>
      </c>
      <c r="M2551" s="1" t="str">
        <f>INDEX(MCC_Lookup!$B$2:$B$12,MATCH(G2551,MCC_Lookup!$A$2:$A$12,0))</f>
        <v>Travel</v>
      </c>
      <c r="N2551" s="1" t="str">
        <f>IF(TRIM(H2551)="","BLANK",IF(PROPER(TRIM(H2551))=TRIM(M2551),"MATCH","MISMATCH"))</f>
        <v>MATCH</v>
      </c>
      <c r="O2551" s="5" t="str">
        <f>INDEX([1]Employee!$C$2:$C$276,MATCH(B2551,[1]Employee!$A$2:$A$276,0))</f>
        <v>Executive &amp; Corporate</v>
      </c>
    </row>
    <row r="2552" spans="1:15">
      <c r="A2552" s="1" t="s">
        <v>5038</v>
      </c>
      <c r="B2552" s="1" t="s">
        <v>947</v>
      </c>
      <c r="C2552" s="1" t="s">
        <v>5039</v>
      </c>
      <c r="D2552" s="2">
        <v>46156</v>
      </c>
      <c r="E2552" s="2">
        <v>46164</v>
      </c>
      <c r="F2552" s="1" t="s">
        <v>109</v>
      </c>
      <c r="G2552" s="1" t="s">
        <v>18</v>
      </c>
      <c r="H2552" s="1" t="s">
        <v>19</v>
      </c>
      <c r="I2552" s="7">
        <v>119.07</v>
      </c>
      <c r="J2552" s="1" t="s">
        <v>38</v>
      </c>
      <c r="K2552" s="1"/>
      <c r="L2552" s="1" t="s">
        <v>39</v>
      </c>
      <c r="M2552" s="1" t="str">
        <f>INDEX(MCC_Lookup!$B$2:$B$12,MATCH(G2552,MCC_Lookup!$A$2:$A$12,0))</f>
        <v>Events</v>
      </c>
      <c r="N2552" s="1" t="str">
        <f>IF(TRIM(H2552)="","BLANK",IF(PROPER(TRIM(H2552))=TRIM(M2552),"MATCH","MISMATCH"))</f>
        <v>MATCH</v>
      </c>
      <c r="O2552" s="5" t="str">
        <f>INDEX([1]Employee!$C$2:$C$276,MATCH(B2552,[1]Employee!$A$2:$A$276,0))</f>
        <v>Sales &amp; Marketing</v>
      </c>
    </row>
    <row r="2553" spans="1:15">
      <c r="A2553" s="1" t="s">
        <v>5040</v>
      </c>
      <c r="B2553" s="1" t="s">
        <v>1886</v>
      </c>
      <c r="C2553" s="1" t="s">
        <v>5041</v>
      </c>
      <c r="D2553" s="2">
        <v>46155</v>
      </c>
      <c r="E2553" s="2">
        <v>46164</v>
      </c>
      <c r="F2553" s="1" t="s">
        <v>347</v>
      </c>
      <c r="G2553" s="1" t="s">
        <v>8</v>
      </c>
      <c r="H2553" s="1" t="s">
        <v>14</v>
      </c>
      <c r="I2553" s="7">
        <v>46.93</v>
      </c>
      <c r="J2553" s="1" t="s">
        <v>38</v>
      </c>
      <c r="K2553" s="1"/>
      <c r="L2553" s="1" t="s">
        <v>39</v>
      </c>
      <c r="M2553" s="1" t="str">
        <f>INDEX(MCC_Lookup!$B$2:$B$12,MATCH(G2553,MCC_Lookup!$A$2:$A$12,0))</f>
        <v>Transportation</v>
      </c>
      <c r="N2553" s="1" t="str">
        <f>IF(TRIM(H2553)="","BLANK",IF(PROPER(TRIM(H2553))=TRIM(M2553),"MATCH","MISMATCH"))</f>
        <v>MISMATCH</v>
      </c>
      <c r="O2553" s="5" t="str">
        <f>INDEX([1]Employee!$C$2:$C$276,MATCH(B2553,[1]Employee!$A$2:$A$276,0))</f>
        <v>Actuarial &amp; Risk</v>
      </c>
    </row>
    <row r="2554" spans="1:15">
      <c r="A2554" s="1" t="s">
        <v>5042</v>
      </c>
      <c r="B2554" s="1" t="s">
        <v>991</v>
      </c>
      <c r="C2554" s="1" t="s">
        <v>5043</v>
      </c>
      <c r="D2554" s="2">
        <v>46156</v>
      </c>
      <c r="E2554" s="2">
        <v>46164</v>
      </c>
      <c r="F2554" s="1" t="s">
        <v>120</v>
      </c>
      <c r="G2554" s="1" t="s">
        <v>12</v>
      </c>
      <c r="H2554" s="1" t="s">
        <v>11</v>
      </c>
      <c r="I2554" s="7">
        <v>127.49</v>
      </c>
      <c r="J2554" s="1" t="s">
        <v>38</v>
      </c>
      <c r="K2554" s="1"/>
      <c r="L2554" s="1" t="s">
        <v>39</v>
      </c>
      <c r="M2554" s="1" t="str">
        <f>INDEX(MCC_Lookup!$B$2:$B$12,MATCH(G2554,MCC_Lookup!$A$2:$A$12,0))</f>
        <v>Office Supplies</v>
      </c>
      <c r="N2554" s="1" t="str">
        <f>IF(TRIM(H2554)="","BLANK",IF(PROPER(TRIM(H2554))=TRIM(M2554),"MATCH","MISMATCH"))</f>
        <v>MATCH</v>
      </c>
      <c r="O2554" s="5" t="str">
        <f>INDEX([1]Employee!$C$2:$C$276,MATCH(B2554,[1]Employee!$A$2:$A$276,0))</f>
        <v>Claims</v>
      </c>
    </row>
    <row r="2555" spans="1:15">
      <c r="A2555" s="1" t="s">
        <v>5044</v>
      </c>
      <c r="B2555" s="1" t="s">
        <v>1504</v>
      </c>
      <c r="C2555" s="1" t="s">
        <v>5045</v>
      </c>
      <c r="D2555" s="2">
        <v>46155</v>
      </c>
      <c r="E2555" s="2">
        <v>46164</v>
      </c>
      <c r="F2555" s="1" t="s">
        <v>43</v>
      </c>
      <c r="G2555" s="1" t="s">
        <v>2</v>
      </c>
      <c r="H2555" s="1" t="s">
        <v>3</v>
      </c>
      <c r="I2555" s="7">
        <v>10.79</v>
      </c>
      <c r="J2555" s="1" t="s">
        <v>38</v>
      </c>
      <c r="K2555" s="1"/>
      <c r="L2555" s="1" t="s">
        <v>39</v>
      </c>
      <c r="M2555" s="1" t="str">
        <f>INDEX(MCC_Lookup!$B$2:$B$12,MATCH(G2555,MCC_Lookup!$A$2:$A$12,0))</f>
        <v>Meals</v>
      </c>
      <c r="N2555" s="1" t="str">
        <f>IF(TRIM(H2555)="","BLANK",IF(PROPER(TRIM(H2555))=TRIM(M2555),"MATCH","MISMATCH"))</f>
        <v>MATCH</v>
      </c>
      <c r="O2555" s="5" t="str">
        <f>INDEX([1]Employee!$C$2:$C$276,MATCH(B2555,[1]Employee!$A$2:$A$276,0))</f>
        <v>Sales &amp; Marketing</v>
      </c>
    </row>
    <row r="2556" spans="1:15">
      <c r="A2556" s="1" t="s">
        <v>5046</v>
      </c>
      <c r="B2556" s="1" t="s">
        <v>1504</v>
      </c>
      <c r="C2556" s="1"/>
      <c r="D2556" s="2">
        <v>46159</v>
      </c>
      <c r="E2556" s="2">
        <v>46164</v>
      </c>
      <c r="F2556" s="1" t="s">
        <v>116</v>
      </c>
      <c r="G2556" s="1" t="s">
        <v>2</v>
      </c>
      <c r="H2556" s="1" t="s">
        <v>3</v>
      </c>
      <c r="I2556" s="7">
        <v>15.18</v>
      </c>
      <c r="J2556" s="1" t="s">
        <v>38</v>
      </c>
      <c r="K2556" s="1"/>
      <c r="L2556" s="1" t="s">
        <v>39</v>
      </c>
      <c r="M2556" s="1" t="str">
        <f>INDEX(MCC_Lookup!$B$2:$B$12,MATCH(G2556,MCC_Lookup!$A$2:$A$12,0))</f>
        <v>Meals</v>
      </c>
      <c r="N2556" s="1" t="str">
        <f>IF(TRIM(H2556)="","BLANK",IF(PROPER(TRIM(H2556))=TRIM(M2556),"MATCH","MISMATCH"))</f>
        <v>MATCH</v>
      </c>
      <c r="O2556" s="5" t="str">
        <f>INDEX([1]Employee!$C$2:$C$276,MATCH(B2556,[1]Employee!$A$2:$A$276,0))</f>
        <v>Sales &amp; Marketing</v>
      </c>
    </row>
    <row r="2557" spans="1:15">
      <c r="A2557" s="1" t="s">
        <v>5047</v>
      </c>
      <c r="B2557" s="1" t="s">
        <v>1821</v>
      </c>
      <c r="C2557" s="1" t="s">
        <v>5048</v>
      </c>
      <c r="D2557" s="2">
        <v>46160</v>
      </c>
      <c r="E2557" s="2">
        <v>46164</v>
      </c>
      <c r="F2557" s="1" t="s">
        <v>109</v>
      </c>
      <c r="G2557" s="1" t="s">
        <v>18</v>
      </c>
      <c r="H2557" s="1" t="s">
        <v>19</v>
      </c>
      <c r="I2557" s="7">
        <v>188.65</v>
      </c>
      <c r="J2557" s="1" t="s">
        <v>38</v>
      </c>
      <c r="K2557" s="1"/>
      <c r="L2557" s="1" t="s">
        <v>39</v>
      </c>
      <c r="M2557" s="1" t="str">
        <f>INDEX(MCC_Lookup!$B$2:$B$12,MATCH(G2557,MCC_Lookup!$A$2:$A$12,0))</f>
        <v>Events</v>
      </c>
      <c r="N2557" s="1" t="str">
        <f>IF(TRIM(H2557)="","BLANK",IF(PROPER(TRIM(H2557))=TRIM(M2557),"MATCH","MISMATCH"))</f>
        <v>MATCH</v>
      </c>
      <c r="O2557" s="5" t="str">
        <f>INDEX([1]Employee!$C$2:$C$276,MATCH(B2557,[1]Employee!$A$2:$A$276,0))</f>
        <v>Finance</v>
      </c>
    </row>
    <row r="2558" spans="1:15">
      <c r="A2558" s="1" t="s">
        <v>5049</v>
      </c>
      <c r="B2558" s="1" t="s">
        <v>159</v>
      </c>
      <c r="C2558" s="1" t="s">
        <v>5050</v>
      </c>
      <c r="D2558" s="2">
        <v>46158</v>
      </c>
      <c r="E2558" s="2">
        <v>46164</v>
      </c>
      <c r="F2558" s="1" t="s">
        <v>201</v>
      </c>
      <c r="G2558" s="1" t="s">
        <v>4</v>
      </c>
      <c r="H2558" s="1" t="s">
        <v>5</v>
      </c>
      <c r="I2558" s="7">
        <v>641.82000000000005</v>
      </c>
      <c r="J2558" s="1" t="s">
        <v>38</v>
      </c>
      <c r="K2558" s="1"/>
      <c r="L2558" s="1" t="s">
        <v>39</v>
      </c>
      <c r="M2558" s="1" t="str">
        <f>INDEX(MCC_Lookup!$B$2:$B$12,MATCH(G2558,MCC_Lookup!$A$2:$A$12,0))</f>
        <v>Travel</v>
      </c>
      <c r="N2558" s="1" t="str">
        <f>IF(TRIM(H2558)="","BLANK",IF(PROPER(TRIM(H2558))=TRIM(M2558),"MATCH","MISMATCH"))</f>
        <v>MATCH</v>
      </c>
      <c r="O2558" s="5" t="str">
        <f>INDEX([1]Employee!$C$2:$C$276,MATCH(B2558,[1]Employee!$A$2:$A$276,0))</f>
        <v>Actuarial &amp; Risk</v>
      </c>
    </row>
    <row r="2559" spans="1:15">
      <c r="A2559" s="1" t="s">
        <v>5051</v>
      </c>
      <c r="B2559" s="1" t="s">
        <v>603</v>
      </c>
      <c r="C2559" s="1" t="s">
        <v>5052</v>
      </c>
      <c r="D2559" s="2">
        <v>46156</v>
      </c>
      <c r="E2559" s="2">
        <v>46164</v>
      </c>
      <c r="F2559" s="1" t="s">
        <v>242</v>
      </c>
      <c r="G2559" s="1" t="s">
        <v>13</v>
      </c>
      <c r="H2559" s="1" t="s">
        <v>14</v>
      </c>
      <c r="I2559" s="7">
        <v>56.8</v>
      </c>
      <c r="J2559" s="1" t="s">
        <v>38</v>
      </c>
      <c r="K2559" s="1"/>
      <c r="L2559" s="1" t="s">
        <v>39</v>
      </c>
      <c r="M2559" s="1" t="str">
        <f>INDEX(MCC_Lookup!$B$2:$B$12,MATCH(G2559,MCC_Lookup!$A$2:$A$12,0))</f>
        <v>Software</v>
      </c>
      <c r="N2559" s="1" t="str">
        <f>IF(TRIM(H2559)="","BLANK",IF(PROPER(TRIM(H2559))=TRIM(M2559),"MATCH","MISMATCH"))</f>
        <v>MATCH</v>
      </c>
      <c r="O2559" s="5" t="str">
        <f>INDEX([1]Employee!$C$2:$C$276,MATCH(B2559,[1]Employee!$A$2:$A$276,0))</f>
        <v>Underwriting</v>
      </c>
    </row>
    <row r="2560" spans="1:15">
      <c r="A2560" s="1" t="s">
        <v>5053</v>
      </c>
      <c r="B2560" s="1" t="s">
        <v>966</v>
      </c>
      <c r="C2560" s="1" t="s">
        <v>5054</v>
      </c>
      <c r="D2560" s="2">
        <v>46158</v>
      </c>
      <c r="E2560" s="2">
        <v>46164</v>
      </c>
      <c r="F2560" s="1" t="s">
        <v>92</v>
      </c>
      <c r="G2560" s="1" t="s">
        <v>10</v>
      </c>
      <c r="H2560" s="1" t="s">
        <v>11</v>
      </c>
      <c r="I2560" s="7">
        <v>177.57</v>
      </c>
      <c r="J2560" s="1" t="s">
        <v>38</v>
      </c>
      <c r="K2560" s="1"/>
      <c r="L2560" s="1" t="s">
        <v>39</v>
      </c>
      <c r="M2560" s="1" t="str">
        <f>INDEX(MCC_Lookup!$B$2:$B$12,MATCH(G2560,MCC_Lookup!$A$2:$A$12,0))</f>
        <v>Office Supplies</v>
      </c>
      <c r="N2560" s="1" t="str">
        <f>IF(TRIM(H2560)="","BLANK",IF(PROPER(TRIM(H2560))=TRIM(M2560),"MATCH","MISMATCH"))</f>
        <v>MATCH</v>
      </c>
      <c r="O2560" s="5" t="str">
        <f>INDEX([1]Employee!$C$2:$C$276,MATCH(B2560,[1]Employee!$A$2:$A$276,0))</f>
        <v>Finance</v>
      </c>
    </row>
    <row r="2561" spans="1:15">
      <c r="A2561" s="1" t="s">
        <v>5055</v>
      </c>
      <c r="B2561" s="1" t="s">
        <v>244</v>
      </c>
      <c r="C2561" s="1" t="s">
        <v>5056</v>
      </c>
      <c r="D2561" s="2">
        <v>46164</v>
      </c>
      <c r="E2561" s="2">
        <v>46164</v>
      </c>
      <c r="F2561" s="1" t="s">
        <v>43</v>
      </c>
      <c r="G2561" s="1" t="s">
        <v>2</v>
      </c>
      <c r="H2561" s="1" t="s">
        <v>3</v>
      </c>
      <c r="I2561" s="7">
        <v>16.510000000000002</v>
      </c>
      <c r="J2561" s="1" t="s">
        <v>38</v>
      </c>
      <c r="K2561" s="1"/>
      <c r="L2561" s="1" t="s">
        <v>39</v>
      </c>
      <c r="M2561" s="1" t="str">
        <f>INDEX(MCC_Lookup!$B$2:$B$12,MATCH(G2561,MCC_Lookup!$A$2:$A$12,0))</f>
        <v>Meals</v>
      </c>
      <c r="N2561" s="1" t="str">
        <f>IF(TRIM(H2561)="","BLANK",IF(PROPER(TRIM(H2561))=TRIM(M2561),"MATCH","MISMATCH"))</f>
        <v>MATCH</v>
      </c>
      <c r="O2561" s="5" t="str">
        <f>INDEX([1]Employee!$C$2:$C$276,MATCH(B2561,[1]Employee!$A$2:$A$276,0))</f>
        <v>Sales &amp; Marketing</v>
      </c>
    </row>
    <row r="2562" spans="1:15">
      <c r="A2562" s="1" t="s">
        <v>5057</v>
      </c>
      <c r="B2562" s="1" t="s">
        <v>349</v>
      </c>
      <c r="C2562" s="1"/>
      <c r="D2562" s="2">
        <v>46163</v>
      </c>
      <c r="E2562" s="2">
        <v>46164</v>
      </c>
      <c r="F2562" s="1" t="s">
        <v>65</v>
      </c>
      <c r="G2562" s="1" t="s">
        <v>18</v>
      </c>
      <c r="H2562" s="1" t="s">
        <v>517</v>
      </c>
      <c r="I2562" s="7">
        <v>123.53</v>
      </c>
      <c r="J2562" s="1" t="s">
        <v>38</v>
      </c>
      <c r="K2562" s="1"/>
      <c r="L2562" s="1" t="s">
        <v>39</v>
      </c>
      <c r="M2562" s="1" t="str">
        <f>INDEX(MCC_Lookup!$B$2:$B$12,MATCH(G2562,MCC_Lookup!$A$2:$A$12,0))</f>
        <v>Events</v>
      </c>
      <c r="N2562" s="1" t="str">
        <f>IF(TRIM(H2562)="","BLANK",IF(PROPER(TRIM(H2562))=TRIM(M2562),"MATCH","MISMATCH"))</f>
        <v>MATCH</v>
      </c>
      <c r="O2562" s="5" t="str">
        <f>INDEX([1]Employee!$C$2:$C$276,MATCH(B2562,[1]Employee!$A$2:$A$276,0))</f>
        <v>Sales &amp; Marketing</v>
      </c>
    </row>
    <row r="2563" spans="1:15">
      <c r="A2563" s="1" t="s">
        <v>5058</v>
      </c>
      <c r="B2563" s="1" t="s">
        <v>54</v>
      </c>
      <c r="C2563" s="1" t="s">
        <v>5059</v>
      </c>
      <c r="D2563" s="2">
        <v>46162</v>
      </c>
      <c r="E2563" s="2">
        <v>46164</v>
      </c>
      <c r="F2563" s="1" t="s">
        <v>124</v>
      </c>
      <c r="G2563" s="1" t="s">
        <v>17</v>
      </c>
      <c r="H2563" s="1"/>
      <c r="I2563" s="7">
        <v>180.5</v>
      </c>
      <c r="J2563" s="1" t="s">
        <v>38</v>
      </c>
      <c r="K2563" s="1"/>
      <c r="L2563" s="1" t="s">
        <v>39</v>
      </c>
      <c r="M2563" s="1" t="str">
        <f>INDEX(MCC_Lookup!$B$2:$B$12,MATCH(G2563,MCC_Lookup!$A$2:$A$12,0))</f>
        <v>Entertainment</v>
      </c>
      <c r="N2563" s="1" t="str">
        <f>IF(TRIM(H2563)="","BLANK",IF(PROPER(TRIM(H2563))=TRIM(M2563),"MATCH","MISMATCH"))</f>
        <v>BLANK</v>
      </c>
      <c r="O2563" s="5" t="str">
        <f>INDEX([1]Employee!$C$2:$C$276,MATCH(B2563,[1]Employee!$A$2:$A$276,0))</f>
        <v>Sales &amp; Marketing</v>
      </c>
    </row>
    <row r="2564" spans="1:15">
      <c r="A2564" s="1" t="s">
        <v>5060</v>
      </c>
      <c r="B2564" s="1" t="s">
        <v>190</v>
      </c>
      <c r="C2564" s="1" t="s">
        <v>5061</v>
      </c>
      <c r="D2564" s="2">
        <v>46154</v>
      </c>
      <c r="E2564" s="2">
        <v>46164</v>
      </c>
      <c r="F2564" s="1" t="s">
        <v>305</v>
      </c>
      <c r="G2564" s="1" t="s">
        <v>2</v>
      </c>
      <c r="H2564" s="1" t="s">
        <v>794</v>
      </c>
      <c r="I2564" s="7">
        <v>15.64</v>
      </c>
      <c r="J2564" s="1" t="s">
        <v>38</v>
      </c>
      <c r="K2564" s="1"/>
      <c r="L2564" s="1" t="s">
        <v>39</v>
      </c>
      <c r="M2564" s="1" t="str">
        <f>INDEX(MCC_Lookup!$B$2:$B$12,MATCH(G2564,MCC_Lookup!$A$2:$A$12,0))</f>
        <v>Meals</v>
      </c>
      <c r="N2564" s="1" t="str">
        <f>IF(TRIM(H2564)="","BLANK",IF(PROPER(TRIM(H2564))=TRIM(M2564),"MATCH","MISMATCH"))</f>
        <v>MATCH</v>
      </c>
      <c r="O2564" s="5" t="str">
        <f>INDEX([1]Employee!$C$2:$C$276,MATCH(B2564,[1]Employee!$A$2:$A$276,0))</f>
        <v>Sales &amp; Marketing</v>
      </c>
    </row>
    <row r="2565" spans="1:15">
      <c r="A2565" s="1" t="s">
        <v>5062</v>
      </c>
      <c r="B2565" s="1" t="s">
        <v>2009</v>
      </c>
      <c r="C2565" s="1" t="s">
        <v>5063</v>
      </c>
      <c r="D2565" s="2">
        <v>46163</v>
      </c>
      <c r="E2565" s="2">
        <v>46164</v>
      </c>
      <c r="F2565" s="1" t="s">
        <v>116</v>
      </c>
      <c r="G2565" s="1" t="s">
        <v>2</v>
      </c>
      <c r="H2565" s="1" t="s">
        <v>3</v>
      </c>
      <c r="I2565" s="7">
        <v>21.61</v>
      </c>
      <c r="J2565" s="1" t="s">
        <v>38</v>
      </c>
      <c r="K2565" s="1"/>
      <c r="L2565" s="1" t="s">
        <v>39</v>
      </c>
      <c r="M2565" s="1" t="str">
        <f>INDEX(MCC_Lookup!$B$2:$B$12,MATCH(G2565,MCC_Lookup!$A$2:$A$12,0))</f>
        <v>Meals</v>
      </c>
      <c r="N2565" s="1" t="str">
        <f>IF(TRIM(H2565)="","BLANK",IF(PROPER(TRIM(H2565))=TRIM(M2565),"MATCH","MISMATCH"))</f>
        <v>MATCH</v>
      </c>
      <c r="O2565" s="5" t="str">
        <f>INDEX([1]Employee!$C$2:$C$276,MATCH(B2565,[1]Employee!$A$2:$A$276,0))</f>
        <v>Finance</v>
      </c>
    </row>
    <row r="2566" spans="1:15">
      <c r="A2566" s="1" t="s">
        <v>5064</v>
      </c>
      <c r="B2566" s="1" t="s">
        <v>1170</v>
      </c>
      <c r="C2566" s="1"/>
      <c r="D2566" s="2">
        <v>46159</v>
      </c>
      <c r="E2566" s="2">
        <v>46165</v>
      </c>
      <c r="F2566" s="1" t="s">
        <v>201</v>
      </c>
      <c r="G2566" s="1" t="s">
        <v>4</v>
      </c>
      <c r="H2566" s="1" t="s">
        <v>5</v>
      </c>
      <c r="I2566" s="7">
        <v>595.04999999999995</v>
      </c>
      <c r="J2566" s="1" t="s">
        <v>111</v>
      </c>
      <c r="K2566" s="1" t="s">
        <v>112</v>
      </c>
      <c r="L2566" s="1" t="s">
        <v>39</v>
      </c>
      <c r="M2566" s="1" t="str">
        <f>INDEX(MCC_Lookup!$B$2:$B$12,MATCH(G2566,MCC_Lookup!$A$2:$A$12,0))</f>
        <v>Travel</v>
      </c>
      <c r="N2566" s="1" t="str">
        <f>IF(TRIM(H2566)="","BLANK",IF(PROPER(TRIM(H2566))=TRIM(M2566),"MATCH","MISMATCH"))</f>
        <v>MATCH</v>
      </c>
      <c r="O2566" s="5" t="str">
        <f>INDEX([1]Employee!$C$2:$C$276,MATCH(B2566,[1]Employee!$A$2:$A$276,0))</f>
        <v>Finance</v>
      </c>
    </row>
    <row r="2567" spans="1:15">
      <c r="A2567" s="1" t="s">
        <v>5065</v>
      </c>
      <c r="B2567" s="1" t="s">
        <v>496</v>
      </c>
      <c r="C2567" s="1" t="s">
        <v>5066</v>
      </c>
      <c r="D2567" s="2">
        <v>46159</v>
      </c>
      <c r="E2567" s="2">
        <v>46165</v>
      </c>
      <c r="F2567" s="1" t="s">
        <v>65</v>
      </c>
      <c r="G2567" s="1" t="s">
        <v>18</v>
      </c>
      <c r="H2567" s="1" t="s">
        <v>19</v>
      </c>
      <c r="I2567" s="7">
        <v>551.66999999999996</v>
      </c>
      <c r="J2567" s="1" t="s">
        <v>38</v>
      </c>
      <c r="K2567" s="1"/>
      <c r="L2567" s="1" t="s">
        <v>39</v>
      </c>
      <c r="M2567" s="1" t="str">
        <f>INDEX(MCC_Lookup!$B$2:$B$12,MATCH(G2567,MCC_Lookup!$A$2:$A$12,0))</f>
        <v>Events</v>
      </c>
      <c r="N2567" s="1" t="str">
        <f>IF(TRIM(H2567)="","BLANK",IF(PROPER(TRIM(H2567))=TRIM(M2567),"MATCH","MISMATCH"))</f>
        <v>MATCH</v>
      </c>
      <c r="O2567" s="5" t="str">
        <f>INDEX([1]Employee!$C$2:$C$276,MATCH(B2567,[1]Employee!$A$2:$A$276,0))</f>
        <v>Actuarial &amp; Risk</v>
      </c>
    </row>
    <row r="2568" spans="1:15">
      <c r="A2568" s="1" t="s">
        <v>5067</v>
      </c>
      <c r="B2568" s="1" t="s">
        <v>152</v>
      </c>
      <c r="C2568" s="1" t="s">
        <v>5068</v>
      </c>
      <c r="D2568" s="2">
        <v>46162</v>
      </c>
      <c r="E2568" s="2">
        <v>46165</v>
      </c>
      <c r="F2568" s="1" t="s">
        <v>120</v>
      </c>
      <c r="G2568" s="1" t="s">
        <v>12</v>
      </c>
      <c r="H2568" s="1" t="s">
        <v>11</v>
      </c>
      <c r="I2568" s="7">
        <v>50.98</v>
      </c>
      <c r="J2568" s="1" t="s">
        <v>38</v>
      </c>
      <c r="K2568" s="1"/>
      <c r="L2568" s="1" t="s">
        <v>39</v>
      </c>
      <c r="M2568" s="1" t="str">
        <f>INDEX(MCC_Lookup!$B$2:$B$12,MATCH(G2568,MCC_Lookup!$A$2:$A$12,0))</f>
        <v>Office Supplies</v>
      </c>
      <c r="N2568" s="1" t="str">
        <f>IF(TRIM(H2568)="","BLANK",IF(PROPER(TRIM(H2568))=TRIM(M2568),"MATCH","MISMATCH"))</f>
        <v>MATCH</v>
      </c>
      <c r="O2568" s="5" t="str">
        <f>INDEX([1]Employee!$C$2:$C$276,MATCH(B2568,[1]Employee!$A$2:$A$276,0))</f>
        <v>Sales &amp; Marketing</v>
      </c>
    </row>
    <row r="2569" spans="1:15">
      <c r="A2569" s="1" t="s">
        <v>5069</v>
      </c>
      <c r="B2569" s="1" t="s">
        <v>506</v>
      </c>
      <c r="C2569" s="1" t="s">
        <v>5070</v>
      </c>
      <c r="D2569" s="2">
        <v>46164</v>
      </c>
      <c r="E2569" s="2">
        <v>46165</v>
      </c>
      <c r="F2569" s="1" t="s">
        <v>61</v>
      </c>
      <c r="G2569" s="1" t="s">
        <v>13</v>
      </c>
      <c r="H2569" s="1" t="s">
        <v>14</v>
      </c>
      <c r="I2569" s="7">
        <v>55.61</v>
      </c>
      <c r="J2569" s="1" t="s">
        <v>38</v>
      </c>
      <c r="K2569" s="1"/>
      <c r="L2569" s="1" t="s">
        <v>39</v>
      </c>
      <c r="M2569" s="1" t="str">
        <f>INDEX(MCC_Lookup!$B$2:$B$12,MATCH(G2569,MCC_Lookup!$A$2:$A$12,0))</f>
        <v>Software</v>
      </c>
      <c r="N2569" s="1" t="str">
        <f>IF(TRIM(H2569)="","BLANK",IF(PROPER(TRIM(H2569))=TRIM(M2569),"MATCH","MISMATCH"))</f>
        <v>MATCH</v>
      </c>
      <c r="O2569" s="5" t="str">
        <f>INDEX([1]Employee!$C$2:$C$276,MATCH(B2569,[1]Employee!$A$2:$A$276,0))</f>
        <v>Executive &amp; Corporate</v>
      </c>
    </row>
    <row r="2570" spans="1:15">
      <c r="A2570" s="1" t="s">
        <v>5071</v>
      </c>
      <c r="B2570" s="1" t="s">
        <v>597</v>
      </c>
      <c r="C2570" s="1" t="s">
        <v>5072</v>
      </c>
      <c r="D2570" s="2">
        <v>46155</v>
      </c>
      <c r="E2570" s="2">
        <v>46165</v>
      </c>
      <c r="F2570" s="1" t="s">
        <v>259</v>
      </c>
      <c r="G2570" s="1" t="s">
        <v>20</v>
      </c>
      <c r="H2570" s="1" t="s">
        <v>19</v>
      </c>
      <c r="I2570" s="7">
        <v>501.89</v>
      </c>
      <c r="J2570" s="1" t="s">
        <v>38</v>
      </c>
      <c r="K2570" s="1"/>
      <c r="L2570" s="1" t="s">
        <v>39</v>
      </c>
      <c r="M2570" s="1" t="str">
        <f>INDEX(MCC_Lookup!$B$2:$B$12,MATCH(G2570,MCC_Lookup!$A$2:$A$12,0))</f>
        <v>Events</v>
      </c>
      <c r="N2570" s="1" t="str">
        <f>IF(TRIM(H2570)="","BLANK",IF(PROPER(TRIM(H2570))=TRIM(M2570),"MATCH","MISMATCH"))</f>
        <v>MATCH</v>
      </c>
      <c r="O2570" s="5" t="str">
        <f>INDEX([1]Employee!$C$2:$C$276,MATCH(B2570,[1]Employee!$A$2:$A$276,0))</f>
        <v>Sales &amp; Marketing</v>
      </c>
    </row>
    <row r="2571" spans="1:15">
      <c r="A2571" s="1" t="s">
        <v>5073</v>
      </c>
      <c r="B2571" s="1" t="s">
        <v>146</v>
      </c>
      <c r="C2571" s="1" t="s">
        <v>5074</v>
      </c>
      <c r="D2571" s="2">
        <v>46162</v>
      </c>
      <c r="E2571" s="2">
        <v>46165</v>
      </c>
      <c r="F2571" s="1" t="s">
        <v>56</v>
      </c>
      <c r="G2571" s="1" t="s">
        <v>4</v>
      </c>
      <c r="H2571" s="1" t="s">
        <v>5</v>
      </c>
      <c r="I2571" s="7">
        <v>438.28</v>
      </c>
      <c r="J2571" s="1" t="s">
        <v>38</v>
      </c>
      <c r="K2571" s="1"/>
      <c r="L2571" s="1" t="s">
        <v>39</v>
      </c>
      <c r="M2571" s="1" t="str">
        <f>INDEX(MCC_Lookup!$B$2:$B$12,MATCH(G2571,MCC_Lookup!$A$2:$A$12,0))</f>
        <v>Travel</v>
      </c>
      <c r="N2571" s="1" t="str">
        <f>IF(TRIM(H2571)="","BLANK",IF(PROPER(TRIM(H2571))=TRIM(M2571),"MATCH","MISMATCH"))</f>
        <v>MATCH</v>
      </c>
      <c r="O2571" s="5" t="str">
        <f>INDEX([1]Employee!$C$2:$C$276,MATCH(B2571,[1]Employee!$A$2:$A$276,0))</f>
        <v>HR &amp; Events</v>
      </c>
    </row>
    <row r="2572" spans="1:15">
      <c r="A2572" s="1" t="s">
        <v>5075</v>
      </c>
      <c r="B2572" s="1" t="s">
        <v>81</v>
      </c>
      <c r="C2572" s="1" t="s">
        <v>5076</v>
      </c>
      <c r="D2572" s="2">
        <v>46161</v>
      </c>
      <c r="E2572" s="2">
        <v>46165</v>
      </c>
      <c r="F2572" s="1" t="s">
        <v>56</v>
      </c>
      <c r="G2572" s="1" t="s">
        <v>4</v>
      </c>
      <c r="H2572" s="1" t="s">
        <v>5</v>
      </c>
      <c r="I2572" s="7">
        <v>383.83</v>
      </c>
      <c r="J2572" s="1" t="s">
        <v>38</v>
      </c>
      <c r="K2572" s="1"/>
      <c r="L2572" s="1" t="s">
        <v>48</v>
      </c>
      <c r="M2572" s="1" t="str">
        <f>INDEX(MCC_Lookup!$B$2:$B$12,MATCH(G2572,MCC_Lookup!$A$2:$A$12,0))</f>
        <v>Travel</v>
      </c>
      <c r="N2572" s="1" t="str">
        <f>IF(TRIM(H2572)="","BLANK",IF(PROPER(TRIM(H2572))=TRIM(M2572),"MATCH","MISMATCH"))</f>
        <v>MATCH</v>
      </c>
      <c r="O2572" s="5" t="str">
        <f>INDEX([1]Employee!$C$2:$C$276,MATCH(B2572,[1]Employee!$A$2:$A$276,0))</f>
        <v>Sales &amp; Marketing</v>
      </c>
    </row>
    <row r="2573" spans="1:15">
      <c r="A2573" s="1" t="s">
        <v>5077</v>
      </c>
      <c r="B2573" s="1" t="s">
        <v>712</v>
      </c>
      <c r="C2573" s="1"/>
      <c r="D2573" s="2">
        <v>46161</v>
      </c>
      <c r="E2573" s="2">
        <v>46165</v>
      </c>
      <c r="F2573" s="1" t="s">
        <v>79</v>
      </c>
      <c r="G2573" s="1" t="s">
        <v>13</v>
      </c>
      <c r="H2573" s="1" t="s">
        <v>14</v>
      </c>
      <c r="I2573" s="7">
        <v>121.04</v>
      </c>
      <c r="J2573" s="1" t="s">
        <v>111</v>
      </c>
      <c r="K2573" s="1" t="s">
        <v>112</v>
      </c>
      <c r="L2573" s="1" t="s">
        <v>39</v>
      </c>
      <c r="M2573" s="1" t="str">
        <f>INDEX(MCC_Lookup!$B$2:$B$12,MATCH(G2573,MCC_Lookup!$A$2:$A$12,0))</f>
        <v>Software</v>
      </c>
      <c r="N2573" s="1" t="str">
        <f>IF(TRIM(H2573)="","BLANK",IF(PROPER(TRIM(H2573))=TRIM(M2573),"MATCH","MISMATCH"))</f>
        <v>MATCH</v>
      </c>
      <c r="O2573" s="5" t="str">
        <f>INDEX([1]Employee!$C$2:$C$276,MATCH(B2573,[1]Employee!$A$2:$A$276,0))</f>
        <v>Underwriting</v>
      </c>
    </row>
    <row r="2574" spans="1:15">
      <c r="A2574" s="1" t="s">
        <v>5078</v>
      </c>
      <c r="B2574" s="1" t="s">
        <v>136</v>
      </c>
      <c r="C2574" s="1" t="s">
        <v>5079</v>
      </c>
      <c r="D2574" s="2">
        <v>46162</v>
      </c>
      <c r="E2574" s="2">
        <v>46165</v>
      </c>
      <c r="F2574" s="1" t="s">
        <v>201</v>
      </c>
      <c r="G2574" s="1" t="s">
        <v>4</v>
      </c>
      <c r="H2574" s="1" t="s">
        <v>714</v>
      </c>
      <c r="I2574" s="7">
        <v>551.23</v>
      </c>
      <c r="J2574" s="1" t="s">
        <v>38</v>
      </c>
      <c r="K2574" s="1"/>
      <c r="L2574" s="1" t="s">
        <v>39</v>
      </c>
      <c r="M2574" s="1" t="str">
        <f>INDEX(MCC_Lookup!$B$2:$B$12,MATCH(G2574,MCC_Lookup!$A$2:$A$12,0))</f>
        <v>Travel</v>
      </c>
      <c r="N2574" s="1" t="str">
        <f>IF(TRIM(H2574)="","BLANK",IF(PROPER(TRIM(H2574))=TRIM(M2574),"MATCH","MISMATCH"))</f>
        <v>MATCH</v>
      </c>
      <c r="O2574" s="5" t="str">
        <f>INDEX([1]Employee!$C$2:$C$276,MATCH(B2574,[1]Employee!$A$2:$A$276,0))</f>
        <v>Sales &amp; Marketing</v>
      </c>
    </row>
    <row r="2575" spans="1:15">
      <c r="A2575" s="1" t="s">
        <v>5080</v>
      </c>
      <c r="B2575" s="1" t="s">
        <v>640</v>
      </c>
      <c r="C2575" s="1"/>
      <c r="D2575" s="2">
        <v>46165</v>
      </c>
      <c r="E2575" s="2">
        <v>46165</v>
      </c>
      <c r="F2575" s="1" t="s">
        <v>1507</v>
      </c>
      <c r="G2575" s="1" t="s">
        <v>10</v>
      </c>
      <c r="H2575" s="1"/>
      <c r="I2575" s="7">
        <v>85.3</v>
      </c>
      <c r="J2575" s="1" t="s">
        <v>38</v>
      </c>
      <c r="K2575" s="1"/>
      <c r="L2575" s="1" t="s">
        <v>39</v>
      </c>
      <c r="M2575" s="1" t="str">
        <f>INDEX(MCC_Lookup!$B$2:$B$12,MATCH(G2575,MCC_Lookup!$A$2:$A$12,0))</f>
        <v>Office Supplies</v>
      </c>
      <c r="N2575" s="1" t="str">
        <f>IF(TRIM(H2575)="","BLANK",IF(PROPER(TRIM(H2575))=TRIM(M2575),"MATCH","MISMATCH"))</f>
        <v>BLANK</v>
      </c>
      <c r="O2575" s="5" t="str">
        <f>INDEX([1]Employee!$C$2:$C$276,MATCH(B2575,[1]Employee!$A$2:$A$276,0))</f>
        <v>Underwriting</v>
      </c>
    </row>
    <row r="2576" spans="1:15">
      <c r="A2576" s="1" t="s">
        <v>5081</v>
      </c>
      <c r="B2576" s="1" t="s">
        <v>553</v>
      </c>
      <c r="C2576" s="1" t="s">
        <v>5082</v>
      </c>
      <c r="D2576" s="2">
        <v>46160</v>
      </c>
      <c r="E2576" s="2">
        <v>46165</v>
      </c>
      <c r="F2576" s="1" t="s">
        <v>106</v>
      </c>
      <c r="G2576" s="1" t="s">
        <v>13</v>
      </c>
      <c r="H2576" s="1" t="s">
        <v>14</v>
      </c>
      <c r="I2576" s="7">
        <v>180.37</v>
      </c>
      <c r="J2576" s="1" t="s">
        <v>38</v>
      </c>
      <c r="K2576" s="1"/>
      <c r="L2576" s="1" t="s">
        <v>39</v>
      </c>
      <c r="M2576" s="1" t="str">
        <f>INDEX(MCC_Lookup!$B$2:$B$12,MATCH(G2576,MCC_Lookup!$A$2:$A$12,0))</f>
        <v>Software</v>
      </c>
      <c r="N2576" s="1" t="str">
        <f>IF(TRIM(H2576)="","BLANK",IF(PROPER(TRIM(H2576))=TRIM(M2576),"MATCH","MISMATCH"))</f>
        <v>MATCH</v>
      </c>
      <c r="O2576" s="5" t="str">
        <f>INDEX([1]Employee!$C$2:$C$276,MATCH(B2576,[1]Employee!$A$2:$A$276,0))</f>
        <v>Claims</v>
      </c>
    </row>
    <row r="2577" spans="1:15">
      <c r="A2577" s="1" t="s">
        <v>5083</v>
      </c>
      <c r="B2577" s="1" t="s">
        <v>433</v>
      </c>
      <c r="C2577" s="1" t="s">
        <v>5084</v>
      </c>
      <c r="D2577" s="2">
        <v>46155</v>
      </c>
      <c r="E2577" s="2">
        <v>46165</v>
      </c>
      <c r="F2577" s="1" t="s">
        <v>305</v>
      </c>
      <c r="G2577" s="1" t="s">
        <v>2</v>
      </c>
      <c r="H2577" s="1" t="s">
        <v>154</v>
      </c>
      <c r="I2577" s="7">
        <v>17.16</v>
      </c>
      <c r="J2577" s="1" t="s">
        <v>38</v>
      </c>
      <c r="K2577" s="1"/>
      <c r="L2577" s="1" t="s">
        <v>39</v>
      </c>
      <c r="M2577" s="1" t="str">
        <f>INDEX(MCC_Lookup!$B$2:$B$12,MATCH(G2577,MCC_Lookup!$A$2:$A$12,0))</f>
        <v>Meals</v>
      </c>
      <c r="N2577" s="1" t="str">
        <f>IF(TRIM(H2577)="","BLANK",IF(PROPER(TRIM(H2577))=TRIM(M2577),"MATCH","MISMATCH"))</f>
        <v>MATCH</v>
      </c>
      <c r="O2577" s="5" t="str">
        <f>INDEX([1]Employee!$C$2:$C$276,MATCH(B2577,[1]Employee!$A$2:$A$276,0))</f>
        <v>Sales &amp; Marketing</v>
      </c>
    </row>
    <row r="2578" spans="1:15">
      <c r="A2578" s="1" t="s">
        <v>5085</v>
      </c>
      <c r="B2578" s="1" t="s">
        <v>550</v>
      </c>
      <c r="C2578" s="1" t="s">
        <v>5086</v>
      </c>
      <c r="D2578" s="2">
        <v>46159</v>
      </c>
      <c r="E2578" s="2">
        <v>46165</v>
      </c>
      <c r="F2578" s="1" t="s">
        <v>214</v>
      </c>
      <c r="G2578" s="1" t="s">
        <v>2</v>
      </c>
      <c r="H2578" s="1" t="s">
        <v>3</v>
      </c>
      <c r="I2578" s="7">
        <v>58.84</v>
      </c>
      <c r="J2578" s="1" t="s">
        <v>38</v>
      </c>
      <c r="K2578" s="1"/>
      <c r="L2578" s="1" t="s">
        <v>39</v>
      </c>
      <c r="M2578" s="1" t="str">
        <f>INDEX(MCC_Lookup!$B$2:$B$12,MATCH(G2578,MCC_Lookup!$A$2:$A$12,0))</f>
        <v>Meals</v>
      </c>
      <c r="N2578" s="1" t="str">
        <f>IF(TRIM(H2578)="","BLANK",IF(PROPER(TRIM(H2578))=TRIM(M2578),"MATCH","MISMATCH"))</f>
        <v>MATCH</v>
      </c>
      <c r="O2578" s="5" t="str">
        <f>INDEX([1]Employee!$C$2:$C$276,MATCH(B2578,[1]Employee!$A$2:$A$276,0))</f>
        <v>Sales &amp; Marketing</v>
      </c>
    </row>
    <row r="2579" spans="1:15">
      <c r="A2579" s="1" t="s">
        <v>5087</v>
      </c>
      <c r="B2579" s="1" t="s">
        <v>303</v>
      </c>
      <c r="C2579" s="1" t="s">
        <v>5088</v>
      </c>
      <c r="D2579" s="2">
        <v>46156</v>
      </c>
      <c r="E2579" s="2">
        <v>46165</v>
      </c>
      <c r="F2579" s="1" t="s">
        <v>124</v>
      </c>
      <c r="G2579" s="1" t="s">
        <v>17</v>
      </c>
      <c r="H2579" s="1" t="s">
        <v>16</v>
      </c>
      <c r="I2579" s="7">
        <v>144.18</v>
      </c>
      <c r="J2579" s="1" t="s">
        <v>38</v>
      </c>
      <c r="K2579" s="1"/>
      <c r="L2579" s="1" t="s">
        <v>39</v>
      </c>
      <c r="M2579" s="1" t="str">
        <f>INDEX(MCC_Lookup!$B$2:$B$12,MATCH(G2579,MCC_Lookup!$A$2:$A$12,0))</f>
        <v>Entertainment</v>
      </c>
      <c r="N2579" s="1" t="str">
        <f>IF(TRIM(H2579)="","BLANK",IF(PROPER(TRIM(H2579))=TRIM(M2579),"MATCH","MISMATCH"))</f>
        <v>MATCH</v>
      </c>
      <c r="O2579" s="5" t="str">
        <f>INDEX([1]Employee!$C$2:$C$276,MATCH(B2579,[1]Employee!$A$2:$A$276,0))</f>
        <v>Sales &amp; Marketing</v>
      </c>
    </row>
    <row r="2580" spans="1:15">
      <c r="A2580" s="1" t="s">
        <v>5089</v>
      </c>
      <c r="B2580" s="1" t="s">
        <v>292</v>
      </c>
      <c r="C2580" s="1" t="s">
        <v>5090</v>
      </c>
      <c r="D2580" s="2">
        <v>46157</v>
      </c>
      <c r="E2580" s="2">
        <v>46165</v>
      </c>
      <c r="F2580" s="1" t="s">
        <v>99</v>
      </c>
      <c r="G2580" s="1" t="s">
        <v>2</v>
      </c>
      <c r="H2580" s="1" t="s">
        <v>3</v>
      </c>
      <c r="I2580" s="7">
        <v>35.159999999999997</v>
      </c>
      <c r="J2580" s="1" t="s">
        <v>38</v>
      </c>
      <c r="K2580" s="1"/>
      <c r="L2580" s="1" t="s">
        <v>39</v>
      </c>
      <c r="M2580" s="1" t="str">
        <f>INDEX(MCC_Lookup!$B$2:$B$12,MATCH(G2580,MCC_Lookup!$A$2:$A$12,0))</f>
        <v>Meals</v>
      </c>
      <c r="N2580" s="1" t="str">
        <f>IF(TRIM(H2580)="","BLANK",IF(PROPER(TRIM(H2580))=TRIM(M2580),"MATCH","MISMATCH"))</f>
        <v>MATCH</v>
      </c>
      <c r="O2580" s="5" t="str">
        <f>INDEX([1]Employee!$C$2:$C$276,MATCH(B2580,[1]Employee!$A$2:$A$276,0))</f>
        <v>Sales &amp; Marketing</v>
      </c>
    </row>
    <row r="2581" spans="1:15">
      <c r="A2581" s="1" t="s">
        <v>5091</v>
      </c>
      <c r="B2581" s="1" t="s">
        <v>240</v>
      </c>
      <c r="C2581" s="1" t="s">
        <v>5092</v>
      </c>
      <c r="D2581" s="2">
        <v>46155</v>
      </c>
      <c r="E2581" s="2">
        <v>46165</v>
      </c>
      <c r="F2581" s="1" t="s">
        <v>106</v>
      </c>
      <c r="G2581" s="1" t="s">
        <v>13</v>
      </c>
      <c r="H2581" s="1" t="s">
        <v>14</v>
      </c>
      <c r="I2581" s="7">
        <v>131.71</v>
      </c>
      <c r="J2581" s="1" t="s">
        <v>38</v>
      </c>
      <c r="K2581" s="1"/>
      <c r="L2581" s="1" t="s">
        <v>39</v>
      </c>
      <c r="M2581" s="1" t="str">
        <f>INDEX(MCC_Lookup!$B$2:$B$12,MATCH(G2581,MCC_Lookup!$A$2:$A$12,0))</f>
        <v>Software</v>
      </c>
      <c r="N2581" s="1" t="str">
        <f>IF(TRIM(H2581)="","BLANK",IF(PROPER(TRIM(H2581))=TRIM(M2581),"MATCH","MISMATCH"))</f>
        <v>MATCH</v>
      </c>
      <c r="O2581" s="5" t="str">
        <f>INDEX([1]Employee!$C$2:$C$276,MATCH(B2581,[1]Employee!$A$2:$A$276,0))</f>
        <v>Claims</v>
      </c>
    </row>
    <row r="2582" spans="1:15">
      <c r="A2582" s="1" t="s">
        <v>5093</v>
      </c>
      <c r="B2582" s="1" t="s">
        <v>122</v>
      </c>
      <c r="C2582" s="1" t="s">
        <v>5094</v>
      </c>
      <c r="D2582" s="2">
        <v>46155</v>
      </c>
      <c r="E2582" s="2">
        <v>46165</v>
      </c>
      <c r="F2582" s="1" t="s">
        <v>47</v>
      </c>
      <c r="G2582" s="1" t="s">
        <v>6</v>
      </c>
      <c r="H2582" s="1" t="s">
        <v>7</v>
      </c>
      <c r="I2582" s="7">
        <v>259.32</v>
      </c>
      <c r="J2582" s="1" t="s">
        <v>38</v>
      </c>
      <c r="K2582" s="1"/>
      <c r="L2582" s="1" t="s">
        <v>39</v>
      </c>
      <c r="M2582" s="1" t="str">
        <f>INDEX(MCC_Lookup!$B$2:$B$12,MATCH(G2582,MCC_Lookup!$A$2:$A$12,0))</f>
        <v>Lodging</v>
      </c>
      <c r="N2582" s="1" t="str">
        <f>IF(TRIM(H2582)="","BLANK",IF(PROPER(TRIM(H2582))=TRIM(M2582),"MATCH","MISMATCH"))</f>
        <v>MATCH</v>
      </c>
      <c r="O2582" s="5" t="str">
        <f>INDEX([1]Employee!$C$2:$C$276,MATCH(B2582,[1]Employee!$A$2:$A$276,0))</f>
        <v>Sales &amp; Marketing</v>
      </c>
    </row>
    <row r="2583" spans="1:15">
      <c r="A2583" s="1" t="s">
        <v>5095</v>
      </c>
      <c r="B2583" s="1" t="s">
        <v>1567</v>
      </c>
      <c r="C2583" s="1" t="s">
        <v>5096</v>
      </c>
      <c r="D2583" s="2">
        <v>46162</v>
      </c>
      <c r="E2583" s="2">
        <v>46165</v>
      </c>
      <c r="F2583" s="1" t="s">
        <v>92</v>
      </c>
      <c r="G2583" s="1" t="s">
        <v>10</v>
      </c>
      <c r="H2583" s="1" t="s">
        <v>11</v>
      </c>
      <c r="I2583" s="7">
        <v>102.56</v>
      </c>
      <c r="J2583" s="1" t="s">
        <v>38</v>
      </c>
      <c r="K2583" s="1"/>
      <c r="L2583" s="1" t="s">
        <v>48</v>
      </c>
      <c r="M2583" s="1" t="str">
        <f>INDEX(MCC_Lookup!$B$2:$B$12,MATCH(G2583,MCC_Lookup!$A$2:$A$12,0))</f>
        <v>Office Supplies</v>
      </c>
      <c r="N2583" s="1" t="str">
        <f>IF(TRIM(H2583)="","BLANK",IF(PROPER(TRIM(H2583))=TRIM(M2583),"MATCH","MISMATCH"))</f>
        <v>MATCH</v>
      </c>
      <c r="O2583" s="5" t="str">
        <f>INDEX([1]Employee!$C$2:$C$276,MATCH(B2583,[1]Employee!$A$2:$A$276,0))</f>
        <v>Underwriting</v>
      </c>
    </row>
    <row r="2584" spans="1:15">
      <c r="A2584" s="1" t="s">
        <v>5097</v>
      </c>
      <c r="B2584" s="1" t="s">
        <v>2981</v>
      </c>
      <c r="C2584" s="1" t="s">
        <v>5098</v>
      </c>
      <c r="D2584" s="2">
        <v>46162</v>
      </c>
      <c r="E2584" s="2">
        <v>46165</v>
      </c>
      <c r="F2584" s="1" t="s">
        <v>37</v>
      </c>
      <c r="G2584" s="1" t="s">
        <v>4</v>
      </c>
      <c r="H2584" s="1" t="s">
        <v>5</v>
      </c>
      <c r="I2584" s="7">
        <v>229.59</v>
      </c>
      <c r="J2584" s="1" t="s">
        <v>38</v>
      </c>
      <c r="K2584" s="1"/>
      <c r="L2584" s="1" t="s">
        <v>39</v>
      </c>
      <c r="M2584" s="1" t="str">
        <f>INDEX(MCC_Lookup!$B$2:$B$12,MATCH(G2584,MCC_Lookup!$A$2:$A$12,0))</f>
        <v>Travel</v>
      </c>
      <c r="N2584" s="1" t="str">
        <f>IF(TRIM(H2584)="","BLANK",IF(PROPER(TRIM(H2584))=TRIM(M2584),"MATCH","MISMATCH"))</f>
        <v>MATCH</v>
      </c>
      <c r="O2584" s="5" t="str">
        <f>INDEX([1]Employee!$C$2:$C$276,MATCH(B2584,[1]Employee!$A$2:$A$276,0))</f>
        <v>IT &amp; Platform Engineering</v>
      </c>
    </row>
    <row r="2585" spans="1:15">
      <c r="A2585" s="1" t="s">
        <v>5099</v>
      </c>
      <c r="B2585" s="1" t="s">
        <v>140</v>
      </c>
      <c r="C2585" s="1" t="s">
        <v>5100</v>
      </c>
      <c r="D2585" s="2">
        <v>46163</v>
      </c>
      <c r="E2585" s="2">
        <v>46165</v>
      </c>
      <c r="F2585" s="1" t="s">
        <v>124</v>
      </c>
      <c r="G2585" s="1" t="s">
        <v>17</v>
      </c>
      <c r="H2585" s="1" t="s">
        <v>16</v>
      </c>
      <c r="I2585" s="7">
        <v>160.84</v>
      </c>
      <c r="J2585" s="1" t="s">
        <v>38</v>
      </c>
      <c r="K2585" s="1"/>
      <c r="L2585" s="1" t="s">
        <v>39</v>
      </c>
      <c r="M2585" s="1" t="str">
        <f>INDEX(MCC_Lookup!$B$2:$B$12,MATCH(G2585,MCC_Lookup!$A$2:$A$12,0))</f>
        <v>Entertainment</v>
      </c>
      <c r="N2585" s="1" t="str">
        <f>IF(TRIM(H2585)="","BLANK",IF(PROPER(TRIM(H2585))=TRIM(M2585),"MATCH","MISMATCH"))</f>
        <v>MATCH</v>
      </c>
      <c r="O2585" s="5" t="str">
        <f>INDEX([1]Employee!$C$2:$C$276,MATCH(B2585,[1]Employee!$A$2:$A$276,0))</f>
        <v>Finance</v>
      </c>
    </row>
    <row r="2586" spans="1:15">
      <c r="A2586" s="1" t="s">
        <v>5101</v>
      </c>
      <c r="B2586" s="1" t="s">
        <v>832</v>
      </c>
      <c r="C2586" s="1" t="s">
        <v>5102</v>
      </c>
      <c r="D2586" s="2">
        <v>46165</v>
      </c>
      <c r="E2586" s="2">
        <v>46166</v>
      </c>
      <c r="F2586" s="1" t="s">
        <v>65</v>
      </c>
      <c r="G2586" s="1" t="s">
        <v>18</v>
      </c>
      <c r="H2586" s="1" t="s">
        <v>19</v>
      </c>
      <c r="I2586" s="7">
        <v>181.47</v>
      </c>
      <c r="J2586" s="1" t="s">
        <v>38</v>
      </c>
      <c r="K2586" s="1"/>
      <c r="L2586" s="1" t="s">
        <v>39</v>
      </c>
      <c r="M2586" s="1" t="str">
        <f>INDEX(MCC_Lookup!$B$2:$B$12,MATCH(G2586,MCC_Lookup!$A$2:$A$12,0))</f>
        <v>Events</v>
      </c>
      <c r="N2586" s="1" t="str">
        <f>IF(TRIM(H2586)="","BLANK",IF(PROPER(TRIM(H2586))=TRIM(M2586),"MATCH","MISMATCH"))</f>
        <v>MATCH</v>
      </c>
      <c r="O2586" s="5" t="str">
        <f>INDEX([1]Employee!$C$2:$C$276,MATCH(B2586,[1]Employee!$A$2:$A$276,0))</f>
        <v>Sales &amp; Marketing</v>
      </c>
    </row>
    <row r="2587" spans="1:15">
      <c r="A2587" s="1" t="s">
        <v>5103</v>
      </c>
      <c r="B2587" s="1" t="s">
        <v>832</v>
      </c>
      <c r="C2587" s="1" t="s">
        <v>5104</v>
      </c>
      <c r="D2587" s="2">
        <v>46157</v>
      </c>
      <c r="E2587" s="2">
        <v>46166</v>
      </c>
      <c r="F2587" s="1" t="s">
        <v>72</v>
      </c>
      <c r="G2587" s="1" t="s">
        <v>8</v>
      </c>
      <c r="H2587" s="1" t="s">
        <v>9</v>
      </c>
      <c r="I2587" s="7">
        <v>20.09</v>
      </c>
      <c r="J2587" s="1" t="s">
        <v>38</v>
      </c>
      <c r="K2587" s="1"/>
      <c r="L2587" s="1" t="s">
        <v>39</v>
      </c>
      <c r="M2587" s="1" t="str">
        <f>INDEX(MCC_Lookup!$B$2:$B$12,MATCH(G2587,MCC_Lookup!$A$2:$A$12,0))</f>
        <v>Transportation</v>
      </c>
      <c r="N2587" s="1" t="str">
        <f>IF(TRIM(H2587)="","BLANK",IF(PROPER(TRIM(H2587))=TRIM(M2587),"MATCH","MISMATCH"))</f>
        <v>MATCH</v>
      </c>
      <c r="O2587" s="5" t="str">
        <f>INDEX([1]Employee!$C$2:$C$276,MATCH(B2587,[1]Employee!$A$2:$A$276,0))</f>
        <v>Sales &amp; Marketing</v>
      </c>
    </row>
    <row r="2588" spans="1:15">
      <c r="A2588" s="1" t="s">
        <v>5105</v>
      </c>
      <c r="B2588" s="1" t="s">
        <v>836</v>
      </c>
      <c r="C2588" s="1" t="s">
        <v>5106</v>
      </c>
      <c r="D2588" s="2">
        <v>46158</v>
      </c>
      <c r="E2588" s="2">
        <v>46166</v>
      </c>
      <c r="F2588" s="1" t="s">
        <v>173</v>
      </c>
      <c r="G2588" s="1" t="s">
        <v>2</v>
      </c>
      <c r="H2588" s="1" t="s">
        <v>3</v>
      </c>
      <c r="I2588" s="7">
        <v>34.880000000000003</v>
      </c>
      <c r="J2588" s="1" t="s">
        <v>38</v>
      </c>
      <c r="K2588" s="1"/>
      <c r="L2588" s="1" t="s">
        <v>48</v>
      </c>
      <c r="M2588" s="1" t="str">
        <f>INDEX(MCC_Lookup!$B$2:$B$12,MATCH(G2588,MCC_Lookup!$A$2:$A$12,0))</f>
        <v>Meals</v>
      </c>
      <c r="N2588" s="1" t="str">
        <f>IF(TRIM(H2588)="","BLANK",IF(PROPER(TRIM(H2588))=TRIM(M2588),"MATCH","MISMATCH"))</f>
        <v>MATCH</v>
      </c>
      <c r="O2588" s="5" t="str">
        <f>INDEX([1]Employee!$C$2:$C$276,MATCH(B2588,[1]Employee!$A$2:$A$276,0))</f>
        <v>Sales &amp; Marketing</v>
      </c>
    </row>
    <row r="2589" spans="1:15">
      <c r="A2589" s="1" t="s">
        <v>5107</v>
      </c>
      <c r="B2589" s="1" t="s">
        <v>413</v>
      </c>
      <c r="C2589" s="1"/>
      <c r="D2589" s="2">
        <v>46166</v>
      </c>
      <c r="E2589" s="2">
        <v>46166</v>
      </c>
      <c r="F2589" s="1" t="s">
        <v>47</v>
      </c>
      <c r="G2589" s="1" t="s">
        <v>6</v>
      </c>
      <c r="H2589" s="1" t="s">
        <v>7</v>
      </c>
      <c r="I2589" s="7">
        <v>247.88</v>
      </c>
      <c r="J2589" s="1" t="s">
        <v>38</v>
      </c>
      <c r="K2589" s="1"/>
      <c r="L2589" s="1" t="s">
        <v>39</v>
      </c>
      <c r="M2589" s="1" t="str">
        <f>INDEX(MCC_Lookup!$B$2:$B$12,MATCH(G2589,MCC_Lookup!$A$2:$A$12,0))</f>
        <v>Lodging</v>
      </c>
      <c r="N2589" s="1" t="str">
        <f>IF(TRIM(H2589)="","BLANK",IF(PROPER(TRIM(H2589))=TRIM(M2589),"MATCH","MISMATCH"))</f>
        <v>MATCH</v>
      </c>
      <c r="O2589" s="5" t="str">
        <f>INDEX([1]Employee!$C$2:$C$276,MATCH(B2589,[1]Employee!$A$2:$A$276,0))</f>
        <v>Claims</v>
      </c>
    </row>
    <row r="2590" spans="1:15">
      <c r="A2590" s="1" t="s">
        <v>5108</v>
      </c>
      <c r="B2590" s="1" t="s">
        <v>499</v>
      </c>
      <c r="C2590" s="1" t="s">
        <v>5109</v>
      </c>
      <c r="D2590" s="2">
        <v>46163</v>
      </c>
      <c r="E2590" s="2">
        <v>46166</v>
      </c>
      <c r="F2590" s="1" t="s">
        <v>106</v>
      </c>
      <c r="G2590" s="1" t="s">
        <v>13</v>
      </c>
      <c r="H2590" s="1" t="s">
        <v>14</v>
      </c>
      <c r="I2590" s="7">
        <v>233.12</v>
      </c>
      <c r="J2590" s="1" t="s">
        <v>38</v>
      </c>
      <c r="K2590" s="1"/>
      <c r="L2590" s="1" t="s">
        <v>39</v>
      </c>
      <c r="M2590" s="1" t="str">
        <f>INDEX(MCC_Lookup!$B$2:$B$12,MATCH(G2590,MCC_Lookup!$A$2:$A$12,0))</f>
        <v>Software</v>
      </c>
      <c r="N2590" s="1" t="str">
        <f>IF(TRIM(H2590)="","BLANK",IF(PROPER(TRIM(H2590))=TRIM(M2590),"MATCH","MISMATCH"))</f>
        <v>MATCH</v>
      </c>
      <c r="O2590" s="5" t="str">
        <f>INDEX([1]Employee!$C$2:$C$276,MATCH(B2590,[1]Employee!$A$2:$A$276,0))</f>
        <v>Sales &amp; Marketing</v>
      </c>
    </row>
    <row r="2591" spans="1:15">
      <c r="A2591" s="1" t="s">
        <v>5110</v>
      </c>
      <c r="B2591" s="1" t="s">
        <v>349</v>
      </c>
      <c r="C2591" s="1" t="s">
        <v>5111</v>
      </c>
      <c r="D2591" s="2">
        <v>46157</v>
      </c>
      <c r="E2591" s="2">
        <v>46166</v>
      </c>
      <c r="F2591" s="1" t="s">
        <v>56</v>
      </c>
      <c r="G2591" s="1" t="s">
        <v>4</v>
      </c>
      <c r="H2591" s="1" t="s">
        <v>5</v>
      </c>
      <c r="I2591" s="7">
        <v>555.11</v>
      </c>
      <c r="J2591" s="1" t="s">
        <v>38</v>
      </c>
      <c r="K2591" s="1"/>
      <c r="L2591" s="1" t="s">
        <v>48</v>
      </c>
      <c r="M2591" s="1" t="str">
        <f>INDEX(MCC_Lookup!$B$2:$B$12,MATCH(G2591,MCC_Lookup!$A$2:$A$12,0))</f>
        <v>Travel</v>
      </c>
      <c r="N2591" s="1" t="str">
        <f>IF(TRIM(H2591)="","BLANK",IF(PROPER(TRIM(H2591))=TRIM(M2591),"MATCH","MISMATCH"))</f>
        <v>MATCH</v>
      </c>
      <c r="O2591" s="5" t="str">
        <f>INDEX([1]Employee!$C$2:$C$276,MATCH(B2591,[1]Employee!$A$2:$A$276,0))</f>
        <v>Sales &amp; Marketing</v>
      </c>
    </row>
    <row r="2592" spans="1:15">
      <c r="A2592" s="1" t="s">
        <v>5112</v>
      </c>
      <c r="B2592" s="1" t="s">
        <v>194</v>
      </c>
      <c r="C2592" s="1" t="s">
        <v>5113</v>
      </c>
      <c r="D2592" s="2">
        <v>46161</v>
      </c>
      <c r="E2592" s="2">
        <v>46166</v>
      </c>
      <c r="F2592" s="1" t="s">
        <v>79</v>
      </c>
      <c r="G2592" s="1" t="s">
        <v>13</v>
      </c>
      <c r="H2592" s="1" t="s">
        <v>470</v>
      </c>
      <c r="I2592" s="7">
        <v>186.57</v>
      </c>
      <c r="J2592" s="1" t="s">
        <v>38</v>
      </c>
      <c r="K2592" s="1"/>
      <c r="L2592" s="1" t="s">
        <v>39</v>
      </c>
      <c r="M2592" s="1" t="str">
        <f>INDEX(MCC_Lookup!$B$2:$B$12,MATCH(G2592,MCC_Lookup!$A$2:$A$12,0))</f>
        <v>Software</v>
      </c>
      <c r="N2592" s="1" t="str">
        <f>IF(TRIM(H2592)="","BLANK",IF(PROPER(TRIM(H2592))=TRIM(M2592),"MATCH","MISMATCH"))</f>
        <v>MATCH</v>
      </c>
      <c r="O2592" s="5" t="str">
        <f>INDEX([1]Employee!$C$2:$C$276,MATCH(B2592,[1]Employee!$A$2:$A$276,0))</f>
        <v>Claims</v>
      </c>
    </row>
    <row r="2593" spans="1:15">
      <c r="A2593" s="1" t="s">
        <v>5114</v>
      </c>
      <c r="B2593" s="1" t="s">
        <v>475</v>
      </c>
      <c r="C2593" s="1" t="s">
        <v>5115</v>
      </c>
      <c r="D2593" s="2">
        <v>46157</v>
      </c>
      <c r="E2593" s="2">
        <v>46166</v>
      </c>
      <c r="F2593" s="1" t="s">
        <v>242</v>
      </c>
      <c r="G2593" s="1" t="s">
        <v>13</v>
      </c>
      <c r="H2593" s="1" t="s">
        <v>14</v>
      </c>
      <c r="I2593" s="7">
        <v>30.73</v>
      </c>
      <c r="J2593" s="1" t="s">
        <v>38</v>
      </c>
      <c r="K2593" s="1"/>
      <c r="L2593" s="1" t="s">
        <v>39</v>
      </c>
      <c r="M2593" s="1" t="str">
        <f>INDEX(MCC_Lookup!$B$2:$B$12,MATCH(G2593,MCC_Lookup!$A$2:$A$12,0))</f>
        <v>Software</v>
      </c>
      <c r="N2593" s="1" t="str">
        <f>IF(TRIM(H2593)="","BLANK",IF(PROPER(TRIM(H2593))=TRIM(M2593),"MATCH","MISMATCH"))</f>
        <v>MATCH</v>
      </c>
      <c r="O2593" s="5" t="str">
        <f>INDEX([1]Employee!$C$2:$C$276,MATCH(B2593,[1]Employee!$A$2:$A$276,0))</f>
        <v>Sales &amp; Marketing</v>
      </c>
    </row>
    <row r="2594" spans="1:15">
      <c r="A2594" s="1" t="s">
        <v>5116</v>
      </c>
      <c r="B2594" s="1" t="s">
        <v>250</v>
      </c>
      <c r="C2594" s="1" t="s">
        <v>5117</v>
      </c>
      <c r="D2594" s="2">
        <v>46164</v>
      </c>
      <c r="E2594" s="2">
        <v>46166</v>
      </c>
      <c r="F2594" s="1" t="s">
        <v>79</v>
      </c>
      <c r="G2594" s="1" t="s">
        <v>13</v>
      </c>
      <c r="H2594" s="1" t="s">
        <v>14</v>
      </c>
      <c r="I2594" s="7">
        <v>234.54</v>
      </c>
      <c r="J2594" s="1" t="s">
        <v>38</v>
      </c>
      <c r="K2594" s="1"/>
      <c r="L2594" s="1" t="s">
        <v>39</v>
      </c>
      <c r="M2594" s="1" t="str">
        <f>INDEX(MCC_Lookup!$B$2:$B$12,MATCH(G2594,MCC_Lookup!$A$2:$A$12,0))</f>
        <v>Software</v>
      </c>
      <c r="N2594" s="1" t="str">
        <f>IF(TRIM(H2594)="","BLANK",IF(PROPER(TRIM(H2594))=TRIM(M2594),"MATCH","MISMATCH"))</f>
        <v>MATCH</v>
      </c>
      <c r="O2594" s="5" t="str">
        <f>INDEX([1]Employee!$C$2:$C$276,MATCH(B2594,[1]Employee!$A$2:$A$276,0))</f>
        <v>Sales &amp; Marketing</v>
      </c>
    </row>
    <row r="2595" spans="1:15">
      <c r="A2595" s="1" t="s">
        <v>5118</v>
      </c>
      <c r="B2595" s="1" t="s">
        <v>1252</v>
      </c>
      <c r="C2595" s="1" t="s">
        <v>5119</v>
      </c>
      <c r="D2595" s="2">
        <v>46160</v>
      </c>
      <c r="E2595" s="2">
        <v>46166</v>
      </c>
      <c r="F2595" s="1" t="s">
        <v>106</v>
      </c>
      <c r="G2595" s="1" t="s">
        <v>13</v>
      </c>
      <c r="H2595" s="1" t="s">
        <v>14</v>
      </c>
      <c r="I2595" s="7">
        <v>199.17</v>
      </c>
      <c r="J2595" s="1" t="s">
        <v>38</v>
      </c>
      <c r="K2595" s="1"/>
      <c r="L2595" s="1" t="s">
        <v>39</v>
      </c>
      <c r="M2595" s="1" t="str">
        <f>INDEX(MCC_Lookup!$B$2:$B$12,MATCH(G2595,MCC_Lookup!$A$2:$A$12,0))</f>
        <v>Software</v>
      </c>
      <c r="N2595" s="1" t="str">
        <f>IF(TRIM(H2595)="","BLANK",IF(PROPER(TRIM(H2595))=TRIM(M2595),"MATCH","MISMATCH"))</f>
        <v>MATCH</v>
      </c>
      <c r="O2595" s="5" t="str">
        <f>INDEX([1]Employee!$C$2:$C$276,MATCH(B2595,[1]Employee!$A$2:$A$276,0))</f>
        <v>Underwriting</v>
      </c>
    </row>
    <row r="2596" spans="1:15">
      <c r="A2596" s="1" t="s">
        <v>5120</v>
      </c>
      <c r="B2596" s="1" t="s">
        <v>187</v>
      </c>
      <c r="C2596" s="1" t="s">
        <v>5121</v>
      </c>
      <c r="D2596" s="2">
        <v>46160</v>
      </c>
      <c r="E2596" s="2">
        <v>46166</v>
      </c>
      <c r="F2596" s="1" t="s">
        <v>347</v>
      </c>
      <c r="G2596" s="1" t="s">
        <v>8</v>
      </c>
      <c r="H2596" s="1"/>
      <c r="I2596" s="7">
        <v>55.96</v>
      </c>
      <c r="J2596" s="1" t="s">
        <v>38</v>
      </c>
      <c r="K2596" s="1"/>
      <c r="L2596" s="1" t="s">
        <v>39</v>
      </c>
      <c r="M2596" s="1" t="str">
        <f>INDEX(MCC_Lookup!$B$2:$B$12,MATCH(G2596,MCC_Lookup!$A$2:$A$12,0))</f>
        <v>Transportation</v>
      </c>
      <c r="N2596" s="1" t="str">
        <f>IF(TRIM(H2596)="","BLANK",IF(PROPER(TRIM(H2596))=TRIM(M2596),"MATCH","MISMATCH"))</f>
        <v>BLANK</v>
      </c>
      <c r="O2596" s="5" t="str">
        <f>INDEX([1]Employee!$C$2:$C$276,MATCH(B2596,[1]Employee!$A$2:$A$276,0))</f>
        <v>HR &amp; Events</v>
      </c>
    </row>
    <row r="2597" spans="1:15">
      <c r="A2597" s="1" t="s">
        <v>5122</v>
      </c>
      <c r="B2597" s="1" t="s">
        <v>35</v>
      </c>
      <c r="C2597" s="1" t="s">
        <v>5123</v>
      </c>
      <c r="D2597" s="2">
        <v>46160</v>
      </c>
      <c r="E2597" s="2">
        <v>46166</v>
      </c>
      <c r="F2597" s="1" t="s">
        <v>56</v>
      </c>
      <c r="G2597" s="1" t="s">
        <v>4</v>
      </c>
      <c r="H2597" s="1" t="s">
        <v>5</v>
      </c>
      <c r="I2597" s="7">
        <v>459.47</v>
      </c>
      <c r="J2597" s="1" t="s">
        <v>38</v>
      </c>
      <c r="K2597" s="1"/>
      <c r="L2597" s="1" t="s">
        <v>39</v>
      </c>
      <c r="M2597" s="1" t="str">
        <f>INDEX(MCC_Lookup!$B$2:$B$12,MATCH(G2597,MCC_Lookup!$A$2:$A$12,0))</f>
        <v>Travel</v>
      </c>
      <c r="N2597" s="1" t="str">
        <f>IF(TRIM(H2597)="","BLANK",IF(PROPER(TRIM(H2597))=TRIM(M2597),"MATCH","MISMATCH"))</f>
        <v>MATCH</v>
      </c>
      <c r="O2597" s="5" t="str">
        <f>INDEX([1]Employee!$C$2:$C$276,MATCH(B2597,[1]Employee!$A$2:$A$276,0))</f>
        <v>Sales &amp; Marketing</v>
      </c>
    </row>
    <row r="2598" spans="1:15">
      <c r="A2598" s="1" t="s">
        <v>5124</v>
      </c>
      <c r="B2598" s="1" t="s">
        <v>156</v>
      </c>
      <c r="C2598" s="1"/>
      <c r="D2598" s="2">
        <v>46157</v>
      </c>
      <c r="E2598" s="2">
        <v>46166</v>
      </c>
      <c r="F2598" s="1" t="s">
        <v>76</v>
      </c>
      <c r="G2598" s="1" t="s">
        <v>13</v>
      </c>
      <c r="H2598" s="1" t="s">
        <v>419</v>
      </c>
      <c r="I2598" s="7">
        <v>497.6</v>
      </c>
      <c r="J2598" s="1" t="s">
        <v>38</v>
      </c>
      <c r="K2598" s="1"/>
      <c r="L2598" s="1" t="s">
        <v>39</v>
      </c>
      <c r="M2598" s="1" t="str">
        <f>INDEX(MCC_Lookup!$B$2:$B$12,MATCH(G2598,MCC_Lookup!$A$2:$A$12,0))</f>
        <v>Software</v>
      </c>
      <c r="N2598" s="1" t="str">
        <f>IF(TRIM(H2598)="","BLANK",IF(PROPER(TRIM(H2598))=TRIM(M2598),"MATCH","MISMATCH"))</f>
        <v>MATCH</v>
      </c>
      <c r="O2598" s="5" t="str">
        <f>INDEX([1]Employee!$C$2:$C$276,MATCH(B2598,[1]Employee!$A$2:$A$276,0))</f>
        <v>Sales &amp; Marketing</v>
      </c>
    </row>
    <row r="2599" spans="1:15">
      <c r="A2599" s="1" t="s">
        <v>5125</v>
      </c>
      <c r="B2599" s="1" t="s">
        <v>67</v>
      </c>
      <c r="C2599" s="1" t="s">
        <v>5126</v>
      </c>
      <c r="D2599" s="2">
        <v>46157</v>
      </c>
      <c r="E2599" s="2">
        <v>46166</v>
      </c>
      <c r="F2599" s="1" t="s">
        <v>92</v>
      </c>
      <c r="G2599" s="1" t="s">
        <v>10</v>
      </c>
      <c r="H2599" s="1" t="s">
        <v>295</v>
      </c>
      <c r="I2599" s="7">
        <v>157.1</v>
      </c>
      <c r="J2599" s="1" t="s">
        <v>38</v>
      </c>
      <c r="K2599" s="1"/>
      <c r="L2599" s="1" t="s">
        <v>39</v>
      </c>
      <c r="M2599" s="1" t="str">
        <f>INDEX(MCC_Lookup!$B$2:$B$12,MATCH(G2599,MCC_Lookup!$A$2:$A$12,0))</f>
        <v>Office Supplies</v>
      </c>
      <c r="N2599" s="1" t="str">
        <f>IF(TRIM(H2599)="","BLANK",IF(PROPER(TRIM(H2599))=TRIM(M2599),"MATCH","MISMATCH"))</f>
        <v>MATCH</v>
      </c>
      <c r="O2599" s="5" t="str">
        <f>INDEX([1]Employee!$C$2:$C$276,MATCH(B2599,[1]Employee!$A$2:$A$276,0))</f>
        <v>Sales &amp; Marketing</v>
      </c>
    </row>
    <row r="2600" spans="1:15">
      <c r="A2600" s="1" t="s">
        <v>5127</v>
      </c>
      <c r="B2600" s="1" t="s">
        <v>1824</v>
      </c>
      <c r="C2600" s="1" t="s">
        <v>5128</v>
      </c>
      <c r="D2600" s="2">
        <v>46164</v>
      </c>
      <c r="E2600" s="2">
        <v>46166</v>
      </c>
      <c r="F2600" s="1" t="s">
        <v>83</v>
      </c>
      <c r="G2600" s="1" t="s">
        <v>2</v>
      </c>
      <c r="H2600" s="1" t="s">
        <v>3</v>
      </c>
      <c r="I2600" s="7">
        <v>16.43</v>
      </c>
      <c r="J2600" s="1" t="s">
        <v>38</v>
      </c>
      <c r="K2600" s="1"/>
      <c r="L2600" s="1" t="s">
        <v>39</v>
      </c>
      <c r="M2600" s="1" t="str">
        <f>INDEX(MCC_Lookup!$B$2:$B$12,MATCH(G2600,MCC_Lookup!$A$2:$A$12,0))</f>
        <v>Meals</v>
      </c>
      <c r="N2600" s="1" t="str">
        <f>IF(TRIM(H2600)="","BLANK",IF(PROPER(TRIM(H2600))=TRIM(M2600),"MATCH","MISMATCH"))</f>
        <v>MATCH</v>
      </c>
      <c r="O2600" s="5" t="str">
        <f>INDEX([1]Employee!$C$2:$C$276,MATCH(B2600,[1]Employee!$A$2:$A$276,0))</f>
        <v>Claims</v>
      </c>
    </row>
    <row r="2601" spans="1:15">
      <c r="A2601" s="1" t="s">
        <v>5129</v>
      </c>
      <c r="B2601" s="1" t="s">
        <v>59</v>
      </c>
      <c r="C2601" s="1" t="s">
        <v>5130</v>
      </c>
      <c r="D2601" s="2">
        <v>46160</v>
      </c>
      <c r="E2601" s="2">
        <v>46166</v>
      </c>
      <c r="F2601" s="1" t="s">
        <v>347</v>
      </c>
      <c r="G2601" s="1" t="s">
        <v>8</v>
      </c>
      <c r="H2601" s="1" t="s">
        <v>19</v>
      </c>
      <c r="I2601" s="7">
        <v>37.729999999999997</v>
      </c>
      <c r="J2601" s="1" t="s">
        <v>38</v>
      </c>
      <c r="K2601" s="1"/>
      <c r="L2601" s="1" t="s">
        <v>48</v>
      </c>
      <c r="M2601" s="1" t="str">
        <f>INDEX(MCC_Lookup!$B$2:$B$12,MATCH(G2601,MCC_Lookup!$A$2:$A$12,0))</f>
        <v>Transportation</v>
      </c>
      <c r="N2601" s="1" t="str">
        <f>IF(TRIM(H2601)="","BLANK",IF(PROPER(TRIM(H2601))=TRIM(M2601),"MATCH","MISMATCH"))</f>
        <v>MISMATCH</v>
      </c>
      <c r="O2601" s="5" t="str">
        <f>INDEX([1]Employee!$C$2:$C$276,MATCH(B2601,[1]Employee!$A$2:$A$276,0))</f>
        <v>Sales &amp; Marketing</v>
      </c>
    </row>
    <row r="2602" spans="1:15">
      <c r="A2602" s="1" t="s">
        <v>5131</v>
      </c>
      <c r="B2602" s="1" t="s">
        <v>679</v>
      </c>
      <c r="C2602" s="1"/>
      <c r="D2602" s="2">
        <v>46160</v>
      </c>
      <c r="E2602" s="2">
        <v>46166</v>
      </c>
      <c r="F2602" s="1" t="s">
        <v>120</v>
      </c>
      <c r="G2602" s="1" t="s">
        <v>12</v>
      </c>
      <c r="H2602" s="1" t="s">
        <v>11</v>
      </c>
      <c r="I2602" s="7">
        <v>52.78</v>
      </c>
      <c r="J2602" s="1" t="s">
        <v>111</v>
      </c>
      <c r="K2602" s="1" t="s">
        <v>127</v>
      </c>
      <c r="L2602" s="1" t="s">
        <v>39</v>
      </c>
      <c r="M2602" s="1" t="str">
        <f>INDEX(MCC_Lookup!$B$2:$B$12,MATCH(G2602,MCC_Lookup!$A$2:$A$12,0))</f>
        <v>Office Supplies</v>
      </c>
      <c r="N2602" s="1" t="str">
        <f>IF(TRIM(H2602)="","BLANK",IF(PROPER(TRIM(H2602))=TRIM(M2602),"MATCH","MISMATCH"))</f>
        <v>MATCH</v>
      </c>
      <c r="O2602" s="5" t="str">
        <f>INDEX([1]Employee!$C$2:$C$276,MATCH(B2602,[1]Employee!$A$2:$A$276,0))</f>
        <v>Sales &amp; Marketing</v>
      </c>
    </row>
    <row r="2603" spans="1:15">
      <c r="A2603" s="1" t="s">
        <v>5132</v>
      </c>
      <c r="B2603" s="1" t="s">
        <v>846</v>
      </c>
      <c r="C2603" s="1" t="s">
        <v>5133</v>
      </c>
      <c r="D2603" s="2">
        <v>46157</v>
      </c>
      <c r="E2603" s="2">
        <v>46166</v>
      </c>
      <c r="F2603" s="1" t="s">
        <v>79</v>
      </c>
      <c r="G2603" s="1" t="s">
        <v>13</v>
      </c>
      <c r="H2603" s="1" t="s">
        <v>14</v>
      </c>
      <c r="I2603" s="7">
        <v>135.57</v>
      </c>
      <c r="J2603" s="1" t="s">
        <v>38</v>
      </c>
      <c r="K2603" s="1"/>
      <c r="L2603" s="1" t="s">
        <v>39</v>
      </c>
      <c r="M2603" s="1" t="str">
        <f>INDEX(MCC_Lookup!$B$2:$B$12,MATCH(G2603,MCC_Lookup!$A$2:$A$12,0))</f>
        <v>Software</v>
      </c>
      <c r="N2603" s="1" t="str">
        <f>IF(TRIM(H2603)="","BLANK",IF(PROPER(TRIM(H2603))=TRIM(M2603),"MATCH","MISMATCH"))</f>
        <v>MATCH</v>
      </c>
      <c r="O2603" s="5" t="str">
        <f>INDEX([1]Employee!$C$2:$C$276,MATCH(B2603,[1]Employee!$A$2:$A$276,0))</f>
        <v>Sales &amp; Marketing</v>
      </c>
    </row>
    <row r="2604" spans="1:15">
      <c r="A2604" s="1" t="s">
        <v>5134</v>
      </c>
      <c r="B2604" s="1" t="s">
        <v>364</v>
      </c>
      <c r="C2604" s="1" t="s">
        <v>5135</v>
      </c>
      <c r="D2604" s="2">
        <v>46162</v>
      </c>
      <c r="E2604" s="2">
        <v>46166</v>
      </c>
      <c r="F2604" s="1" t="s">
        <v>56</v>
      </c>
      <c r="G2604" s="1" t="s">
        <v>4</v>
      </c>
      <c r="H2604" s="1" t="s">
        <v>5</v>
      </c>
      <c r="I2604" s="7">
        <v>557.14</v>
      </c>
      <c r="J2604" s="1" t="s">
        <v>38</v>
      </c>
      <c r="K2604" s="1"/>
      <c r="L2604" s="1" t="s">
        <v>39</v>
      </c>
      <c r="M2604" s="1" t="str">
        <f>INDEX(MCC_Lookup!$B$2:$B$12,MATCH(G2604,MCC_Lookup!$A$2:$A$12,0))</f>
        <v>Travel</v>
      </c>
      <c r="N2604" s="1" t="str">
        <f>IF(TRIM(H2604)="","BLANK",IF(PROPER(TRIM(H2604))=TRIM(M2604),"MATCH","MISMATCH"))</f>
        <v>MATCH</v>
      </c>
      <c r="O2604" s="5" t="str">
        <f>INDEX([1]Employee!$C$2:$C$276,MATCH(B2604,[1]Employee!$A$2:$A$276,0))</f>
        <v>Sales &amp; Marketing</v>
      </c>
    </row>
    <row r="2605" spans="1:15">
      <c r="A2605" s="1" t="s">
        <v>5136</v>
      </c>
      <c r="B2605" s="1" t="s">
        <v>487</v>
      </c>
      <c r="C2605" s="1" t="s">
        <v>5137</v>
      </c>
      <c r="D2605" s="2">
        <v>46165</v>
      </c>
      <c r="E2605" s="2">
        <v>46166</v>
      </c>
      <c r="F2605" s="1" t="s">
        <v>65</v>
      </c>
      <c r="G2605" s="1" t="s">
        <v>18</v>
      </c>
      <c r="H2605" s="1" t="s">
        <v>19</v>
      </c>
      <c r="I2605" s="7">
        <v>256.88</v>
      </c>
      <c r="J2605" s="1" t="s">
        <v>38</v>
      </c>
      <c r="K2605" s="1"/>
      <c r="L2605" s="1" t="s">
        <v>39</v>
      </c>
      <c r="M2605" s="1" t="str">
        <f>INDEX(MCC_Lookup!$B$2:$B$12,MATCH(G2605,MCC_Lookup!$A$2:$A$12,0))</f>
        <v>Events</v>
      </c>
      <c r="N2605" s="1" t="str">
        <f>IF(TRIM(H2605)="","BLANK",IF(PROPER(TRIM(H2605))=TRIM(M2605),"MATCH","MISMATCH"))</f>
        <v>MATCH</v>
      </c>
      <c r="O2605" s="5" t="str">
        <f>INDEX([1]Employee!$C$2:$C$276,MATCH(B2605,[1]Employee!$A$2:$A$276,0))</f>
        <v>IT &amp; Platform Engineering</v>
      </c>
    </row>
    <row r="2606" spans="1:15">
      <c r="A2606" s="1" t="s">
        <v>5138</v>
      </c>
      <c r="B2606" s="1" t="s">
        <v>585</v>
      </c>
      <c r="C2606" s="1"/>
      <c r="D2606" s="2">
        <v>46157</v>
      </c>
      <c r="E2606" s="2">
        <v>46166</v>
      </c>
      <c r="F2606" s="1" t="s">
        <v>83</v>
      </c>
      <c r="G2606" s="1" t="s">
        <v>2</v>
      </c>
      <c r="H2606" s="1" t="s">
        <v>3</v>
      </c>
      <c r="I2606" s="7">
        <v>25.55</v>
      </c>
      <c r="J2606" s="1" t="s">
        <v>38</v>
      </c>
      <c r="K2606" s="1"/>
      <c r="L2606" s="1" t="s">
        <v>48</v>
      </c>
      <c r="M2606" s="1" t="str">
        <f>INDEX(MCC_Lookup!$B$2:$B$12,MATCH(G2606,MCC_Lookup!$A$2:$A$12,0))</f>
        <v>Meals</v>
      </c>
      <c r="N2606" s="1" t="str">
        <f>IF(TRIM(H2606)="","BLANK",IF(PROPER(TRIM(H2606))=TRIM(M2606),"MATCH","MISMATCH"))</f>
        <v>MATCH</v>
      </c>
      <c r="O2606" s="5" t="str">
        <f>INDEX([1]Employee!$C$2:$C$276,MATCH(B2606,[1]Employee!$A$2:$A$276,0))</f>
        <v>Customer Support</v>
      </c>
    </row>
    <row r="2607" spans="1:15">
      <c r="A2607" s="1" t="s">
        <v>5139</v>
      </c>
      <c r="B2607" s="1" t="s">
        <v>512</v>
      </c>
      <c r="C2607" s="1" t="s">
        <v>5140</v>
      </c>
      <c r="D2607" s="2">
        <v>46157</v>
      </c>
      <c r="E2607" s="2">
        <v>46166</v>
      </c>
      <c r="F2607" s="1" t="s">
        <v>4072</v>
      </c>
      <c r="G2607" s="1" t="s">
        <v>2</v>
      </c>
      <c r="H2607" s="1" t="s">
        <v>269</v>
      </c>
      <c r="I2607" s="7">
        <v>8.15</v>
      </c>
      <c r="J2607" s="1" t="s">
        <v>38</v>
      </c>
      <c r="K2607" s="1"/>
      <c r="L2607" s="1" t="s">
        <v>39</v>
      </c>
      <c r="M2607" s="1" t="str">
        <f>INDEX(MCC_Lookup!$B$2:$B$12,MATCH(G2607,MCC_Lookup!$A$2:$A$12,0))</f>
        <v>Meals</v>
      </c>
      <c r="N2607" s="1" t="str">
        <f>IF(TRIM(H2607)="","BLANK",IF(PROPER(TRIM(H2607))=TRIM(M2607),"MATCH","MISMATCH"))</f>
        <v>MISMATCH</v>
      </c>
      <c r="O2607" s="5" t="str">
        <f>INDEX([1]Employee!$C$2:$C$276,MATCH(B2607,[1]Employee!$A$2:$A$276,0))</f>
        <v>Sales &amp; Marketing</v>
      </c>
    </row>
    <row r="2608" spans="1:15">
      <c r="A2608" s="1" t="s">
        <v>5141</v>
      </c>
      <c r="B2608" s="1" t="s">
        <v>888</v>
      </c>
      <c r="C2608" s="1" t="s">
        <v>5142</v>
      </c>
      <c r="D2608" s="2">
        <v>46156</v>
      </c>
      <c r="E2608" s="2">
        <v>46166</v>
      </c>
      <c r="F2608" s="1" t="s">
        <v>65</v>
      </c>
      <c r="G2608" s="1" t="s">
        <v>18</v>
      </c>
      <c r="H2608" s="1" t="s">
        <v>11</v>
      </c>
      <c r="I2608" s="7">
        <v>369.72</v>
      </c>
      <c r="J2608" s="1" t="s">
        <v>38</v>
      </c>
      <c r="K2608" s="1"/>
      <c r="L2608" s="1" t="s">
        <v>39</v>
      </c>
      <c r="M2608" s="1" t="str">
        <f>INDEX(MCC_Lookup!$B$2:$B$12,MATCH(G2608,MCC_Lookup!$A$2:$A$12,0))</f>
        <v>Events</v>
      </c>
      <c r="N2608" s="1" t="str">
        <f>IF(TRIM(H2608)="","BLANK",IF(PROPER(TRIM(H2608))=TRIM(M2608),"MATCH","MISMATCH"))</f>
        <v>MISMATCH</v>
      </c>
      <c r="O2608" s="5" t="str">
        <f>INDEX([1]Employee!$C$2:$C$276,MATCH(B2608,[1]Employee!$A$2:$A$276,0))</f>
        <v>Claims</v>
      </c>
    </row>
    <row r="2609" spans="1:15">
      <c r="A2609" s="1" t="s">
        <v>5143</v>
      </c>
      <c r="B2609" s="1" t="s">
        <v>63</v>
      </c>
      <c r="C2609" s="1" t="s">
        <v>5144</v>
      </c>
      <c r="D2609" s="2">
        <v>46164</v>
      </c>
      <c r="E2609" s="2">
        <v>46167</v>
      </c>
      <c r="F2609" s="1" t="s">
        <v>43</v>
      </c>
      <c r="G2609" s="1" t="s">
        <v>2</v>
      </c>
      <c r="H2609" s="1" t="s">
        <v>3</v>
      </c>
      <c r="I2609" s="7">
        <v>8.77</v>
      </c>
      <c r="J2609" s="1" t="s">
        <v>38</v>
      </c>
      <c r="K2609" s="1"/>
      <c r="L2609" s="1" t="s">
        <v>39</v>
      </c>
      <c r="M2609" s="1" t="str">
        <f>INDEX(MCC_Lookup!$B$2:$B$12,MATCH(G2609,MCC_Lookup!$A$2:$A$12,0))</f>
        <v>Meals</v>
      </c>
      <c r="N2609" s="1" t="str">
        <f>IF(TRIM(H2609)="","BLANK",IF(PROPER(TRIM(H2609))=TRIM(M2609),"MATCH","MISMATCH"))</f>
        <v>MATCH</v>
      </c>
      <c r="O2609" s="5" t="str">
        <f>INDEX([1]Employee!$C$2:$C$276,MATCH(B2609,[1]Employee!$A$2:$A$276,0))</f>
        <v>Sales &amp; Marketing</v>
      </c>
    </row>
    <row r="2610" spans="1:15">
      <c r="A2610" s="1" t="s">
        <v>5145</v>
      </c>
      <c r="B2610" s="1" t="s">
        <v>325</v>
      </c>
      <c r="C2610" s="1" t="s">
        <v>5146</v>
      </c>
      <c r="D2610" s="2">
        <v>46166</v>
      </c>
      <c r="E2610" s="2">
        <v>46167</v>
      </c>
      <c r="F2610" s="1" t="s">
        <v>95</v>
      </c>
      <c r="G2610" s="1" t="s">
        <v>6</v>
      </c>
      <c r="H2610" s="1" t="s">
        <v>7</v>
      </c>
      <c r="I2610" s="7">
        <v>337.12</v>
      </c>
      <c r="J2610" s="1" t="s">
        <v>38</v>
      </c>
      <c r="K2610" s="1"/>
      <c r="L2610" s="1" t="s">
        <v>48</v>
      </c>
      <c r="M2610" s="1" t="str">
        <f>INDEX(MCC_Lookup!$B$2:$B$12,MATCH(G2610,MCC_Lookup!$A$2:$A$12,0))</f>
        <v>Lodging</v>
      </c>
      <c r="N2610" s="1" t="str">
        <f>IF(TRIM(H2610)="","BLANK",IF(PROPER(TRIM(H2610))=TRIM(M2610),"MATCH","MISMATCH"))</f>
        <v>MATCH</v>
      </c>
      <c r="O2610" s="5" t="str">
        <f>INDEX([1]Employee!$C$2:$C$276,MATCH(B2610,[1]Employee!$A$2:$A$276,0))</f>
        <v>Sales &amp; Marketing</v>
      </c>
    </row>
    <row r="2611" spans="1:15">
      <c r="A2611" s="1" t="s">
        <v>5147</v>
      </c>
      <c r="B2611" s="1" t="s">
        <v>152</v>
      </c>
      <c r="C2611" s="1"/>
      <c r="D2611" s="2">
        <v>46160</v>
      </c>
      <c r="E2611" s="2">
        <v>46167</v>
      </c>
      <c r="F2611" s="1" t="s">
        <v>69</v>
      </c>
      <c r="G2611" s="1" t="s">
        <v>8</v>
      </c>
      <c r="H2611" s="1" t="s">
        <v>435</v>
      </c>
      <c r="I2611" s="7">
        <v>48.69</v>
      </c>
      <c r="J2611" s="1" t="s">
        <v>38</v>
      </c>
      <c r="K2611" s="1"/>
      <c r="L2611" s="1" t="s">
        <v>39</v>
      </c>
      <c r="M2611" s="1" t="str">
        <f>INDEX(MCC_Lookup!$B$2:$B$12,MATCH(G2611,MCC_Lookup!$A$2:$A$12,0))</f>
        <v>Transportation</v>
      </c>
      <c r="N2611" s="1" t="str">
        <f>IF(TRIM(H2611)="","BLANK",IF(PROPER(TRIM(H2611))=TRIM(M2611),"MATCH","MISMATCH"))</f>
        <v>MATCH</v>
      </c>
      <c r="O2611" s="5" t="str">
        <f>INDEX([1]Employee!$C$2:$C$276,MATCH(B2611,[1]Employee!$A$2:$A$276,0))</f>
        <v>Sales &amp; Marketing</v>
      </c>
    </row>
    <row r="2612" spans="1:15">
      <c r="A2612" s="1" t="s">
        <v>5148</v>
      </c>
      <c r="B2612" s="1" t="s">
        <v>187</v>
      </c>
      <c r="C2612" s="1" t="s">
        <v>5149</v>
      </c>
      <c r="D2612" s="2">
        <v>46161</v>
      </c>
      <c r="E2612" s="2">
        <v>46167</v>
      </c>
      <c r="F2612" s="1" t="s">
        <v>242</v>
      </c>
      <c r="G2612" s="1" t="s">
        <v>13</v>
      </c>
      <c r="H2612" s="1" t="s">
        <v>14</v>
      </c>
      <c r="I2612" s="7">
        <v>52.6</v>
      </c>
      <c r="J2612" s="1" t="s">
        <v>38</v>
      </c>
      <c r="K2612" s="1"/>
      <c r="L2612" s="1" t="s">
        <v>48</v>
      </c>
      <c r="M2612" s="1" t="str">
        <f>INDEX(MCC_Lookup!$B$2:$B$12,MATCH(G2612,MCC_Lookup!$A$2:$A$12,0))</f>
        <v>Software</v>
      </c>
      <c r="N2612" s="1" t="str">
        <f>IF(TRIM(H2612)="","BLANK",IF(PROPER(TRIM(H2612))=TRIM(M2612),"MATCH","MISMATCH"))</f>
        <v>MATCH</v>
      </c>
      <c r="O2612" s="5" t="str">
        <f>INDEX([1]Employee!$C$2:$C$276,MATCH(B2612,[1]Employee!$A$2:$A$276,0))</f>
        <v>HR &amp; Events</v>
      </c>
    </row>
    <row r="2613" spans="1:15">
      <c r="A2613" s="1" t="s">
        <v>5150</v>
      </c>
      <c r="B2613" s="1" t="s">
        <v>815</v>
      </c>
      <c r="C2613" s="1" t="s">
        <v>5151</v>
      </c>
      <c r="D2613" s="2">
        <v>46164</v>
      </c>
      <c r="E2613" s="2">
        <v>46167</v>
      </c>
      <c r="F2613" s="1" t="s">
        <v>160</v>
      </c>
      <c r="G2613" s="1" t="s">
        <v>6</v>
      </c>
      <c r="H2613" s="1" t="s">
        <v>7</v>
      </c>
      <c r="I2613" s="7">
        <v>319.74</v>
      </c>
      <c r="J2613" s="1" t="s">
        <v>38</v>
      </c>
      <c r="K2613" s="1"/>
      <c r="L2613" s="1" t="s">
        <v>39</v>
      </c>
      <c r="M2613" s="1" t="str">
        <f>INDEX(MCC_Lookup!$B$2:$B$12,MATCH(G2613,MCC_Lookup!$A$2:$A$12,0))</f>
        <v>Lodging</v>
      </c>
      <c r="N2613" s="1" t="str">
        <f>IF(TRIM(H2613)="","BLANK",IF(PROPER(TRIM(H2613))=TRIM(M2613),"MATCH","MISMATCH"))</f>
        <v>MATCH</v>
      </c>
      <c r="O2613" s="5" t="str">
        <f>INDEX([1]Employee!$C$2:$C$276,MATCH(B2613,[1]Employee!$A$2:$A$276,0))</f>
        <v>Claims</v>
      </c>
    </row>
    <row r="2614" spans="1:15">
      <c r="A2614" s="1" t="s">
        <v>5152</v>
      </c>
      <c r="B2614" s="1" t="s">
        <v>2178</v>
      </c>
      <c r="C2614" s="1" t="s">
        <v>5153</v>
      </c>
      <c r="D2614" s="2">
        <v>46162</v>
      </c>
      <c r="E2614" s="2">
        <v>46167</v>
      </c>
      <c r="F2614" s="1" t="s">
        <v>201</v>
      </c>
      <c r="G2614" s="1" t="s">
        <v>4</v>
      </c>
      <c r="H2614" s="1" t="s">
        <v>5</v>
      </c>
      <c r="I2614" s="7">
        <v>457.27</v>
      </c>
      <c r="J2614" s="1" t="s">
        <v>38</v>
      </c>
      <c r="K2614" s="1"/>
      <c r="L2614" s="1" t="s">
        <v>39</v>
      </c>
      <c r="M2614" s="1" t="str">
        <f>INDEX(MCC_Lookup!$B$2:$B$12,MATCH(G2614,MCC_Lookup!$A$2:$A$12,0))</f>
        <v>Travel</v>
      </c>
      <c r="N2614" s="1" t="str">
        <f>IF(TRIM(H2614)="","BLANK",IF(PROPER(TRIM(H2614))=TRIM(M2614),"MATCH","MISMATCH"))</f>
        <v>MATCH</v>
      </c>
      <c r="O2614" s="5" t="str">
        <f>INDEX([1]Employee!$C$2:$C$276,MATCH(B2614,[1]Employee!$A$2:$A$276,0))</f>
        <v>Customer Support</v>
      </c>
    </row>
    <row r="2615" spans="1:15">
      <c r="A2615" s="1" t="s">
        <v>5154</v>
      </c>
      <c r="B2615" s="1" t="s">
        <v>475</v>
      </c>
      <c r="C2615" s="1" t="s">
        <v>5155</v>
      </c>
      <c r="D2615" s="2">
        <v>46163</v>
      </c>
      <c r="E2615" s="2">
        <v>46167</v>
      </c>
      <c r="F2615" s="1" t="s">
        <v>99</v>
      </c>
      <c r="G2615" s="1" t="s">
        <v>2</v>
      </c>
      <c r="H2615" s="1" t="s">
        <v>154</v>
      </c>
      <c r="I2615" s="7">
        <v>129.31</v>
      </c>
      <c r="J2615" s="1" t="s">
        <v>38</v>
      </c>
      <c r="K2615" s="1"/>
      <c r="L2615" s="1" t="s">
        <v>39</v>
      </c>
      <c r="M2615" s="1" t="str">
        <f>INDEX(MCC_Lookup!$B$2:$B$12,MATCH(G2615,MCC_Lookup!$A$2:$A$12,0))</f>
        <v>Meals</v>
      </c>
      <c r="N2615" s="1" t="str">
        <f>IF(TRIM(H2615)="","BLANK",IF(PROPER(TRIM(H2615))=TRIM(M2615),"MATCH","MISMATCH"))</f>
        <v>MATCH</v>
      </c>
      <c r="O2615" s="5" t="str">
        <f>INDEX([1]Employee!$C$2:$C$276,MATCH(B2615,[1]Employee!$A$2:$A$276,0))</f>
        <v>Sales &amp; Marketing</v>
      </c>
    </row>
    <row r="2616" spans="1:15">
      <c r="A2616" s="1" t="s">
        <v>5156</v>
      </c>
      <c r="B2616" s="1" t="s">
        <v>247</v>
      </c>
      <c r="C2616" s="1" t="s">
        <v>5157</v>
      </c>
      <c r="D2616" s="2">
        <v>46157</v>
      </c>
      <c r="E2616" s="2">
        <v>46167</v>
      </c>
      <c r="F2616" s="1" t="s">
        <v>76</v>
      </c>
      <c r="G2616" s="1" t="s">
        <v>13</v>
      </c>
      <c r="H2616" s="1" t="s">
        <v>14</v>
      </c>
      <c r="I2616" s="7">
        <v>594.95000000000005</v>
      </c>
      <c r="J2616" s="1" t="s">
        <v>38</v>
      </c>
      <c r="K2616" s="1"/>
      <c r="L2616" s="1" t="s">
        <v>39</v>
      </c>
      <c r="M2616" s="1" t="str">
        <f>INDEX(MCC_Lookup!$B$2:$B$12,MATCH(G2616,MCC_Lookup!$A$2:$A$12,0))</f>
        <v>Software</v>
      </c>
      <c r="N2616" s="1" t="str">
        <f>IF(TRIM(H2616)="","BLANK",IF(PROPER(TRIM(H2616))=TRIM(M2616),"MATCH","MISMATCH"))</f>
        <v>MATCH</v>
      </c>
      <c r="O2616" s="5" t="str">
        <f>INDEX([1]Employee!$C$2:$C$276,MATCH(B2616,[1]Employee!$A$2:$A$276,0))</f>
        <v>HR &amp; Events</v>
      </c>
    </row>
    <row r="2617" spans="1:15">
      <c r="A2617" s="1" t="s">
        <v>5158</v>
      </c>
      <c r="B2617" s="1" t="s">
        <v>300</v>
      </c>
      <c r="C2617" s="1"/>
      <c r="D2617" s="2">
        <v>46157</v>
      </c>
      <c r="E2617" s="2">
        <v>46167</v>
      </c>
      <c r="F2617" s="1" t="s">
        <v>92</v>
      </c>
      <c r="G2617" s="1" t="s">
        <v>10</v>
      </c>
      <c r="H2617" s="1" t="s">
        <v>11</v>
      </c>
      <c r="I2617" s="7">
        <v>30.3</v>
      </c>
      <c r="J2617" s="1" t="s">
        <v>38</v>
      </c>
      <c r="K2617" s="1"/>
      <c r="L2617" s="1" t="s">
        <v>39</v>
      </c>
      <c r="M2617" s="1" t="str">
        <f>INDEX(MCC_Lookup!$B$2:$B$12,MATCH(G2617,MCC_Lookup!$A$2:$A$12,0))</f>
        <v>Office Supplies</v>
      </c>
      <c r="N2617" s="1" t="str">
        <f>IF(TRIM(H2617)="","BLANK",IF(PROPER(TRIM(H2617))=TRIM(M2617),"MATCH","MISMATCH"))</f>
        <v>MATCH</v>
      </c>
      <c r="O2617" s="5" t="str">
        <f>INDEX([1]Employee!$C$2:$C$276,MATCH(B2617,[1]Employee!$A$2:$A$276,0))</f>
        <v>Sales &amp; Marketing</v>
      </c>
    </row>
    <row r="2618" spans="1:15">
      <c r="A2618" s="1" t="s">
        <v>5159</v>
      </c>
      <c r="B2618" s="1" t="s">
        <v>738</v>
      </c>
      <c r="C2618" s="1" t="s">
        <v>5160</v>
      </c>
      <c r="D2618" s="2">
        <v>46162</v>
      </c>
      <c r="E2618" s="2">
        <v>46167</v>
      </c>
      <c r="F2618" s="1" t="s">
        <v>76</v>
      </c>
      <c r="G2618" s="1" t="s">
        <v>13</v>
      </c>
      <c r="H2618" s="1" t="s">
        <v>14</v>
      </c>
      <c r="I2618" s="7">
        <v>570.88</v>
      </c>
      <c r="J2618" s="1" t="s">
        <v>38</v>
      </c>
      <c r="K2618" s="1"/>
      <c r="L2618" s="1" t="s">
        <v>39</v>
      </c>
      <c r="M2618" s="1" t="str">
        <f>INDEX(MCC_Lookup!$B$2:$B$12,MATCH(G2618,MCC_Lookup!$A$2:$A$12,0))</f>
        <v>Software</v>
      </c>
      <c r="N2618" s="1" t="str">
        <f>IF(TRIM(H2618)="","BLANK",IF(PROPER(TRIM(H2618))=TRIM(M2618),"MATCH","MISMATCH"))</f>
        <v>MATCH</v>
      </c>
      <c r="O2618" s="5" t="str">
        <f>INDEX([1]Employee!$C$2:$C$276,MATCH(B2618,[1]Employee!$A$2:$A$276,0))</f>
        <v>Sales &amp; Marketing</v>
      </c>
    </row>
    <row r="2619" spans="1:15">
      <c r="A2619" s="1" t="s">
        <v>5161</v>
      </c>
      <c r="B2619" s="1" t="s">
        <v>684</v>
      </c>
      <c r="C2619" s="1" t="s">
        <v>5162</v>
      </c>
      <c r="D2619" s="2">
        <v>46161</v>
      </c>
      <c r="E2619" s="2">
        <v>46167</v>
      </c>
      <c r="F2619" s="1" t="s">
        <v>259</v>
      </c>
      <c r="G2619" s="1" t="s">
        <v>20</v>
      </c>
      <c r="H2619" s="1" t="s">
        <v>19</v>
      </c>
      <c r="I2619" s="7">
        <v>667.67</v>
      </c>
      <c r="J2619" s="1" t="s">
        <v>38</v>
      </c>
      <c r="K2619" s="1"/>
      <c r="L2619" s="1" t="s">
        <v>39</v>
      </c>
      <c r="M2619" s="1" t="str">
        <f>INDEX(MCC_Lookup!$B$2:$B$12,MATCH(G2619,MCC_Lookup!$A$2:$A$12,0))</f>
        <v>Events</v>
      </c>
      <c r="N2619" s="1" t="str">
        <f>IF(TRIM(H2619)="","BLANK",IF(PROPER(TRIM(H2619))=TRIM(M2619),"MATCH","MISMATCH"))</f>
        <v>MATCH</v>
      </c>
      <c r="O2619" s="5" t="str">
        <f>INDEX([1]Employee!$C$2:$C$276,MATCH(B2619,[1]Employee!$A$2:$A$276,0))</f>
        <v>Underwriting</v>
      </c>
    </row>
    <row r="2620" spans="1:15">
      <c r="A2620" s="1" t="s">
        <v>5163</v>
      </c>
      <c r="B2620" s="1" t="s">
        <v>1488</v>
      </c>
      <c r="C2620" s="1" t="s">
        <v>5164</v>
      </c>
      <c r="D2620" s="2">
        <v>46167</v>
      </c>
      <c r="E2620" s="2">
        <v>46167</v>
      </c>
      <c r="F2620" s="1" t="s">
        <v>106</v>
      </c>
      <c r="G2620" s="1" t="s">
        <v>13</v>
      </c>
      <c r="H2620" s="1" t="s">
        <v>9</v>
      </c>
      <c r="I2620" s="7">
        <v>144.38</v>
      </c>
      <c r="J2620" s="1" t="s">
        <v>38</v>
      </c>
      <c r="K2620" s="1"/>
      <c r="L2620" s="1" t="s">
        <v>39</v>
      </c>
      <c r="M2620" s="1" t="str">
        <f>INDEX(MCC_Lookup!$B$2:$B$12,MATCH(G2620,MCC_Lookup!$A$2:$A$12,0))</f>
        <v>Software</v>
      </c>
      <c r="N2620" s="1" t="str">
        <f>IF(TRIM(H2620)="","BLANK",IF(PROPER(TRIM(H2620))=TRIM(M2620),"MATCH","MISMATCH"))</f>
        <v>MISMATCH</v>
      </c>
      <c r="O2620" s="5" t="str">
        <f>INDEX([1]Employee!$C$2:$C$276,MATCH(B2620,[1]Employee!$A$2:$A$276,0))</f>
        <v>Claims</v>
      </c>
    </row>
    <row r="2621" spans="1:15">
      <c r="A2621" s="1" t="s">
        <v>5165</v>
      </c>
      <c r="B2621" s="1" t="s">
        <v>595</v>
      </c>
      <c r="C2621" s="1" t="s">
        <v>5166</v>
      </c>
      <c r="D2621" s="2">
        <v>46165</v>
      </c>
      <c r="E2621" s="2">
        <v>46167</v>
      </c>
      <c r="F2621" s="1" t="s">
        <v>173</v>
      </c>
      <c r="G2621" s="1" t="s">
        <v>2</v>
      </c>
      <c r="H2621" s="1" t="s">
        <v>3</v>
      </c>
      <c r="I2621" s="7">
        <v>80.05</v>
      </c>
      <c r="J2621" s="1" t="s">
        <v>38</v>
      </c>
      <c r="K2621" s="1"/>
      <c r="L2621" s="1" t="s">
        <v>39</v>
      </c>
      <c r="M2621" s="1" t="str">
        <f>INDEX(MCC_Lookup!$B$2:$B$12,MATCH(G2621,MCC_Lookup!$A$2:$A$12,0))</f>
        <v>Meals</v>
      </c>
      <c r="N2621" s="1" t="str">
        <f>IF(TRIM(H2621)="","BLANK",IF(PROPER(TRIM(H2621))=TRIM(M2621),"MATCH","MISMATCH"))</f>
        <v>MATCH</v>
      </c>
      <c r="O2621" s="5" t="str">
        <f>INDEX([1]Employee!$C$2:$C$276,MATCH(B2621,[1]Employee!$A$2:$A$276,0))</f>
        <v>Executive &amp; Corporate</v>
      </c>
    </row>
    <row r="2622" spans="1:15">
      <c r="A2622" s="1" t="s">
        <v>5167</v>
      </c>
      <c r="B2622" s="1" t="s">
        <v>585</v>
      </c>
      <c r="C2622" s="1" t="s">
        <v>5168</v>
      </c>
      <c r="D2622" s="2">
        <v>46159</v>
      </c>
      <c r="E2622" s="2">
        <v>46167</v>
      </c>
      <c r="F2622" s="1" t="s">
        <v>120</v>
      </c>
      <c r="G2622" s="1" t="s">
        <v>12</v>
      </c>
      <c r="H2622" s="1" t="s">
        <v>11</v>
      </c>
      <c r="I2622" s="7">
        <v>246.56</v>
      </c>
      <c r="J2622" s="1" t="s">
        <v>38</v>
      </c>
      <c r="K2622" s="1"/>
      <c r="L2622" s="1" t="s">
        <v>39</v>
      </c>
      <c r="M2622" s="1" t="str">
        <f>INDEX(MCC_Lookup!$B$2:$B$12,MATCH(G2622,MCC_Lookup!$A$2:$A$12,0))</f>
        <v>Office Supplies</v>
      </c>
      <c r="N2622" s="1" t="str">
        <f>IF(TRIM(H2622)="","BLANK",IF(PROPER(TRIM(H2622))=TRIM(M2622),"MATCH","MISMATCH"))</f>
        <v>MATCH</v>
      </c>
      <c r="O2622" s="5" t="str">
        <f>INDEX([1]Employee!$C$2:$C$276,MATCH(B2622,[1]Employee!$A$2:$A$276,0))</f>
        <v>Customer Support</v>
      </c>
    </row>
    <row r="2623" spans="1:15">
      <c r="A2623" s="1" t="s">
        <v>5169</v>
      </c>
      <c r="B2623" s="1" t="s">
        <v>643</v>
      </c>
      <c r="C2623" s="1"/>
      <c r="D2623" s="2">
        <v>46158</v>
      </c>
      <c r="E2623" s="2">
        <v>46167</v>
      </c>
      <c r="F2623" s="1" t="s">
        <v>56</v>
      </c>
      <c r="G2623" s="1" t="s">
        <v>4</v>
      </c>
      <c r="H2623" s="1" t="s">
        <v>5</v>
      </c>
      <c r="I2623" s="7">
        <v>626.59</v>
      </c>
      <c r="J2623" s="1" t="s">
        <v>38</v>
      </c>
      <c r="K2623" s="1"/>
      <c r="L2623" s="1" t="s">
        <v>39</v>
      </c>
      <c r="M2623" s="1" t="str">
        <f>INDEX(MCC_Lookup!$B$2:$B$12,MATCH(G2623,MCC_Lookup!$A$2:$A$12,0))</f>
        <v>Travel</v>
      </c>
      <c r="N2623" s="1" t="str">
        <f>IF(TRIM(H2623)="","BLANK",IF(PROPER(TRIM(H2623))=TRIM(M2623),"MATCH","MISMATCH"))</f>
        <v>MATCH</v>
      </c>
      <c r="O2623" s="5" t="str">
        <f>INDEX([1]Employee!$C$2:$C$276,MATCH(B2623,[1]Employee!$A$2:$A$276,0))</f>
        <v>Sales &amp; Marketing</v>
      </c>
    </row>
    <row r="2624" spans="1:15">
      <c r="A2624" s="1" t="s">
        <v>5170</v>
      </c>
      <c r="B2624" s="1" t="s">
        <v>603</v>
      </c>
      <c r="C2624" s="1" t="s">
        <v>5171</v>
      </c>
      <c r="D2624" s="2">
        <v>46162</v>
      </c>
      <c r="E2624" s="2">
        <v>46167</v>
      </c>
      <c r="F2624" s="1" t="s">
        <v>177</v>
      </c>
      <c r="G2624" s="1" t="s">
        <v>13</v>
      </c>
      <c r="H2624" s="1" t="s">
        <v>14</v>
      </c>
      <c r="I2624" s="7">
        <v>23.43</v>
      </c>
      <c r="J2624" s="1" t="s">
        <v>38</v>
      </c>
      <c r="K2624" s="1"/>
      <c r="L2624" s="1" t="s">
        <v>39</v>
      </c>
      <c r="M2624" s="1" t="str">
        <f>INDEX(MCC_Lookup!$B$2:$B$12,MATCH(G2624,MCC_Lookup!$A$2:$A$12,0))</f>
        <v>Software</v>
      </c>
      <c r="N2624" s="1" t="str">
        <f>IF(TRIM(H2624)="","BLANK",IF(PROPER(TRIM(H2624))=TRIM(M2624),"MATCH","MISMATCH"))</f>
        <v>MATCH</v>
      </c>
      <c r="O2624" s="5" t="str">
        <f>INDEX([1]Employee!$C$2:$C$276,MATCH(B2624,[1]Employee!$A$2:$A$276,0))</f>
        <v>Underwriting</v>
      </c>
    </row>
    <row r="2625" spans="1:15">
      <c r="A2625" s="1" t="s">
        <v>5172</v>
      </c>
      <c r="B2625" s="1" t="s">
        <v>846</v>
      </c>
      <c r="C2625" s="1" t="s">
        <v>5173</v>
      </c>
      <c r="D2625" s="2">
        <v>46166</v>
      </c>
      <c r="E2625" s="2">
        <v>46167</v>
      </c>
      <c r="F2625" s="1" t="s">
        <v>124</v>
      </c>
      <c r="G2625" s="1" t="s">
        <v>17</v>
      </c>
      <c r="H2625" s="1" t="s">
        <v>16</v>
      </c>
      <c r="I2625" s="7">
        <v>152.36000000000001</v>
      </c>
      <c r="J2625" s="1" t="s">
        <v>38</v>
      </c>
      <c r="K2625" s="1"/>
      <c r="L2625" s="1" t="s">
        <v>39</v>
      </c>
      <c r="M2625" s="1" t="str">
        <f>INDEX(MCC_Lookup!$B$2:$B$12,MATCH(G2625,MCC_Lookup!$A$2:$A$12,0))</f>
        <v>Entertainment</v>
      </c>
      <c r="N2625" s="1" t="str">
        <f>IF(TRIM(H2625)="","BLANK",IF(PROPER(TRIM(H2625))=TRIM(M2625),"MATCH","MISMATCH"))</f>
        <v>MATCH</v>
      </c>
      <c r="O2625" s="5" t="str">
        <f>INDEX([1]Employee!$C$2:$C$276,MATCH(B2625,[1]Employee!$A$2:$A$276,0))</f>
        <v>Sales &amp; Marketing</v>
      </c>
    </row>
    <row r="2626" spans="1:15">
      <c r="A2626" s="1" t="s">
        <v>5174</v>
      </c>
      <c r="B2626" s="1" t="s">
        <v>190</v>
      </c>
      <c r="C2626" s="1"/>
      <c r="D2626" s="2">
        <v>46164</v>
      </c>
      <c r="E2626" s="2">
        <v>46168</v>
      </c>
      <c r="F2626" s="1" t="s">
        <v>95</v>
      </c>
      <c r="G2626" s="1" t="s">
        <v>6</v>
      </c>
      <c r="H2626" s="1" t="s">
        <v>7</v>
      </c>
      <c r="I2626" s="7">
        <v>137.93</v>
      </c>
      <c r="J2626" s="1" t="s">
        <v>38</v>
      </c>
      <c r="K2626" s="1"/>
      <c r="L2626" s="1" t="s">
        <v>39</v>
      </c>
      <c r="M2626" s="1" t="str">
        <f>INDEX(MCC_Lookup!$B$2:$B$12,MATCH(G2626,MCC_Lookup!$A$2:$A$12,0))</f>
        <v>Lodging</v>
      </c>
      <c r="N2626" s="1" t="str">
        <f>IF(TRIM(H2626)="","BLANK",IF(PROPER(TRIM(H2626))=TRIM(M2626),"MATCH","MISMATCH"))</f>
        <v>MATCH</v>
      </c>
      <c r="O2626" s="5" t="str">
        <f>INDEX([1]Employee!$C$2:$C$276,MATCH(B2626,[1]Employee!$A$2:$A$276,0))</f>
        <v>Sales &amp; Marketing</v>
      </c>
    </row>
    <row r="2627" spans="1:15">
      <c r="A2627" s="1" t="s">
        <v>5175</v>
      </c>
      <c r="B2627" s="1" t="s">
        <v>512</v>
      </c>
      <c r="C2627" s="1" t="s">
        <v>5176</v>
      </c>
      <c r="D2627" s="2">
        <v>46166</v>
      </c>
      <c r="E2627" s="2">
        <v>46168</v>
      </c>
      <c r="F2627" s="1" t="s">
        <v>573</v>
      </c>
      <c r="G2627" s="1" t="s">
        <v>18</v>
      </c>
      <c r="H2627" s="1" t="s">
        <v>19</v>
      </c>
      <c r="I2627" s="7">
        <v>283.77</v>
      </c>
      <c r="J2627" s="1" t="s">
        <v>38</v>
      </c>
      <c r="K2627" s="1"/>
      <c r="L2627" s="1" t="s">
        <v>39</v>
      </c>
      <c r="M2627" s="1" t="str">
        <f>INDEX(MCC_Lookup!$B$2:$B$12,MATCH(G2627,MCC_Lookup!$A$2:$A$12,0))</f>
        <v>Events</v>
      </c>
      <c r="N2627" s="1" t="str">
        <f>IF(TRIM(H2627)="","BLANK",IF(PROPER(TRIM(H2627))=TRIM(M2627),"MATCH","MISMATCH"))</f>
        <v>MATCH</v>
      </c>
      <c r="O2627" s="5" t="str">
        <f>INDEX([1]Employee!$C$2:$C$276,MATCH(B2627,[1]Employee!$A$2:$A$276,0))</f>
        <v>Sales &amp; Marketing</v>
      </c>
    </row>
    <row r="2628" spans="1:15">
      <c r="A2628" s="1" t="s">
        <v>5177</v>
      </c>
      <c r="B2628" s="1" t="s">
        <v>832</v>
      </c>
      <c r="C2628" s="1"/>
      <c r="D2628" s="2">
        <v>46159</v>
      </c>
      <c r="E2628" s="2">
        <v>46168</v>
      </c>
      <c r="F2628" s="1" t="s">
        <v>47</v>
      </c>
      <c r="G2628" s="1" t="s">
        <v>6</v>
      </c>
      <c r="H2628" s="1" t="s">
        <v>7</v>
      </c>
      <c r="I2628" s="7">
        <v>330.23</v>
      </c>
      <c r="J2628" s="1" t="s">
        <v>111</v>
      </c>
      <c r="K2628" s="1" t="s">
        <v>229</v>
      </c>
      <c r="L2628" s="1" t="s">
        <v>39</v>
      </c>
      <c r="M2628" s="1" t="str">
        <f>INDEX(MCC_Lookup!$B$2:$B$12,MATCH(G2628,MCC_Lookup!$A$2:$A$12,0))</f>
        <v>Lodging</v>
      </c>
      <c r="N2628" s="1" t="str">
        <f>IF(TRIM(H2628)="","BLANK",IF(PROPER(TRIM(H2628))=TRIM(M2628),"MATCH","MISMATCH"))</f>
        <v>MATCH</v>
      </c>
      <c r="O2628" s="5" t="str">
        <f>INDEX([1]Employee!$C$2:$C$276,MATCH(B2628,[1]Employee!$A$2:$A$276,0))</f>
        <v>Sales &amp; Marketing</v>
      </c>
    </row>
    <row r="2629" spans="1:15">
      <c r="A2629" s="1" t="s">
        <v>5178</v>
      </c>
      <c r="B2629" s="1" t="s">
        <v>210</v>
      </c>
      <c r="C2629" s="1" t="s">
        <v>5179</v>
      </c>
      <c r="D2629" s="2">
        <v>46163</v>
      </c>
      <c r="E2629" s="2">
        <v>46168</v>
      </c>
      <c r="F2629" s="1" t="s">
        <v>242</v>
      </c>
      <c r="G2629" s="1" t="s">
        <v>13</v>
      </c>
      <c r="H2629" s="1" t="s">
        <v>269</v>
      </c>
      <c r="I2629" s="7">
        <v>56.6</v>
      </c>
      <c r="J2629" s="1" t="s">
        <v>38</v>
      </c>
      <c r="K2629" s="1"/>
      <c r="L2629" s="1" t="s">
        <v>39</v>
      </c>
      <c r="M2629" s="1" t="str">
        <f>INDEX(MCC_Lookup!$B$2:$B$12,MATCH(G2629,MCC_Lookup!$A$2:$A$12,0))</f>
        <v>Software</v>
      </c>
      <c r="N2629" s="1" t="str">
        <f>IF(TRIM(H2629)="","BLANK",IF(PROPER(TRIM(H2629))=TRIM(M2629),"MATCH","MISMATCH"))</f>
        <v>MISMATCH</v>
      </c>
      <c r="O2629" s="5" t="str">
        <f>INDEX([1]Employee!$C$2:$C$276,MATCH(B2629,[1]Employee!$A$2:$A$276,0))</f>
        <v>Sales &amp; Marketing</v>
      </c>
    </row>
    <row r="2630" spans="1:15">
      <c r="A2630" s="1" t="s">
        <v>5180</v>
      </c>
      <c r="B2630" s="1" t="s">
        <v>328</v>
      </c>
      <c r="C2630" s="1" t="s">
        <v>5181</v>
      </c>
      <c r="D2630" s="2">
        <v>46159</v>
      </c>
      <c r="E2630" s="2">
        <v>46168</v>
      </c>
      <c r="F2630" s="1" t="s">
        <v>116</v>
      </c>
      <c r="G2630" s="1" t="s">
        <v>2</v>
      </c>
      <c r="H2630" s="1" t="s">
        <v>3</v>
      </c>
      <c r="I2630" s="7">
        <v>21.37</v>
      </c>
      <c r="J2630" s="1" t="s">
        <v>38</v>
      </c>
      <c r="K2630" s="1"/>
      <c r="L2630" s="1" t="s">
        <v>39</v>
      </c>
      <c r="M2630" s="1" t="str">
        <f>INDEX(MCC_Lookup!$B$2:$B$12,MATCH(G2630,MCC_Lookup!$A$2:$A$12,0))</f>
        <v>Meals</v>
      </c>
      <c r="N2630" s="1" t="str">
        <f>IF(TRIM(H2630)="","BLANK",IF(PROPER(TRIM(H2630))=TRIM(M2630),"MATCH","MISMATCH"))</f>
        <v>MATCH</v>
      </c>
      <c r="O2630" s="5" t="str">
        <f>INDEX([1]Employee!$C$2:$C$276,MATCH(B2630,[1]Employee!$A$2:$A$276,0))</f>
        <v>Underwriting</v>
      </c>
    </row>
    <row r="2631" spans="1:15">
      <c r="A2631" s="1" t="s">
        <v>5182</v>
      </c>
      <c r="B2631" s="1" t="s">
        <v>317</v>
      </c>
      <c r="C2631" s="1" t="s">
        <v>5183</v>
      </c>
      <c r="D2631" s="2">
        <v>46166</v>
      </c>
      <c r="E2631" s="2">
        <v>46168</v>
      </c>
      <c r="F2631" s="1" t="s">
        <v>83</v>
      </c>
      <c r="G2631" s="1" t="s">
        <v>2</v>
      </c>
      <c r="H2631" s="1" t="s">
        <v>3</v>
      </c>
      <c r="I2631" s="7">
        <v>17.45</v>
      </c>
      <c r="J2631" s="1" t="s">
        <v>38</v>
      </c>
      <c r="K2631" s="1"/>
      <c r="L2631" s="1" t="s">
        <v>39</v>
      </c>
      <c r="M2631" s="1" t="str">
        <f>INDEX(MCC_Lookup!$B$2:$B$12,MATCH(G2631,MCC_Lookup!$A$2:$A$12,0))</f>
        <v>Meals</v>
      </c>
      <c r="N2631" s="1" t="str">
        <f>IF(TRIM(H2631)="","BLANK",IF(PROPER(TRIM(H2631))=TRIM(M2631),"MATCH","MISMATCH"))</f>
        <v>MATCH</v>
      </c>
      <c r="O2631" s="5" t="str">
        <f>INDEX([1]Employee!$C$2:$C$276,MATCH(B2631,[1]Employee!$A$2:$A$276,0))</f>
        <v>Sales &amp; Marketing</v>
      </c>
    </row>
    <row r="2632" spans="1:15">
      <c r="A2632" s="1" t="s">
        <v>5184</v>
      </c>
      <c r="B2632" s="1" t="s">
        <v>152</v>
      </c>
      <c r="C2632" s="1" t="s">
        <v>5185</v>
      </c>
      <c r="D2632" s="2">
        <v>46166</v>
      </c>
      <c r="E2632" s="2">
        <v>46168</v>
      </c>
      <c r="F2632" s="1" t="s">
        <v>83</v>
      </c>
      <c r="G2632" s="1" t="s">
        <v>2</v>
      </c>
      <c r="H2632" s="1" t="s">
        <v>3</v>
      </c>
      <c r="I2632" s="7">
        <v>27.96</v>
      </c>
      <c r="J2632" s="1" t="s">
        <v>38</v>
      </c>
      <c r="K2632" s="1"/>
      <c r="L2632" s="1" t="s">
        <v>39</v>
      </c>
      <c r="M2632" s="1" t="str">
        <f>INDEX(MCC_Lookup!$B$2:$B$12,MATCH(G2632,MCC_Lookup!$A$2:$A$12,0))</f>
        <v>Meals</v>
      </c>
      <c r="N2632" s="1" t="str">
        <f>IF(TRIM(H2632)="","BLANK",IF(PROPER(TRIM(H2632))=TRIM(M2632),"MATCH","MISMATCH"))</f>
        <v>MATCH</v>
      </c>
      <c r="O2632" s="5" t="str">
        <f>INDEX([1]Employee!$C$2:$C$276,MATCH(B2632,[1]Employee!$A$2:$A$276,0))</f>
        <v>Sales &amp; Marketing</v>
      </c>
    </row>
    <row r="2633" spans="1:15">
      <c r="A2633" s="1" t="s">
        <v>5186</v>
      </c>
      <c r="B2633" s="1" t="s">
        <v>129</v>
      </c>
      <c r="C2633" s="1" t="s">
        <v>5187</v>
      </c>
      <c r="D2633" s="2">
        <v>46168</v>
      </c>
      <c r="E2633" s="2">
        <v>46168</v>
      </c>
      <c r="F2633" s="1" t="s">
        <v>83</v>
      </c>
      <c r="G2633" s="1" t="s">
        <v>2</v>
      </c>
      <c r="H2633" s="1" t="s">
        <v>3</v>
      </c>
      <c r="I2633" s="7">
        <v>11.33</v>
      </c>
      <c r="J2633" s="1" t="s">
        <v>38</v>
      </c>
      <c r="K2633" s="1"/>
      <c r="L2633" s="1" t="s">
        <v>39</v>
      </c>
      <c r="M2633" s="1" t="str">
        <f>INDEX(MCC_Lookup!$B$2:$B$12,MATCH(G2633,MCC_Lookup!$A$2:$A$12,0))</f>
        <v>Meals</v>
      </c>
      <c r="N2633" s="1" t="str">
        <f>IF(TRIM(H2633)="","BLANK",IF(PROPER(TRIM(H2633))=TRIM(M2633),"MATCH","MISMATCH"))</f>
        <v>MATCH</v>
      </c>
      <c r="O2633" s="5" t="str">
        <f>INDEX([1]Employee!$C$2:$C$276,MATCH(B2633,[1]Employee!$A$2:$A$276,0))</f>
        <v>Sales &amp; Marketing</v>
      </c>
    </row>
    <row r="2634" spans="1:15">
      <c r="A2634" s="1" t="s">
        <v>5188</v>
      </c>
      <c r="B2634" s="1" t="s">
        <v>182</v>
      </c>
      <c r="C2634" s="1" t="s">
        <v>5189</v>
      </c>
      <c r="D2634" s="2">
        <v>46166</v>
      </c>
      <c r="E2634" s="2">
        <v>46168</v>
      </c>
      <c r="F2634" s="1" t="s">
        <v>160</v>
      </c>
      <c r="G2634" s="1" t="s">
        <v>6</v>
      </c>
      <c r="H2634" s="1" t="s">
        <v>7</v>
      </c>
      <c r="I2634" s="7">
        <v>227.53</v>
      </c>
      <c r="J2634" s="1" t="s">
        <v>38</v>
      </c>
      <c r="K2634" s="1"/>
      <c r="L2634" s="1" t="s">
        <v>39</v>
      </c>
      <c r="M2634" s="1" t="str">
        <f>INDEX(MCC_Lookup!$B$2:$B$12,MATCH(G2634,MCC_Lookup!$A$2:$A$12,0))</f>
        <v>Lodging</v>
      </c>
      <c r="N2634" s="1" t="str">
        <f>IF(TRIM(H2634)="","BLANK",IF(PROPER(TRIM(H2634))=TRIM(M2634),"MATCH","MISMATCH"))</f>
        <v>MATCH</v>
      </c>
      <c r="O2634" s="5" t="str">
        <f>INDEX([1]Employee!$C$2:$C$276,MATCH(B2634,[1]Employee!$A$2:$A$276,0))</f>
        <v>Sales &amp; Marketing</v>
      </c>
    </row>
    <row r="2635" spans="1:15">
      <c r="A2635" s="1" t="s">
        <v>5190</v>
      </c>
      <c r="B2635" s="1" t="s">
        <v>1714</v>
      </c>
      <c r="C2635" s="1" t="s">
        <v>5191</v>
      </c>
      <c r="D2635" s="2">
        <v>46164</v>
      </c>
      <c r="E2635" s="2">
        <v>46168</v>
      </c>
      <c r="F2635" s="1" t="s">
        <v>173</v>
      </c>
      <c r="G2635" s="1" t="s">
        <v>2</v>
      </c>
      <c r="H2635" s="1" t="s">
        <v>3</v>
      </c>
      <c r="I2635" s="7">
        <v>63.65</v>
      </c>
      <c r="J2635" s="1" t="s">
        <v>38</v>
      </c>
      <c r="K2635" s="1"/>
      <c r="L2635" s="1" t="s">
        <v>39</v>
      </c>
      <c r="M2635" s="1" t="str">
        <f>INDEX(MCC_Lookup!$B$2:$B$12,MATCH(G2635,MCC_Lookup!$A$2:$A$12,0))</f>
        <v>Meals</v>
      </c>
      <c r="N2635" s="1" t="str">
        <f>IF(TRIM(H2635)="","BLANK",IF(PROPER(TRIM(H2635))=TRIM(M2635),"MATCH","MISMATCH"))</f>
        <v>MATCH</v>
      </c>
      <c r="O2635" s="5" t="str">
        <f>INDEX([1]Employee!$C$2:$C$276,MATCH(B2635,[1]Employee!$A$2:$A$276,0))</f>
        <v>IT &amp; Platform Engineering</v>
      </c>
    </row>
    <row r="2636" spans="1:15">
      <c r="A2636" s="1" t="s">
        <v>5192</v>
      </c>
      <c r="B2636" s="1" t="s">
        <v>250</v>
      </c>
      <c r="C2636" s="1" t="s">
        <v>5193</v>
      </c>
      <c r="D2636" s="2">
        <v>46158</v>
      </c>
      <c r="E2636" s="2">
        <v>46168</v>
      </c>
      <c r="F2636" s="1" t="s">
        <v>61</v>
      </c>
      <c r="G2636" s="1" t="s">
        <v>13</v>
      </c>
      <c r="H2636" s="1" t="s">
        <v>14</v>
      </c>
      <c r="I2636" s="7">
        <v>80.3</v>
      </c>
      <c r="J2636" s="1" t="s">
        <v>38</v>
      </c>
      <c r="K2636" s="1"/>
      <c r="L2636" s="1" t="s">
        <v>39</v>
      </c>
      <c r="M2636" s="1" t="str">
        <f>INDEX(MCC_Lookup!$B$2:$B$12,MATCH(G2636,MCC_Lookup!$A$2:$A$12,0))</f>
        <v>Software</v>
      </c>
      <c r="N2636" s="1" t="str">
        <f>IF(TRIM(H2636)="","BLANK",IF(PROPER(TRIM(H2636))=TRIM(M2636),"MATCH","MISMATCH"))</f>
        <v>MATCH</v>
      </c>
      <c r="O2636" s="5" t="str">
        <f>INDEX([1]Employee!$C$2:$C$276,MATCH(B2636,[1]Employee!$A$2:$A$276,0))</f>
        <v>Sales &amp; Marketing</v>
      </c>
    </row>
    <row r="2637" spans="1:15">
      <c r="A2637" s="1" t="s">
        <v>5194</v>
      </c>
      <c r="B2637" s="1" t="s">
        <v>550</v>
      </c>
      <c r="C2637" s="1" t="s">
        <v>5195</v>
      </c>
      <c r="D2637" s="2">
        <v>46160</v>
      </c>
      <c r="E2637" s="2">
        <v>46168</v>
      </c>
      <c r="F2637" s="1" t="s">
        <v>109</v>
      </c>
      <c r="G2637" s="1" t="s">
        <v>18</v>
      </c>
      <c r="H2637" s="1"/>
      <c r="I2637" s="7">
        <v>253.95</v>
      </c>
      <c r="J2637" s="1" t="s">
        <v>38</v>
      </c>
      <c r="K2637" s="1"/>
      <c r="L2637" s="1" t="s">
        <v>39</v>
      </c>
      <c r="M2637" s="1" t="str">
        <f>INDEX(MCC_Lookup!$B$2:$B$12,MATCH(G2637,MCC_Lookup!$A$2:$A$12,0))</f>
        <v>Events</v>
      </c>
      <c r="N2637" s="1" t="str">
        <f>IF(TRIM(H2637)="","BLANK",IF(PROPER(TRIM(H2637))=TRIM(M2637),"MATCH","MISMATCH"))</f>
        <v>BLANK</v>
      </c>
      <c r="O2637" s="5" t="str">
        <f>INDEX([1]Employee!$C$2:$C$276,MATCH(B2637,[1]Employee!$A$2:$A$276,0))</f>
        <v>Sales &amp; Marketing</v>
      </c>
    </row>
    <row r="2638" spans="1:15">
      <c r="A2638" s="1" t="s">
        <v>5196</v>
      </c>
      <c r="B2638" s="1" t="s">
        <v>667</v>
      </c>
      <c r="C2638" s="1" t="s">
        <v>5197</v>
      </c>
      <c r="D2638" s="2">
        <v>46161</v>
      </c>
      <c r="E2638" s="2">
        <v>46168</v>
      </c>
      <c r="F2638" s="1" t="s">
        <v>43</v>
      </c>
      <c r="G2638" s="1" t="s">
        <v>2</v>
      </c>
      <c r="H2638" s="1" t="s">
        <v>3</v>
      </c>
      <c r="I2638" s="7">
        <v>14.02</v>
      </c>
      <c r="J2638" s="1" t="s">
        <v>38</v>
      </c>
      <c r="K2638" s="1"/>
      <c r="L2638" s="1" t="s">
        <v>39</v>
      </c>
      <c r="M2638" s="1" t="str">
        <f>INDEX(MCC_Lookup!$B$2:$B$12,MATCH(G2638,MCC_Lookup!$A$2:$A$12,0))</f>
        <v>Meals</v>
      </c>
      <c r="N2638" s="1" t="str">
        <f>IF(TRIM(H2638)="","BLANK",IF(PROPER(TRIM(H2638))=TRIM(M2638),"MATCH","MISMATCH"))</f>
        <v>MATCH</v>
      </c>
      <c r="O2638" s="5" t="str">
        <f>INDEX([1]Employee!$C$2:$C$276,MATCH(B2638,[1]Employee!$A$2:$A$276,0))</f>
        <v>Sales &amp; Marketing</v>
      </c>
    </row>
    <row r="2639" spans="1:15">
      <c r="A2639" s="1" t="s">
        <v>5198</v>
      </c>
      <c r="B2639" s="1" t="s">
        <v>667</v>
      </c>
      <c r="C2639" s="1" t="s">
        <v>5199</v>
      </c>
      <c r="D2639" s="2">
        <v>46158</v>
      </c>
      <c r="E2639" s="2">
        <v>46168</v>
      </c>
      <c r="F2639" s="1" t="s">
        <v>2324</v>
      </c>
      <c r="G2639" s="1" t="s">
        <v>13</v>
      </c>
      <c r="H2639" s="1" t="s">
        <v>14</v>
      </c>
      <c r="I2639" s="7">
        <v>303.76</v>
      </c>
      <c r="J2639" s="1" t="s">
        <v>38</v>
      </c>
      <c r="K2639" s="1"/>
      <c r="L2639" s="1" t="s">
        <v>39</v>
      </c>
      <c r="M2639" s="1" t="str">
        <f>INDEX(MCC_Lookup!$B$2:$B$12,MATCH(G2639,MCC_Lookup!$A$2:$A$12,0))</f>
        <v>Software</v>
      </c>
      <c r="N2639" s="1" t="str">
        <f>IF(TRIM(H2639)="","BLANK",IF(PROPER(TRIM(H2639))=TRIM(M2639),"MATCH","MISMATCH"))</f>
        <v>MATCH</v>
      </c>
      <c r="O2639" s="5" t="str">
        <f>INDEX([1]Employee!$C$2:$C$276,MATCH(B2639,[1]Employee!$A$2:$A$276,0))</f>
        <v>Sales &amp; Marketing</v>
      </c>
    </row>
    <row r="2640" spans="1:15">
      <c r="A2640" s="1" t="s">
        <v>5200</v>
      </c>
      <c r="B2640" s="1" t="s">
        <v>303</v>
      </c>
      <c r="C2640" s="1" t="s">
        <v>5201</v>
      </c>
      <c r="D2640" s="2">
        <v>46159</v>
      </c>
      <c r="E2640" s="2">
        <v>46168</v>
      </c>
      <c r="F2640" s="1" t="s">
        <v>56</v>
      </c>
      <c r="G2640" s="1" t="s">
        <v>4</v>
      </c>
      <c r="H2640" s="1" t="s">
        <v>5</v>
      </c>
      <c r="I2640" s="7">
        <v>317.7</v>
      </c>
      <c r="J2640" s="1" t="s">
        <v>38</v>
      </c>
      <c r="K2640" s="1"/>
      <c r="L2640" s="1" t="s">
        <v>48</v>
      </c>
      <c r="M2640" s="1" t="str">
        <f>INDEX(MCC_Lookup!$B$2:$B$12,MATCH(G2640,MCC_Lookup!$A$2:$A$12,0))</f>
        <v>Travel</v>
      </c>
      <c r="N2640" s="1" t="str">
        <f>IF(TRIM(H2640)="","BLANK",IF(PROPER(TRIM(H2640))=TRIM(M2640),"MATCH","MISMATCH"))</f>
        <v>MATCH</v>
      </c>
      <c r="O2640" s="5" t="str">
        <f>INDEX([1]Employee!$C$2:$C$276,MATCH(B2640,[1]Employee!$A$2:$A$276,0))</f>
        <v>Sales &amp; Marketing</v>
      </c>
    </row>
    <row r="2641" spans="1:15">
      <c r="A2641" s="1" t="s">
        <v>5202</v>
      </c>
      <c r="B2641" s="1" t="s">
        <v>271</v>
      </c>
      <c r="C2641" s="1" t="s">
        <v>5203</v>
      </c>
      <c r="D2641" s="2">
        <v>46166</v>
      </c>
      <c r="E2641" s="2">
        <v>46168</v>
      </c>
      <c r="F2641" s="1" t="s">
        <v>92</v>
      </c>
      <c r="G2641" s="1" t="s">
        <v>10</v>
      </c>
      <c r="H2641" s="1" t="s">
        <v>131</v>
      </c>
      <c r="I2641" s="7">
        <v>27.34</v>
      </c>
      <c r="J2641" s="1" t="s">
        <v>38</v>
      </c>
      <c r="K2641" s="1"/>
      <c r="L2641" s="1" t="s">
        <v>48</v>
      </c>
      <c r="M2641" s="1" t="str">
        <f>INDEX(MCC_Lookup!$B$2:$B$12,MATCH(G2641,MCC_Lookup!$A$2:$A$12,0))</f>
        <v>Office Supplies</v>
      </c>
      <c r="N2641" s="1" t="str">
        <f>IF(TRIM(H2641)="","BLANK",IF(PROPER(TRIM(H2641))=TRIM(M2641),"MATCH","MISMATCH"))</f>
        <v>MATCH</v>
      </c>
      <c r="O2641" s="5" t="str">
        <f>INDEX([1]Employee!$C$2:$C$276,MATCH(B2641,[1]Employee!$A$2:$A$276,0))</f>
        <v>Customer Support</v>
      </c>
    </row>
    <row r="2642" spans="1:15">
      <c r="A2642" s="1" t="s">
        <v>5204</v>
      </c>
      <c r="B2642" s="1" t="s">
        <v>216</v>
      </c>
      <c r="C2642" s="1" t="s">
        <v>5205</v>
      </c>
      <c r="D2642" s="2">
        <v>46162</v>
      </c>
      <c r="E2642" s="2">
        <v>46168</v>
      </c>
      <c r="F2642" s="1" t="s">
        <v>259</v>
      </c>
      <c r="G2642" s="1" t="s">
        <v>20</v>
      </c>
      <c r="H2642" s="1"/>
      <c r="I2642" s="7">
        <v>489.7</v>
      </c>
      <c r="J2642" s="1" t="s">
        <v>38</v>
      </c>
      <c r="K2642" s="1"/>
      <c r="L2642" s="1" t="s">
        <v>39</v>
      </c>
      <c r="M2642" s="1" t="str">
        <f>INDEX(MCC_Lookup!$B$2:$B$12,MATCH(G2642,MCC_Lookup!$A$2:$A$12,0))</f>
        <v>Events</v>
      </c>
      <c r="N2642" s="1" t="str">
        <f>IF(TRIM(H2642)="","BLANK",IF(PROPER(TRIM(H2642))=TRIM(M2642),"MATCH","MISMATCH"))</f>
        <v>BLANK</v>
      </c>
      <c r="O2642" s="5" t="str">
        <f>INDEX([1]Employee!$C$2:$C$276,MATCH(B2642,[1]Employee!$A$2:$A$276,0))</f>
        <v>Sales &amp; Marketing</v>
      </c>
    </row>
    <row r="2643" spans="1:15">
      <c r="A2643" s="1" t="s">
        <v>5206</v>
      </c>
      <c r="B2643" s="1" t="s">
        <v>352</v>
      </c>
      <c r="C2643" s="1" t="s">
        <v>5207</v>
      </c>
      <c r="D2643" s="2">
        <v>46163</v>
      </c>
      <c r="E2643" s="2">
        <v>46168</v>
      </c>
      <c r="F2643" s="1" t="s">
        <v>65</v>
      </c>
      <c r="G2643" s="1" t="s">
        <v>18</v>
      </c>
      <c r="H2643" s="1" t="s">
        <v>19</v>
      </c>
      <c r="I2643" s="7">
        <v>176.52</v>
      </c>
      <c r="J2643" s="1" t="s">
        <v>38</v>
      </c>
      <c r="K2643" s="1"/>
      <c r="L2643" s="1" t="s">
        <v>39</v>
      </c>
      <c r="M2643" s="1" t="str">
        <f>INDEX(MCC_Lookup!$B$2:$B$12,MATCH(G2643,MCC_Lookup!$A$2:$A$12,0))</f>
        <v>Events</v>
      </c>
      <c r="N2643" s="1" t="str">
        <f>IF(TRIM(H2643)="","BLANK",IF(PROPER(TRIM(H2643))=TRIM(M2643),"MATCH","MISMATCH"))</f>
        <v>MATCH</v>
      </c>
      <c r="O2643" s="5" t="str">
        <f>INDEX([1]Employee!$C$2:$C$276,MATCH(B2643,[1]Employee!$A$2:$A$276,0))</f>
        <v>Sales &amp; Marketing</v>
      </c>
    </row>
    <row r="2644" spans="1:15">
      <c r="A2644" s="1" t="s">
        <v>5208</v>
      </c>
      <c r="B2644" s="1" t="s">
        <v>81</v>
      </c>
      <c r="C2644" s="1" t="s">
        <v>5209</v>
      </c>
      <c r="D2644" s="2">
        <v>46167</v>
      </c>
      <c r="E2644" s="2">
        <v>46168</v>
      </c>
      <c r="F2644" s="1" t="s">
        <v>56</v>
      </c>
      <c r="G2644" s="1" t="s">
        <v>4</v>
      </c>
      <c r="H2644" s="1" t="s">
        <v>5</v>
      </c>
      <c r="I2644" s="7">
        <v>236.15</v>
      </c>
      <c r="J2644" s="1" t="s">
        <v>38</v>
      </c>
      <c r="K2644" s="1"/>
      <c r="L2644" s="1" t="s">
        <v>39</v>
      </c>
      <c r="M2644" s="1" t="str">
        <f>INDEX(MCC_Lookup!$B$2:$B$12,MATCH(G2644,MCC_Lookup!$A$2:$A$12,0))</f>
        <v>Travel</v>
      </c>
      <c r="N2644" s="1" t="str">
        <f>IF(TRIM(H2644)="","BLANK",IF(PROPER(TRIM(H2644))=TRIM(M2644),"MATCH","MISMATCH"))</f>
        <v>MATCH</v>
      </c>
      <c r="O2644" s="5" t="str">
        <f>INDEX([1]Employee!$C$2:$C$276,MATCH(B2644,[1]Employee!$A$2:$A$276,0))</f>
        <v>Sales &amp; Marketing</v>
      </c>
    </row>
    <row r="2645" spans="1:15">
      <c r="A2645" s="1" t="s">
        <v>5210</v>
      </c>
      <c r="B2645" s="1" t="s">
        <v>433</v>
      </c>
      <c r="C2645" s="1" t="s">
        <v>5211</v>
      </c>
      <c r="D2645" s="2">
        <v>46165</v>
      </c>
      <c r="E2645" s="2">
        <v>46168</v>
      </c>
      <c r="F2645" s="1" t="s">
        <v>72</v>
      </c>
      <c r="G2645" s="1" t="s">
        <v>8</v>
      </c>
      <c r="H2645" s="1" t="s">
        <v>343</v>
      </c>
      <c r="I2645" s="7">
        <v>53.32</v>
      </c>
      <c r="J2645" s="1" t="s">
        <v>38</v>
      </c>
      <c r="K2645" s="1"/>
      <c r="L2645" s="1" t="s">
        <v>39</v>
      </c>
      <c r="M2645" s="1" t="str">
        <f>INDEX(MCC_Lookup!$B$2:$B$12,MATCH(G2645,MCC_Lookup!$A$2:$A$12,0))</f>
        <v>Transportation</v>
      </c>
      <c r="N2645" s="1" t="str">
        <f>IF(TRIM(H2645)="","BLANK",IF(PROPER(TRIM(H2645))=TRIM(M2645),"MATCH","MISMATCH"))</f>
        <v>MATCH</v>
      </c>
      <c r="O2645" s="5" t="str">
        <f>INDEX([1]Employee!$C$2:$C$276,MATCH(B2645,[1]Employee!$A$2:$A$276,0))</f>
        <v>Sales &amp; Marketing</v>
      </c>
    </row>
    <row r="2646" spans="1:15">
      <c r="A2646" s="1" t="s">
        <v>5212</v>
      </c>
      <c r="B2646" s="1" t="s">
        <v>810</v>
      </c>
      <c r="C2646" s="1"/>
      <c r="D2646" s="2">
        <v>46167</v>
      </c>
      <c r="E2646" s="2">
        <v>46168</v>
      </c>
      <c r="F2646" s="1" t="s">
        <v>92</v>
      </c>
      <c r="G2646" s="1" t="s">
        <v>10</v>
      </c>
      <c r="H2646" s="1"/>
      <c r="I2646" s="7">
        <v>27.94</v>
      </c>
      <c r="J2646" s="1" t="s">
        <v>111</v>
      </c>
      <c r="K2646" s="1" t="s">
        <v>112</v>
      </c>
      <c r="L2646" s="1" t="s">
        <v>39</v>
      </c>
      <c r="M2646" s="1" t="str">
        <f>INDEX(MCC_Lookup!$B$2:$B$12,MATCH(G2646,MCC_Lookup!$A$2:$A$12,0))</f>
        <v>Office Supplies</v>
      </c>
      <c r="N2646" s="1" t="str">
        <f>IF(TRIM(H2646)="","BLANK",IF(PROPER(TRIM(H2646))=TRIM(M2646),"MATCH","MISMATCH"))</f>
        <v>BLANK</v>
      </c>
      <c r="O2646" s="5" t="str">
        <f>INDEX([1]Employee!$C$2:$C$276,MATCH(B2646,[1]Employee!$A$2:$A$276,0))</f>
        <v>Sales &amp; Marketing</v>
      </c>
    </row>
    <row r="2647" spans="1:15">
      <c r="A2647" s="1" t="s">
        <v>5213</v>
      </c>
      <c r="B2647" s="1" t="s">
        <v>280</v>
      </c>
      <c r="C2647" s="1"/>
      <c r="D2647" s="2">
        <v>46164</v>
      </c>
      <c r="E2647" s="2">
        <v>46168</v>
      </c>
      <c r="F2647" s="1" t="s">
        <v>47</v>
      </c>
      <c r="G2647" s="1" t="s">
        <v>6</v>
      </c>
      <c r="H2647" s="1" t="s">
        <v>7</v>
      </c>
      <c r="I2647" s="7">
        <v>393.26</v>
      </c>
      <c r="J2647" s="1" t="s">
        <v>111</v>
      </c>
      <c r="K2647" s="1" t="s">
        <v>112</v>
      </c>
      <c r="L2647" s="1" t="s">
        <v>39</v>
      </c>
      <c r="M2647" s="1" t="str">
        <f>INDEX(MCC_Lookup!$B$2:$B$12,MATCH(G2647,MCC_Lookup!$A$2:$A$12,0))</f>
        <v>Lodging</v>
      </c>
      <c r="N2647" s="1" t="str">
        <f>IF(TRIM(H2647)="","BLANK",IF(PROPER(TRIM(H2647))=TRIM(M2647),"MATCH","MISMATCH"))</f>
        <v>MATCH</v>
      </c>
      <c r="O2647" s="5" t="str">
        <f>INDEX([1]Employee!$C$2:$C$276,MATCH(B2647,[1]Employee!$A$2:$A$276,0))</f>
        <v>Claims</v>
      </c>
    </row>
    <row r="2648" spans="1:15">
      <c r="A2648" s="1" t="s">
        <v>5214</v>
      </c>
      <c r="B2648" s="1" t="s">
        <v>506</v>
      </c>
      <c r="C2648" s="1" t="s">
        <v>5215</v>
      </c>
      <c r="D2648" s="2">
        <v>46167</v>
      </c>
      <c r="E2648" s="2">
        <v>46168</v>
      </c>
      <c r="F2648" s="1" t="s">
        <v>65</v>
      </c>
      <c r="G2648" s="1" t="s">
        <v>18</v>
      </c>
      <c r="H2648" s="1" t="s">
        <v>19</v>
      </c>
      <c r="I2648" s="7">
        <v>184.11</v>
      </c>
      <c r="J2648" s="1" t="s">
        <v>38</v>
      </c>
      <c r="K2648" s="1"/>
      <c r="L2648" s="1" t="s">
        <v>39</v>
      </c>
      <c r="M2648" s="1" t="str">
        <f>INDEX(MCC_Lookup!$B$2:$B$12,MATCH(G2648,MCC_Lookup!$A$2:$A$12,0))</f>
        <v>Events</v>
      </c>
      <c r="N2648" s="1" t="str">
        <f>IF(TRIM(H2648)="","BLANK",IF(PROPER(TRIM(H2648))=TRIM(M2648),"MATCH","MISMATCH"))</f>
        <v>MATCH</v>
      </c>
      <c r="O2648" s="5" t="str">
        <f>INDEX([1]Employee!$C$2:$C$276,MATCH(B2648,[1]Employee!$A$2:$A$276,0))</f>
        <v>Executive &amp; Corporate</v>
      </c>
    </row>
    <row r="2649" spans="1:15">
      <c r="A2649" s="1" t="s">
        <v>5216</v>
      </c>
      <c r="B2649" s="1" t="s">
        <v>810</v>
      </c>
      <c r="C2649" s="1"/>
      <c r="D2649" s="2">
        <v>46165</v>
      </c>
      <c r="E2649" s="2">
        <v>46169</v>
      </c>
      <c r="F2649" s="1" t="s">
        <v>52</v>
      </c>
      <c r="G2649" s="1" t="s">
        <v>15</v>
      </c>
      <c r="H2649" s="1" t="s">
        <v>16</v>
      </c>
      <c r="I2649" s="7">
        <v>57.72</v>
      </c>
      <c r="J2649" s="1" t="s">
        <v>111</v>
      </c>
      <c r="K2649" s="1" t="s">
        <v>112</v>
      </c>
      <c r="L2649" s="1" t="s">
        <v>39</v>
      </c>
      <c r="M2649" s="1" t="str">
        <f>INDEX(MCC_Lookup!$B$2:$B$12,MATCH(G2649,MCC_Lookup!$A$2:$A$12,0))</f>
        <v>Entertainment</v>
      </c>
      <c r="N2649" s="1" t="str">
        <f>IF(TRIM(H2649)="","BLANK",IF(PROPER(TRIM(H2649))=TRIM(M2649),"MATCH","MISMATCH"))</f>
        <v>MATCH</v>
      </c>
      <c r="O2649" s="5" t="str">
        <f>INDEX([1]Employee!$C$2:$C$276,MATCH(B2649,[1]Employee!$A$2:$A$276,0))</f>
        <v>Sales &amp; Marketing</v>
      </c>
    </row>
    <row r="2650" spans="1:15">
      <c r="A2650" s="1" t="s">
        <v>5217</v>
      </c>
      <c r="B2650" s="1" t="s">
        <v>152</v>
      </c>
      <c r="C2650" s="1" t="s">
        <v>5218</v>
      </c>
      <c r="D2650" s="2">
        <v>46161</v>
      </c>
      <c r="E2650" s="2">
        <v>46169</v>
      </c>
      <c r="F2650" s="1" t="s">
        <v>173</v>
      </c>
      <c r="G2650" s="1" t="s">
        <v>2</v>
      </c>
      <c r="H2650" s="1" t="s">
        <v>3</v>
      </c>
      <c r="I2650" s="7">
        <v>34.65</v>
      </c>
      <c r="J2650" s="1" t="s">
        <v>38</v>
      </c>
      <c r="K2650" s="1"/>
      <c r="L2650" s="1" t="s">
        <v>39</v>
      </c>
      <c r="M2650" s="1" t="str">
        <f>INDEX(MCC_Lookup!$B$2:$B$12,MATCH(G2650,MCC_Lookup!$A$2:$A$12,0))</f>
        <v>Meals</v>
      </c>
      <c r="N2650" s="1" t="str">
        <f>IF(TRIM(H2650)="","BLANK",IF(PROPER(TRIM(H2650))=TRIM(M2650),"MATCH","MISMATCH"))</f>
        <v>MATCH</v>
      </c>
      <c r="O2650" s="5" t="str">
        <f>INDEX([1]Employee!$C$2:$C$276,MATCH(B2650,[1]Employee!$A$2:$A$276,0))</f>
        <v>Sales &amp; Marketing</v>
      </c>
    </row>
    <row r="2651" spans="1:15">
      <c r="A2651" s="1" t="s">
        <v>5219</v>
      </c>
      <c r="B2651" s="1" t="s">
        <v>152</v>
      </c>
      <c r="C2651" s="1" t="s">
        <v>5220</v>
      </c>
      <c r="D2651" s="2">
        <v>46163</v>
      </c>
      <c r="E2651" s="2">
        <v>46169</v>
      </c>
      <c r="F2651" s="1" t="s">
        <v>83</v>
      </c>
      <c r="G2651" s="1" t="s">
        <v>2</v>
      </c>
      <c r="H2651" s="1" t="s">
        <v>3</v>
      </c>
      <c r="I2651" s="7">
        <v>26.9</v>
      </c>
      <c r="J2651" s="1" t="s">
        <v>38</v>
      </c>
      <c r="K2651" s="1"/>
      <c r="L2651" s="1" t="s">
        <v>39</v>
      </c>
      <c r="M2651" s="1" t="str">
        <f>INDEX(MCC_Lookup!$B$2:$B$12,MATCH(G2651,MCC_Lookup!$A$2:$A$12,0))</f>
        <v>Meals</v>
      </c>
      <c r="N2651" s="1" t="str">
        <f>IF(TRIM(H2651)="","BLANK",IF(PROPER(TRIM(H2651))=TRIM(M2651),"MATCH","MISMATCH"))</f>
        <v>MATCH</v>
      </c>
      <c r="O2651" s="5" t="str">
        <f>INDEX([1]Employee!$C$2:$C$276,MATCH(B2651,[1]Employee!$A$2:$A$276,0))</f>
        <v>Sales &amp; Marketing</v>
      </c>
    </row>
    <row r="2652" spans="1:15">
      <c r="A2652" s="1" t="s">
        <v>5221</v>
      </c>
      <c r="B2652" s="1" t="s">
        <v>152</v>
      </c>
      <c r="C2652" s="1" t="s">
        <v>5222</v>
      </c>
      <c r="D2652" s="2">
        <v>46164</v>
      </c>
      <c r="E2652" s="2">
        <v>46169</v>
      </c>
      <c r="F2652" s="1" t="s">
        <v>160</v>
      </c>
      <c r="G2652" s="1" t="s">
        <v>6</v>
      </c>
      <c r="H2652" s="1" t="s">
        <v>7</v>
      </c>
      <c r="I2652" s="7">
        <v>432.76</v>
      </c>
      <c r="J2652" s="1" t="s">
        <v>38</v>
      </c>
      <c r="K2652" s="1"/>
      <c r="L2652" s="1" t="s">
        <v>39</v>
      </c>
      <c r="M2652" s="1" t="str">
        <f>INDEX(MCC_Lookup!$B$2:$B$12,MATCH(G2652,MCC_Lookup!$A$2:$A$12,0))</f>
        <v>Lodging</v>
      </c>
      <c r="N2652" s="1" t="str">
        <f>IF(TRIM(H2652)="","BLANK",IF(PROPER(TRIM(H2652))=TRIM(M2652),"MATCH","MISMATCH"))</f>
        <v>MATCH</v>
      </c>
      <c r="O2652" s="5" t="str">
        <f>INDEX([1]Employee!$C$2:$C$276,MATCH(B2652,[1]Employee!$A$2:$A$276,0))</f>
        <v>Sales &amp; Marketing</v>
      </c>
    </row>
    <row r="2653" spans="1:15">
      <c r="A2653" s="1" t="s">
        <v>5223</v>
      </c>
      <c r="B2653" s="1" t="s">
        <v>292</v>
      </c>
      <c r="C2653" s="1"/>
      <c r="D2653" s="2">
        <v>46165</v>
      </c>
      <c r="E2653" s="2">
        <v>46169</v>
      </c>
      <c r="F2653" s="1" t="s">
        <v>95</v>
      </c>
      <c r="G2653" s="1" t="s">
        <v>6</v>
      </c>
      <c r="H2653" s="1" t="s">
        <v>7</v>
      </c>
      <c r="I2653" s="7">
        <v>203.2</v>
      </c>
      <c r="J2653" s="1" t="s">
        <v>111</v>
      </c>
      <c r="K2653" s="1" t="s">
        <v>161</v>
      </c>
      <c r="L2653" s="1" t="s">
        <v>48</v>
      </c>
      <c r="M2653" s="1" t="str">
        <f>INDEX(MCC_Lookup!$B$2:$B$12,MATCH(G2653,MCC_Lookup!$A$2:$A$12,0))</f>
        <v>Lodging</v>
      </c>
      <c r="N2653" s="1" t="str">
        <f>IF(TRIM(H2653)="","BLANK",IF(PROPER(TRIM(H2653))=TRIM(M2653),"MATCH","MISMATCH"))</f>
        <v>MATCH</v>
      </c>
      <c r="O2653" s="5" t="str">
        <f>INDEX([1]Employee!$C$2:$C$276,MATCH(B2653,[1]Employee!$A$2:$A$276,0))</f>
        <v>Sales &amp; Marketing</v>
      </c>
    </row>
    <row r="2654" spans="1:15">
      <c r="A2654" s="1" t="s">
        <v>5224</v>
      </c>
      <c r="B2654" s="1" t="s">
        <v>292</v>
      </c>
      <c r="C2654" s="1" t="s">
        <v>5225</v>
      </c>
      <c r="D2654" s="2">
        <v>46168</v>
      </c>
      <c r="E2654" s="2">
        <v>46169</v>
      </c>
      <c r="F2654" s="1" t="s">
        <v>201</v>
      </c>
      <c r="G2654" s="1" t="s">
        <v>4</v>
      </c>
      <c r="H2654" s="1" t="s">
        <v>5</v>
      </c>
      <c r="I2654" s="7">
        <v>334.59</v>
      </c>
      <c r="J2654" s="1" t="s">
        <v>38</v>
      </c>
      <c r="K2654" s="1"/>
      <c r="L2654" s="1" t="s">
        <v>39</v>
      </c>
      <c r="M2654" s="1" t="str">
        <f>INDEX(MCC_Lookup!$B$2:$B$12,MATCH(G2654,MCC_Lookup!$A$2:$A$12,0))</f>
        <v>Travel</v>
      </c>
      <c r="N2654" s="1" t="str">
        <f>IF(TRIM(H2654)="","BLANK",IF(PROPER(TRIM(H2654))=TRIM(M2654),"MATCH","MISMATCH"))</f>
        <v>MATCH</v>
      </c>
      <c r="O2654" s="5" t="str">
        <f>INDEX([1]Employee!$C$2:$C$276,MATCH(B2654,[1]Employee!$A$2:$A$276,0))</f>
        <v>Sales &amp; Marketing</v>
      </c>
    </row>
    <row r="2655" spans="1:15">
      <c r="A2655" s="1" t="s">
        <v>5226</v>
      </c>
      <c r="B2655" s="1" t="s">
        <v>292</v>
      </c>
      <c r="C2655" s="1" t="s">
        <v>5227</v>
      </c>
      <c r="D2655" s="2">
        <v>46168</v>
      </c>
      <c r="E2655" s="2">
        <v>46169</v>
      </c>
      <c r="F2655" s="1" t="s">
        <v>52</v>
      </c>
      <c r="G2655" s="1" t="s">
        <v>15</v>
      </c>
      <c r="H2655" s="1" t="s">
        <v>16</v>
      </c>
      <c r="I2655" s="7">
        <v>22.92</v>
      </c>
      <c r="J2655" s="1" t="s">
        <v>38</v>
      </c>
      <c r="K2655" s="1"/>
      <c r="L2655" s="1" t="s">
        <v>39</v>
      </c>
      <c r="M2655" s="1" t="str">
        <f>INDEX(MCC_Lookup!$B$2:$B$12,MATCH(G2655,MCC_Lookup!$A$2:$A$12,0))</f>
        <v>Entertainment</v>
      </c>
      <c r="N2655" s="1" t="str">
        <f>IF(TRIM(H2655)="","BLANK",IF(PROPER(TRIM(H2655))=TRIM(M2655),"MATCH","MISMATCH"))</f>
        <v>MATCH</v>
      </c>
      <c r="O2655" s="5" t="str">
        <f>INDEX([1]Employee!$C$2:$C$276,MATCH(B2655,[1]Employee!$A$2:$A$276,0))</f>
        <v>Sales &amp; Marketing</v>
      </c>
    </row>
    <row r="2656" spans="1:15">
      <c r="A2656" s="1" t="s">
        <v>5228</v>
      </c>
      <c r="B2656" s="1" t="s">
        <v>1286</v>
      </c>
      <c r="C2656" s="1" t="s">
        <v>5229</v>
      </c>
      <c r="D2656" s="2">
        <v>46164</v>
      </c>
      <c r="E2656" s="2">
        <v>46169</v>
      </c>
      <c r="F2656" s="1" t="s">
        <v>83</v>
      </c>
      <c r="G2656" s="1" t="s">
        <v>2</v>
      </c>
      <c r="H2656" s="1" t="s">
        <v>3</v>
      </c>
      <c r="I2656" s="7">
        <v>15.92</v>
      </c>
      <c r="J2656" s="1" t="s">
        <v>38</v>
      </c>
      <c r="K2656" s="1"/>
      <c r="L2656" s="1" t="s">
        <v>39</v>
      </c>
      <c r="M2656" s="1" t="str">
        <f>INDEX(MCC_Lookup!$B$2:$B$12,MATCH(G2656,MCC_Lookup!$A$2:$A$12,0))</f>
        <v>Meals</v>
      </c>
      <c r="N2656" s="1" t="str">
        <f>IF(TRIM(H2656)="","BLANK",IF(PROPER(TRIM(H2656))=TRIM(M2656),"MATCH","MISMATCH"))</f>
        <v>MATCH</v>
      </c>
      <c r="O2656" s="5" t="str">
        <f>INDEX([1]Employee!$C$2:$C$276,MATCH(B2656,[1]Employee!$A$2:$A$276,0))</f>
        <v>Customer Support</v>
      </c>
    </row>
    <row r="2657" spans="1:15">
      <c r="A2657" s="1" t="s">
        <v>5230</v>
      </c>
      <c r="B2657" s="1" t="s">
        <v>50</v>
      </c>
      <c r="C2657" s="1" t="s">
        <v>5231</v>
      </c>
      <c r="D2657" s="2">
        <v>46164</v>
      </c>
      <c r="E2657" s="2">
        <v>46169</v>
      </c>
      <c r="F2657" s="1" t="s">
        <v>201</v>
      </c>
      <c r="G2657" s="1" t="s">
        <v>4</v>
      </c>
      <c r="H2657" s="1" t="s">
        <v>5</v>
      </c>
      <c r="I2657" s="7">
        <v>502.24</v>
      </c>
      <c r="J2657" s="1" t="s">
        <v>38</v>
      </c>
      <c r="K2657" s="1"/>
      <c r="L2657" s="1" t="s">
        <v>39</v>
      </c>
      <c r="M2657" s="1" t="str">
        <f>INDEX(MCC_Lookup!$B$2:$B$12,MATCH(G2657,MCC_Lookup!$A$2:$A$12,0))</f>
        <v>Travel</v>
      </c>
      <c r="N2657" s="1" t="str">
        <f>IF(TRIM(H2657)="","BLANK",IF(PROPER(TRIM(H2657))=TRIM(M2657),"MATCH","MISMATCH"))</f>
        <v>MATCH</v>
      </c>
      <c r="O2657" s="5" t="str">
        <f>INDEX([1]Employee!$C$2:$C$276,MATCH(B2657,[1]Employee!$A$2:$A$276,0))</f>
        <v>Sales &amp; Marketing</v>
      </c>
    </row>
    <row r="2658" spans="1:15">
      <c r="A2658" s="1" t="s">
        <v>5232</v>
      </c>
      <c r="B2658" s="1" t="s">
        <v>738</v>
      </c>
      <c r="C2658" s="1"/>
      <c r="D2658" s="2">
        <v>46169</v>
      </c>
      <c r="E2658" s="2">
        <v>46169</v>
      </c>
      <c r="F2658" s="1" t="s">
        <v>65</v>
      </c>
      <c r="G2658" s="1" t="s">
        <v>18</v>
      </c>
      <c r="H2658" s="1" t="s">
        <v>19</v>
      </c>
      <c r="I2658" s="7">
        <v>81.489999999999995</v>
      </c>
      <c r="J2658" s="1" t="s">
        <v>111</v>
      </c>
      <c r="K2658" s="1" t="s">
        <v>112</v>
      </c>
      <c r="L2658" s="1" t="s">
        <v>39</v>
      </c>
      <c r="M2658" s="1" t="str">
        <f>INDEX(MCC_Lookup!$B$2:$B$12,MATCH(G2658,MCC_Lookup!$A$2:$A$12,0))</f>
        <v>Events</v>
      </c>
      <c r="N2658" s="1" t="str">
        <f>IF(TRIM(H2658)="","BLANK",IF(PROPER(TRIM(H2658))=TRIM(M2658),"MATCH","MISMATCH"))</f>
        <v>MATCH</v>
      </c>
      <c r="O2658" s="5" t="str">
        <f>INDEX([1]Employee!$C$2:$C$276,MATCH(B2658,[1]Employee!$A$2:$A$276,0))</f>
        <v>Sales &amp; Marketing</v>
      </c>
    </row>
    <row r="2659" spans="1:15">
      <c r="A2659" s="1" t="s">
        <v>5233</v>
      </c>
      <c r="B2659" s="1" t="s">
        <v>129</v>
      </c>
      <c r="C2659" s="1" t="s">
        <v>5234</v>
      </c>
      <c r="D2659" s="2">
        <v>46165</v>
      </c>
      <c r="E2659" s="2">
        <v>46169</v>
      </c>
      <c r="F2659" s="1" t="s">
        <v>116</v>
      </c>
      <c r="G2659" s="1" t="s">
        <v>2</v>
      </c>
      <c r="H2659" s="1" t="s">
        <v>3</v>
      </c>
      <c r="I2659" s="7">
        <v>12.31</v>
      </c>
      <c r="J2659" s="1" t="s">
        <v>38</v>
      </c>
      <c r="K2659" s="1"/>
      <c r="L2659" s="1" t="s">
        <v>39</v>
      </c>
      <c r="M2659" s="1" t="str">
        <f>INDEX(MCC_Lookup!$B$2:$B$12,MATCH(G2659,MCC_Lookup!$A$2:$A$12,0))</f>
        <v>Meals</v>
      </c>
      <c r="N2659" s="1" t="str">
        <f>IF(TRIM(H2659)="","BLANK",IF(PROPER(TRIM(H2659))=TRIM(M2659),"MATCH","MISMATCH"))</f>
        <v>MATCH</v>
      </c>
      <c r="O2659" s="5" t="str">
        <f>INDEX([1]Employee!$C$2:$C$276,MATCH(B2659,[1]Employee!$A$2:$A$276,0))</f>
        <v>Sales &amp; Marketing</v>
      </c>
    </row>
    <row r="2660" spans="1:15">
      <c r="A2660" s="1" t="s">
        <v>5235</v>
      </c>
      <c r="B2660" s="1" t="s">
        <v>623</v>
      </c>
      <c r="C2660" s="1"/>
      <c r="D2660" s="2">
        <v>46160</v>
      </c>
      <c r="E2660" s="2">
        <v>46169</v>
      </c>
      <c r="F2660" s="1" t="s">
        <v>1793</v>
      </c>
      <c r="G2660" s="1" t="s">
        <v>12</v>
      </c>
      <c r="H2660" s="1" t="s">
        <v>11</v>
      </c>
      <c r="I2660" s="7">
        <v>399.48</v>
      </c>
      <c r="J2660" s="1" t="s">
        <v>38</v>
      </c>
      <c r="K2660" s="1"/>
      <c r="L2660" s="1" t="s">
        <v>48</v>
      </c>
      <c r="M2660" s="1" t="str">
        <f>INDEX(MCC_Lookup!$B$2:$B$12,MATCH(G2660,MCC_Lookup!$A$2:$A$12,0))</f>
        <v>Office Supplies</v>
      </c>
      <c r="N2660" s="1" t="str">
        <f>IF(TRIM(H2660)="","BLANK",IF(PROPER(TRIM(H2660))=TRIM(M2660),"MATCH","MISMATCH"))</f>
        <v>MATCH</v>
      </c>
      <c r="O2660" s="5" t="str">
        <f>INDEX([1]Employee!$C$2:$C$276,MATCH(B2660,[1]Employee!$A$2:$A$276,0))</f>
        <v>Underwriting</v>
      </c>
    </row>
    <row r="2661" spans="1:15">
      <c r="A2661" s="1" t="s">
        <v>5236</v>
      </c>
      <c r="B2661" s="1" t="s">
        <v>1119</v>
      </c>
      <c r="C2661" s="1" t="s">
        <v>5237</v>
      </c>
      <c r="D2661" s="2">
        <v>46161</v>
      </c>
      <c r="E2661" s="2">
        <v>46169</v>
      </c>
      <c r="F2661" s="1" t="s">
        <v>76</v>
      </c>
      <c r="G2661" s="1" t="s">
        <v>13</v>
      </c>
      <c r="H2661" s="1" t="s">
        <v>14</v>
      </c>
      <c r="I2661" s="7">
        <v>266.42</v>
      </c>
      <c r="J2661" s="1" t="s">
        <v>38</v>
      </c>
      <c r="K2661" s="1"/>
      <c r="L2661" s="1" t="s">
        <v>39</v>
      </c>
      <c r="M2661" s="1" t="str">
        <f>INDEX(MCC_Lookup!$B$2:$B$12,MATCH(G2661,MCC_Lookup!$A$2:$A$12,0))</f>
        <v>Software</v>
      </c>
      <c r="N2661" s="1" t="str">
        <f>IF(TRIM(H2661)="","BLANK",IF(PROPER(TRIM(H2661))=TRIM(M2661),"MATCH","MISMATCH"))</f>
        <v>MATCH</v>
      </c>
      <c r="O2661" s="5" t="str">
        <f>INDEX([1]Employee!$C$2:$C$276,MATCH(B2661,[1]Employee!$A$2:$A$276,0))</f>
        <v>Customer Support</v>
      </c>
    </row>
    <row r="2662" spans="1:15">
      <c r="A2662" s="1" t="s">
        <v>5238</v>
      </c>
      <c r="B2662" s="1" t="s">
        <v>519</v>
      </c>
      <c r="C2662" s="1" t="s">
        <v>5239</v>
      </c>
      <c r="D2662" s="2">
        <v>46167</v>
      </c>
      <c r="E2662" s="2">
        <v>46169</v>
      </c>
      <c r="F2662" s="1" t="s">
        <v>106</v>
      </c>
      <c r="G2662" s="1" t="s">
        <v>13</v>
      </c>
      <c r="H2662" s="1" t="s">
        <v>14</v>
      </c>
      <c r="I2662" s="7">
        <v>74.790000000000006</v>
      </c>
      <c r="J2662" s="1" t="s">
        <v>38</v>
      </c>
      <c r="K2662" s="1"/>
      <c r="L2662" s="1" t="s">
        <v>39</v>
      </c>
      <c r="M2662" s="1" t="str">
        <f>INDEX(MCC_Lookup!$B$2:$B$12,MATCH(G2662,MCC_Lookup!$A$2:$A$12,0))</f>
        <v>Software</v>
      </c>
      <c r="N2662" s="1" t="str">
        <f>IF(TRIM(H2662)="","BLANK",IF(PROPER(TRIM(H2662))=TRIM(M2662),"MATCH","MISMATCH"))</f>
        <v>MATCH</v>
      </c>
      <c r="O2662" s="5" t="str">
        <f>INDEX([1]Employee!$C$2:$C$276,MATCH(B2662,[1]Employee!$A$2:$A$276,0))</f>
        <v>Customer Support</v>
      </c>
    </row>
    <row r="2663" spans="1:15">
      <c r="A2663" s="1" t="s">
        <v>5240</v>
      </c>
      <c r="B2663" s="1" t="s">
        <v>643</v>
      </c>
      <c r="C2663" s="1" t="s">
        <v>5241</v>
      </c>
      <c r="D2663" s="2">
        <v>46159</v>
      </c>
      <c r="E2663" s="2">
        <v>46169</v>
      </c>
      <c r="F2663" s="1" t="s">
        <v>116</v>
      </c>
      <c r="G2663" s="1" t="s">
        <v>2</v>
      </c>
      <c r="H2663" s="1" t="s">
        <v>11</v>
      </c>
      <c r="I2663" s="7">
        <v>10.67</v>
      </c>
      <c r="J2663" s="1" t="s">
        <v>38</v>
      </c>
      <c r="K2663" s="1"/>
      <c r="L2663" s="1" t="s">
        <v>39</v>
      </c>
      <c r="M2663" s="1" t="str">
        <f>INDEX(MCC_Lookup!$B$2:$B$12,MATCH(G2663,MCC_Lookup!$A$2:$A$12,0))</f>
        <v>Meals</v>
      </c>
      <c r="N2663" s="1" t="str">
        <f>IF(TRIM(H2663)="","BLANK",IF(PROPER(TRIM(H2663))=TRIM(M2663),"MATCH","MISMATCH"))</f>
        <v>MISMATCH</v>
      </c>
      <c r="O2663" s="5" t="str">
        <f>INDEX([1]Employee!$C$2:$C$276,MATCH(B2663,[1]Employee!$A$2:$A$276,0))</f>
        <v>Sales &amp; Marketing</v>
      </c>
    </row>
    <row r="2664" spans="1:15">
      <c r="A2664" s="1" t="s">
        <v>5242</v>
      </c>
      <c r="B2664" s="1" t="s">
        <v>59</v>
      </c>
      <c r="C2664" s="1" t="s">
        <v>5243</v>
      </c>
      <c r="D2664" s="2">
        <v>46166</v>
      </c>
      <c r="E2664" s="2">
        <v>46169</v>
      </c>
      <c r="F2664" s="1" t="s">
        <v>124</v>
      </c>
      <c r="G2664" s="1" t="s">
        <v>17</v>
      </c>
      <c r="H2664" s="1" t="s">
        <v>16</v>
      </c>
      <c r="I2664" s="7">
        <v>239.65</v>
      </c>
      <c r="J2664" s="1" t="s">
        <v>38</v>
      </c>
      <c r="K2664" s="1"/>
      <c r="L2664" s="1" t="s">
        <v>39</v>
      </c>
      <c r="M2664" s="1" t="str">
        <f>INDEX(MCC_Lookup!$B$2:$B$12,MATCH(G2664,MCC_Lookup!$A$2:$A$12,0))</f>
        <v>Entertainment</v>
      </c>
      <c r="N2664" s="1" t="str">
        <f>IF(TRIM(H2664)="","BLANK",IF(PROPER(TRIM(H2664))=TRIM(M2664),"MATCH","MISMATCH"))</f>
        <v>MATCH</v>
      </c>
      <c r="O2664" s="5" t="str">
        <f>INDEX([1]Employee!$C$2:$C$276,MATCH(B2664,[1]Employee!$A$2:$A$276,0))</f>
        <v>Sales &amp; Marketing</v>
      </c>
    </row>
    <row r="2665" spans="1:15">
      <c r="A2665" s="1" t="s">
        <v>5244</v>
      </c>
      <c r="B2665" s="1" t="s">
        <v>506</v>
      </c>
      <c r="C2665" s="1" t="s">
        <v>5245</v>
      </c>
      <c r="D2665" s="2">
        <v>46167</v>
      </c>
      <c r="E2665" s="2">
        <v>46169</v>
      </c>
      <c r="F2665" s="1" t="s">
        <v>124</v>
      </c>
      <c r="G2665" s="1" t="s">
        <v>17</v>
      </c>
      <c r="H2665" s="1" t="s">
        <v>16</v>
      </c>
      <c r="I2665" s="7">
        <v>160.30000000000001</v>
      </c>
      <c r="J2665" s="1" t="s">
        <v>38</v>
      </c>
      <c r="K2665" s="1"/>
      <c r="L2665" s="1" t="s">
        <v>39</v>
      </c>
      <c r="M2665" s="1" t="str">
        <f>INDEX(MCC_Lookup!$B$2:$B$12,MATCH(G2665,MCC_Lookup!$A$2:$A$12,0))</f>
        <v>Entertainment</v>
      </c>
      <c r="N2665" s="1" t="str">
        <f>IF(TRIM(H2665)="","BLANK",IF(PROPER(TRIM(H2665))=TRIM(M2665),"MATCH","MISMATCH"))</f>
        <v>MATCH</v>
      </c>
      <c r="O2665" s="5" t="str">
        <f>INDEX([1]Employee!$C$2:$C$276,MATCH(B2665,[1]Employee!$A$2:$A$276,0))</f>
        <v>Executive &amp; Corporate</v>
      </c>
    </row>
    <row r="2666" spans="1:15">
      <c r="A2666" s="1" t="s">
        <v>5246</v>
      </c>
      <c r="B2666" s="1" t="s">
        <v>506</v>
      </c>
      <c r="C2666" s="1" t="s">
        <v>5247</v>
      </c>
      <c r="D2666" s="2">
        <v>46162</v>
      </c>
      <c r="E2666" s="2">
        <v>46169</v>
      </c>
      <c r="F2666" s="1" t="s">
        <v>160</v>
      </c>
      <c r="G2666" s="1" t="s">
        <v>6</v>
      </c>
      <c r="H2666" s="1" t="s">
        <v>7</v>
      </c>
      <c r="I2666" s="7">
        <v>437.01</v>
      </c>
      <c r="J2666" s="1" t="s">
        <v>38</v>
      </c>
      <c r="K2666" s="1"/>
      <c r="L2666" s="1" t="s">
        <v>48</v>
      </c>
      <c r="M2666" s="1" t="str">
        <f>INDEX(MCC_Lookup!$B$2:$B$12,MATCH(G2666,MCC_Lookup!$A$2:$A$12,0))</f>
        <v>Lodging</v>
      </c>
      <c r="N2666" s="1" t="str">
        <f>IF(TRIM(H2666)="","BLANK",IF(PROPER(TRIM(H2666))=TRIM(M2666),"MATCH","MISMATCH"))</f>
        <v>MATCH</v>
      </c>
      <c r="O2666" s="5" t="str">
        <f>INDEX([1]Employee!$C$2:$C$276,MATCH(B2666,[1]Employee!$A$2:$A$276,0))</f>
        <v>Executive &amp; Corporate</v>
      </c>
    </row>
    <row r="2667" spans="1:15">
      <c r="A2667" s="1" t="s">
        <v>5248</v>
      </c>
      <c r="B2667" s="1" t="s">
        <v>855</v>
      </c>
      <c r="C2667" s="1"/>
      <c r="D2667" s="2">
        <v>46162</v>
      </c>
      <c r="E2667" s="2">
        <v>46169</v>
      </c>
      <c r="F2667" s="1" t="s">
        <v>177</v>
      </c>
      <c r="G2667" s="1" t="s">
        <v>13</v>
      </c>
      <c r="H2667" s="1" t="s">
        <v>14</v>
      </c>
      <c r="I2667" s="7">
        <v>12.31</v>
      </c>
      <c r="J2667" s="1" t="s">
        <v>38</v>
      </c>
      <c r="K2667" s="1"/>
      <c r="L2667" s="1" t="s">
        <v>39</v>
      </c>
      <c r="M2667" s="1" t="str">
        <f>INDEX(MCC_Lookup!$B$2:$B$12,MATCH(G2667,MCC_Lookup!$A$2:$A$12,0))</f>
        <v>Software</v>
      </c>
      <c r="N2667" s="1" t="str">
        <f>IF(TRIM(H2667)="","BLANK",IF(PROPER(TRIM(H2667))=TRIM(M2667),"MATCH","MISMATCH"))</f>
        <v>MATCH</v>
      </c>
      <c r="O2667" s="5" t="str">
        <f>INDEX([1]Employee!$C$2:$C$276,MATCH(B2667,[1]Employee!$A$2:$A$276,0))</f>
        <v>Underwriting</v>
      </c>
    </row>
    <row r="2668" spans="1:15">
      <c r="A2668" s="1" t="s">
        <v>5249</v>
      </c>
      <c r="B2668" s="1" t="s">
        <v>97</v>
      </c>
      <c r="C2668" s="1" t="s">
        <v>5250</v>
      </c>
      <c r="D2668" s="2">
        <v>46161</v>
      </c>
      <c r="E2668" s="2">
        <v>46170</v>
      </c>
      <c r="F2668" s="1" t="s">
        <v>259</v>
      </c>
      <c r="G2668" s="1" t="s">
        <v>20</v>
      </c>
      <c r="H2668" s="1" t="s">
        <v>19</v>
      </c>
      <c r="I2668" s="7">
        <v>504.48</v>
      </c>
      <c r="J2668" s="1" t="s">
        <v>38</v>
      </c>
      <c r="K2668" s="1"/>
      <c r="L2668" s="1" t="s">
        <v>48</v>
      </c>
      <c r="M2668" s="1" t="str">
        <f>INDEX(MCC_Lookup!$B$2:$B$12,MATCH(G2668,MCC_Lookup!$A$2:$A$12,0))</f>
        <v>Events</v>
      </c>
      <c r="N2668" s="1" t="str">
        <f>IF(TRIM(H2668)="","BLANK",IF(PROPER(TRIM(H2668))=TRIM(M2668),"MATCH","MISMATCH"))</f>
        <v>MATCH</v>
      </c>
      <c r="O2668" s="5" t="str">
        <f>INDEX([1]Employee!$C$2:$C$276,MATCH(B2668,[1]Employee!$A$2:$A$276,0))</f>
        <v>Sales &amp; Marketing</v>
      </c>
    </row>
    <row r="2669" spans="1:15">
      <c r="A2669" s="1" t="s">
        <v>5251</v>
      </c>
      <c r="B2669" s="1" t="s">
        <v>593</v>
      </c>
      <c r="C2669" s="1" t="s">
        <v>5252</v>
      </c>
      <c r="D2669" s="2">
        <v>46170</v>
      </c>
      <c r="E2669" s="2">
        <v>46170</v>
      </c>
      <c r="F2669" s="1" t="s">
        <v>56</v>
      </c>
      <c r="G2669" s="1" t="s">
        <v>4</v>
      </c>
      <c r="H2669" s="1" t="s">
        <v>5</v>
      </c>
      <c r="I2669" s="7">
        <v>634.54</v>
      </c>
      <c r="J2669" s="1" t="s">
        <v>38</v>
      </c>
      <c r="K2669" s="1"/>
      <c r="L2669" s="1" t="s">
        <v>39</v>
      </c>
      <c r="M2669" s="1" t="str">
        <f>INDEX(MCC_Lookup!$B$2:$B$12,MATCH(G2669,MCC_Lookup!$A$2:$A$12,0))</f>
        <v>Travel</v>
      </c>
      <c r="N2669" s="1" t="str">
        <f>IF(TRIM(H2669)="","BLANK",IF(PROPER(TRIM(H2669))=TRIM(M2669),"MATCH","MISMATCH"))</f>
        <v>MATCH</v>
      </c>
      <c r="O2669" s="5" t="str">
        <f>INDEX([1]Employee!$C$2:$C$276,MATCH(B2669,[1]Employee!$A$2:$A$276,0))</f>
        <v>Sales &amp; Marketing</v>
      </c>
    </row>
    <row r="2670" spans="1:15">
      <c r="A2670" s="1" t="s">
        <v>5253</v>
      </c>
      <c r="B2670" s="1" t="s">
        <v>1440</v>
      </c>
      <c r="C2670" s="1" t="s">
        <v>5254</v>
      </c>
      <c r="D2670" s="2">
        <v>46164</v>
      </c>
      <c r="E2670" s="2">
        <v>46170</v>
      </c>
      <c r="F2670" s="1" t="s">
        <v>177</v>
      </c>
      <c r="G2670" s="1" t="s">
        <v>13</v>
      </c>
      <c r="H2670" s="1" t="s">
        <v>7</v>
      </c>
      <c r="I2670" s="7">
        <v>17.95</v>
      </c>
      <c r="J2670" s="1" t="s">
        <v>38</v>
      </c>
      <c r="K2670" s="1"/>
      <c r="L2670" s="1" t="s">
        <v>39</v>
      </c>
      <c r="M2670" s="1" t="str">
        <f>INDEX(MCC_Lookup!$B$2:$B$12,MATCH(G2670,MCC_Lookup!$A$2:$A$12,0))</f>
        <v>Software</v>
      </c>
      <c r="N2670" s="1" t="str">
        <f>IF(TRIM(H2670)="","BLANK",IF(PROPER(TRIM(H2670))=TRIM(M2670),"MATCH","MISMATCH"))</f>
        <v>MISMATCH</v>
      </c>
      <c r="O2670" s="5" t="str">
        <f>INDEX([1]Employee!$C$2:$C$276,MATCH(B2670,[1]Employee!$A$2:$A$276,0))</f>
        <v>Claims</v>
      </c>
    </row>
    <row r="2671" spans="1:15">
      <c r="A2671" s="1" t="s">
        <v>5255</v>
      </c>
      <c r="B2671" s="1" t="s">
        <v>244</v>
      </c>
      <c r="C2671" s="1" t="s">
        <v>5256</v>
      </c>
      <c r="D2671" s="2">
        <v>46163</v>
      </c>
      <c r="E2671" s="2">
        <v>46170</v>
      </c>
      <c r="F2671" s="1" t="s">
        <v>242</v>
      </c>
      <c r="G2671" s="1" t="s">
        <v>13</v>
      </c>
      <c r="H2671" s="1" t="s">
        <v>14</v>
      </c>
      <c r="I2671" s="7">
        <v>56.94</v>
      </c>
      <c r="J2671" s="1" t="s">
        <v>38</v>
      </c>
      <c r="K2671" s="1"/>
      <c r="L2671" s="1" t="s">
        <v>39</v>
      </c>
      <c r="M2671" s="1" t="str">
        <f>INDEX(MCC_Lookup!$B$2:$B$12,MATCH(G2671,MCC_Lookup!$A$2:$A$12,0))</f>
        <v>Software</v>
      </c>
      <c r="N2671" s="1" t="str">
        <f>IF(TRIM(H2671)="","BLANK",IF(PROPER(TRIM(H2671))=TRIM(M2671),"MATCH","MISMATCH"))</f>
        <v>MATCH</v>
      </c>
      <c r="O2671" s="5" t="str">
        <f>INDEX([1]Employee!$C$2:$C$276,MATCH(B2671,[1]Employee!$A$2:$A$276,0))</f>
        <v>Sales &amp; Marketing</v>
      </c>
    </row>
    <row r="2672" spans="1:15">
      <c r="A2672" s="1" t="s">
        <v>5257</v>
      </c>
      <c r="B2672" s="1" t="s">
        <v>379</v>
      </c>
      <c r="C2672" s="1" t="s">
        <v>5258</v>
      </c>
      <c r="D2672" s="2">
        <v>46164</v>
      </c>
      <c r="E2672" s="2">
        <v>46170</v>
      </c>
      <c r="F2672" s="1" t="s">
        <v>43</v>
      </c>
      <c r="G2672" s="1" t="s">
        <v>2</v>
      </c>
      <c r="H2672" s="1" t="s">
        <v>3</v>
      </c>
      <c r="I2672" s="7">
        <v>6.5</v>
      </c>
      <c r="J2672" s="1" t="s">
        <v>38</v>
      </c>
      <c r="K2672" s="1"/>
      <c r="L2672" s="1" t="s">
        <v>39</v>
      </c>
      <c r="M2672" s="1" t="str">
        <f>INDEX(MCC_Lookup!$B$2:$B$12,MATCH(G2672,MCC_Lookup!$A$2:$A$12,0))</f>
        <v>Meals</v>
      </c>
      <c r="N2672" s="1" t="str">
        <f>IF(TRIM(H2672)="","BLANK",IF(PROPER(TRIM(H2672))=TRIM(M2672),"MATCH","MISMATCH"))</f>
        <v>MATCH</v>
      </c>
      <c r="O2672" s="5" t="str">
        <f>INDEX([1]Employee!$C$2:$C$276,MATCH(B2672,[1]Employee!$A$2:$A$276,0))</f>
        <v>Sales &amp; Marketing</v>
      </c>
    </row>
    <row r="2673" spans="1:15">
      <c r="A2673" s="1" t="s">
        <v>5259</v>
      </c>
      <c r="B2673" s="1" t="s">
        <v>1504</v>
      </c>
      <c r="C2673" s="1" t="s">
        <v>5260</v>
      </c>
      <c r="D2673" s="2">
        <v>46170</v>
      </c>
      <c r="E2673" s="2">
        <v>46170</v>
      </c>
      <c r="F2673" s="1" t="s">
        <v>76</v>
      </c>
      <c r="G2673" s="1" t="s">
        <v>13</v>
      </c>
      <c r="H2673" s="1" t="s">
        <v>14</v>
      </c>
      <c r="I2673" s="7">
        <v>598.15</v>
      </c>
      <c r="J2673" s="1" t="s">
        <v>38</v>
      </c>
      <c r="K2673" s="1"/>
      <c r="L2673" s="1" t="s">
        <v>39</v>
      </c>
      <c r="M2673" s="1" t="str">
        <f>INDEX(MCC_Lookup!$B$2:$B$12,MATCH(G2673,MCC_Lookup!$A$2:$A$12,0))</f>
        <v>Software</v>
      </c>
      <c r="N2673" s="1" t="str">
        <f>IF(TRIM(H2673)="","BLANK",IF(PROPER(TRIM(H2673))=TRIM(M2673),"MATCH","MISMATCH"))</f>
        <v>MATCH</v>
      </c>
      <c r="O2673" s="5" t="str">
        <f>INDEX([1]Employee!$C$2:$C$276,MATCH(B2673,[1]Employee!$A$2:$A$276,0))</f>
        <v>Sales &amp; Marketing</v>
      </c>
    </row>
    <row r="2674" spans="1:15">
      <c r="A2674" s="1" t="s">
        <v>5261</v>
      </c>
      <c r="B2674" s="1" t="s">
        <v>152</v>
      </c>
      <c r="C2674" s="1" t="s">
        <v>5262</v>
      </c>
      <c r="D2674" s="2">
        <v>46171</v>
      </c>
      <c r="E2674" s="2">
        <v>46171</v>
      </c>
      <c r="F2674" s="1" t="s">
        <v>52</v>
      </c>
      <c r="G2674" s="1" t="s">
        <v>15</v>
      </c>
      <c r="H2674" s="1" t="s">
        <v>16</v>
      </c>
      <c r="I2674" s="7">
        <v>18.170000000000002</v>
      </c>
      <c r="J2674" s="1" t="s">
        <v>38</v>
      </c>
      <c r="K2674" s="1"/>
      <c r="L2674" s="1" t="s">
        <v>48</v>
      </c>
      <c r="M2674" s="1" t="str">
        <f>INDEX(MCC_Lookup!$B$2:$B$12,MATCH(G2674,MCC_Lookup!$A$2:$A$12,0))</f>
        <v>Entertainment</v>
      </c>
      <c r="N2674" s="1" t="str">
        <f>IF(TRIM(H2674)="","BLANK",IF(PROPER(TRIM(H2674))=TRIM(M2674),"MATCH","MISMATCH"))</f>
        <v>MATCH</v>
      </c>
      <c r="O2674" s="5" t="str">
        <f>INDEX([1]Employee!$C$2:$C$276,MATCH(B2674,[1]Employee!$A$2:$A$276,0))</f>
        <v>Sales &amp; Marketing</v>
      </c>
    </row>
    <row r="2675" spans="1:15">
      <c r="A2675" s="1" t="s">
        <v>5263</v>
      </c>
      <c r="B2675" s="1" t="s">
        <v>379</v>
      </c>
      <c r="C2675" s="1" t="s">
        <v>5264</v>
      </c>
      <c r="D2675" s="2">
        <v>46162</v>
      </c>
      <c r="E2675" s="2">
        <v>46171</v>
      </c>
      <c r="F2675" s="1" t="s">
        <v>43</v>
      </c>
      <c r="G2675" s="1" t="s">
        <v>2</v>
      </c>
      <c r="H2675" s="1" t="s">
        <v>3</v>
      </c>
      <c r="I2675" s="7">
        <v>15.11</v>
      </c>
      <c r="J2675" s="1" t="s">
        <v>38</v>
      </c>
      <c r="K2675" s="1"/>
      <c r="L2675" s="1" t="s">
        <v>39</v>
      </c>
      <c r="M2675" s="1" t="str">
        <f>INDEX(MCC_Lookup!$B$2:$B$12,MATCH(G2675,MCC_Lookup!$A$2:$A$12,0))</f>
        <v>Meals</v>
      </c>
      <c r="N2675" s="1" t="str">
        <f>IF(TRIM(H2675)="","BLANK",IF(PROPER(TRIM(H2675))=TRIM(M2675),"MATCH","MISMATCH"))</f>
        <v>MATCH</v>
      </c>
      <c r="O2675" s="5" t="str">
        <f>INDEX([1]Employee!$C$2:$C$276,MATCH(B2675,[1]Employee!$A$2:$A$276,0))</f>
        <v>Sales &amp; Marketing</v>
      </c>
    </row>
    <row r="2676" spans="1:15">
      <c r="A2676" s="1" t="s">
        <v>5265</v>
      </c>
      <c r="B2676" s="1" t="s">
        <v>947</v>
      </c>
      <c r="C2676" s="1" t="s">
        <v>5266</v>
      </c>
      <c r="D2676" s="2">
        <v>46165</v>
      </c>
      <c r="E2676" s="2">
        <v>46171</v>
      </c>
      <c r="F2676" s="1" t="s">
        <v>95</v>
      </c>
      <c r="G2676" s="1" t="s">
        <v>6</v>
      </c>
      <c r="H2676" s="1" t="s">
        <v>7</v>
      </c>
      <c r="I2676" s="7">
        <v>241.93</v>
      </c>
      <c r="J2676" s="1" t="s">
        <v>38</v>
      </c>
      <c r="K2676" s="1"/>
      <c r="L2676" s="1" t="s">
        <v>39</v>
      </c>
      <c r="M2676" s="1" t="str">
        <f>INDEX(MCC_Lookup!$B$2:$B$12,MATCH(G2676,MCC_Lookup!$A$2:$A$12,0))</f>
        <v>Lodging</v>
      </c>
      <c r="N2676" s="1" t="str">
        <f>IF(TRIM(H2676)="","BLANK",IF(PROPER(TRIM(H2676))=TRIM(M2676),"MATCH","MISMATCH"))</f>
        <v>MATCH</v>
      </c>
      <c r="O2676" s="5" t="str">
        <f>INDEX([1]Employee!$C$2:$C$276,MATCH(B2676,[1]Employee!$A$2:$A$276,0))</f>
        <v>Sales &amp; Marketing</v>
      </c>
    </row>
    <row r="2677" spans="1:15">
      <c r="A2677" s="1" t="s">
        <v>5267</v>
      </c>
      <c r="B2677" s="1" t="s">
        <v>71</v>
      </c>
      <c r="C2677" s="1" t="s">
        <v>5268</v>
      </c>
      <c r="D2677" s="2">
        <v>46165</v>
      </c>
      <c r="E2677" s="2">
        <v>46171</v>
      </c>
      <c r="F2677" s="1" t="s">
        <v>65</v>
      </c>
      <c r="G2677" s="1" t="s">
        <v>18</v>
      </c>
      <c r="H2677" s="1" t="s">
        <v>19</v>
      </c>
      <c r="I2677" s="7">
        <v>151.05000000000001</v>
      </c>
      <c r="J2677" s="1" t="s">
        <v>38</v>
      </c>
      <c r="K2677" s="1"/>
      <c r="L2677" s="1" t="s">
        <v>48</v>
      </c>
      <c r="M2677" s="1" t="str">
        <f>INDEX(MCC_Lookup!$B$2:$B$12,MATCH(G2677,MCC_Lookup!$A$2:$A$12,0))</f>
        <v>Events</v>
      </c>
      <c r="N2677" s="1" t="str">
        <f>IF(TRIM(H2677)="","BLANK",IF(PROPER(TRIM(H2677))=TRIM(M2677),"MATCH","MISMATCH"))</f>
        <v>MATCH</v>
      </c>
      <c r="O2677" s="5" t="str">
        <f>INDEX([1]Employee!$C$2:$C$276,MATCH(B2677,[1]Employee!$A$2:$A$276,0))</f>
        <v>Sales &amp; Marketing</v>
      </c>
    </row>
    <row r="2678" spans="1:15">
      <c r="A2678" s="1" t="s">
        <v>5269</v>
      </c>
      <c r="B2678" s="1" t="s">
        <v>90</v>
      </c>
      <c r="C2678" s="1" t="s">
        <v>5270</v>
      </c>
      <c r="D2678" s="2">
        <v>46169</v>
      </c>
      <c r="E2678" s="2">
        <v>46171</v>
      </c>
      <c r="F2678" s="1" t="s">
        <v>106</v>
      </c>
      <c r="G2678" s="1" t="s">
        <v>13</v>
      </c>
      <c r="H2678" s="1" t="s">
        <v>14</v>
      </c>
      <c r="I2678" s="7">
        <v>241.08</v>
      </c>
      <c r="J2678" s="1" t="s">
        <v>38</v>
      </c>
      <c r="K2678" s="1"/>
      <c r="L2678" s="1" t="s">
        <v>39</v>
      </c>
      <c r="M2678" s="1" t="str">
        <f>INDEX(MCC_Lookup!$B$2:$B$12,MATCH(G2678,MCC_Lookup!$A$2:$A$12,0))</f>
        <v>Software</v>
      </c>
      <c r="N2678" s="1" t="str">
        <f>IF(TRIM(H2678)="","BLANK",IF(PROPER(TRIM(H2678))=TRIM(M2678),"MATCH","MISMATCH"))</f>
        <v>MATCH</v>
      </c>
      <c r="O2678" s="5" t="str">
        <f>INDEX([1]Employee!$C$2:$C$276,MATCH(B2678,[1]Employee!$A$2:$A$276,0))</f>
        <v>Sales &amp; Marketing</v>
      </c>
    </row>
    <row r="2679" spans="1:15">
      <c r="A2679" s="1" t="s">
        <v>5271</v>
      </c>
      <c r="B2679" s="1" t="s">
        <v>255</v>
      </c>
      <c r="C2679" s="1" t="s">
        <v>5272</v>
      </c>
      <c r="D2679" s="2">
        <v>46162</v>
      </c>
      <c r="E2679" s="2">
        <v>46171</v>
      </c>
      <c r="F2679" s="1" t="s">
        <v>65</v>
      </c>
      <c r="G2679" s="1" t="s">
        <v>18</v>
      </c>
      <c r="H2679" s="1" t="s">
        <v>19</v>
      </c>
      <c r="I2679" s="7">
        <v>554.74</v>
      </c>
      <c r="J2679" s="1" t="s">
        <v>38</v>
      </c>
      <c r="K2679" s="1"/>
      <c r="L2679" s="1" t="s">
        <v>39</v>
      </c>
      <c r="M2679" s="1" t="str">
        <f>INDEX(MCC_Lookup!$B$2:$B$12,MATCH(G2679,MCC_Lookup!$A$2:$A$12,0))</f>
        <v>Events</v>
      </c>
      <c r="N2679" s="1" t="str">
        <f>IF(TRIM(H2679)="","BLANK",IF(PROPER(TRIM(H2679))=TRIM(M2679),"MATCH","MISMATCH"))</f>
        <v>MATCH</v>
      </c>
      <c r="O2679" s="5" t="str">
        <f>INDEX([1]Employee!$C$2:$C$276,MATCH(B2679,[1]Employee!$A$2:$A$276,0))</f>
        <v>Claims</v>
      </c>
    </row>
    <row r="2680" spans="1:15">
      <c r="A2680" s="1" t="s">
        <v>5273</v>
      </c>
      <c r="B2680" s="1" t="s">
        <v>407</v>
      </c>
      <c r="C2680" s="1" t="s">
        <v>5274</v>
      </c>
      <c r="D2680" s="2">
        <v>46161</v>
      </c>
      <c r="E2680" s="2">
        <v>46171</v>
      </c>
      <c r="F2680" s="1" t="s">
        <v>61</v>
      </c>
      <c r="G2680" s="1" t="s">
        <v>13</v>
      </c>
      <c r="H2680" s="1" t="s">
        <v>14</v>
      </c>
      <c r="I2680" s="7">
        <v>75.78</v>
      </c>
      <c r="J2680" s="1" t="s">
        <v>38</v>
      </c>
      <c r="K2680" s="1"/>
      <c r="L2680" s="1" t="s">
        <v>39</v>
      </c>
      <c r="M2680" s="1" t="str">
        <f>INDEX(MCC_Lookup!$B$2:$B$12,MATCH(G2680,MCC_Lookup!$A$2:$A$12,0))</f>
        <v>Software</v>
      </c>
      <c r="N2680" s="1" t="str">
        <f>IF(TRIM(H2680)="","BLANK",IF(PROPER(TRIM(H2680))=TRIM(M2680),"MATCH","MISMATCH"))</f>
        <v>MATCH</v>
      </c>
      <c r="O2680" s="5" t="str">
        <f>INDEX([1]Employee!$C$2:$C$276,MATCH(B2680,[1]Employee!$A$2:$A$276,0))</f>
        <v>Executive &amp; Corporate</v>
      </c>
    </row>
    <row r="2681" spans="1:15">
      <c r="A2681" s="1" t="s">
        <v>5275</v>
      </c>
      <c r="B2681" s="1" t="s">
        <v>550</v>
      </c>
      <c r="C2681" s="1" t="s">
        <v>5276</v>
      </c>
      <c r="D2681" s="2">
        <v>46171</v>
      </c>
      <c r="E2681" s="2">
        <v>46171</v>
      </c>
      <c r="F2681" s="1" t="s">
        <v>61</v>
      </c>
      <c r="G2681" s="1" t="s">
        <v>13</v>
      </c>
      <c r="H2681" s="1" t="s">
        <v>192</v>
      </c>
      <c r="I2681" s="7">
        <v>76.42</v>
      </c>
      <c r="J2681" s="1" t="s">
        <v>38</v>
      </c>
      <c r="K2681" s="1"/>
      <c r="L2681" s="1" t="s">
        <v>39</v>
      </c>
      <c r="M2681" s="1" t="str">
        <f>INDEX(MCC_Lookup!$B$2:$B$12,MATCH(G2681,MCC_Lookup!$A$2:$A$12,0))</f>
        <v>Software</v>
      </c>
      <c r="N2681" s="1" t="str">
        <f>IF(TRIM(H2681)="","BLANK",IF(PROPER(TRIM(H2681))=TRIM(M2681),"MATCH","MISMATCH"))</f>
        <v>MATCH</v>
      </c>
      <c r="O2681" s="5" t="str">
        <f>INDEX([1]Employee!$C$2:$C$276,MATCH(B2681,[1]Employee!$A$2:$A$276,0))</f>
        <v>Sales &amp; Marketing</v>
      </c>
    </row>
    <row r="2682" spans="1:15">
      <c r="A2682" s="1" t="s">
        <v>5277</v>
      </c>
      <c r="B2682" s="1" t="s">
        <v>1175</v>
      </c>
      <c r="C2682" s="1" t="s">
        <v>5278</v>
      </c>
      <c r="D2682" s="2">
        <v>46168</v>
      </c>
      <c r="E2682" s="2">
        <v>46171</v>
      </c>
      <c r="F2682" s="1" t="s">
        <v>259</v>
      </c>
      <c r="G2682" s="1" t="s">
        <v>20</v>
      </c>
      <c r="H2682" s="1" t="s">
        <v>19</v>
      </c>
      <c r="I2682" s="7">
        <v>625.57000000000005</v>
      </c>
      <c r="J2682" s="1" t="s">
        <v>38</v>
      </c>
      <c r="K2682" s="1"/>
      <c r="L2682" s="1" t="s">
        <v>39</v>
      </c>
      <c r="M2682" s="1" t="str">
        <f>INDEX(MCC_Lookup!$B$2:$B$12,MATCH(G2682,MCC_Lookup!$A$2:$A$12,0))</f>
        <v>Events</v>
      </c>
      <c r="N2682" s="1" t="str">
        <f>IF(TRIM(H2682)="","BLANK",IF(PROPER(TRIM(H2682))=TRIM(M2682),"MATCH","MISMATCH"))</f>
        <v>MATCH</v>
      </c>
      <c r="O2682" s="5" t="str">
        <f>INDEX([1]Employee!$C$2:$C$276,MATCH(B2682,[1]Employee!$A$2:$A$276,0))</f>
        <v>Underwriting</v>
      </c>
    </row>
    <row r="2683" spans="1:15">
      <c r="A2683" s="1" t="s">
        <v>5279</v>
      </c>
      <c r="B2683" s="1" t="s">
        <v>207</v>
      </c>
      <c r="C2683" s="1" t="s">
        <v>5280</v>
      </c>
      <c r="D2683" s="2">
        <v>46164</v>
      </c>
      <c r="E2683" s="2">
        <v>46171</v>
      </c>
      <c r="F2683" s="1" t="s">
        <v>99</v>
      </c>
      <c r="G2683" s="1" t="s">
        <v>2</v>
      </c>
      <c r="H2683" s="1" t="s">
        <v>3</v>
      </c>
      <c r="I2683" s="7">
        <v>35.729999999999997</v>
      </c>
      <c r="J2683" s="1" t="s">
        <v>38</v>
      </c>
      <c r="K2683" s="1"/>
      <c r="L2683" s="1" t="s">
        <v>39</v>
      </c>
      <c r="M2683" s="1" t="str">
        <f>INDEX(MCC_Lookup!$B$2:$B$12,MATCH(G2683,MCC_Lookup!$A$2:$A$12,0))</f>
        <v>Meals</v>
      </c>
      <c r="N2683" s="1" t="str">
        <f>IF(TRIM(H2683)="","BLANK",IF(PROPER(TRIM(H2683))=TRIM(M2683),"MATCH","MISMATCH"))</f>
        <v>MATCH</v>
      </c>
      <c r="O2683" s="5" t="str">
        <f>INDEX([1]Employee!$C$2:$C$276,MATCH(B2683,[1]Employee!$A$2:$A$276,0))</f>
        <v>Claims</v>
      </c>
    </row>
    <row r="2684" spans="1:15">
      <c r="A2684" s="1" t="s">
        <v>5281</v>
      </c>
      <c r="B2684" s="1" t="s">
        <v>931</v>
      </c>
      <c r="C2684" s="1" t="s">
        <v>5282</v>
      </c>
      <c r="D2684" s="2">
        <v>46166</v>
      </c>
      <c r="E2684" s="2">
        <v>46171</v>
      </c>
      <c r="F2684" s="1" t="s">
        <v>160</v>
      </c>
      <c r="G2684" s="1" t="s">
        <v>6</v>
      </c>
      <c r="H2684" s="1"/>
      <c r="I2684" s="7">
        <v>183.76</v>
      </c>
      <c r="J2684" s="1" t="s">
        <v>38</v>
      </c>
      <c r="K2684" s="1"/>
      <c r="L2684" s="1" t="s">
        <v>39</v>
      </c>
      <c r="M2684" s="1" t="str">
        <f>INDEX(MCC_Lookup!$B$2:$B$12,MATCH(G2684,MCC_Lookup!$A$2:$A$12,0))</f>
        <v>Lodging</v>
      </c>
      <c r="N2684" s="1" t="str">
        <f>IF(TRIM(H2684)="","BLANK",IF(PROPER(TRIM(H2684))=TRIM(M2684),"MATCH","MISMATCH"))</f>
        <v>BLANK</v>
      </c>
      <c r="O2684" s="5" t="str">
        <f>INDEX([1]Employee!$C$2:$C$276,MATCH(B2684,[1]Employee!$A$2:$A$276,0))</f>
        <v>Finance</v>
      </c>
    </row>
    <row r="2685" spans="1:15">
      <c r="A2685" s="1" t="s">
        <v>5283</v>
      </c>
      <c r="B2685" s="1" t="s">
        <v>547</v>
      </c>
      <c r="C2685" s="1" t="s">
        <v>5284</v>
      </c>
      <c r="D2685" s="2">
        <v>46171</v>
      </c>
      <c r="E2685" s="2">
        <v>46171</v>
      </c>
      <c r="F2685" s="1" t="s">
        <v>69</v>
      </c>
      <c r="G2685" s="1" t="s">
        <v>8</v>
      </c>
      <c r="H2685" s="1" t="s">
        <v>9</v>
      </c>
      <c r="I2685" s="7">
        <v>50.77</v>
      </c>
      <c r="J2685" s="1" t="s">
        <v>38</v>
      </c>
      <c r="K2685" s="1"/>
      <c r="L2685" s="1" t="s">
        <v>39</v>
      </c>
      <c r="M2685" s="1" t="str">
        <f>INDEX(MCC_Lookup!$B$2:$B$12,MATCH(G2685,MCC_Lookup!$A$2:$A$12,0))</f>
        <v>Transportation</v>
      </c>
      <c r="N2685" s="1" t="str">
        <f>IF(TRIM(H2685)="","BLANK",IF(PROPER(TRIM(H2685))=TRIM(M2685),"MATCH","MISMATCH"))</f>
        <v>MATCH</v>
      </c>
      <c r="O2685" s="5" t="str">
        <f>INDEX([1]Employee!$C$2:$C$276,MATCH(B2685,[1]Employee!$A$2:$A$276,0))</f>
        <v>Sales &amp; Marketing</v>
      </c>
    </row>
    <row r="2686" spans="1:15">
      <c r="A2686" s="1" t="s">
        <v>5285</v>
      </c>
      <c r="B2686" s="1" t="s">
        <v>1634</v>
      </c>
      <c r="C2686" s="1" t="s">
        <v>5286</v>
      </c>
      <c r="D2686" s="2">
        <v>46167</v>
      </c>
      <c r="E2686" s="2">
        <v>46171</v>
      </c>
      <c r="F2686" s="1" t="s">
        <v>72</v>
      </c>
      <c r="G2686" s="1" t="s">
        <v>8</v>
      </c>
      <c r="H2686" s="1" t="s">
        <v>9</v>
      </c>
      <c r="I2686" s="7">
        <v>44.61</v>
      </c>
      <c r="J2686" s="1" t="s">
        <v>38</v>
      </c>
      <c r="K2686" s="1"/>
      <c r="L2686" s="1" t="s">
        <v>39</v>
      </c>
      <c r="M2686" s="1" t="str">
        <f>INDEX(MCC_Lookup!$B$2:$B$12,MATCH(G2686,MCC_Lookup!$A$2:$A$12,0))</f>
        <v>Transportation</v>
      </c>
      <c r="N2686" s="1" t="str">
        <f>IF(TRIM(H2686)="","BLANK",IF(PROPER(TRIM(H2686))=TRIM(M2686),"MATCH","MISMATCH"))</f>
        <v>MATCH</v>
      </c>
      <c r="O2686" s="5" t="str">
        <f>INDEX([1]Employee!$C$2:$C$276,MATCH(B2686,[1]Employee!$A$2:$A$276,0))</f>
        <v>Customer Support</v>
      </c>
    </row>
    <row r="2687" spans="1:15">
      <c r="A2687" s="1" t="s">
        <v>5287</v>
      </c>
      <c r="B2687" s="1" t="s">
        <v>588</v>
      </c>
      <c r="C2687" s="1" t="s">
        <v>5288</v>
      </c>
      <c r="D2687" s="2">
        <v>46170</v>
      </c>
      <c r="E2687" s="2">
        <v>46171</v>
      </c>
      <c r="F2687" s="1" t="s">
        <v>95</v>
      </c>
      <c r="G2687" s="1" t="s">
        <v>6</v>
      </c>
      <c r="H2687" s="1" t="s">
        <v>16</v>
      </c>
      <c r="I2687" s="7">
        <v>143.11000000000001</v>
      </c>
      <c r="J2687" s="1" t="s">
        <v>38</v>
      </c>
      <c r="K2687" s="1"/>
      <c r="L2687" s="1" t="s">
        <v>39</v>
      </c>
      <c r="M2687" s="1" t="str">
        <f>INDEX(MCC_Lookup!$B$2:$B$12,MATCH(G2687,MCC_Lookup!$A$2:$A$12,0))</f>
        <v>Lodging</v>
      </c>
      <c r="N2687" s="1" t="str">
        <f>IF(TRIM(H2687)="","BLANK",IF(PROPER(TRIM(H2687))=TRIM(M2687),"MATCH","MISMATCH"))</f>
        <v>MISMATCH</v>
      </c>
      <c r="O2687" s="5" t="str">
        <f>INDEX([1]Employee!$C$2:$C$276,MATCH(B2687,[1]Employee!$A$2:$A$276,0))</f>
        <v>Claims</v>
      </c>
    </row>
    <row r="2688" spans="1:15">
      <c r="A2688" s="1" t="s">
        <v>5289</v>
      </c>
      <c r="B2688" s="1" t="s">
        <v>469</v>
      </c>
      <c r="C2688" s="1"/>
      <c r="D2688" s="2">
        <v>46169</v>
      </c>
      <c r="E2688" s="2">
        <v>46171</v>
      </c>
      <c r="F2688" s="1" t="s">
        <v>109</v>
      </c>
      <c r="G2688" s="1" t="s">
        <v>18</v>
      </c>
      <c r="H2688" s="1" t="s">
        <v>19</v>
      </c>
      <c r="I2688" s="7">
        <v>79.599999999999994</v>
      </c>
      <c r="J2688" s="1" t="s">
        <v>111</v>
      </c>
      <c r="K2688" s="1" t="s">
        <v>127</v>
      </c>
      <c r="L2688" s="1" t="s">
        <v>39</v>
      </c>
      <c r="M2688" s="1" t="str">
        <f>INDEX(MCC_Lookup!$B$2:$B$12,MATCH(G2688,MCC_Lookup!$A$2:$A$12,0))</f>
        <v>Events</v>
      </c>
      <c r="N2688" s="1" t="str">
        <f>IF(TRIM(H2688)="","BLANK",IF(PROPER(TRIM(H2688))=TRIM(M2688),"MATCH","MISMATCH"))</f>
        <v>MATCH</v>
      </c>
      <c r="O2688" s="5" t="str">
        <f>INDEX([1]Employee!$C$2:$C$276,MATCH(B2688,[1]Employee!$A$2:$A$276,0))</f>
        <v>Sales &amp; Marketing</v>
      </c>
    </row>
    <row r="2689" spans="1:15">
      <c r="A2689" s="1" t="s">
        <v>5290</v>
      </c>
      <c r="B2689" s="1" t="s">
        <v>550</v>
      </c>
      <c r="C2689" s="1" t="s">
        <v>5291</v>
      </c>
      <c r="D2689" s="2">
        <v>46171</v>
      </c>
      <c r="E2689" s="2">
        <v>46172</v>
      </c>
      <c r="F2689" s="1" t="s">
        <v>37</v>
      </c>
      <c r="G2689" s="1" t="s">
        <v>4</v>
      </c>
      <c r="H2689" s="1" t="s">
        <v>5</v>
      </c>
      <c r="I2689" s="7">
        <v>381.39</v>
      </c>
      <c r="J2689" s="1" t="s">
        <v>38</v>
      </c>
      <c r="K2689" s="1"/>
      <c r="L2689" s="1" t="s">
        <v>39</v>
      </c>
      <c r="M2689" s="1" t="str">
        <f>INDEX(MCC_Lookup!$B$2:$B$12,MATCH(G2689,MCC_Lookup!$A$2:$A$12,0))</f>
        <v>Travel</v>
      </c>
      <c r="N2689" s="1" t="str">
        <f>IF(TRIM(H2689)="","BLANK",IF(PROPER(TRIM(H2689))=TRIM(M2689),"MATCH","MISMATCH"))</f>
        <v>MATCH</v>
      </c>
      <c r="O2689" s="5" t="str">
        <f>INDEX([1]Employee!$C$2:$C$276,MATCH(B2689,[1]Employee!$A$2:$A$276,0))</f>
        <v>Sales &amp; Marketing</v>
      </c>
    </row>
    <row r="2690" spans="1:15">
      <c r="A2690" s="1" t="s">
        <v>5292</v>
      </c>
      <c r="B2690" s="1" t="s">
        <v>469</v>
      </c>
      <c r="C2690" s="1"/>
      <c r="D2690" s="2">
        <v>46165</v>
      </c>
      <c r="E2690" s="2">
        <v>46172</v>
      </c>
      <c r="F2690" s="1" t="s">
        <v>259</v>
      </c>
      <c r="G2690" s="1" t="s">
        <v>20</v>
      </c>
      <c r="H2690" s="1" t="s">
        <v>19</v>
      </c>
      <c r="I2690" s="7">
        <v>409.92</v>
      </c>
      <c r="J2690" s="1" t="s">
        <v>111</v>
      </c>
      <c r="K2690" s="1" t="s">
        <v>127</v>
      </c>
      <c r="L2690" s="1" t="s">
        <v>39</v>
      </c>
      <c r="M2690" s="1" t="str">
        <f>INDEX(MCC_Lookup!$B$2:$B$12,MATCH(G2690,MCC_Lookup!$A$2:$A$12,0))</f>
        <v>Events</v>
      </c>
      <c r="N2690" s="1" t="str">
        <f>IF(TRIM(H2690)="","BLANK",IF(PROPER(TRIM(H2690))=TRIM(M2690),"MATCH","MISMATCH"))</f>
        <v>MATCH</v>
      </c>
      <c r="O2690" s="5" t="str">
        <f>INDEX([1]Employee!$C$2:$C$276,MATCH(B2690,[1]Employee!$A$2:$A$276,0))</f>
        <v>Sales &amp; Marketing</v>
      </c>
    </row>
    <row r="2691" spans="1:15">
      <c r="A2691" s="1" t="s">
        <v>5293</v>
      </c>
      <c r="B2691" s="1" t="s">
        <v>677</v>
      </c>
      <c r="C2691" s="1" t="s">
        <v>5294</v>
      </c>
      <c r="D2691" s="2">
        <v>46166</v>
      </c>
      <c r="E2691" s="2">
        <v>46172</v>
      </c>
      <c r="F2691" s="1" t="s">
        <v>76</v>
      </c>
      <c r="G2691" s="1" t="s">
        <v>13</v>
      </c>
      <c r="H2691" s="1" t="s">
        <v>470</v>
      </c>
      <c r="I2691" s="7">
        <v>344.24</v>
      </c>
      <c r="J2691" s="1" t="s">
        <v>38</v>
      </c>
      <c r="K2691" s="1"/>
      <c r="L2691" s="1" t="s">
        <v>39</v>
      </c>
      <c r="M2691" s="1" t="str">
        <f>INDEX(MCC_Lookup!$B$2:$B$12,MATCH(G2691,MCC_Lookup!$A$2:$A$12,0))</f>
        <v>Software</v>
      </c>
      <c r="N2691" s="1" t="str">
        <f>IF(TRIM(H2691)="","BLANK",IF(PROPER(TRIM(H2691))=TRIM(M2691),"MATCH","MISMATCH"))</f>
        <v>MATCH</v>
      </c>
      <c r="O2691" s="5" t="str">
        <f>INDEX([1]Employee!$C$2:$C$276,MATCH(B2691,[1]Employee!$A$2:$A$276,0))</f>
        <v>Sales &amp; Marketing</v>
      </c>
    </row>
    <row r="2692" spans="1:15">
      <c r="A2692" s="1" t="s">
        <v>5295</v>
      </c>
      <c r="B2692" s="1" t="s">
        <v>387</v>
      </c>
      <c r="C2692" s="1" t="s">
        <v>5296</v>
      </c>
      <c r="D2692" s="2">
        <v>46171</v>
      </c>
      <c r="E2692" s="2">
        <v>46172</v>
      </c>
      <c r="F2692" s="1" t="s">
        <v>43</v>
      </c>
      <c r="G2692" s="1" t="s">
        <v>2</v>
      </c>
      <c r="H2692" s="1" t="s">
        <v>3</v>
      </c>
      <c r="I2692" s="7">
        <v>20.149999999999999</v>
      </c>
      <c r="J2692" s="1" t="s">
        <v>38</v>
      </c>
      <c r="K2692" s="1"/>
      <c r="L2692" s="1" t="s">
        <v>39</v>
      </c>
      <c r="M2692" s="1" t="str">
        <f>INDEX(MCC_Lookup!$B$2:$B$12,MATCH(G2692,MCC_Lookup!$A$2:$A$12,0))</f>
        <v>Meals</v>
      </c>
      <c r="N2692" s="1" t="str">
        <f>IF(TRIM(H2692)="","BLANK",IF(PROPER(TRIM(H2692))=TRIM(M2692),"MATCH","MISMATCH"))</f>
        <v>MATCH</v>
      </c>
      <c r="O2692" s="5" t="str">
        <f>INDEX([1]Employee!$C$2:$C$276,MATCH(B2692,[1]Employee!$A$2:$A$276,0))</f>
        <v>IT &amp; Platform Engineering</v>
      </c>
    </row>
    <row r="2693" spans="1:15">
      <c r="A2693" s="1" t="s">
        <v>5297</v>
      </c>
      <c r="B2693" s="1" t="s">
        <v>255</v>
      </c>
      <c r="C2693" s="1"/>
      <c r="D2693" s="2">
        <v>46169</v>
      </c>
      <c r="E2693" s="2">
        <v>46172</v>
      </c>
      <c r="F2693" s="1" t="s">
        <v>177</v>
      </c>
      <c r="G2693" s="1" t="s">
        <v>13</v>
      </c>
      <c r="H2693" s="1" t="s">
        <v>14</v>
      </c>
      <c r="I2693" s="7">
        <v>41.56</v>
      </c>
      <c r="J2693" s="1" t="s">
        <v>38</v>
      </c>
      <c r="K2693" s="1"/>
      <c r="L2693" s="1" t="s">
        <v>39</v>
      </c>
      <c r="M2693" s="1" t="str">
        <f>INDEX(MCC_Lookup!$B$2:$B$12,MATCH(G2693,MCC_Lookup!$A$2:$A$12,0))</f>
        <v>Software</v>
      </c>
      <c r="N2693" s="1" t="str">
        <f>IF(TRIM(H2693)="","BLANK",IF(PROPER(TRIM(H2693))=TRIM(M2693),"MATCH","MISMATCH"))</f>
        <v>MATCH</v>
      </c>
      <c r="O2693" s="5" t="str">
        <f>INDEX([1]Employee!$C$2:$C$276,MATCH(B2693,[1]Employee!$A$2:$A$276,0))</f>
        <v>Claims</v>
      </c>
    </row>
    <row r="2694" spans="1:15">
      <c r="A2694" s="1" t="s">
        <v>5298</v>
      </c>
      <c r="B2694" s="1" t="s">
        <v>3071</v>
      </c>
      <c r="C2694" s="1" t="s">
        <v>5299</v>
      </c>
      <c r="D2694" s="2">
        <v>46170</v>
      </c>
      <c r="E2694" s="2">
        <v>46172</v>
      </c>
      <c r="F2694" s="1" t="s">
        <v>69</v>
      </c>
      <c r="G2694" s="1" t="s">
        <v>8</v>
      </c>
      <c r="H2694" s="1" t="s">
        <v>9</v>
      </c>
      <c r="I2694" s="7">
        <v>28.55</v>
      </c>
      <c r="J2694" s="1" t="s">
        <v>38</v>
      </c>
      <c r="K2694" s="1"/>
      <c r="L2694" s="1" t="s">
        <v>48</v>
      </c>
      <c r="M2694" s="1" t="str">
        <f>INDEX(MCC_Lookup!$B$2:$B$12,MATCH(G2694,MCC_Lookup!$A$2:$A$12,0))</f>
        <v>Transportation</v>
      </c>
      <c r="N2694" s="1" t="str">
        <f>IF(TRIM(H2694)="","BLANK",IF(PROPER(TRIM(H2694))=TRIM(M2694),"MATCH","MISMATCH"))</f>
        <v>MATCH</v>
      </c>
      <c r="O2694" s="5" t="str">
        <f>INDEX([1]Employee!$C$2:$C$276,MATCH(B2694,[1]Employee!$A$2:$A$276,0))</f>
        <v>Customer Support</v>
      </c>
    </row>
    <row r="2695" spans="1:15">
      <c r="A2695" s="1" t="s">
        <v>5300</v>
      </c>
      <c r="B2695" s="1" t="s">
        <v>902</v>
      </c>
      <c r="C2695" s="1" t="s">
        <v>5301</v>
      </c>
      <c r="D2695" s="2">
        <v>46167</v>
      </c>
      <c r="E2695" s="2">
        <v>46172</v>
      </c>
      <c r="F2695" s="1" t="s">
        <v>43</v>
      </c>
      <c r="G2695" s="1" t="s">
        <v>2</v>
      </c>
      <c r="H2695" s="1" t="s">
        <v>3</v>
      </c>
      <c r="I2695" s="7">
        <v>23.5</v>
      </c>
      <c r="J2695" s="1" t="s">
        <v>38</v>
      </c>
      <c r="K2695" s="1"/>
      <c r="L2695" s="1" t="s">
        <v>39</v>
      </c>
      <c r="M2695" s="1" t="str">
        <f>INDEX(MCC_Lookup!$B$2:$B$12,MATCH(G2695,MCC_Lookup!$A$2:$A$12,0))</f>
        <v>Meals</v>
      </c>
      <c r="N2695" s="1" t="str">
        <f>IF(TRIM(H2695)="","BLANK",IF(PROPER(TRIM(H2695))=TRIM(M2695),"MATCH","MISMATCH"))</f>
        <v>MATCH</v>
      </c>
      <c r="O2695" s="5" t="str">
        <f>INDEX([1]Employee!$C$2:$C$276,MATCH(B2695,[1]Employee!$A$2:$A$276,0))</f>
        <v>HR &amp; Events</v>
      </c>
    </row>
    <row r="2696" spans="1:15">
      <c r="A2696" s="1" t="s">
        <v>5302</v>
      </c>
      <c r="B2696" s="1" t="s">
        <v>991</v>
      </c>
      <c r="C2696" s="1" t="s">
        <v>5303</v>
      </c>
      <c r="D2696" s="2">
        <v>46166</v>
      </c>
      <c r="E2696" s="2">
        <v>46172</v>
      </c>
      <c r="F2696" s="1" t="s">
        <v>347</v>
      </c>
      <c r="G2696" s="1" t="s">
        <v>8</v>
      </c>
      <c r="H2696" s="1" t="s">
        <v>494</v>
      </c>
      <c r="I2696" s="7">
        <v>16.989999999999998</v>
      </c>
      <c r="J2696" s="1" t="s">
        <v>38</v>
      </c>
      <c r="K2696" s="1"/>
      <c r="L2696" s="1" t="s">
        <v>39</v>
      </c>
      <c r="M2696" s="1" t="str">
        <f>INDEX(MCC_Lookup!$B$2:$B$12,MATCH(G2696,MCC_Lookup!$A$2:$A$12,0))</f>
        <v>Transportation</v>
      </c>
      <c r="N2696" s="1" t="str">
        <f>IF(TRIM(H2696)="","BLANK",IF(PROPER(TRIM(H2696))=TRIM(M2696),"MATCH","MISMATCH"))</f>
        <v>MATCH</v>
      </c>
      <c r="O2696" s="5" t="str">
        <f>INDEX([1]Employee!$C$2:$C$276,MATCH(B2696,[1]Employee!$A$2:$A$276,0))</f>
        <v>Claims</v>
      </c>
    </row>
    <row r="2697" spans="1:15">
      <c r="A2697" s="1" t="s">
        <v>5304</v>
      </c>
      <c r="B2697" s="1" t="s">
        <v>41</v>
      </c>
      <c r="C2697" s="1" t="s">
        <v>5305</v>
      </c>
      <c r="D2697" s="2">
        <v>46165</v>
      </c>
      <c r="E2697" s="2">
        <v>46172</v>
      </c>
      <c r="F2697" s="1" t="s">
        <v>43</v>
      </c>
      <c r="G2697" s="1" t="s">
        <v>2</v>
      </c>
      <c r="H2697" s="1" t="s">
        <v>3</v>
      </c>
      <c r="I2697" s="7">
        <v>8.3699999999999992</v>
      </c>
      <c r="J2697" s="1" t="s">
        <v>38</v>
      </c>
      <c r="K2697" s="1"/>
      <c r="L2697" s="1" t="s">
        <v>39</v>
      </c>
      <c r="M2697" s="1" t="str">
        <f>INDEX(MCC_Lookup!$B$2:$B$12,MATCH(G2697,MCC_Lookup!$A$2:$A$12,0))</f>
        <v>Meals</v>
      </c>
      <c r="N2697" s="1" t="str">
        <f>IF(TRIM(H2697)="","BLANK",IF(PROPER(TRIM(H2697))=TRIM(M2697),"MATCH","MISMATCH"))</f>
        <v>MATCH</v>
      </c>
      <c r="O2697" s="5" t="str">
        <f>INDEX([1]Employee!$C$2:$C$276,MATCH(B2697,[1]Employee!$A$2:$A$276,0))</f>
        <v>Sales &amp; Marketing</v>
      </c>
    </row>
    <row r="2698" spans="1:15">
      <c r="A2698" s="1" t="s">
        <v>5306</v>
      </c>
      <c r="B2698" s="1" t="s">
        <v>821</v>
      </c>
      <c r="C2698" s="1" t="s">
        <v>5307</v>
      </c>
      <c r="D2698" s="2">
        <v>46169</v>
      </c>
      <c r="E2698" s="2">
        <v>46172</v>
      </c>
      <c r="F2698" s="1" t="s">
        <v>65</v>
      </c>
      <c r="G2698" s="1" t="s">
        <v>18</v>
      </c>
      <c r="H2698" s="1" t="s">
        <v>19</v>
      </c>
      <c r="I2698" s="7">
        <v>216.56</v>
      </c>
      <c r="J2698" s="1" t="s">
        <v>38</v>
      </c>
      <c r="K2698" s="1"/>
      <c r="L2698" s="1" t="s">
        <v>48</v>
      </c>
      <c r="M2698" s="1" t="str">
        <f>INDEX(MCC_Lookup!$B$2:$B$12,MATCH(G2698,MCC_Lookup!$A$2:$A$12,0))</f>
        <v>Events</v>
      </c>
      <c r="N2698" s="1" t="str">
        <f>IF(TRIM(H2698)="","BLANK",IF(PROPER(TRIM(H2698))=TRIM(M2698),"MATCH","MISMATCH"))</f>
        <v>MATCH</v>
      </c>
      <c r="O2698" s="5" t="str">
        <f>INDEX([1]Employee!$C$2:$C$276,MATCH(B2698,[1]Employee!$A$2:$A$276,0))</f>
        <v>Claims</v>
      </c>
    </row>
    <row r="2699" spans="1:15">
      <c r="A2699" s="1" t="s">
        <v>5308</v>
      </c>
      <c r="B2699" s="1" t="s">
        <v>640</v>
      </c>
      <c r="C2699" s="1" t="s">
        <v>5309</v>
      </c>
      <c r="D2699" s="2">
        <v>46169</v>
      </c>
      <c r="E2699" s="2">
        <v>46172</v>
      </c>
      <c r="F2699" s="1" t="s">
        <v>305</v>
      </c>
      <c r="G2699" s="1" t="s">
        <v>2</v>
      </c>
      <c r="H2699" s="1" t="s">
        <v>3</v>
      </c>
      <c r="I2699" s="7">
        <v>7</v>
      </c>
      <c r="J2699" s="1" t="s">
        <v>38</v>
      </c>
      <c r="K2699" s="1"/>
      <c r="L2699" s="1" t="s">
        <v>39</v>
      </c>
      <c r="M2699" s="1" t="str">
        <f>INDEX(MCC_Lookup!$B$2:$B$12,MATCH(G2699,MCC_Lookup!$A$2:$A$12,0))</f>
        <v>Meals</v>
      </c>
      <c r="N2699" s="1" t="str">
        <f>IF(TRIM(H2699)="","BLANK",IF(PROPER(TRIM(H2699))=TRIM(M2699),"MATCH","MISMATCH"))</f>
        <v>MATCH</v>
      </c>
      <c r="O2699" s="5" t="str">
        <f>INDEX([1]Employee!$C$2:$C$276,MATCH(B2699,[1]Employee!$A$2:$A$276,0))</f>
        <v>Underwriting</v>
      </c>
    </row>
    <row r="2700" spans="1:15">
      <c r="A2700" s="1" t="s">
        <v>5310</v>
      </c>
      <c r="B2700" s="1" t="s">
        <v>314</v>
      </c>
      <c r="C2700" s="1" t="s">
        <v>5311</v>
      </c>
      <c r="D2700" s="2">
        <v>46164</v>
      </c>
      <c r="E2700" s="2">
        <v>46172</v>
      </c>
      <c r="F2700" s="1" t="s">
        <v>69</v>
      </c>
      <c r="G2700" s="1" t="s">
        <v>8</v>
      </c>
      <c r="H2700" s="1" t="s">
        <v>494</v>
      </c>
      <c r="I2700" s="7">
        <v>32.57</v>
      </c>
      <c r="J2700" s="1" t="s">
        <v>38</v>
      </c>
      <c r="K2700" s="1"/>
      <c r="L2700" s="1" t="s">
        <v>39</v>
      </c>
      <c r="M2700" s="1" t="str">
        <f>INDEX(MCC_Lookup!$B$2:$B$12,MATCH(G2700,MCC_Lookup!$A$2:$A$12,0))</f>
        <v>Transportation</v>
      </c>
      <c r="N2700" s="1" t="str">
        <f>IF(TRIM(H2700)="","BLANK",IF(PROPER(TRIM(H2700))=TRIM(M2700),"MATCH","MISMATCH"))</f>
        <v>MATCH</v>
      </c>
      <c r="O2700" s="5" t="str">
        <f>INDEX([1]Employee!$C$2:$C$276,MATCH(B2700,[1]Employee!$A$2:$A$276,0))</f>
        <v>Sales &amp; Marketing</v>
      </c>
    </row>
    <row r="2701" spans="1:15">
      <c r="A2701" s="1" t="s">
        <v>5312</v>
      </c>
      <c r="B2701" s="1" t="s">
        <v>947</v>
      </c>
      <c r="C2701" s="1"/>
      <c r="D2701" s="2">
        <v>46163</v>
      </c>
      <c r="E2701" s="2">
        <v>46172</v>
      </c>
      <c r="F2701" s="1" t="s">
        <v>120</v>
      </c>
      <c r="G2701" s="1" t="s">
        <v>12</v>
      </c>
      <c r="H2701" s="1" t="s">
        <v>131</v>
      </c>
      <c r="I2701" s="7">
        <v>334.71</v>
      </c>
      <c r="J2701" s="1" t="s">
        <v>38</v>
      </c>
      <c r="K2701" s="1"/>
      <c r="L2701" s="1" t="s">
        <v>39</v>
      </c>
      <c r="M2701" s="1" t="str">
        <f>INDEX(MCC_Lookup!$B$2:$B$12,MATCH(G2701,MCC_Lookup!$A$2:$A$12,0))</f>
        <v>Office Supplies</v>
      </c>
      <c r="N2701" s="1" t="str">
        <f>IF(TRIM(H2701)="","BLANK",IF(PROPER(TRIM(H2701))=TRIM(M2701),"MATCH","MISMATCH"))</f>
        <v>MATCH</v>
      </c>
      <c r="O2701" s="5" t="str">
        <f>INDEX([1]Employee!$C$2:$C$276,MATCH(B2701,[1]Employee!$A$2:$A$276,0))</f>
        <v>Sales &amp; Marketing</v>
      </c>
    </row>
    <row r="2702" spans="1:15">
      <c r="A2702" s="1" t="s">
        <v>5313</v>
      </c>
      <c r="B2702" s="1" t="s">
        <v>448</v>
      </c>
      <c r="C2702" s="1" t="s">
        <v>5314</v>
      </c>
      <c r="D2702" s="2">
        <v>46169</v>
      </c>
      <c r="E2702" s="2">
        <v>46172</v>
      </c>
      <c r="F2702" s="1" t="s">
        <v>160</v>
      </c>
      <c r="G2702" s="1" t="s">
        <v>6</v>
      </c>
      <c r="H2702" s="1" t="s">
        <v>7</v>
      </c>
      <c r="I2702" s="7">
        <v>385.25</v>
      </c>
      <c r="J2702" s="1" t="s">
        <v>38</v>
      </c>
      <c r="K2702" s="1"/>
      <c r="L2702" s="1" t="s">
        <v>39</v>
      </c>
      <c r="M2702" s="1" t="str">
        <f>INDEX(MCC_Lookup!$B$2:$B$12,MATCH(G2702,MCC_Lookup!$A$2:$A$12,0))</f>
        <v>Lodging</v>
      </c>
      <c r="N2702" s="1" t="str">
        <f>IF(TRIM(H2702)="","BLANK",IF(PROPER(TRIM(H2702))=TRIM(M2702),"MATCH","MISMATCH"))</f>
        <v>MATCH</v>
      </c>
      <c r="O2702" s="5" t="str">
        <f>INDEX([1]Employee!$C$2:$C$276,MATCH(B2702,[1]Employee!$A$2:$A$276,0))</f>
        <v>Sales &amp; Marketing</v>
      </c>
    </row>
    <row r="2703" spans="1:15">
      <c r="A2703" s="1" t="s">
        <v>5315</v>
      </c>
      <c r="B2703" s="1" t="s">
        <v>451</v>
      </c>
      <c r="C2703" s="1" t="s">
        <v>5316</v>
      </c>
      <c r="D2703" s="2">
        <v>46165</v>
      </c>
      <c r="E2703" s="2">
        <v>46172</v>
      </c>
      <c r="F2703" s="1" t="s">
        <v>79</v>
      </c>
      <c r="G2703" s="1" t="s">
        <v>13</v>
      </c>
      <c r="H2703" s="1" t="s">
        <v>14</v>
      </c>
      <c r="I2703" s="7">
        <v>140.01</v>
      </c>
      <c r="J2703" s="1" t="s">
        <v>38</v>
      </c>
      <c r="K2703" s="1"/>
      <c r="L2703" s="1" t="s">
        <v>48</v>
      </c>
      <c r="M2703" s="1" t="str">
        <f>INDEX(MCC_Lookup!$B$2:$B$12,MATCH(G2703,MCC_Lookup!$A$2:$A$12,0))</f>
        <v>Software</v>
      </c>
      <c r="N2703" s="1" t="str">
        <f>IF(TRIM(H2703)="","BLANK",IF(PROPER(TRIM(H2703))=TRIM(M2703),"MATCH","MISMATCH"))</f>
        <v>MATCH</v>
      </c>
      <c r="O2703" s="5" t="str">
        <f>INDEX([1]Employee!$C$2:$C$276,MATCH(B2703,[1]Employee!$A$2:$A$276,0))</f>
        <v>IT &amp; Platform Engineering</v>
      </c>
    </row>
    <row r="2704" spans="1:15">
      <c r="A2704" s="1" t="s">
        <v>5317</v>
      </c>
      <c r="B2704" s="1" t="s">
        <v>846</v>
      </c>
      <c r="C2704" s="1" t="s">
        <v>5318</v>
      </c>
      <c r="D2704" s="2">
        <v>46168</v>
      </c>
      <c r="E2704" s="2">
        <v>46172</v>
      </c>
      <c r="F2704" s="1" t="s">
        <v>92</v>
      </c>
      <c r="G2704" s="1" t="s">
        <v>10</v>
      </c>
      <c r="H2704" s="1" t="s">
        <v>11</v>
      </c>
      <c r="I2704" s="7">
        <v>163.65</v>
      </c>
      <c r="J2704" s="1" t="s">
        <v>38</v>
      </c>
      <c r="K2704" s="1"/>
      <c r="L2704" s="1" t="s">
        <v>39</v>
      </c>
      <c r="M2704" s="1" t="str">
        <f>INDEX(MCC_Lookup!$B$2:$B$12,MATCH(G2704,MCC_Lookup!$A$2:$A$12,0))</f>
        <v>Office Supplies</v>
      </c>
      <c r="N2704" s="1" t="str">
        <f>IF(TRIM(H2704)="","BLANK",IF(PROPER(TRIM(H2704))=TRIM(M2704),"MATCH","MISMATCH"))</f>
        <v>MATCH</v>
      </c>
      <c r="O2704" s="5" t="str">
        <f>INDEX([1]Employee!$C$2:$C$276,MATCH(B2704,[1]Employee!$A$2:$A$276,0))</f>
        <v>Sales &amp; Marketing</v>
      </c>
    </row>
    <row r="2705" spans="1:15">
      <c r="A2705" s="1" t="s">
        <v>5319</v>
      </c>
      <c r="B2705" s="1" t="s">
        <v>352</v>
      </c>
      <c r="C2705" s="1"/>
      <c r="D2705" s="2">
        <v>46173</v>
      </c>
      <c r="E2705" s="2">
        <v>46173</v>
      </c>
      <c r="F2705" s="1" t="s">
        <v>177</v>
      </c>
      <c r="G2705" s="1" t="s">
        <v>13</v>
      </c>
      <c r="H2705" s="1" t="s">
        <v>470</v>
      </c>
      <c r="I2705" s="7">
        <v>22.31</v>
      </c>
      <c r="J2705" s="1" t="s">
        <v>38</v>
      </c>
      <c r="K2705" s="1"/>
      <c r="L2705" s="1" t="s">
        <v>48</v>
      </c>
      <c r="M2705" s="1" t="str">
        <f>INDEX(MCC_Lookup!$B$2:$B$12,MATCH(G2705,MCC_Lookup!$A$2:$A$12,0))</f>
        <v>Software</v>
      </c>
      <c r="N2705" s="1" t="str">
        <f>IF(TRIM(H2705)="","BLANK",IF(PROPER(TRIM(H2705))=TRIM(M2705),"MATCH","MISMATCH"))</f>
        <v>MATCH</v>
      </c>
      <c r="O2705" s="5" t="str">
        <f>INDEX([1]Employee!$C$2:$C$276,MATCH(B2705,[1]Employee!$A$2:$A$276,0))</f>
        <v>Sales &amp; Marketing</v>
      </c>
    </row>
    <row r="2706" spans="1:15">
      <c r="A2706" s="1" t="s">
        <v>5320</v>
      </c>
      <c r="B2706" s="1" t="s">
        <v>4946</v>
      </c>
      <c r="C2706" s="1" t="s">
        <v>5321</v>
      </c>
      <c r="D2706" s="2">
        <v>46172</v>
      </c>
      <c r="E2706" s="2">
        <v>46173</v>
      </c>
      <c r="F2706" s="1" t="s">
        <v>362</v>
      </c>
      <c r="G2706" s="1" t="s">
        <v>2</v>
      </c>
      <c r="H2706" s="1" t="s">
        <v>138</v>
      </c>
      <c r="I2706" s="7">
        <v>62.35</v>
      </c>
      <c r="J2706" s="1" t="s">
        <v>38</v>
      </c>
      <c r="K2706" s="1"/>
      <c r="L2706" s="1" t="s">
        <v>39</v>
      </c>
      <c r="M2706" s="1" t="str">
        <f>INDEX(MCC_Lookup!$B$2:$B$12,MATCH(G2706,MCC_Lookup!$A$2:$A$12,0))</f>
        <v>Meals</v>
      </c>
      <c r="N2706" s="1" t="str">
        <f>IF(TRIM(H2706)="","BLANK",IF(PROPER(TRIM(H2706))=TRIM(M2706),"MATCH","MISMATCH"))</f>
        <v>MATCH</v>
      </c>
      <c r="O2706" s="5" t="str">
        <f>INDEX([1]Employee!$C$2:$C$276,MATCH(B2706,[1]Employee!$A$2:$A$276,0))</f>
        <v>Customer Support</v>
      </c>
    </row>
    <row r="2707" spans="1:15">
      <c r="A2707" s="1" t="s">
        <v>5322</v>
      </c>
      <c r="B2707" s="1" t="s">
        <v>433</v>
      </c>
      <c r="C2707" s="1" t="s">
        <v>5323</v>
      </c>
      <c r="D2707" s="2">
        <v>46166</v>
      </c>
      <c r="E2707" s="2">
        <v>46173</v>
      </c>
      <c r="F2707" s="1" t="s">
        <v>72</v>
      </c>
      <c r="G2707" s="1" t="s">
        <v>8</v>
      </c>
      <c r="H2707" s="1" t="s">
        <v>435</v>
      </c>
      <c r="I2707" s="7">
        <v>20.95</v>
      </c>
      <c r="J2707" s="1" t="s">
        <v>38</v>
      </c>
      <c r="K2707" s="1"/>
      <c r="L2707" s="1" t="s">
        <v>48</v>
      </c>
      <c r="M2707" s="1" t="str">
        <f>INDEX(MCC_Lookup!$B$2:$B$12,MATCH(G2707,MCC_Lookup!$A$2:$A$12,0))</f>
        <v>Transportation</v>
      </c>
      <c r="N2707" s="1" t="str">
        <f>IF(TRIM(H2707)="","BLANK",IF(PROPER(TRIM(H2707))=TRIM(M2707),"MATCH","MISMATCH"))</f>
        <v>MATCH</v>
      </c>
      <c r="O2707" s="5" t="str">
        <f>INDEX([1]Employee!$C$2:$C$276,MATCH(B2707,[1]Employee!$A$2:$A$276,0))</f>
        <v>Sales &amp; Marketing</v>
      </c>
    </row>
    <row r="2708" spans="1:15">
      <c r="A2708" s="1" t="s">
        <v>5324</v>
      </c>
      <c r="B2708" s="1" t="s">
        <v>255</v>
      </c>
      <c r="C2708" s="1" t="s">
        <v>5325</v>
      </c>
      <c r="D2708" s="2">
        <v>46171</v>
      </c>
      <c r="E2708" s="2">
        <v>46173</v>
      </c>
      <c r="F2708" s="1" t="s">
        <v>160</v>
      </c>
      <c r="G2708" s="1" t="s">
        <v>6</v>
      </c>
      <c r="H2708" s="1" t="s">
        <v>7</v>
      </c>
      <c r="I2708" s="7">
        <v>383.84</v>
      </c>
      <c r="J2708" s="1" t="s">
        <v>38</v>
      </c>
      <c r="K2708" s="1"/>
      <c r="L2708" s="1" t="s">
        <v>39</v>
      </c>
      <c r="M2708" s="1" t="str">
        <f>INDEX(MCC_Lookup!$B$2:$B$12,MATCH(G2708,MCC_Lookup!$A$2:$A$12,0))</f>
        <v>Lodging</v>
      </c>
      <c r="N2708" s="1" t="str">
        <f>IF(TRIM(H2708)="","BLANK",IF(PROPER(TRIM(H2708))=TRIM(M2708),"MATCH","MISMATCH"))</f>
        <v>MATCH</v>
      </c>
      <c r="O2708" s="5" t="str">
        <f>INDEX([1]Employee!$C$2:$C$276,MATCH(B2708,[1]Employee!$A$2:$A$276,0))</f>
        <v>Claims</v>
      </c>
    </row>
    <row r="2709" spans="1:15">
      <c r="A2709" s="1" t="s">
        <v>5326</v>
      </c>
      <c r="B2709" s="1" t="s">
        <v>244</v>
      </c>
      <c r="C2709" s="1" t="s">
        <v>5327</v>
      </c>
      <c r="D2709" s="2">
        <v>46166</v>
      </c>
      <c r="E2709" s="2">
        <v>46173</v>
      </c>
      <c r="F2709" s="1" t="s">
        <v>37</v>
      </c>
      <c r="G2709" s="1" t="s">
        <v>4</v>
      </c>
      <c r="H2709" s="1" t="s">
        <v>734</v>
      </c>
      <c r="I2709" s="7">
        <v>379.21</v>
      </c>
      <c r="J2709" s="1" t="s">
        <v>38</v>
      </c>
      <c r="K2709" s="1"/>
      <c r="L2709" s="1" t="s">
        <v>39</v>
      </c>
      <c r="M2709" s="1" t="str">
        <f>INDEX(MCC_Lookup!$B$2:$B$12,MATCH(G2709,MCC_Lookup!$A$2:$A$12,0))</f>
        <v>Travel</v>
      </c>
      <c r="N2709" s="1" t="str">
        <f>IF(TRIM(H2709)="","BLANK",IF(PROPER(TRIM(H2709))=TRIM(M2709),"MATCH","MISMATCH"))</f>
        <v>MATCH</v>
      </c>
      <c r="O2709" s="5" t="str">
        <f>INDEX([1]Employee!$C$2:$C$276,MATCH(B2709,[1]Employee!$A$2:$A$276,0))</f>
        <v>Sales &amp; Marketing</v>
      </c>
    </row>
    <row r="2710" spans="1:15">
      <c r="A2710" s="1" t="s">
        <v>5328</v>
      </c>
      <c r="B2710" s="1" t="s">
        <v>564</v>
      </c>
      <c r="C2710" s="1"/>
      <c r="D2710" s="2">
        <v>46172</v>
      </c>
      <c r="E2710" s="2">
        <v>46173</v>
      </c>
      <c r="F2710" s="1" t="s">
        <v>160</v>
      </c>
      <c r="G2710" s="1" t="s">
        <v>6</v>
      </c>
      <c r="H2710" s="1" t="s">
        <v>7</v>
      </c>
      <c r="I2710" s="7">
        <v>345.73</v>
      </c>
      <c r="J2710" s="1" t="s">
        <v>111</v>
      </c>
      <c r="K2710" s="1" t="s">
        <v>229</v>
      </c>
      <c r="L2710" s="1" t="s">
        <v>39</v>
      </c>
      <c r="M2710" s="1" t="str">
        <f>INDEX(MCC_Lookup!$B$2:$B$12,MATCH(G2710,MCC_Lookup!$A$2:$A$12,0))</f>
        <v>Lodging</v>
      </c>
      <c r="N2710" s="1" t="str">
        <f>IF(TRIM(H2710)="","BLANK",IF(PROPER(TRIM(H2710))=TRIM(M2710),"MATCH","MISMATCH"))</f>
        <v>MATCH</v>
      </c>
      <c r="O2710" s="5" t="str">
        <f>INDEX([1]Employee!$C$2:$C$276,MATCH(B2710,[1]Employee!$A$2:$A$276,0))</f>
        <v>Sales &amp; Marketing</v>
      </c>
    </row>
    <row r="2711" spans="1:15">
      <c r="A2711" s="1" t="s">
        <v>5329</v>
      </c>
      <c r="B2711" s="1" t="s">
        <v>667</v>
      </c>
      <c r="C2711" s="1" t="s">
        <v>5330</v>
      </c>
      <c r="D2711" s="2">
        <v>46165</v>
      </c>
      <c r="E2711" s="2">
        <v>46173</v>
      </c>
      <c r="F2711" s="1" t="s">
        <v>124</v>
      </c>
      <c r="G2711" s="1" t="s">
        <v>17</v>
      </c>
      <c r="H2711" s="1" t="s">
        <v>16</v>
      </c>
      <c r="I2711" s="7">
        <v>126.56</v>
      </c>
      <c r="J2711" s="1" t="s">
        <v>38</v>
      </c>
      <c r="K2711" s="1"/>
      <c r="L2711" s="1" t="s">
        <v>48</v>
      </c>
      <c r="M2711" s="1" t="str">
        <f>INDEX(MCC_Lookup!$B$2:$B$12,MATCH(G2711,MCC_Lookup!$A$2:$A$12,0))</f>
        <v>Entertainment</v>
      </c>
      <c r="N2711" s="1" t="str">
        <f>IF(TRIM(H2711)="","BLANK",IF(PROPER(TRIM(H2711))=TRIM(M2711),"MATCH","MISMATCH"))</f>
        <v>MATCH</v>
      </c>
      <c r="O2711" s="5" t="str">
        <f>INDEX([1]Employee!$C$2:$C$276,MATCH(B2711,[1]Employee!$A$2:$A$276,0))</f>
        <v>Sales &amp; Marketing</v>
      </c>
    </row>
    <row r="2712" spans="1:15">
      <c r="A2712" s="1" t="s">
        <v>5331</v>
      </c>
      <c r="B2712" s="1" t="s">
        <v>190</v>
      </c>
      <c r="C2712" s="1" t="s">
        <v>5332</v>
      </c>
      <c r="D2712" s="2">
        <v>46170</v>
      </c>
      <c r="E2712" s="2">
        <v>46173</v>
      </c>
      <c r="F2712" s="1" t="s">
        <v>305</v>
      </c>
      <c r="G2712" s="1" t="s">
        <v>2</v>
      </c>
      <c r="H2712" s="1"/>
      <c r="I2712" s="7">
        <v>9.01</v>
      </c>
      <c r="J2712" s="1" t="s">
        <v>38</v>
      </c>
      <c r="K2712" s="1"/>
      <c r="L2712" s="1" t="s">
        <v>39</v>
      </c>
      <c r="M2712" s="1" t="str">
        <f>INDEX(MCC_Lookup!$B$2:$B$12,MATCH(G2712,MCC_Lookup!$A$2:$A$12,0))</f>
        <v>Meals</v>
      </c>
      <c r="N2712" s="1" t="str">
        <f>IF(TRIM(H2712)="","BLANK",IF(PROPER(TRIM(H2712))=TRIM(M2712),"MATCH","MISMATCH"))</f>
        <v>BLANK</v>
      </c>
      <c r="O2712" s="5" t="str">
        <f>INDEX([1]Employee!$C$2:$C$276,MATCH(B2712,[1]Employee!$A$2:$A$276,0))</f>
        <v>Sales &amp; Marketing</v>
      </c>
    </row>
    <row r="2713" spans="1:15">
      <c r="A2713" s="1" t="s">
        <v>5333</v>
      </c>
      <c r="B2713" s="1" t="s">
        <v>67</v>
      </c>
      <c r="C2713" s="1"/>
      <c r="D2713" s="2">
        <v>46171</v>
      </c>
      <c r="E2713" s="2">
        <v>46173</v>
      </c>
      <c r="F2713" s="1" t="s">
        <v>160</v>
      </c>
      <c r="G2713" s="1" t="s">
        <v>6</v>
      </c>
      <c r="H2713" s="1" t="s">
        <v>7</v>
      </c>
      <c r="I2713" s="7">
        <v>312.48</v>
      </c>
      <c r="J2713" s="1" t="s">
        <v>111</v>
      </c>
      <c r="K2713" s="1" t="s">
        <v>112</v>
      </c>
      <c r="L2713" s="1" t="s">
        <v>39</v>
      </c>
      <c r="M2713" s="1" t="str">
        <f>INDEX(MCC_Lookup!$B$2:$B$12,MATCH(G2713,MCC_Lookup!$A$2:$A$12,0))</f>
        <v>Lodging</v>
      </c>
      <c r="N2713" s="1" t="str">
        <f>IF(TRIM(H2713)="","BLANK",IF(PROPER(TRIM(H2713))=TRIM(M2713),"MATCH","MISMATCH"))</f>
        <v>MATCH</v>
      </c>
      <c r="O2713" s="5" t="str">
        <f>INDEX([1]Employee!$C$2:$C$276,MATCH(B2713,[1]Employee!$A$2:$A$276,0))</f>
        <v>Sales &amp; Marketing</v>
      </c>
    </row>
    <row r="2714" spans="1:15">
      <c r="A2714" s="1" t="s">
        <v>5334</v>
      </c>
      <c r="B2714" s="1" t="s">
        <v>41</v>
      </c>
      <c r="C2714" s="1" t="s">
        <v>5335</v>
      </c>
      <c r="D2714" s="2">
        <v>46172</v>
      </c>
      <c r="E2714" s="2">
        <v>46173</v>
      </c>
      <c r="F2714" s="1" t="s">
        <v>347</v>
      </c>
      <c r="G2714" s="1" t="s">
        <v>8</v>
      </c>
      <c r="H2714" s="1" t="s">
        <v>9</v>
      </c>
      <c r="I2714" s="7">
        <v>30.69</v>
      </c>
      <c r="J2714" s="1" t="s">
        <v>38</v>
      </c>
      <c r="K2714" s="1"/>
      <c r="L2714" s="1" t="s">
        <v>39</v>
      </c>
      <c r="M2714" s="1" t="str">
        <f>INDEX(MCC_Lookup!$B$2:$B$12,MATCH(G2714,MCC_Lookup!$A$2:$A$12,0))</f>
        <v>Transportation</v>
      </c>
      <c r="N2714" s="1" t="str">
        <f>IF(TRIM(H2714)="","BLANK",IF(PROPER(TRIM(H2714))=TRIM(M2714),"MATCH","MISMATCH"))</f>
        <v>MATCH</v>
      </c>
      <c r="O2714" s="5" t="str">
        <f>INDEX([1]Employee!$C$2:$C$276,MATCH(B2714,[1]Employee!$A$2:$A$276,0))</f>
        <v>Sales &amp; Marketing</v>
      </c>
    </row>
    <row r="2715" spans="1:15">
      <c r="A2715" s="1" t="s">
        <v>5336</v>
      </c>
      <c r="B2715" s="1" t="s">
        <v>179</v>
      </c>
      <c r="C2715" s="1" t="s">
        <v>5337</v>
      </c>
      <c r="D2715" s="2">
        <v>46163</v>
      </c>
      <c r="E2715" s="2">
        <v>46173</v>
      </c>
      <c r="F2715" s="1" t="s">
        <v>347</v>
      </c>
      <c r="G2715" s="1" t="s">
        <v>8</v>
      </c>
      <c r="H2715" s="1" t="s">
        <v>9</v>
      </c>
      <c r="I2715" s="7">
        <v>46.36</v>
      </c>
      <c r="J2715" s="1" t="s">
        <v>38</v>
      </c>
      <c r="K2715" s="1"/>
      <c r="L2715" s="1" t="s">
        <v>39</v>
      </c>
      <c r="M2715" s="1" t="str">
        <f>INDEX(MCC_Lookup!$B$2:$B$12,MATCH(G2715,MCC_Lookup!$A$2:$A$12,0))</f>
        <v>Transportation</v>
      </c>
      <c r="N2715" s="1" t="str">
        <f>IF(TRIM(H2715)="","BLANK",IF(PROPER(TRIM(H2715))=TRIM(M2715),"MATCH","MISMATCH"))</f>
        <v>MATCH</v>
      </c>
      <c r="O2715" s="5" t="str">
        <f>INDEX([1]Employee!$C$2:$C$276,MATCH(B2715,[1]Employee!$A$2:$A$276,0))</f>
        <v>Claims</v>
      </c>
    </row>
    <row r="2716" spans="1:15">
      <c r="A2716" s="1" t="s">
        <v>5338</v>
      </c>
      <c r="B2716" s="1" t="s">
        <v>97</v>
      </c>
      <c r="C2716" s="1"/>
      <c r="D2716" s="2">
        <v>46173</v>
      </c>
      <c r="E2716" s="2">
        <v>46173</v>
      </c>
      <c r="F2716" s="1" t="s">
        <v>177</v>
      </c>
      <c r="G2716" s="1" t="s">
        <v>13</v>
      </c>
      <c r="H2716" s="1" t="s">
        <v>470</v>
      </c>
      <c r="I2716" s="7">
        <v>16.07</v>
      </c>
      <c r="J2716" s="1" t="s">
        <v>38</v>
      </c>
      <c r="K2716" s="1"/>
      <c r="L2716" s="1" t="s">
        <v>48</v>
      </c>
      <c r="M2716" s="1" t="str">
        <f>INDEX(MCC_Lookup!$B$2:$B$12,MATCH(G2716,MCC_Lookup!$A$2:$A$12,0))</f>
        <v>Software</v>
      </c>
      <c r="N2716" s="1" t="str">
        <f>IF(TRIM(H2716)="","BLANK",IF(PROPER(TRIM(H2716))=TRIM(M2716),"MATCH","MISMATCH"))</f>
        <v>MATCH</v>
      </c>
      <c r="O2716" s="5" t="str">
        <f>INDEX([1]Employee!$C$2:$C$276,MATCH(B2716,[1]Employee!$A$2:$A$276,0))</f>
        <v>Sales &amp; Marketing</v>
      </c>
    </row>
    <row r="2717" spans="1:15">
      <c r="A2717" s="1" t="s">
        <v>5339</v>
      </c>
      <c r="B2717" s="1" t="s">
        <v>2009</v>
      </c>
      <c r="C2717" s="1"/>
      <c r="D2717" s="2">
        <v>46172</v>
      </c>
      <c r="E2717" s="2">
        <v>46173</v>
      </c>
      <c r="F2717" s="1" t="s">
        <v>116</v>
      </c>
      <c r="G2717" s="1" t="s">
        <v>2</v>
      </c>
      <c r="H2717" s="1" t="s">
        <v>3</v>
      </c>
      <c r="I2717" s="7">
        <v>10.75</v>
      </c>
      <c r="J2717" s="1" t="s">
        <v>38</v>
      </c>
      <c r="K2717" s="1"/>
      <c r="L2717" s="1" t="s">
        <v>48</v>
      </c>
      <c r="M2717" s="1" t="str">
        <f>INDEX(MCC_Lookup!$B$2:$B$12,MATCH(G2717,MCC_Lookup!$A$2:$A$12,0))</f>
        <v>Meals</v>
      </c>
      <c r="N2717" s="1" t="str">
        <f>IF(TRIM(H2717)="","BLANK",IF(PROPER(TRIM(H2717))=TRIM(M2717),"MATCH","MISMATCH"))</f>
        <v>MATCH</v>
      </c>
      <c r="O2717" s="5" t="str">
        <f>INDEX([1]Employee!$C$2:$C$276,MATCH(B2717,[1]Employee!$A$2:$A$276,0))</f>
        <v>Finance</v>
      </c>
    </row>
    <row r="2718" spans="1:15">
      <c r="A2718" s="1" t="s">
        <v>5340</v>
      </c>
      <c r="B2718" s="1" t="s">
        <v>524</v>
      </c>
      <c r="C2718" s="1" t="s">
        <v>5341</v>
      </c>
      <c r="D2718" s="2">
        <v>46167</v>
      </c>
      <c r="E2718" s="2">
        <v>46173</v>
      </c>
      <c r="F2718" s="1" t="s">
        <v>56</v>
      </c>
      <c r="G2718" s="1" t="s">
        <v>4</v>
      </c>
      <c r="H2718" s="1" t="s">
        <v>5</v>
      </c>
      <c r="I2718" s="7">
        <v>632.91999999999996</v>
      </c>
      <c r="J2718" s="1" t="s">
        <v>38</v>
      </c>
      <c r="K2718" s="1"/>
      <c r="L2718" s="1" t="s">
        <v>39</v>
      </c>
      <c r="M2718" s="1" t="str">
        <f>INDEX(MCC_Lookup!$B$2:$B$12,MATCH(G2718,MCC_Lookup!$A$2:$A$12,0))</f>
        <v>Travel</v>
      </c>
      <c r="N2718" s="1" t="str">
        <f>IF(TRIM(H2718)="","BLANK",IF(PROPER(TRIM(H2718))=TRIM(M2718),"MATCH","MISMATCH"))</f>
        <v>MATCH</v>
      </c>
      <c r="O2718" s="5" t="str">
        <f>INDEX([1]Employee!$C$2:$C$276,MATCH(B2718,[1]Employee!$A$2:$A$276,0))</f>
        <v>Claims</v>
      </c>
    </row>
    <row r="2719" spans="1:15">
      <c r="A2719" s="1" t="s">
        <v>5342</v>
      </c>
      <c r="B2719" s="1" t="s">
        <v>558</v>
      </c>
      <c r="C2719" s="1" t="s">
        <v>5343</v>
      </c>
      <c r="D2719" s="2">
        <v>46173</v>
      </c>
      <c r="E2719" s="2">
        <v>46173</v>
      </c>
      <c r="F2719" s="1" t="s">
        <v>65</v>
      </c>
      <c r="G2719" s="1" t="s">
        <v>18</v>
      </c>
      <c r="H2719" s="1" t="s">
        <v>19</v>
      </c>
      <c r="I2719" s="7">
        <v>79.42</v>
      </c>
      <c r="J2719" s="1" t="s">
        <v>38</v>
      </c>
      <c r="K2719" s="1"/>
      <c r="L2719" s="1" t="s">
        <v>48</v>
      </c>
      <c r="M2719" s="1" t="str">
        <f>INDEX(MCC_Lookup!$B$2:$B$12,MATCH(G2719,MCC_Lookup!$A$2:$A$12,0))</f>
        <v>Events</v>
      </c>
      <c r="N2719" s="1" t="str">
        <f>IF(TRIM(H2719)="","BLANK",IF(PROPER(TRIM(H2719))=TRIM(M2719),"MATCH","MISMATCH"))</f>
        <v>MATCH</v>
      </c>
      <c r="O2719" s="5" t="str">
        <f>INDEX([1]Employee!$C$2:$C$276,MATCH(B2719,[1]Employee!$A$2:$A$276,0))</f>
        <v>Claims</v>
      </c>
    </row>
    <row r="2720" spans="1:15">
      <c r="A2720" s="1" t="s">
        <v>5344</v>
      </c>
      <c r="B2720" s="1" t="s">
        <v>373</v>
      </c>
      <c r="C2720" s="1" t="s">
        <v>5345</v>
      </c>
      <c r="D2720" s="2">
        <v>46172</v>
      </c>
      <c r="E2720" s="2">
        <v>46173</v>
      </c>
      <c r="F2720" s="1" t="s">
        <v>177</v>
      </c>
      <c r="G2720" s="1" t="s">
        <v>13</v>
      </c>
      <c r="H2720" s="1" t="s">
        <v>14</v>
      </c>
      <c r="I2720" s="7">
        <v>45.65</v>
      </c>
      <c r="J2720" s="1" t="s">
        <v>38</v>
      </c>
      <c r="K2720" s="1"/>
      <c r="L2720" s="1" t="s">
        <v>39</v>
      </c>
      <c r="M2720" s="1" t="str">
        <f>INDEX(MCC_Lookup!$B$2:$B$12,MATCH(G2720,MCC_Lookup!$A$2:$A$12,0))</f>
        <v>Software</v>
      </c>
      <c r="N2720" s="1" t="str">
        <f>IF(TRIM(H2720)="","BLANK",IF(PROPER(TRIM(H2720))=TRIM(M2720),"MATCH","MISMATCH"))</f>
        <v>MATCH</v>
      </c>
      <c r="O2720" s="5" t="str">
        <f>INDEX([1]Employee!$C$2:$C$276,MATCH(B2720,[1]Employee!$A$2:$A$276,0))</f>
        <v>Sales &amp; Marketing</v>
      </c>
    </row>
    <row r="2721" spans="1:15">
      <c r="A2721" s="1" t="s">
        <v>5346</v>
      </c>
      <c r="B2721" s="1" t="s">
        <v>1491</v>
      </c>
      <c r="C2721" s="1" t="s">
        <v>5347</v>
      </c>
      <c r="D2721" s="2">
        <v>46171</v>
      </c>
      <c r="E2721" s="2">
        <v>46173</v>
      </c>
      <c r="F2721" s="1" t="s">
        <v>56</v>
      </c>
      <c r="G2721" s="1" t="s">
        <v>4</v>
      </c>
      <c r="H2721" s="1" t="s">
        <v>5</v>
      </c>
      <c r="I2721" s="7">
        <v>207.71</v>
      </c>
      <c r="J2721" s="1" t="s">
        <v>38</v>
      </c>
      <c r="K2721" s="1"/>
      <c r="L2721" s="1" t="s">
        <v>39</v>
      </c>
      <c r="M2721" s="1" t="str">
        <f>INDEX(MCC_Lookup!$B$2:$B$12,MATCH(G2721,MCC_Lookup!$A$2:$A$12,0))</f>
        <v>Travel</v>
      </c>
      <c r="N2721" s="1" t="str">
        <f>IF(TRIM(H2721)="","BLANK",IF(PROPER(TRIM(H2721))=TRIM(M2721),"MATCH","MISMATCH"))</f>
        <v>MATCH</v>
      </c>
      <c r="O2721" s="5" t="str">
        <f>INDEX([1]Employee!$C$2:$C$276,MATCH(B2721,[1]Employee!$A$2:$A$276,0))</f>
        <v>Actuarial &amp; Risk</v>
      </c>
    </row>
    <row r="2722" spans="1:15">
      <c r="A2722" s="1" t="s">
        <v>5348</v>
      </c>
      <c r="B2722" s="1" t="s">
        <v>677</v>
      </c>
      <c r="C2722" s="1" t="s">
        <v>5349</v>
      </c>
      <c r="D2722" s="2">
        <v>46163</v>
      </c>
      <c r="E2722" s="2">
        <v>46173</v>
      </c>
      <c r="F2722" s="1" t="s">
        <v>92</v>
      </c>
      <c r="G2722" s="1" t="s">
        <v>10</v>
      </c>
      <c r="H2722" s="1" t="s">
        <v>11</v>
      </c>
      <c r="I2722" s="7">
        <v>60.41</v>
      </c>
      <c r="J2722" s="1" t="s">
        <v>38</v>
      </c>
      <c r="K2722" s="1"/>
      <c r="L2722" s="1" t="s">
        <v>39</v>
      </c>
      <c r="M2722" s="1" t="str">
        <f>INDEX(MCC_Lookup!$B$2:$B$12,MATCH(G2722,MCC_Lookup!$A$2:$A$12,0))</f>
        <v>Office Supplies</v>
      </c>
      <c r="N2722" s="1" t="str">
        <f>IF(TRIM(H2722)="","BLANK",IF(PROPER(TRIM(H2722))=TRIM(M2722),"MATCH","MISMATCH"))</f>
        <v>MATCH</v>
      </c>
      <c r="O2722" s="5" t="str">
        <f>INDEX([1]Employee!$C$2:$C$276,MATCH(B2722,[1]Employee!$A$2:$A$276,0))</f>
        <v>Sales &amp; Marketing</v>
      </c>
    </row>
    <row r="2723" spans="1:15">
      <c r="A2723" s="1" t="s">
        <v>5350</v>
      </c>
      <c r="B2723" s="1" t="s">
        <v>74</v>
      </c>
      <c r="C2723" s="1" t="s">
        <v>5351</v>
      </c>
      <c r="D2723" s="2">
        <v>46168</v>
      </c>
      <c r="E2723" s="2">
        <v>46173</v>
      </c>
      <c r="F2723" s="1" t="s">
        <v>99</v>
      </c>
      <c r="G2723" s="1" t="s">
        <v>2</v>
      </c>
      <c r="H2723" s="1" t="s">
        <v>3</v>
      </c>
      <c r="I2723" s="7">
        <v>83</v>
      </c>
      <c r="J2723" s="1" t="s">
        <v>38</v>
      </c>
      <c r="K2723" s="1"/>
      <c r="L2723" s="1" t="s">
        <v>39</v>
      </c>
      <c r="M2723" s="1" t="str">
        <f>INDEX(MCC_Lookup!$B$2:$B$12,MATCH(G2723,MCC_Lookup!$A$2:$A$12,0))</f>
        <v>Meals</v>
      </c>
      <c r="N2723" s="1" t="str">
        <f>IF(TRIM(H2723)="","BLANK",IF(PROPER(TRIM(H2723))=TRIM(M2723),"MATCH","MISMATCH"))</f>
        <v>MATCH</v>
      </c>
      <c r="O2723" s="5" t="str">
        <f>INDEX([1]Employee!$C$2:$C$276,MATCH(B2723,[1]Employee!$A$2:$A$276,0))</f>
        <v>Underwriting</v>
      </c>
    </row>
    <row r="2724" spans="1:15">
      <c r="A2724" s="1" t="s">
        <v>5352</v>
      </c>
      <c r="B2724" s="1" t="s">
        <v>303</v>
      </c>
      <c r="C2724" s="1" t="s">
        <v>5353</v>
      </c>
      <c r="D2724" s="2">
        <v>46168</v>
      </c>
      <c r="E2724" s="2">
        <v>46174</v>
      </c>
      <c r="F2724" s="1" t="s">
        <v>106</v>
      </c>
      <c r="G2724" s="1" t="s">
        <v>13</v>
      </c>
      <c r="H2724" s="1" t="s">
        <v>14</v>
      </c>
      <c r="I2724" s="7">
        <v>63.55</v>
      </c>
      <c r="J2724" s="1" t="s">
        <v>38</v>
      </c>
      <c r="K2724" s="1"/>
      <c r="L2724" s="1" t="s">
        <v>39</v>
      </c>
      <c r="M2724" s="1" t="str">
        <f>INDEX(MCC_Lookup!$B$2:$B$12,MATCH(G2724,MCC_Lookup!$A$2:$A$12,0))</f>
        <v>Software</v>
      </c>
      <c r="N2724" s="1" t="str">
        <f>IF(TRIM(H2724)="","BLANK",IF(PROPER(TRIM(H2724))=TRIM(M2724),"MATCH","MISMATCH"))</f>
        <v>MATCH</v>
      </c>
      <c r="O2724" s="5" t="str">
        <f>INDEX([1]Employee!$C$2:$C$276,MATCH(B2724,[1]Employee!$A$2:$A$276,0))</f>
        <v>Sales &amp; Marketing</v>
      </c>
    </row>
    <row r="2725" spans="1:15">
      <c r="A2725" s="1" t="s">
        <v>5354</v>
      </c>
      <c r="B2725" s="1" t="s">
        <v>836</v>
      </c>
      <c r="C2725" s="1" t="s">
        <v>5355</v>
      </c>
      <c r="D2725" s="2">
        <v>46164</v>
      </c>
      <c r="E2725" s="2">
        <v>46174</v>
      </c>
      <c r="F2725" s="1" t="s">
        <v>109</v>
      </c>
      <c r="G2725" s="1" t="s">
        <v>18</v>
      </c>
      <c r="H2725" s="1" t="s">
        <v>19</v>
      </c>
      <c r="I2725" s="7">
        <v>69.040000000000006</v>
      </c>
      <c r="J2725" s="1" t="s">
        <v>38</v>
      </c>
      <c r="K2725" s="1"/>
      <c r="L2725" s="1" t="s">
        <v>39</v>
      </c>
      <c r="M2725" s="1" t="str">
        <f>INDEX(MCC_Lookup!$B$2:$B$12,MATCH(G2725,MCC_Lookup!$A$2:$A$12,0))</f>
        <v>Events</v>
      </c>
      <c r="N2725" s="1" t="str">
        <f>IF(TRIM(H2725)="","BLANK",IF(PROPER(TRIM(H2725))=TRIM(M2725),"MATCH","MISMATCH"))</f>
        <v>MATCH</v>
      </c>
      <c r="O2725" s="5" t="str">
        <f>INDEX([1]Employee!$C$2:$C$276,MATCH(B2725,[1]Employee!$A$2:$A$276,0))</f>
        <v>Sales &amp; Marketing</v>
      </c>
    </row>
    <row r="2726" spans="1:15">
      <c r="A2726" s="1" t="s">
        <v>5356</v>
      </c>
      <c r="B2726" s="1" t="s">
        <v>199</v>
      </c>
      <c r="C2726" s="1"/>
      <c r="D2726" s="2">
        <v>46173</v>
      </c>
      <c r="E2726" s="2">
        <v>46174</v>
      </c>
      <c r="F2726" s="1" t="s">
        <v>52</v>
      </c>
      <c r="G2726" s="1" t="s">
        <v>15</v>
      </c>
      <c r="H2726" s="1" t="s">
        <v>16</v>
      </c>
      <c r="I2726" s="7">
        <v>15.4</v>
      </c>
      <c r="J2726" s="1" t="s">
        <v>38</v>
      </c>
      <c r="K2726" s="1"/>
      <c r="L2726" s="1" t="s">
        <v>39</v>
      </c>
      <c r="M2726" s="1" t="str">
        <f>INDEX(MCC_Lookup!$B$2:$B$12,MATCH(G2726,MCC_Lookup!$A$2:$A$12,0))</f>
        <v>Entertainment</v>
      </c>
      <c r="N2726" s="1" t="str">
        <f>IF(TRIM(H2726)="","BLANK",IF(PROPER(TRIM(H2726))=TRIM(M2726),"MATCH","MISMATCH"))</f>
        <v>MATCH</v>
      </c>
      <c r="O2726" s="5" t="str">
        <f>INDEX([1]Employee!$C$2:$C$276,MATCH(B2726,[1]Employee!$A$2:$A$276,0))</f>
        <v>Sales &amp; Marketing</v>
      </c>
    </row>
    <row r="2727" spans="1:15">
      <c r="A2727" s="1" t="s">
        <v>5357</v>
      </c>
      <c r="B2727" s="1" t="s">
        <v>328</v>
      </c>
      <c r="C2727" s="1" t="s">
        <v>5358</v>
      </c>
      <c r="D2727" s="2">
        <v>46164</v>
      </c>
      <c r="E2727" s="2">
        <v>46174</v>
      </c>
      <c r="F2727" s="1" t="s">
        <v>65</v>
      </c>
      <c r="G2727" s="1" t="s">
        <v>18</v>
      </c>
      <c r="H2727" s="1" t="s">
        <v>19</v>
      </c>
      <c r="I2727" s="7">
        <v>351.57</v>
      </c>
      <c r="J2727" s="1" t="s">
        <v>38</v>
      </c>
      <c r="K2727" s="1"/>
      <c r="L2727" s="1" t="s">
        <v>39</v>
      </c>
      <c r="M2727" s="1" t="str">
        <f>INDEX(MCC_Lookup!$B$2:$B$12,MATCH(G2727,MCC_Lookup!$A$2:$A$12,0))</f>
        <v>Events</v>
      </c>
      <c r="N2727" s="1" t="str">
        <f>IF(TRIM(H2727)="","BLANK",IF(PROPER(TRIM(H2727))=TRIM(M2727),"MATCH","MISMATCH"))</f>
        <v>MATCH</v>
      </c>
      <c r="O2727" s="5" t="str">
        <f>INDEX([1]Employee!$C$2:$C$276,MATCH(B2727,[1]Employee!$A$2:$A$276,0))</f>
        <v>Underwriting</v>
      </c>
    </row>
    <row r="2728" spans="1:15">
      <c r="A2728" s="1" t="s">
        <v>5359</v>
      </c>
      <c r="B2728" s="1" t="s">
        <v>1201</v>
      </c>
      <c r="C2728" s="1" t="s">
        <v>5360</v>
      </c>
      <c r="D2728" s="2">
        <v>46168</v>
      </c>
      <c r="E2728" s="2">
        <v>46174</v>
      </c>
      <c r="F2728" s="1" t="s">
        <v>43</v>
      </c>
      <c r="G2728" s="1" t="s">
        <v>2</v>
      </c>
      <c r="H2728" s="1" t="s">
        <v>3</v>
      </c>
      <c r="I2728" s="7">
        <v>8.64</v>
      </c>
      <c r="J2728" s="1" t="s">
        <v>38</v>
      </c>
      <c r="K2728" s="1"/>
      <c r="L2728" s="1" t="s">
        <v>39</v>
      </c>
      <c r="M2728" s="1" t="str">
        <f>INDEX(MCC_Lookup!$B$2:$B$12,MATCH(G2728,MCC_Lookup!$A$2:$A$12,0))</f>
        <v>Meals</v>
      </c>
      <c r="N2728" s="1" t="str">
        <f>IF(TRIM(H2728)="","BLANK",IF(PROPER(TRIM(H2728))=TRIM(M2728),"MATCH","MISMATCH"))</f>
        <v>MATCH</v>
      </c>
      <c r="O2728" s="5" t="str">
        <f>INDEX([1]Employee!$C$2:$C$276,MATCH(B2728,[1]Employee!$A$2:$A$276,0))</f>
        <v>Actuarial &amp; Risk</v>
      </c>
    </row>
    <row r="2729" spans="1:15">
      <c r="A2729" s="1" t="s">
        <v>5361</v>
      </c>
      <c r="B2729" s="1" t="s">
        <v>542</v>
      </c>
      <c r="C2729" s="1" t="s">
        <v>5362</v>
      </c>
      <c r="D2729" s="2">
        <v>46169</v>
      </c>
      <c r="E2729" s="2">
        <v>46174</v>
      </c>
      <c r="F2729" s="1" t="s">
        <v>106</v>
      </c>
      <c r="G2729" s="1" t="s">
        <v>13</v>
      </c>
      <c r="H2729" s="1" t="s">
        <v>14</v>
      </c>
      <c r="I2729" s="7">
        <v>248.97</v>
      </c>
      <c r="J2729" s="1" t="s">
        <v>38</v>
      </c>
      <c r="K2729" s="1"/>
      <c r="L2729" s="1" t="s">
        <v>48</v>
      </c>
      <c r="M2729" s="1" t="str">
        <f>INDEX(MCC_Lookup!$B$2:$B$12,MATCH(G2729,MCC_Lookup!$A$2:$A$12,0))</f>
        <v>Software</v>
      </c>
      <c r="N2729" s="1" t="str">
        <f>IF(TRIM(H2729)="","BLANK",IF(PROPER(TRIM(H2729))=TRIM(M2729),"MATCH","MISMATCH"))</f>
        <v>MATCH</v>
      </c>
      <c r="O2729" s="5" t="str">
        <f>INDEX([1]Employee!$C$2:$C$276,MATCH(B2729,[1]Employee!$A$2:$A$276,0))</f>
        <v>Underwriting</v>
      </c>
    </row>
    <row r="2730" spans="1:15">
      <c r="A2730" s="1" t="s">
        <v>5363</v>
      </c>
      <c r="B2730" s="1" t="s">
        <v>1440</v>
      </c>
      <c r="C2730" s="1" t="s">
        <v>5364</v>
      </c>
      <c r="D2730" s="2">
        <v>46166</v>
      </c>
      <c r="E2730" s="2">
        <v>46174</v>
      </c>
      <c r="F2730" s="1" t="s">
        <v>95</v>
      </c>
      <c r="G2730" s="1" t="s">
        <v>6</v>
      </c>
      <c r="H2730" s="1" t="s">
        <v>7</v>
      </c>
      <c r="I2730" s="7">
        <v>338.13</v>
      </c>
      <c r="J2730" s="1" t="s">
        <v>38</v>
      </c>
      <c r="K2730" s="1"/>
      <c r="L2730" s="1" t="s">
        <v>39</v>
      </c>
      <c r="M2730" s="1" t="str">
        <f>INDEX(MCC_Lookup!$B$2:$B$12,MATCH(G2730,MCC_Lookup!$A$2:$A$12,0))</f>
        <v>Lodging</v>
      </c>
      <c r="N2730" s="1" t="str">
        <f>IF(TRIM(H2730)="","BLANK",IF(PROPER(TRIM(H2730))=TRIM(M2730),"MATCH","MISMATCH"))</f>
        <v>MATCH</v>
      </c>
      <c r="O2730" s="5" t="str">
        <f>INDEX([1]Employee!$C$2:$C$276,MATCH(B2730,[1]Employee!$A$2:$A$276,0))</f>
        <v>Claims</v>
      </c>
    </row>
    <row r="2731" spans="1:15">
      <c r="A2731" s="1" t="s">
        <v>5365</v>
      </c>
      <c r="B2731" s="1" t="s">
        <v>349</v>
      </c>
      <c r="C2731" s="1" t="s">
        <v>5366</v>
      </c>
      <c r="D2731" s="2">
        <v>46174</v>
      </c>
      <c r="E2731" s="2">
        <v>46174</v>
      </c>
      <c r="F2731" s="1" t="s">
        <v>242</v>
      </c>
      <c r="G2731" s="1" t="s">
        <v>13</v>
      </c>
      <c r="H2731" s="1" t="s">
        <v>14</v>
      </c>
      <c r="I2731" s="7">
        <v>56.17</v>
      </c>
      <c r="J2731" s="1" t="s">
        <v>38</v>
      </c>
      <c r="K2731" s="1"/>
      <c r="L2731" s="1" t="s">
        <v>39</v>
      </c>
      <c r="M2731" s="1" t="str">
        <f>INDEX(MCC_Lookup!$B$2:$B$12,MATCH(G2731,MCC_Lookup!$A$2:$A$12,0))</f>
        <v>Software</v>
      </c>
      <c r="N2731" s="1" t="str">
        <f>IF(TRIM(H2731)="","BLANK",IF(PROPER(TRIM(H2731))=TRIM(M2731),"MATCH","MISMATCH"))</f>
        <v>MATCH</v>
      </c>
      <c r="O2731" s="5" t="str">
        <f>INDEX([1]Employee!$C$2:$C$276,MATCH(B2731,[1]Employee!$A$2:$A$276,0))</f>
        <v>Sales &amp; Marketing</v>
      </c>
    </row>
    <row r="2732" spans="1:15">
      <c r="A2732" s="1" t="s">
        <v>5367</v>
      </c>
      <c r="B2732" s="1" t="s">
        <v>349</v>
      </c>
      <c r="C2732" s="1"/>
      <c r="D2732" s="2">
        <v>46172</v>
      </c>
      <c r="E2732" s="2">
        <v>46174</v>
      </c>
      <c r="F2732" s="1" t="s">
        <v>65</v>
      </c>
      <c r="G2732" s="1" t="s">
        <v>18</v>
      </c>
      <c r="H2732" s="1"/>
      <c r="I2732" s="7">
        <v>176.86</v>
      </c>
      <c r="J2732" s="1" t="s">
        <v>38</v>
      </c>
      <c r="K2732" s="1"/>
      <c r="L2732" s="1" t="s">
        <v>48</v>
      </c>
      <c r="M2732" s="1" t="str">
        <f>INDEX(MCC_Lookup!$B$2:$B$12,MATCH(G2732,MCC_Lookup!$A$2:$A$12,0))</f>
        <v>Events</v>
      </c>
      <c r="N2732" s="1" t="str">
        <f>IF(TRIM(H2732)="","BLANK",IF(PROPER(TRIM(H2732))=TRIM(M2732),"MATCH","MISMATCH"))</f>
        <v>BLANK</v>
      </c>
      <c r="O2732" s="5" t="str">
        <f>INDEX([1]Employee!$C$2:$C$276,MATCH(B2732,[1]Employee!$A$2:$A$276,0))</f>
        <v>Sales &amp; Marketing</v>
      </c>
    </row>
    <row r="2733" spans="1:15">
      <c r="A2733" s="1" t="s">
        <v>5368</v>
      </c>
      <c r="B2733" s="1" t="s">
        <v>969</v>
      </c>
      <c r="C2733" s="1" t="s">
        <v>5369</v>
      </c>
      <c r="D2733" s="2">
        <v>46171</v>
      </c>
      <c r="E2733" s="2">
        <v>46174</v>
      </c>
      <c r="F2733" s="1" t="s">
        <v>109</v>
      </c>
      <c r="G2733" s="1" t="s">
        <v>18</v>
      </c>
      <c r="H2733" s="1" t="s">
        <v>19</v>
      </c>
      <c r="I2733" s="7">
        <v>165.3</v>
      </c>
      <c r="J2733" s="1" t="s">
        <v>38</v>
      </c>
      <c r="K2733" s="1"/>
      <c r="L2733" s="1" t="s">
        <v>39</v>
      </c>
      <c r="M2733" s="1" t="str">
        <f>INDEX(MCC_Lookup!$B$2:$B$12,MATCH(G2733,MCC_Lookup!$A$2:$A$12,0))</f>
        <v>Events</v>
      </c>
      <c r="N2733" s="1" t="str">
        <f>IF(TRIM(H2733)="","BLANK",IF(PROPER(TRIM(H2733))=TRIM(M2733),"MATCH","MISMATCH"))</f>
        <v>MATCH</v>
      </c>
      <c r="O2733" s="5" t="str">
        <f>INDEX([1]Employee!$C$2:$C$276,MATCH(B2733,[1]Employee!$A$2:$A$276,0))</f>
        <v>HR &amp; Events</v>
      </c>
    </row>
    <row r="2734" spans="1:15">
      <c r="A2734" s="1" t="s">
        <v>5370</v>
      </c>
      <c r="B2734" s="1" t="s">
        <v>810</v>
      </c>
      <c r="C2734" s="1" t="s">
        <v>5371</v>
      </c>
      <c r="D2734" s="2">
        <v>46169</v>
      </c>
      <c r="E2734" s="2">
        <v>46174</v>
      </c>
      <c r="F2734" s="1" t="s">
        <v>201</v>
      </c>
      <c r="G2734" s="1" t="s">
        <v>4</v>
      </c>
      <c r="H2734" s="1" t="s">
        <v>5</v>
      </c>
      <c r="I2734" s="7">
        <v>620.78</v>
      </c>
      <c r="J2734" s="1" t="s">
        <v>38</v>
      </c>
      <c r="K2734" s="1"/>
      <c r="L2734" s="1" t="s">
        <v>39</v>
      </c>
      <c r="M2734" s="1" t="str">
        <f>INDEX(MCC_Lookup!$B$2:$B$12,MATCH(G2734,MCC_Lookup!$A$2:$A$12,0))</f>
        <v>Travel</v>
      </c>
      <c r="N2734" s="1" t="str">
        <f>IF(TRIM(H2734)="","BLANK",IF(PROPER(TRIM(H2734))=TRIM(M2734),"MATCH","MISMATCH"))</f>
        <v>MATCH</v>
      </c>
      <c r="O2734" s="5" t="str">
        <f>INDEX([1]Employee!$C$2:$C$276,MATCH(B2734,[1]Employee!$A$2:$A$276,0))</f>
        <v>Sales &amp; Marketing</v>
      </c>
    </row>
    <row r="2735" spans="1:15">
      <c r="A2735" s="1" t="s">
        <v>5372</v>
      </c>
      <c r="B2735" s="1" t="s">
        <v>292</v>
      </c>
      <c r="C2735" s="1" t="s">
        <v>5373</v>
      </c>
      <c r="D2735" s="2">
        <v>46165</v>
      </c>
      <c r="E2735" s="2">
        <v>46174</v>
      </c>
      <c r="F2735" s="1" t="s">
        <v>61</v>
      </c>
      <c r="G2735" s="1" t="s">
        <v>13</v>
      </c>
      <c r="H2735" s="1" t="s">
        <v>14</v>
      </c>
      <c r="I2735" s="7">
        <v>56.98</v>
      </c>
      <c r="J2735" s="1" t="s">
        <v>38</v>
      </c>
      <c r="K2735" s="1"/>
      <c r="L2735" s="1" t="s">
        <v>39</v>
      </c>
      <c r="M2735" s="1" t="str">
        <f>INDEX(MCC_Lookup!$B$2:$B$12,MATCH(G2735,MCC_Lookup!$A$2:$A$12,0))</f>
        <v>Software</v>
      </c>
      <c r="N2735" s="1" t="str">
        <f>IF(TRIM(H2735)="","BLANK",IF(PROPER(TRIM(H2735))=TRIM(M2735),"MATCH","MISMATCH"))</f>
        <v>MATCH</v>
      </c>
      <c r="O2735" s="5" t="str">
        <f>INDEX([1]Employee!$C$2:$C$276,MATCH(B2735,[1]Employee!$A$2:$A$276,0))</f>
        <v>Sales &amp; Marketing</v>
      </c>
    </row>
    <row r="2736" spans="1:15">
      <c r="A2736" s="1" t="s">
        <v>5374</v>
      </c>
      <c r="B2736" s="1" t="s">
        <v>292</v>
      </c>
      <c r="C2736" s="1" t="s">
        <v>5375</v>
      </c>
      <c r="D2736" s="2">
        <v>46164</v>
      </c>
      <c r="E2736" s="2">
        <v>46174</v>
      </c>
      <c r="F2736" s="1" t="s">
        <v>1507</v>
      </c>
      <c r="G2736" s="1" t="s">
        <v>10</v>
      </c>
      <c r="H2736" s="1" t="s">
        <v>11</v>
      </c>
      <c r="I2736" s="7">
        <v>146.4</v>
      </c>
      <c r="J2736" s="1" t="s">
        <v>38</v>
      </c>
      <c r="K2736" s="1"/>
      <c r="L2736" s="1" t="s">
        <v>39</v>
      </c>
      <c r="M2736" s="1" t="str">
        <f>INDEX(MCC_Lookup!$B$2:$B$12,MATCH(G2736,MCC_Lookup!$A$2:$A$12,0))</f>
        <v>Office Supplies</v>
      </c>
      <c r="N2736" s="1" t="str">
        <f>IF(TRIM(H2736)="","BLANK",IF(PROPER(TRIM(H2736))=TRIM(M2736),"MATCH","MISMATCH"))</f>
        <v>MATCH</v>
      </c>
      <c r="O2736" s="5" t="str">
        <f>INDEX([1]Employee!$C$2:$C$276,MATCH(B2736,[1]Employee!$A$2:$A$276,0))</f>
        <v>Sales &amp; Marketing</v>
      </c>
    </row>
    <row r="2737" spans="1:15">
      <c r="A2737" s="1" t="s">
        <v>5376</v>
      </c>
      <c r="B2737" s="1" t="s">
        <v>280</v>
      </c>
      <c r="C2737" s="1" t="s">
        <v>5377</v>
      </c>
      <c r="D2737" s="2">
        <v>46172</v>
      </c>
      <c r="E2737" s="2">
        <v>46174</v>
      </c>
      <c r="F2737" s="1" t="s">
        <v>242</v>
      </c>
      <c r="G2737" s="1" t="s">
        <v>13</v>
      </c>
      <c r="H2737" s="1" t="s">
        <v>14</v>
      </c>
      <c r="I2737" s="7">
        <v>39.020000000000003</v>
      </c>
      <c r="J2737" s="1" t="s">
        <v>38</v>
      </c>
      <c r="K2737" s="1"/>
      <c r="L2737" s="1" t="s">
        <v>39</v>
      </c>
      <c r="M2737" s="1" t="str">
        <f>INDEX(MCC_Lookup!$B$2:$B$12,MATCH(G2737,MCC_Lookup!$A$2:$A$12,0))</f>
        <v>Software</v>
      </c>
      <c r="N2737" s="1" t="str">
        <f>IF(TRIM(H2737)="","BLANK",IF(PROPER(TRIM(H2737))=TRIM(M2737),"MATCH","MISMATCH"))</f>
        <v>MATCH</v>
      </c>
      <c r="O2737" s="5" t="str">
        <f>INDEX([1]Employee!$C$2:$C$276,MATCH(B2737,[1]Employee!$A$2:$A$276,0))</f>
        <v>Claims</v>
      </c>
    </row>
    <row r="2738" spans="1:15">
      <c r="A2738" s="1" t="s">
        <v>5378</v>
      </c>
      <c r="B2738" s="1" t="s">
        <v>59</v>
      </c>
      <c r="C2738" s="1" t="s">
        <v>5379</v>
      </c>
      <c r="D2738" s="2">
        <v>46170</v>
      </c>
      <c r="E2738" s="2">
        <v>46175</v>
      </c>
      <c r="F2738" s="1" t="s">
        <v>305</v>
      </c>
      <c r="G2738" s="1" t="s">
        <v>2</v>
      </c>
      <c r="H2738" s="1" t="s">
        <v>3</v>
      </c>
      <c r="I2738" s="7">
        <v>7.14</v>
      </c>
      <c r="J2738" s="1" t="s">
        <v>38</v>
      </c>
      <c r="K2738" s="1"/>
      <c r="L2738" s="1" t="s">
        <v>39</v>
      </c>
      <c r="M2738" s="1" t="str">
        <f>INDEX(MCC_Lookup!$B$2:$B$12,MATCH(G2738,MCC_Lookup!$A$2:$A$12,0))</f>
        <v>Meals</v>
      </c>
      <c r="N2738" s="1" t="str">
        <f>IF(TRIM(H2738)="","BLANK",IF(PROPER(TRIM(H2738))=TRIM(M2738),"MATCH","MISMATCH"))</f>
        <v>MATCH</v>
      </c>
      <c r="O2738" s="5" t="str">
        <f>INDEX([1]Employee!$C$2:$C$276,MATCH(B2738,[1]Employee!$A$2:$A$276,0))</f>
        <v>Sales &amp; Marketing</v>
      </c>
    </row>
    <row r="2739" spans="1:15">
      <c r="A2739" s="1" t="s">
        <v>5380</v>
      </c>
      <c r="B2739" s="1" t="s">
        <v>382</v>
      </c>
      <c r="C2739" s="1" t="s">
        <v>5381</v>
      </c>
      <c r="D2739" s="2">
        <v>46171</v>
      </c>
      <c r="E2739" s="2">
        <v>46175</v>
      </c>
      <c r="F2739" s="1" t="s">
        <v>347</v>
      </c>
      <c r="G2739" s="1" t="s">
        <v>8</v>
      </c>
      <c r="H2739" s="1" t="s">
        <v>9</v>
      </c>
      <c r="I2739" s="7">
        <v>22.61</v>
      </c>
      <c r="J2739" s="1" t="s">
        <v>38</v>
      </c>
      <c r="K2739" s="1"/>
      <c r="L2739" s="1" t="s">
        <v>39</v>
      </c>
      <c r="M2739" s="1" t="str">
        <f>INDEX(MCC_Lookup!$B$2:$B$12,MATCH(G2739,MCC_Lookup!$A$2:$A$12,0))</f>
        <v>Transportation</v>
      </c>
      <c r="N2739" s="1" t="str">
        <f>IF(TRIM(H2739)="","BLANK",IF(PROPER(TRIM(H2739))=TRIM(M2739),"MATCH","MISMATCH"))</f>
        <v>MATCH</v>
      </c>
      <c r="O2739" s="5" t="str">
        <f>INDEX([1]Employee!$C$2:$C$276,MATCH(B2739,[1]Employee!$A$2:$A$276,0))</f>
        <v>Sales &amp; Marketing</v>
      </c>
    </row>
    <row r="2740" spans="1:15">
      <c r="A2740" s="1" t="s">
        <v>5382</v>
      </c>
      <c r="B2740" s="1" t="s">
        <v>156</v>
      </c>
      <c r="C2740" s="1" t="s">
        <v>5383</v>
      </c>
      <c r="D2740" s="2">
        <v>46175</v>
      </c>
      <c r="E2740" s="2">
        <v>46175</v>
      </c>
      <c r="F2740" s="1" t="s">
        <v>52</v>
      </c>
      <c r="G2740" s="1" t="s">
        <v>15</v>
      </c>
      <c r="H2740" s="1" t="s">
        <v>16</v>
      </c>
      <c r="I2740" s="7">
        <v>47.36</v>
      </c>
      <c r="J2740" s="1" t="s">
        <v>38</v>
      </c>
      <c r="K2740" s="1"/>
      <c r="L2740" s="1" t="s">
        <v>39</v>
      </c>
      <c r="M2740" s="1" t="str">
        <f>INDEX(MCC_Lookup!$B$2:$B$12,MATCH(G2740,MCC_Lookup!$A$2:$A$12,0))</f>
        <v>Entertainment</v>
      </c>
      <c r="N2740" s="1" t="str">
        <f>IF(TRIM(H2740)="","BLANK",IF(PROPER(TRIM(H2740))=TRIM(M2740),"MATCH","MISMATCH"))</f>
        <v>MATCH</v>
      </c>
      <c r="O2740" s="5" t="str">
        <f>INDEX([1]Employee!$C$2:$C$276,MATCH(B2740,[1]Employee!$A$2:$A$276,0))</f>
        <v>Sales &amp; Marketing</v>
      </c>
    </row>
    <row r="2741" spans="1:15">
      <c r="A2741" s="1" t="s">
        <v>5384</v>
      </c>
      <c r="B2741" s="1" t="s">
        <v>2090</v>
      </c>
      <c r="C2741" s="1"/>
      <c r="D2741" s="2">
        <v>46172</v>
      </c>
      <c r="E2741" s="2">
        <v>46175</v>
      </c>
      <c r="F2741" s="1" t="s">
        <v>83</v>
      </c>
      <c r="G2741" s="1" t="s">
        <v>2</v>
      </c>
      <c r="H2741" s="1" t="s">
        <v>794</v>
      </c>
      <c r="I2741" s="7">
        <v>23.01</v>
      </c>
      <c r="J2741" s="1" t="s">
        <v>111</v>
      </c>
      <c r="K2741" s="1" t="s">
        <v>112</v>
      </c>
      <c r="L2741" s="1" t="s">
        <v>39</v>
      </c>
      <c r="M2741" s="1" t="str">
        <f>INDEX(MCC_Lookup!$B$2:$B$12,MATCH(G2741,MCC_Lookup!$A$2:$A$12,0))</f>
        <v>Meals</v>
      </c>
      <c r="N2741" s="1" t="str">
        <f>IF(TRIM(H2741)="","BLANK",IF(PROPER(TRIM(H2741))=TRIM(M2741),"MATCH","MISMATCH"))</f>
        <v>MATCH</v>
      </c>
      <c r="O2741" s="5" t="str">
        <f>INDEX([1]Employee!$C$2:$C$276,MATCH(B2741,[1]Employee!$A$2:$A$276,0))</f>
        <v>Underwriting</v>
      </c>
    </row>
    <row r="2742" spans="1:15">
      <c r="A2742" s="1" t="s">
        <v>5385</v>
      </c>
      <c r="B2742" s="1" t="s">
        <v>969</v>
      </c>
      <c r="C2742" s="1" t="s">
        <v>5386</v>
      </c>
      <c r="D2742" s="2">
        <v>46174</v>
      </c>
      <c r="E2742" s="2">
        <v>46175</v>
      </c>
      <c r="F2742" s="1" t="s">
        <v>52</v>
      </c>
      <c r="G2742" s="1" t="s">
        <v>15</v>
      </c>
      <c r="H2742" s="1" t="s">
        <v>16</v>
      </c>
      <c r="I2742" s="7">
        <v>55.29</v>
      </c>
      <c r="J2742" s="1" t="s">
        <v>38</v>
      </c>
      <c r="K2742" s="1"/>
      <c r="L2742" s="1" t="s">
        <v>39</v>
      </c>
      <c r="M2742" s="1" t="str">
        <f>INDEX(MCC_Lookup!$B$2:$B$12,MATCH(G2742,MCC_Lookup!$A$2:$A$12,0))</f>
        <v>Entertainment</v>
      </c>
      <c r="N2742" s="1" t="str">
        <f>IF(TRIM(H2742)="","BLANK",IF(PROPER(TRIM(H2742))=TRIM(M2742),"MATCH","MISMATCH"))</f>
        <v>MATCH</v>
      </c>
      <c r="O2742" s="5" t="str">
        <f>INDEX([1]Employee!$C$2:$C$276,MATCH(B2742,[1]Employee!$A$2:$A$276,0))</f>
        <v>HR &amp; Events</v>
      </c>
    </row>
    <row r="2743" spans="1:15">
      <c r="A2743" s="1" t="s">
        <v>5387</v>
      </c>
      <c r="B2743" s="1" t="s">
        <v>267</v>
      </c>
      <c r="C2743" s="1" t="s">
        <v>5388</v>
      </c>
      <c r="D2743" s="2">
        <v>46170</v>
      </c>
      <c r="E2743" s="2">
        <v>46175</v>
      </c>
      <c r="F2743" s="1" t="s">
        <v>92</v>
      </c>
      <c r="G2743" s="1" t="s">
        <v>10</v>
      </c>
      <c r="H2743" s="1" t="s">
        <v>11</v>
      </c>
      <c r="I2743" s="7">
        <v>162.81</v>
      </c>
      <c r="J2743" s="1" t="s">
        <v>38</v>
      </c>
      <c r="K2743" s="1"/>
      <c r="L2743" s="1" t="s">
        <v>48</v>
      </c>
      <c r="M2743" s="1" t="str">
        <f>INDEX(MCC_Lookup!$B$2:$B$12,MATCH(G2743,MCC_Lookup!$A$2:$A$12,0))</f>
        <v>Office Supplies</v>
      </c>
      <c r="N2743" s="1" t="str">
        <f>IF(TRIM(H2743)="","BLANK",IF(PROPER(TRIM(H2743))=TRIM(M2743),"MATCH","MISMATCH"))</f>
        <v>MATCH</v>
      </c>
      <c r="O2743" s="5" t="str">
        <f>INDEX([1]Employee!$C$2:$C$276,MATCH(B2743,[1]Employee!$A$2:$A$276,0))</f>
        <v>Claims</v>
      </c>
    </row>
    <row r="2744" spans="1:15">
      <c r="A2744" s="1" t="s">
        <v>5389</v>
      </c>
      <c r="B2744" s="1" t="s">
        <v>673</v>
      </c>
      <c r="C2744" s="1" t="s">
        <v>5390</v>
      </c>
      <c r="D2744" s="2">
        <v>46172</v>
      </c>
      <c r="E2744" s="2">
        <v>46175</v>
      </c>
      <c r="F2744" s="1" t="s">
        <v>259</v>
      </c>
      <c r="G2744" s="1" t="s">
        <v>20</v>
      </c>
      <c r="H2744" s="1" t="s">
        <v>19</v>
      </c>
      <c r="I2744" s="7">
        <v>166.04</v>
      </c>
      <c r="J2744" s="1" t="s">
        <v>38</v>
      </c>
      <c r="K2744" s="1"/>
      <c r="L2744" s="1" t="s">
        <v>39</v>
      </c>
      <c r="M2744" s="1" t="str">
        <f>INDEX(MCC_Lookup!$B$2:$B$12,MATCH(G2744,MCC_Lookup!$A$2:$A$12,0))</f>
        <v>Events</v>
      </c>
      <c r="N2744" s="1" t="str">
        <f>IF(TRIM(H2744)="","BLANK",IF(PROPER(TRIM(H2744))=TRIM(M2744),"MATCH","MISMATCH"))</f>
        <v>MATCH</v>
      </c>
      <c r="O2744" s="5" t="str">
        <f>INDEX([1]Employee!$C$2:$C$276,MATCH(B2744,[1]Employee!$A$2:$A$276,0))</f>
        <v>HR &amp; Events</v>
      </c>
    </row>
    <row r="2745" spans="1:15">
      <c r="A2745" s="1" t="s">
        <v>5391</v>
      </c>
      <c r="B2745" s="1" t="s">
        <v>1188</v>
      </c>
      <c r="C2745" s="1" t="s">
        <v>5392</v>
      </c>
      <c r="D2745" s="2">
        <v>46171</v>
      </c>
      <c r="E2745" s="2">
        <v>46175</v>
      </c>
      <c r="F2745" s="1" t="s">
        <v>79</v>
      </c>
      <c r="G2745" s="1" t="s">
        <v>13</v>
      </c>
      <c r="H2745" s="1" t="s">
        <v>14</v>
      </c>
      <c r="I2745" s="7">
        <v>243.8</v>
      </c>
      <c r="J2745" s="1" t="s">
        <v>38</v>
      </c>
      <c r="K2745" s="1"/>
      <c r="L2745" s="1" t="s">
        <v>39</v>
      </c>
      <c r="M2745" s="1" t="str">
        <f>INDEX(MCC_Lookup!$B$2:$B$12,MATCH(G2745,MCC_Lookup!$A$2:$A$12,0))</f>
        <v>Software</v>
      </c>
      <c r="N2745" s="1" t="str">
        <f>IF(TRIM(H2745)="","BLANK",IF(PROPER(TRIM(H2745))=TRIM(M2745),"MATCH","MISMATCH"))</f>
        <v>MATCH</v>
      </c>
      <c r="O2745" s="5" t="str">
        <f>INDEX([1]Employee!$C$2:$C$276,MATCH(B2745,[1]Employee!$A$2:$A$276,0))</f>
        <v>Executive &amp; Corporate</v>
      </c>
    </row>
    <row r="2746" spans="1:15">
      <c r="A2746" s="1" t="s">
        <v>5393</v>
      </c>
      <c r="B2746" s="1" t="s">
        <v>709</v>
      </c>
      <c r="C2746" s="1" t="s">
        <v>5394</v>
      </c>
      <c r="D2746" s="2">
        <v>46170</v>
      </c>
      <c r="E2746" s="2">
        <v>46175</v>
      </c>
      <c r="F2746" s="1" t="s">
        <v>124</v>
      </c>
      <c r="G2746" s="1" t="s">
        <v>17</v>
      </c>
      <c r="H2746" s="1" t="s">
        <v>16</v>
      </c>
      <c r="I2746" s="7">
        <v>144.91999999999999</v>
      </c>
      <c r="J2746" s="1" t="s">
        <v>38</v>
      </c>
      <c r="K2746" s="1"/>
      <c r="L2746" s="1" t="s">
        <v>39</v>
      </c>
      <c r="M2746" s="1" t="str">
        <f>INDEX(MCC_Lookup!$B$2:$B$12,MATCH(G2746,MCC_Lookup!$A$2:$A$12,0))</f>
        <v>Entertainment</v>
      </c>
      <c r="N2746" s="1" t="str">
        <f>IF(TRIM(H2746)="","BLANK",IF(PROPER(TRIM(H2746))=TRIM(M2746),"MATCH","MISMATCH"))</f>
        <v>MATCH</v>
      </c>
      <c r="O2746" s="5" t="str">
        <f>INDEX([1]Employee!$C$2:$C$276,MATCH(B2746,[1]Employee!$A$2:$A$276,0))</f>
        <v>Underwriting</v>
      </c>
    </row>
    <row r="2747" spans="1:15">
      <c r="A2747" s="1" t="s">
        <v>5395</v>
      </c>
      <c r="B2747" s="1" t="s">
        <v>1427</v>
      </c>
      <c r="C2747" s="1"/>
      <c r="D2747" s="2">
        <v>46165</v>
      </c>
      <c r="E2747" s="2">
        <v>46175</v>
      </c>
      <c r="F2747" s="1" t="s">
        <v>61</v>
      </c>
      <c r="G2747" s="1" t="s">
        <v>13</v>
      </c>
      <c r="H2747" s="1" t="s">
        <v>14</v>
      </c>
      <c r="I2747" s="7">
        <v>86.41</v>
      </c>
      <c r="J2747" s="1" t="s">
        <v>38</v>
      </c>
      <c r="K2747" s="1"/>
      <c r="L2747" s="1" t="s">
        <v>39</v>
      </c>
      <c r="M2747" s="1" t="str">
        <f>INDEX(MCC_Lookup!$B$2:$B$12,MATCH(G2747,MCC_Lookup!$A$2:$A$12,0))</f>
        <v>Software</v>
      </c>
      <c r="N2747" s="1" t="str">
        <f>IF(TRIM(H2747)="","BLANK",IF(PROPER(TRIM(H2747))=TRIM(M2747),"MATCH","MISMATCH"))</f>
        <v>MATCH</v>
      </c>
      <c r="O2747" s="5" t="str">
        <f>INDEX([1]Employee!$C$2:$C$276,MATCH(B2747,[1]Employee!$A$2:$A$276,0))</f>
        <v>Finance</v>
      </c>
    </row>
    <row r="2748" spans="1:15">
      <c r="A2748" s="1" t="s">
        <v>5396</v>
      </c>
      <c r="B2748" s="1" t="s">
        <v>677</v>
      </c>
      <c r="C2748" s="1" t="s">
        <v>5397</v>
      </c>
      <c r="D2748" s="2">
        <v>46173</v>
      </c>
      <c r="E2748" s="2">
        <v>46175</v>
      </c>
      <c r="F2748" s="1" t="s">
        <v>37</v>
      </c>
      <c r="G2748" s="1" t="s">
        <v>4</v>
      </c>
      <c r="H2748" s="1" t="s">
        <v>5</v>
      </c>
      <c r="I2748" s="7">
        <v>227.43</v>
      </c>
      <c r="J2748" s="1" t="s">
        <v>38</v>
      </c>
      <c r="K2748" s="1"/>
      <c r="L2748" s="1" t="s">
        <v>39</v>
      </c>
      <c r="M2748" s="1" t="str">
        <f>INDEX(MCC_Lookup!$B$2:$B$12,MATCH(G2748,MCC_Lookup!$A$2:$A$12,0))</f>
        <v>Travel</v>
      </c>
      <c r="N2748" s="1" t="str">
        <f>IF(TRIM(H2748)="","BLANK",IF(PROPER(TRIM(H2748))=TRIM(M2748),"MATCH","MISMATCH"))</f>
        <v>MATCH</v>
      </c>
      <c r="O2748" s="5" t="str">
        <f>INDEX([1]Employee!$C$2:$C$276,MATCH(B2748,[1]Employee!$A$2:$A$276,0))</f>
        <v>Sales &amp; Marketing</v>
      </c>
    </row>
    <row r="2749" spans="1:15">
      <c r="A2749" s="1" t="s">
        <v>5398</v>
      </c>
      <c r="B2749" s="1" t="s">
        <v>667</v>
      </c>
      <c r="C2749" s="1"/>
      <c r="D2749" s="2">
        <v>46167</v>
      </c>
      <c r="E2749" s="2">
        <v>46175</v>
      </c>
      <c r="F2749" s="1" t="s">
        <v>65</v>
      </c>
      <c r="G2749" s="1" t="s">
        <v>18</v>
      </c>
      <c r="H2749" s="1" t="s">
        <v>19</v>
      </c>
      <c r="I2749" s="7">
        <v>380.92</v>
      </c>
      <c r="J2749" s="1" t="s">
        <v>111</v>
      </c>
      <c r="K2749" s="1" t="s">
        <v>229</v>
      </c>
      <c r="L2749" s="1" t="s">
        <v>39</v>
      </c>
      <c r="M2749" s="1" t="str">
        <f>INDEX(MCC_Lookup!$B$2:$B$12,MATCH(G2749,MCC_Lookup!$A$2:$A$12,0))</f>
        <v>Events</v>
      </c>
      <c r="N2749" s="1" t="str">
        <f>IF(TRIM(H2749)="","BLANK",IF(PROPER(TRIM(H2749))=TRIM(M2749),"MATCH","MISMATCH"))</f>
        <v>MATCH</v>
      </c>
      <c r="O2749" s="5" t="str">
        <f>INDEX([1]Employee!$C$2:$C$276,MATCH(B2749,[1]Employee!$A$2:$A$276,0))</f>
        <v>Sales &amp; Marketing</v>
      </c>
    </row>
    <row r="2750" spans="1:15">
      <c r="A2750" s="1" t="s">
        <v>5399</v>
      </c>
      <c r="B2750" s="1" t="s">
        <v>732</v>
      </c>
      <c r="C2750" s="1" t="s">
        <v>5400</v>
      </c>
      <c r="D2750" s="2">
        <v>46166</v>
      </c>
      <c r="E2750" s="2">
        <v>46175</v>
      </c>
      <c r="F2750" s="1" t="s">
        <v>242</v>
      </c>
      <c r="G2750" s="1" t="s">
        <v>13</v>
      </c>
      <c r="H2750" s="1" t="s">
        <v>9</v>
      </c>
      <c r="I2750" s="7">
        <v>27.65</v>
      </c>
      <c r="J2750" s="1" t="s">
        <v>38</v>
      </c>
      <c r="K2750" s="1"/>
      <c r="L2750" s="1" t="s">
        <v>48</v>
      </c>
      <c r="M2750" s="1" t="str">
        <f>INDEX(MCC_Lookup!$B$2:$B$12,MATCH(G2750,MCC_Lookup!$A$2:$A$12,0))</f>
        <v>Software</v>
      </c>
      <c r="N2750" s="1" t="str">
        <f>IF(TRIM(H2750)="","BLANK",IF(PROPER(TRIM(H2750))=TRIM(M2750),"MATCH","MISMATCH"))</f>
        <v>MISMATCH</v>
      </c>
      <c r="O2750" s="5" t="str">
        <f>INDEX([1]Employee!$C$2:$C$276,MATCH(B2750,[1]Employee!$A$2:$A$276,0))</f>
        <v>Underwriting</v>
      </c>
    </row>
    <row r="2751" spans="1:15">
      <c r="A2751" s="1" t="s">
        <v>5401</v>
      </c>
      <c r="B2751" s="1" t="s">
        <v>789</v>
      </c>
      <c r="C2751" s="1" t="s">
        <v>5402</v>
      </c>
      <c r="D2751" s="2">
        <v>46165</v>
      </c>
      <c r="E2751" s="2">
        <v>46175</v>
      </c>
      <c r="F2751" s="1" t="s">
        <v>76</v>
      </c>
      <c r="G2751" s="1" t="s">
        <v>13</v>
      </c>
      <c r="H2751" s="1" t="s">
        <v>14</v>
      </c>
      <c r="I2751" s="7">
        <v>449.87</v>
      </c>
      <c r="J2751" s="1" t="s">
        <v>38</v>
      </c>
      <c r="K2751" s="1"/>
      <c r="L2751" s="1" t="s">
        <v>39</v>
      </c>
      <c r="M2751" s="1" t="str">
        <f>INDEX(MCC_Lookup!$B$2:$B$12,MATCH(G2751,MCC_Lookup!$A$2:$A$12,0))</f>
        <v>Software</v>
      </c>
      <c r="N2751" s="1" t="str">
        <f>IF(TRIM(H2751)="","BLANK",IF(PROPER(TRIM(H2751))=TRIM(M2751),"MATCH","MISMATCH"))</f>
        <v>MATCH</v>
      </c>
      <c r="O2751" s="5" t="str">
        <f>INDEX([1]Employee!$C$2:$C$276,MATCH(B2751,[1]Employee!$A$2:$A$276,0))</f>
        <v>Actuarial &amp; Risk</v>
      </c>
    </row>
    <row r="2752" spans="1:15">
      <c r="A2752" s="1" t="s">
        <v>5403</v>
      </c>
      <c r="B2752" s="1" t="s">
        <v>763</v>
      </c>
      <c r="C2752" s="1"/>
      <c r="D2752" s="2">
        <v>46170</v>
      </c>
      <c r="E2752" s="2">
        <v>46175</v>
      </c>
      <c r="F2752" s="1" t="s">
        <v>52</v>
      </c>
      <c r="G2752" s="1" t="s">
        <v>15</v>
      </c>
      <c r="H2752" s="1" t="s">
        <v>16</v>
      </c>
      <c r="I2752" s="7">
        <v>20.86</v>
      </c>
      <c r="J2752" s="1" t="s">
        <v>38</v>
      </c>
      <c r="K2752" s="1"/>
      <c r="L2752" s="1" t="s">
        <v>39</v>
      </c>
      <c r="M2752" s="1" t="str">
        <f>INDEX(MCC_Lookup!$B$2:$B$12,MATCH(G2752,MCC_Lookup!$A$2:$A$12,0))</f>
        <v>Entertainment</v>
      </c>
      <c r="N2752" s="1" t="str">
        <f>IF(TRIM(H2752)="","BLANK",IF(PROPER(TRIM(H2752))=TRIM(M2752),"MATCH","MISMATCH"))</f>
        <v>MATCH</v>
      </c>
      <c r="O2752" s="5" t="str">
        <f>INDEX([1]Employee!$C$2:$C$276,MATCH(B2752,[1]Employee!$A$2:$A$276,0))</f>
        <v>Executive &amp; Corporate</v>
      </c>
    </row>
    <row r="2753" spans="1:15">
      <c r="A2753" s="1" t="s">
        <v>5404</v>
      </c>
      <c r="B2753" s="1" t="s">
        <v>3348</v>
      </c>
      <c r="C2753" s="1" t="s">
        <v>5405</v>
      </c>
      <c r="D2753" s="2">
        <v>46176</v>
      </c>
      <c r="E2753" s="2">
        <v>46176</v>
      </c>
      <c r="F2753" s="1" t="s">
        <v>56</v>
      </c>
      <c r="G2753" s="1" t="s">
        <v>4</v>
      </c>
      <c r="H2753" s="1" t="s">
        <v>5</v>
      </c>
      <c r="I2753" s="7">
        <v>632.87</v>
      </c>
      <c r="J2753" s="1" t="s">
        <v>38</v>
      </c>
      <c r="K2753" s="1"/>
      <c r="L2753" s="1" t="s">
        <v>39</v>
      </c>
      <c r="M2753" s="1" t="str">
        <f>INDEX(MCC_Lookup!$B$2:$B$12,MATCH(G2753,MCC_Lookup!$A$2:$A$12,0))</f>
        <v>Travel</v>
      </c>
      <c r="N2753" s="1" t="str">
        <f>IF(TRIM(H2753)="","BLANK",IF(PROPER(TRIM(H2753))=TRIM(M2753),"MATCH","MISMATCH"))</f>
        <v>MATCH</v>
      </c>
      <c r="O2753" s="5" t="str">
        <f>INDEX([1]Employee!$C$2:$C$276,MATCH(B2753,[1]Employee!$A$2:$A$276,0))</f>
        <v>Underwriting</v>
      </c>
    </row>
    <row r="2754" spans="1:15">
      <c r="A2754" s="1" t="s">
        <v>5406</v>
      </c>
      <c r="B2754" s="1" t="s">
        <v>1279</v>
      </c>
      <c r="C2754" s="1"/>
      <c r="D2754" s="2">
        <v>46174</v>
      </c>
      <c r="E2754" s="2">
        <v>46176</v>
      </c>
      <c r="F2754" s="1" t="s">
        <v>43</v>
      </c>
      <c r="G2754" s="1" t="s">
        <v>2</v>
      </c>
      <c r="H2754" s="1" t="s">
        <v>19</v>
      </c>
      <c r="I2754" s="7">
        <v>18.93</v>
      </c>
      <c r="J2754" s="1" t="s">
        <v>111</v>
      </c>
      <c r="K2754" s="1" t="s">
        <v>161</v>
      </c>
      <c r="L2754" s="1" t="s">
        <v>39</v>
      </c>
      <c r="M2754" s="1" t="str">
        <f>INDEX(MCC_Lookup!$B$2:$B$12,MATCH(G2754,MCC_Lookup!$A$2:$A$12,0))</f>
        <v>Meals</v>
      </c>
      <c r="N2754" s="1" t="str">
        <f>IF(TRIM(H2754)="","BLANK",IF(PROPER(TRIM(H2754))=TRIM(M2754),"MATCH","MISMATCH"))</f>
        <v>MISMATCH</v>
      </c>
      <c r="O2754" s="5" t="str">
        <f>INDEX([1]Employee!$C$2:$C$276,MATCH(B2754,[1]Employee!$A$2:$A$276,0))</f>
        <v>IT &amp; Platform Engineering</v>
      </c>
    </row>
    <row r="2755" spans="1:15">
      <c r="A2755" s="1" t="s">
        <v>5407</v>
      </c>
      <c r="B2755" s="1" t="s">
        <v>648</v>
      </c>
      <c r="C2755" s="1" t="s">
        <v>5408</v>
      </c>
      <c r="D2755" s="2">
        <v>46169</v>
      </c>
      <c r="E2755" s="2">
        <v>46176</v>
      </c>
      <c r="F2755" s="1" t="s">
        <v>72</v>
      </c>
      <c r="G2755" s="1" t="s">
        <v>8</v>
      </c>
      <c r="H2755" s="1" t="s">
        <v>9</v>
      </c>
      <c r="I2755" s="7">
        <v>38.89</v>
      </c>
      <c r="J2755" s="1" t="s">
        <v>38</v>
      </c>
      <c r="K2755" s="1"/>
      <c r="L2755" s="1" t="s">
        <v>39</v>
      </c>
      <c r="M2755" s="1" t="str">
        <f>INDEX(MCC_Lookup!$B$2:$B$12,MATCH(G2755,MCC_Lookup!$A$2:$A$12,0))</f>
        <v>Transportation</v>
      </c>
      <c r="N2755" s="1" t="str">
        <f>IF(TRIM(H2755)="","BLANK",IF(PROPER(TRIM(H2755))=TRIM(M2755),"MATCH","MISMATCH"))</f>
        <v>MATCH</v>
      </c>
      <c r="O2755" s="5" t="str">
        <f>INDEX([1]Employee!$C$2:$C$276,MATCH(B2755,[1]Employee!$A$2:$A$276,0))</f>
        <v>Sales &amp; Marketing</v>
      </c>
    </row>
    <row r="2756" spans="1:15">
      <c r="A2756" s="1" t="s">
        <v>5409</v>
      </c>
      <c r="B2756" s="1" t="s">
        <v>475</v>
      </c>
      <c r="C2756" s="1"/>
      <c r="D2756" s="2">
        <v>46176</v>
      </c>
      <c r="E2756" s="2">
        <v>46176</v>
      </c>
      <c r="F2756" s="1" t="s">
        <v>177</v>
      </c>
      <c r="G2756" s="1" t="s">
        <v>13</v>
      </c>
      <c r="H2756" s="1" t="s">
        <v>14</v>
      </c>
      <c r="I2756" s="7">
        <v>40.22</v>
      </c>
      <c r="J2756" s="1" t="s">
        <v>111</v>
      </c>
      <c r="K2756" s="1" t="s">
        <v>112</v>
      </c>
      <c r="L2756" s="1" t="s">
        <v>39</v>
      </c>
      <c r="M2756" s="1" t="str">
        <f>INDEX(MCC_Lookup!$B$2:$B$12,MATCH(G2756,MCC_Lookup!$A$2:$A$12,0))</f>
        <v>Software</v>
      </c>
      <c r="N2756" s="1" t="str">
        <f>IF(TRIM(H2756)="","BLANK",IF(PROPER(TRIM(H2756))=TRIM(M2756),"MATCH","MISMATCH"))</f>
        <v>MATCH</v>
      </c>
      <c r="O2756" s="5" t="str">
        <f>INDEX([1]Employee!$C$2:$C$276,MATCH(B2756,[1]Employee!$A$2:$A$276,0))</f>
        <v>Sales &amp; Marketing</v>
      </c>
    </row>
    <row r="2757" spans="1:15">
      <c r="A2757" s="1" t="s">
        <v>5410</v>
      </c>
      <c r="B2757" s="1" t="s">
        <v>171</v>
      </c>
      <c r="C2757" s="1" t="s">
        <v>5411</v>
      </c>
      <c r="D2757" s="2">
        <v>46175</v>
      </c>
      <c r="E2757" s="2">
        <v>46176</v>
      </c>
      <c r="F2757" s="1" t="s">
        <v>52</v>
      </c>
      <c r="G2757" s="1" t="s">
        <v>15</v>
      </c>
      <c r="H2757" s="1" t="s">
        <v>16</v>
      </c>
      <c r="I2757" s="7">
        <v>45.68</v>
      </c>
      <c r="J2757" s="1" t="s">
        <v>38</v>
      </c>
      <c r="K2757" s="1"/>
      <c r="L2757" s="1" t="s">
        <v>48</v>
      </c>
      <c r="M2757" s="1" t="str">
        <f>INDEX(MCC_Lookup!$B$2:$B$12,MATCH(G2757,MCC_Lookup!$A$2:$A$12,0))</f>
        <v>Entertainment</v>
      </c>
      <c r="N2757" s="1" t="str">
        <f>IF(TRIM(H2757)="","BLANK",IF(PROPER(TRIM(H2757))=TRIM(M2757),"MATCH","MISMATCH"))</f>
        <v>MATCH</v>
      </c>
      <c r="O2757" s="5" t="str">
        <f>INDEX([1]Employee!$C$2:$C$276,MATCH(B2757,[1]Employee!$A$2:$A$276,0))</f>
        <v>Claims</v>
      </c>
    </row>
    <row r="2758" spans="1:15">
      <c r="A2758" s="1" t="s">
        <v>5412</v>
      </c>
      <c r="B2758" s="1" t="s">
        <v>664</v>
      </c>
      <c r="C2758" s="1" t="s">
        <v>5413</v>
      </c>
      <c r="D2758" s="2">
        <v>46169</v>
      </c>
      <c r="E2758" s="2">
        <v>46176</v>
      </c>
      <c r="F2758" s="1" t="s">
        <v>37</v>
      </c>
      <c r="G2758" s="1" t="s">
        <v>4</v>
      </c>
      <c r="H2758" s="1" t="s">
        <v>5</v>
      </c>
      <c r="I2758" s="7">
        <v>471.73</v>
      </c>
      <c r="J2758" s="1" t="s">
        <v>38</v>
      </c>
      <c r="K2758" s="1"/>
      <c r="L2758" s="1" t="s">
        <v>39</v>
      </c>
      <c r="M2758" s="1" t="str">
        <f>INDEX(MCC_Lookup!$B$2:$B$12,MATCH(G2758,MCC_Lookup!$A$2:$A$12,0))</f>
        <v>Travel</v>
      </c>
      <c r="N2758" s="1" t="str">
        <f>IF(TRIM(H2758)="","BLANK",IF(PROPER(TRIM(H2758))=TRIM(M2758),"MATCH","MISMATCH"))</f>
        <v>MATCH</v>
      </c>
      <c r="O2758" s="5" t="str">
        <f>INDEX([1]Employee!$C$2:$C$276,MATCH(B2758,[1]Employee!$A$2:$A$276,0))</f>
        <v>Actuarial &amp; Risk</v>
      </c>
    </row>
    <row r="2759" spans="1:15">
      <c r="A2759" s="1" t="s">
        <v>5414</v>
      </c>
      <c r="B2759" s="1" t="s">
        <v>399</v>
      </c>
      <c r="C2759" s="1" t="s">
        <v>5415</v>
      </c>
      <c r="D2759" s="2">
        <v>46173</v>
      </c>
      <c r="E2759" s="2">
        <v>46176</v>
      </c>
      <c r="F2759" s="1" t="s">
        <v>173</v>
      </c>
      <c r="G2759" s="1" t="s">
        <v>2</v>
      </c>
      <c r="H2759" s="1" t="s">
        <v>3</v>
      </c>
      <c r="I2759" s="7">
        <v>44.12</v>
      </c>
      <c r="J2759" s="1" t="s">
        <v>38</v>
      </c>
      <c r="K2759" s="1"/>
      <c r="L2759" s="1" t="s">
        <v>39</v>
      </c>
      <c r="M2759" s="1" t="str">
        <f>INDEX(MCC_Lookup!$B$2:$B$12,MATCH(G2759,MCC_Lookup!$A$2:$A$12,0))</f>
        <v>Meals</v>
      </c>
      <c r="N2759" s="1" t="str">
        <f>IF(TRIM(H2759)="","BLANK",IF(PROPER(TRIM(H2759))=TRIM(M2759),"MATCH","MISMATCH"))</f>
        <v>MATCH</v>
      </c>
      <c r="O2759" s="5" t="str">
        <f>INDEX([1]Employee!$C$2:$C$276,MATCH(B2759,[1]Employee!$A$2:$A$276,0))</f>
        <v>IT &amp; Platform Engineering</v>
      </c>
    </row>
    <row r="2760" spans="1:15">
      <c r="A2760" s="1" t="s">
        <v>5416</v>
      </c>
      <c r="B2760" s="1" t="s">
        <v>426</v>
      </c>
      <c r="C2760" s="1" t="s">
        <v>5417</v>
      </c>
      <c r="D2760" s="2">
        <v>46170</v>
      </c>
      <c r="E2760" s="2">
        <v>46176</v>
      </c>
      <c r="F2760" s="1" t="s">
        <v>201</v>
      </c>
      <c r="G2760" s="1" t="s">
        <v>4</v>
      </c>
      <c r="H2760" s="1" t="s">
        <v>5</v>
      </c>
      <c r="I2760" s="7">
        <v>676.82</v>
      </c>
      <c r="J2760" s="1" t="s">
        <v>38</v>
      </c>
      <c r="K2760" s="1"/>
      <c r="L2760" s="1" t="s">
        <v>39</v>
      </c>
      <c r="M2760" s="1" t="str">
        <f>INDEX(MCC_Lookup!$B$2:$B$12,MATCH(G2760,MCC_Lookup!$A$2:$A$12,0))</f>
        <v>Travel</v>
      </c>
      <c r="N2760" s="1" t="str">
        <f>IF(TRIM(H2760)="","BLANK",IF(PROPER(TRIM(H2760))=TRIM(M2760),"MATCH","MISMATCH"))</f>
        <v>MATCH</v>
      </c>
      <c r="O2760" s="5" t="str">
        <f>INDEX([1]Employee!$C$2:$C$276,MATCH(B2760,[1]Employee!$A$2:$A$276,0))</f>
        <v>Sales &amp; Marketing</v>
      </c>
    </row>
    <row r="2761" spans="1:15">
      <c r="A2761" s="1" t="s">
        <v>5418</v>
      </c>
      <c r="B2761" s="1" t="s">
        <v>4201</v>
      </c>
      <c r="C2761" s="1" t="s">
        <v>5419</v>
      </c>
      <c r="D2761" s="2">
        <v>46171</v>
      </c>
      <c r="E2761" s="2">
        <v>46176</v>
      </c>
      <c r="F2761" s="1" t="s">
        <v>2059</v>
      </c>
      <c r="G2761" s="1" t="s">
        <v>13</v>
      </c>
      <c r="H2761" s="1"/>
      <c r="I2761" s="7">
        <v>107.84</v>
      </c>
      <c r="J2761" s="1" t="s">
        <v>38</v>
      </c>
      <c r="K2761" s="1"/>
      <c r="L2761" s="1" t="s">
        <v>39</v>
      </c>
      <c r="M2761" s="1" t="str">
        <f>INDEX(MCC_Lookup!$B$2:$B$12,MATCH(G2761,MCC_Lookup!$A$2:$A$12,0))</f>
        <v>Software</v>
      </c>
      <c r="N2761" s="1" t="str">
        <f>IF(TRIM(H2761)="","BLANK",IF(PROPER(TRIM(H2761))=TRIM(M2761),"MATCH","MISMATCH"))</f>
        <v>BLANK</v>
      </c>
      <c r="O2761" s="5" t="str">
        <f>INDEX([1]Employee!$C$2:$C$276,MATCH(B2761,[1]Employee!$A$2:$A$276,0))</f>
        <v>Customer Support</v>
      </c>
    </row>
    <row r="2762" spans="1:15">
      <c r="A2762" s="1" t="s">
        <v>5420</v>
      </c>
      <c r="B2762" s="1" t="s">
        <v>325</v>
      </c>
      <c r="C2762" s="1" t="s">
        <v>5421</v>
      </c>
      <c r="D2762" s="2">
        <v>46173</v>
      </c>
      <c r="E2762" s="2">
        <v>46176</v>
      </c>
      <c r="F2762" s="1" t="s">
        <v>116</v>
      </c>
      <c r="G2762" s="1" t="s">
        <v>2</v>
      </c>
      <c r="H2762" s="1" t="s">
        <v>3</v>
      </c>
      <c r="I2762" s="7">
        <v>15.22</v>
      </c>
      <c r="J2762" s="1" t="s">
        <v>38</v>
      </c>
      <c r="K2762" s="1"/>
      <c r="L2762" s="1" t="s">
        <v>39</v>
      </c>
      <c r="M2762" s="1" t="str">
        <f>INDEX(MCC_Lookup!$B$2:$B$12,MATCH(G2762,MCC_Lookup!$A$2:$A$12,0))</f>
        <v>Meals</v>
      </c>
      <c r="N2762" s="1" t="str">
        <f>IF(TRIM(H2762)="","BLANK",IF(PROPER(TRIM(H2762))=TRIM(M2762),"MATCH","MISMATCH"))</f>
        <v>MATCH</v>
      </c>
      <c r="O2762" s="5" t="str">
        <f>INDEX([1]Employee!$C$2:$C$276,MATCH(B2762,[1]Employee!$A$2:$A$276,0))</f>
        <v>Sales &amp; Marketing</v>
      </c>
    </row>
    <row r="2763" spans="1:15">
      <c r="A2763" s="1" t="s">
        <v>5422</v>
      </c>
      <c r="B2763" s="1" t="s">
        <v>325</v>
      </c>
      <c r="C2763" s="1" t="s">
        <v>5423</v>
      </c>
      <c r="D2763" s="2">
        <v>46175</v>
      </c>
      <c r="E2763" s="2">
        <v>46176</v>
      </c>
      <c r="F2763" s="1" t="s">
        <v>305</v>
      </c>
      <c r="G2763" s="1" t="s">
        <v>2</v>
      </c>
      <c r="H2763" s="1" t="s">
        <v>3</v>
      </c>
      <c r="I2763" s="7">
        <v>12.32</v>
      </c>
      <c r="J2763" s="1" t="s">
        <v>38</v>
      </c>
      <c r="K2763" s="1"/>
      <c r="L2763" s="1" t="s">
        <v>48</v>
      </c>
      <c r="M2763" s="1" t="str">
        <f>INDEX(MCC_Lookup!$B$2:$B$12,MATCH(G2763,MCC_Lookup!$A$2:$A$12,0))</f>
        <v>Meals</v>
      </c>
      <c r="N2763" s="1" t="str">
        <f>IF(TRIM(H2763)="","BLANK",IF(PROPER(TRIM(H2763))=TRIM(M2763),"MATCH","MISMATCH"))</f>
        <v>MATCH</v>
      </c>
      <c r="O2763" s="5" t="str">
        <f>INDEX([1]Employee!$C$2:$C$276,MATCH(B2763,[1]Employee!$A$2:$A$276,0))</f>
        <v>Sales &amp; Marketing</v>
      </c>
    </row>
    <row r="2764" spans="1:15">
      <c r="A2764" s="1" t="s">
        <v>5424</v>
      </c>
      <c r="B2764" s="1" t="s">
        <v>90</v>
      </c>
      <c r="C2764" s="1" t="s">
        <v>5425</v>
      </c>
      <c r="D2764" s="2">
        <v>46169</v>
      </c>
      <c r="E2764" s="2">
        <v>46176</v>
      </c>
      <c r="F2764" s="1" t="s">
        <v>109</v>
      </c>
      <c r="G2764" s="1" t="s">
        <v>18</v>
      </c>
      <c r="H2764" s="1" t="s">
        <v>19</v>
      </c>
      <c r="I2764" s="7">
        <v>111.28</v>
      </c>
      <c r="J2764" s="1" t="s">
        <v>38</v>
      </c>
      <c r="K2764" s="1"/>
      <c r="L2764" s="1" t="s">
        <v>39</v>
      </c>
      <c r="M2764" s="1" t="str">
        <f>INDEX(MCC_Lookup!$B$2:$B$12,MATCH(G2764,MCC_Lookup!$A$2:$A$12,0))</f>
        <v>Events</v>
      </c>
      <c r="N2764" s="1" t="str">
        <f>IF(TRIM(H2764)="","BLANK",IF(PROPER(TRIM(H2764))=TRIM(M2764),"MATCH","MISMATCH"))</f>
        <v>MATCH</v>
      </c>
      <c r="O2764" s="5" t="str">
        <f>INDEX([1]Employee!$C$2:$C$276,MATCH(B2764,[1]Employee!$A$2:$A$276,0))</f>
        <v>Sales &amp; Marketing</v>
      </c>
    </row>
    <row r="2765" spans="1:15">
      <c r="A2765" s="1" t="s">
        <v>5426</v>
      </c>
      <c r="B2765" s="1" t="s">
        <v>550</v>
      </c>
      <c r="C2765" s="1" t="s">
        <v>5427</v>
      </c>
      <c r="D2765" s="2">
        <v>46176</v>
      </c>
      <c r="E2765" s="2">
        <v>46176</v>
      </c>
      <c r="F2765" s="1" t="s">
        <v>69</v>
      </c>
      <c r="G2765" s="1" t="s">
        <v>8</v>
      </c>
      <c r="H2765" s="1" t="s">
        <v>9</v>
      </c>
      <c r="I2765" s="7">
        <v>12.83</v>
      </c>
      <c r="J2765" s="1" t="s">
        <v>38</v>
      </c>
      <c r="K2765" s="1"/>
      <c r="L2765" s="1" t="s">
        <v>39</v>
      </c>
      <c r="M2765" s="1" t="str">
        <f>INDEX(MCC_Lookup!$B$2:$B$12,MATCH(G2765,MCC_Lookup!$A$2:$A$12,0))</f>
        <v>Transportation</v>
      </c>
      <c r="N2765" s="1" t="str">
        <f>IF(TRIM(H2765)="","BLANK",IF(PROPER(TRIM(H2765))=TRIM(M2765),"MATCH","MISMATCH"))</f>
        <v>MATCH</v>
      </c>
      <c r="O2765" s="5" t="str">
        <f>INDEX([1]Employee!$C$2:$C$276,MATCH(B2765,[1]Employee!$A$2:$A$276,0))</f>
        <v>Sales &amp; Marketing</v>
      </c>
    </row>
    <row r="2766" spans="1:15">
      <c r="A2766" s="1" t="s">
        <v>5428</v>
      </c>
      <c r="B2766" s="1" t="s">
        <v>317</v>
      </c>
      <c r="C2766" s="1" t="s">
        <v>5429</v>
      </c>
      <c r="D2766" s="2">
        <v>46169</v>
      </c>
      <c r="E2766" s="2">
        <v>46176</v>
      </c>
      <c r="F2766" s="1" t="s">
        <v>37</v>
      </c>
      <c r="G2766" s="1" t="s">
        <v>4</v>
      </c>
      <c r="H2766" s="1" t="s">
        <v>5</v>
      </c>
      <c r="I2766" s="7">
        <v>253.51</v>
      </c>
      <c r="J2766" s="1" t="s">
        <v>38</v>
      </c>
      <c r="K2766" s="1"/>
      <c r="L2766" s="1" t="s">
        <v>39</v>
      </c>
      <c r="M2766" s="1" t="str">
        <f>INDEX(MCC_Lookup!$B$2:$B$12,MATCH(G2766,MCC_Lookup!$A$2:$A$12,0))</f>
        <v>Travel</v>
      </c>
      <c r="N2766" s="1" t="str">
        <f>IF(TRIM(H2766)="","BLANK",IF(PROPER(TRIM(H2766))=TRIM(M2766),"MATCH","MISMATCH"))</f>
        <v>MATCH</v>
      </c>
      <c r="O2766" s="5" t="str">
        <f>INDEX([1]Employee!$C$2:$C$276,MATCH(B2766,[1]Employee!$A$2:$A$276,0))</f>
        <v>Sales &amp; Marketing</v>
      </c>
    </row>
    <row r="2767" spans="1:15">
      <c r="A2767" s="1" t="s">
        <v>5430</v>
      </c>
      <c r="B2767" s="1" t="s">
        <v>240</v>
      </c>
      <c r="C2767" s="1" t="s">
        <v>5431</v>
      </c>
      <c r="D2767" s="2">
        <v>46172</v>
      </c>
      <c r="E2767" s="2">
        <v>46176</v>
      </c>
      <c r="F2767" s="1" t="s">
        <v>173</v>
      </c>
      <c r="G2767" s="1" t="s">
        <v>2</v>
      </c>
      <c r="H2767" s="1" t="s">
        <v>3</v>
      </c>
      <c r="I2767" s="7">
        <v>59.24</v>
      </c>
      <c r="J2767" s="1" t="s">
        <v>38</v>
      </c>
      <c r="K2767" s="1"/>
      <c r="L2767" s="1" t="s">
        <v>39</v>
      </c>
      <c r="M2767" s="1" t="str">
        <f>INDEX(MCC_Lookup!$B$2:$B$12,MATCH(G2767,MCC_Lookup!$A$2:$A$12,0))</f>
        <v>Meals</v>
      </c>
      <c r="N2767" s="1" t="str">
        <f>IF(TRIM(H2767)="","BLANK",IF(PROPER(TRIM(H2767))=TRIM(M2767),"MATCH","MISMATCH"))</f>
        <v>MATCH</v>
      </c>
      <c r="O2767" s="5" t="str">
        <f>INDEX([1]Employee!$C$2:$C$276,MATCH(B2767,[1]Employee!$A$2:$A$276,0))</f>
        <v>Claims</v>
      </c>
    </row>
    <row r="2768" spans="1:15">
      <c r="A2768" s="1" t="s">
        <v>5432</v>
      </c>
      <c r="B2768" s="1" t="s">
        <v>2046</v>
      </c>
      <c r="C2768" s="1" t="s">
        <v>5433</v>
      </c>
      <c r="D2768" s="2">
        <v>46175</v>
      </c>
      <c r="E2768" s="2">
        <v>46176</v>
      </c>
      <c r="F2768" s="1" t="s">
        <v>106</v>
      </c>
      <c r="G2768" s="1" t="s">
        <v>13</v>
      </c>
      <c r="H2768" s="1" t="s">
        <v>14</v>
      </c>
      <c r="I2768" s="7">
        <v>243</v>
      </c>
      <c r="J2768" s="1" t="s">
        <v>38</v>
      </c>
      <c r="K2768" s="1"/>
      <c r="L2768" s="1" t="s">
        <v>48</v>
      </c>
      <c r="M2768" s="1" t="str">
        <f>INDEX(MCC_Lookup!$B$2:$B$12,MATCH(G2768,MCC_Lookup!$A$2:$A$12,0))</f>
        <v>Software</v>
      </c>
      <c r="N2768" s="1" t="str">
        <f>IF(TRIM(H2768)="","BLANK",IF(PROPER(TRIM(H2768))=TRIM(M2768),"MATCH","MISMATCH"))</f>
        <v>MATCH</v>
      </c>
      <c r="O2768" s="5" t="str">
        <f>INDEX([1]Employee!$C$2:$C$276,MATCH(B2768,[1]Employee!$A$2:$A$276,0))</f>
        <v>Claims</v>
      </c>
    </row>
    <row r="2769" spans="1:15">
      <c r="A2769" s="1" t="s">
        <v>5434</v>
      </c>
      <c r="B2769" s="1" t="s">
        <v>81</v>
      </c>
      <c r="C2769" s="1"/>
      <c r="D2769" s="2">
        <v>46171</v>
      </c>
      <c r="E2769" s="2">
        <v>46176</v>
      </c>
      <c r="F2769" s="1" t="s">
        <v>61</v>
      </c>
      <c r="G2769" s="1" t="s">
        <v>13</v>
      </c>
      <c r="H2769" s="1" t="s">
        <v>470</v>
      </c>
      <c r="I2769" s="7">
        <v>42.3</v>
      </c>
      <c r="J2769" s="1" t="s">
        <v>38</v>
      </c>
      <c r="K2769" s="1"/>
      <c r="L2769" s="1" t="s">
        <v>48</v>
      </c>
      <c r="M2769" s="1" t="str">
        <f>INDEX(MCC_Lookup!$B$2:$B$12,MATCH(G2769,MCC_Lookup!$A$2:$A$12,0))</f>
        <v>Software</v>
      </c>
      <c r="N2769" s="1" t="str">
        <f>IF(TRIM(H2769)="","BLANK",IF(PROPER(TRIM(H2769))=TRIM(M2769),"MATCH","MISMATCH"))</f>
        <v>MATCH</v>
      </c>
      <c r="O2769" s="5" t="str">
        <f>INDEX([1]Employee!$C$2:$C$276,MATCH(B2769,[1]Employee!$A$2:$A$276,0))</f>
        <v>Sales &amp; Marketing</v>
      </c>
    </row>
    <row r="2770" spans="1:15">
      <c r="A2770" s="1" t="s">
        <v>5435</v>
      </c>
      <c r="B2770" s="1" t="s">
        <v>2824</v>
      </c>
      <c r="C2770" s="1"/>
      <c r="D2770" s="2">
        <v>46169</v>
      </c>
      <c r="E2770" s="2">
        <v>46176</v>
      </c>
      <c r="F2770" s="1" t="s">
        <v>242</v>
      </c>
      <c r="G2770" s="1" t="s">
        <v>13</v>
      </c>
      <c r="H2770" s="1" t="s">
        <v>14</v>
      </c>
      <c r="I2770" s="7">
        <v>36.22</v>
      </c>
      <c r="J2770" s="1" t="s">
        <v>111</v>
      </c>
      <c r="K2770" s="1" t="s">
        <v>112</v>
      </c>
      <c r="L2770" s="1" t="s">
        <v>39</v>
      </c>
      <c r="M2770" s="1" t="str">
        <f>INDEX(MCC_Lookup!$B$2:$B$12,MATCH(G2770,MCC_Lookup!$A$2:$A$12,0))</f>
        <v>Software</v>
      </c>
      <c r="N2770" s="1" t="str">
        <f>IF(TRIM(H2770)="","BLANK",IF(PROPER(TRIM(H2770))=TRIM(M2770),"MATCH","MISMATCH"))</f>
        <v>MATCH</v>
      </c>
      <c r="O2770" s="5" t="str">
        <f>INDEX([1]Employee!$C$2:$C$276,MATCH(B2770,[1]Employee!$A$2:$A$276,0))</f>
        <v>Finance</v>
      </c>
    </row>
    <row r="2771" spans="1:15">
      <c r="A2771" s="1" t="s">
        <v>5436</v>
      </c>
      <c r="B2771" s="1" t="s">
        <v>129</v>
      </c>
      <c r="C2771" s="1" t="s">
        <v>5437</v>
      </c>
      <c r="D2771" s="2">
        <v>46167</v>
      </c>
      <c r="E2771" s="2">
        <v>46176</v>
      </c>
      <c r="F2771" s="1" t="s">
        <v>52</v>
      </c>
      <c r="G2771" s="1" t="s">
        <v>15</v>
      </c>
      <c r="H2771" s="1" t="s">
        <v>16</v>
      </c>
      <c r="I2771" s="7">
        <v>36.99</v>
      </c>
      <c r="J2771" s="1" t="s">
        <v>38</v>
      </c>
      <c r="K2771" s="1"/>
      <c r="L2771" s="1" t="s">
        <v>48</v>
      </c>
      <c r="M2771" s="1" t="str">
        <f>INDEX(MCC_Lookup!$B$2:$B$12,MATCH(G2771,MCC_Lookup!$A$2:$A$12,0))</f>
        <v>Entertainment</v>
      </c>
      <c r="N2771" s="1" t="str">
        <f>IF(TRIM(H2771)="","BLANK",IF(PROPER(TRIM(H2771))=TRIM(M2771),"MATCH","MISMATCH"))</f>
        <v>MATCH</v>
      </c>
      <c r="O2771" s="5" t="str">
        <f>INDEX([1]Employee!$C$2:$C$276,MATCH(B2771,[1]Employee!$A$2:$A$276,0))</f>
        <v>Sales &amp; Marketing</v>
      </c>
    </row>
    <row r="2772" spans="1:15">
      <c r="A2772" s="1" t="s">
        <v>5438</v>
      </c>
      <c r="B2772" s="1" t="s">
        <v>67</v>
      </c>
      <c r="C2772" s="1" t="s">
        <v>5439</v>
      </c>
      <c r="D2772" s="2">
        <v>46176</v>
      </c>
      <c r="E2772" s="2">
        <v>46176</v>
      </c>
      <c r="F2772" s="1" t="s">
        <v>76</v>
      </c>
      <c r="G2772" s="1" t="s">
        <v>13</v>
      </c>
      <c r="H2772" s="1" t="s">
        <v>14</v>
      </c>
      <c r="I2772" s="7">
        <v>154.38</v>
      </c>
      <c r="J2772" s="1" t="s">
        <v>38</v>
      </c>
      <c r="K2772" s="1"/>
      <c r="L2772" s="1" t="s">
        <v>39</v>
      </c>
      <c r="M2772" s="1" t="str">
        <f>INDEX(MCC_Lookup!$B$2:$B$12,MATCH(G2772,MCC_Lookup!$A$2:$A$12,0))</f>
        <v>Software</v>
      </c>
      <c r="N2772" s="1" t="str">
        <f>IF(TRIM(H2772)="","BLANK",IF(PROPER(TRIM(H2772))=TRIM(M2772),"MATCH","MISMATCH"))</f>
        <v>MATCH</v>
      </c>
      <c r="O2772" s="5" t="str">
        <f>INDEX([1]Employee!$C$2:$C$276,MATCH(B2772,[1]Employee!$A$2:$A$276,0))</f>
        <v>Sales &amp; Marketing</v>
      </c>
    </row>
    <row r="2773" spans="1:15">
      <c r="A2773" s="1" t="s">
        <v>5440</v>
      </c>
      <c r="B2773" s="1" t="s">
        <v>506</v>
      </c>
      <c r="C2773" s="1" t="s">
        <v>5441</v>
      </c>
      <c r="D2773" s="2">
        <v>46168</v>
      </c>
      <c r="E2773" s="2">
        <v>46176</v>
      </c>
      <c r="F2773" s="1" t="s">
        <v>83</v>
      </c>
      <c r="G2773" s="1" t="s">
        <v>2</v>
      </c>
      <c r="H2773" s="1" t="s">
        <v>3</v>
      </c>
      <c r="I2773" s="7">
        <v>18.79</v>
      </c>
      <c r="J2773" s="1" t="s">
        <v>38</v>
      </c>
      <c r="K2773" s="1"/>
      <c r="L2773" s="1" t="s">
        <v>39</v>
      </c>
      <c r="M2773" s="1" t="str">
        <f>INDEX(MCC_Lookup!$B$2:$B$12,MATCH(G2773,MCC_Lookup!$A$2:$A$12,0))</f>
        <v>Meals</v>
      </c>
      <c r="N2773" s="1" t="str">
        <f>IF(TRIM(H2773)="","BLANK",IF(PROPER(TRIM(H2773))=TRIM(M2773),"MATCH","MISMATCH"))</f>
        <v>MATCH</v>
      </c>
      <c r="O2773" s="5" t="str">
        <f>INDEX([1]Employee!$C$2:$C$276,MATCH(B2773,[1]Employee!$A$2:$A$276,0))</f>
        <v>Executive &amp; Corporate</v>
      </c>
    </row>
    <row r="2774" spans="1:15">
      <c r="A2774" s="1" t="s">
        <v>5442</v>
      </c>
      <c r="B2774" s="1" t="s">
        <v>1116</v>
      </c>
      <c r="C2774" s="1"/>
      <c r="D2774" s="2">
        <v>46168</v>
      </c>
      <c r="E2774" s="2">
        <v>46177</v>
      </c>
      <c r="F2774" s="1" t="s">
        <v>160</v>
      </c>
      <c r="G2774" s="1" t="s">
        <v>6</v>
      </c>
      <c r="H2774" s="1" t="s">
        <v>7</v>
      </c>
      <c r="I2774" s="7">
        <v>325.86</v>
      </c>
      <c r="J2774" s="1" t="s">
        <v>111</v>
      </c>
      <c r="K2774" s="1" t="s">
        <v>112</v>
      </c>
      <c r="L2774" s="1" t="s">
        <v>39</v>
      </c>
      <c r="M2774" s="1" t="str">
        <f>INDEX(MCC_Lookup!$B$2:$B$12,MATCH(G2774,MCC_Lookup!$A$2:$A$12,0))</f>
        <v>Lodging</v>
      </c>
      <c r="N2774" s="1" t="str">
        <f>IF(TRIM(H2774)="","BLANK",IF(PROPER(TRIM(H2774))=TRIM(M2774),"MATCH","MISMATCH"))</f>
        <v>MATCH</v>
      </c>
      <c r="O2774" s="5" t="str">
        <f>INDEX([1]Employee!$C$2:$C$276,MATCH(B2774,[1]Employee!$A$2:$A$276,0))</f>
        <v>Underwriting</v>
      </c>
    </row>
    <row r="2775" spans="1:15">
      <c r="A2775" s="1" t="s">
        <v>5443</v>
      </c>
      <c r="B2775" s="1" t="s">
        <v>50</v>
      </c>
      <c r="C2775" s="1" t="s">
        <v>5444</v>
      </c>
      <c r="D2775" s="2">
        <v>46176</v>
      </c>
      <c r="E2775" s="2">
        <v>46177</v>
      </c>
      <c r="F2775" s="1" t="s">
        <v>99</v>
      </c>
      <c r="G2775" s="1" t="s">
        <v>2</v>
      </c>
      <c r="H2775" s="1" t="s">
        <v>3</v>
      </c>
      <c r="I2775" s="7">
        <v>25.12</v>
      </c>
      <c r="J2775" s="1" t="s">
        <v>38</v>
      </c>
      <c r="K2775" s="1"/>
      <c r="L2775" s="1" t="s">
        <v>39</v>
      </c>
      <c r="M2775" s="1" t="str">
        <f>INDEX(MCC_Lookup!$B$2:$B$12,MATCH(G2775,MCC_Lookup!$A$2:$A$12,0))</f>
        <v>Meals</v>
      </c>
      <c r="N2775" s="1" t="str">
        <f>IF(TRIM(H2775)="","BLANK",IF(PROPER(TRIM(H2775))=TRIM(M2775),"MATCH","MISMATCH"))</f>
        <v>MATCH</v>
      </c>
      <c r="O2775" s="5" t="str">
        <f>INDEX([1]Employee!$C$2:$C$276,MATCH(B2775,[1]Employee!$A$2:$A$276,0))</f>
        <v>Sales &amp; Marketing</v>
      </c>
    </row>
    <row r="2776" spans="1:15">
      <c r="A2776" s="1" t="s">
        <v>5445</v>
      </c>
      <c r="B2776" s="1" t="s">
        <v>593</v>
      </c>
      <c r="C2776" s="1"/>
      <c r="D2776" s="2">
        <v>46177</v>
      </c>
      <c r="E2776" s="2">
        <v>46177</v>
      </c>
      <c r="F2776" s="1" t="s">
        <v>72</v>
      </c>
      <c r="G2776" s="1" t="s">
        <v>8</v>
      </c>
      <c r="H2776" s="1" t="s">
        <v>9</v>
      </c>
      <c r="I2776" s="7">
        <v>9.83</v>
      </c>
      <c r="J2776" s="1" t="s">
        <v>111</v>
      </c>
      <c r="K2776" s="1" t="s">
        <v>229</v>
      </c>
      <c r="L2776" s="1" t="s">
        <v>39</v>
      </c>
      <c r="M2776" s="1" t="str">
        <f>INDEX(MCC_Lookup!$B$2:$B$12,MATCH(G2776,MCC_Lookup!$A$2:$A$12,0))</f>
        <v>Transportation</v>
      </c>
      <c r="N2776" s="1" t="str">
        <f>IF(TRIM(H2776)="","BLANK",IF(PROPER(TRIM(H2776))=TRIM(M2776),"MATCH","MISMATCH"))</f>
        <v>MATCH</v>
      </c>
      <c r="O2776" s="5" t="str">
        <f>INDEX([1]Employee!$C$2:$C$276,MATCH(B2776,[1]Employee!$A$2:$A$276,0))</f>
        <v>Sales &amp; Marketing</v>
      </c>
    </row>
    <row r="2777" spans="1:15">
      <c r="A2777" s="1" t="s">
        <v>5446</v>
      </c>
      <c r="B2777" s="1" t="s">
        <v>303</v>
      </c>
      <c r="C2777" s="1"/>
      <c r="D2777" s="2">
        <v>46168</v>
      </c>
      <c r="E2777" s="2">
        <v>46177</v>
      </c>
      <c r="F2777" s="1" t="s">
        <v>61</v>
      </c>
      <c r="G2777" s="1" t="s">
        <v>13</v>
      </c>
      <c r="H2777" s="1" t="s">
        <v>14</v>
      </c>
      <c r="I2777" s="7">
        <v>77.64</v>
      </c>
      <c r="J2777" s="1" t="s">
        <v>38</v>
      </c>
      <c r="K2777" s="1"/>
      <c r="L2777" s="1" t="s">
        <v>39</v>
      </c>
      <c r="M2777" s="1" t="str">
        <f>INDEX(MCC_Lookup!$B$2:$B$12,MATCH(G2777,MCC_Lookup!$A$2:$A$12,0))</f>
        <v>Software</v>
      </c>
      <c r="N2777" s="1" t="str">
        <f>IF(TRIM(H2777)="","BLANK",IF(PROPER(TRIM(H2777))=TRIM(M2777),"MATCH","MISMATCH"))</f>
        <v>MATCH</v>
      </c>
      <c r="O2777" s="5" t="str">
        <f>INDEX([1]Employee!$C$2:$C$276,MATCH(B2777,[1]Employee!$A$2:$A$276,0))</f>
        <v>Sales &amp; Marketing</v>
      </c>
    </row>
    <row r="2778" spans="1:15">
      <c r="A2778" s="1" t="s">
        <v>5447</v>
      </c>
      <c r="B2778" s="1" t="s">
        <v>2824</v>
      </c>
      <c r="C2778" s="1" t="s">
        <v>5448</v>
      </c>
      <c r="D2778" s="2">
        <v>46173</v>
      </c>
      <c r="E2778" s="2">
        <v>46177</v>
      </c>
      <c r="F2778" s="1" t="s">
        <v>72</v>
      </c>
      <c r="G2778" s="1" t="s">
        <v>8</v>
      </c>
      <c r="H2778" s="1" t="s">
        <v>9</v>
      </c>
      <c r="I2778" s="7">
        <v>64.23</v>
      </c>
      <c r="J2778" s="1" t="s">
        <v>38</v>
      </c>
      <c r="K2778" s="1"/>
      <c r="L2778" s="1" t="s">
        <v>39</v>
      </c>
      <c r="M2778" s="1" t="str">
        <f>INDEX(MCC_Lookup!$B$2:$B$12,MATCH(G2778,MCC_Lookup!$A$2:$A$12,0))</f>
        <v>Transportation</v>
      </c>
      <c r="N2778" s="1" t="str">
        <f>IF(TRIM(H2778)="","BLANK",IF(PROPER(TRIM(H2778))=TRIM(M2778),"MATCH","MISMATCH"))</f>
        <v>MATCH</v>
      </c>
      <c r="O2778" s="5" t="str">
        <f>INDEX([1]Employee!$C$2:$C$276,MATCH(B2778,[1]Employee!$A$2:$A$276,0))</f>
        <v>Finance</v>
      </c>
    </row>
    <row r="2779" spans="1:15">
      <c r="A2779" s="1" t="s">
        <v>5449</v>
      </c>
      <c r="B2779" s="1" t="s">
        <v>171</v>
      </c>
      <c r="C2779" s="1" t="s">
        <v>5450</v>
      </c>
      <c r="D2779" s="2">
        <v>46171</v>
      </c>
      <c r="E2779" s="2">
        <v>46177</v>
      </c>
      <c r="F2779" s="1" t="s">
        <v>347</v>
      </c>
      <c r="G2779" s="1" t="s">
        <v>8</v>
      </c>
      <c r="H2779" s="1" t="s">
        <v>9</v>
      </c>
      <c r="I2779" s="7">
        <v>15.09</v>
      </c>
      <c r="J2779" s="1" t="s">
        <v>38</v>
      </c>
      <c r="K2779" s="1"/>
      <c r="L2779" s="1" t="s">
        <v>48</v>
      </c>
      <c r="M2779" s="1" t="str">
        <f>INDEX(MCC_Lookup!$B$2:$B$12,MATCH(G2779,MCC_Lookup!$A$2:$A$12,0))</f>
        <v>Transportation</v>
      </c>
      <c r="N2779" s="1" t="str">
        <f>IF(TRIM(H2779)="","BLANK",IF(PROPER(TRIM(H2779))=TRIM(M2779),"MATCH","MISMATCH"))</f>
        <v>MATCH</v>
      </c>
      <c r="O2779" s="5" t="str">
        <f>INDEX([1]Employee!$C$2:$C$276,MATCH(B2779,[1]Employee!$A$2:$A$276,0))</f>
        <v>Claims</v>
      </c>
    </row>
    <row r="2780" spans="1:15">
      <c r="A2780" s="1" t="s">
        <v>5451</v>
      </c>
      <c r="B2780" s="1" t="s">
        <v>821</v>
      </c>
      <c r="C2780" s="1" t="s">
        <v>5452</v>
      </c>
      <c r="D2780" s="2">
        <v>46168</v>
      </c>
      <c r="E2780" s="2">
        <v>46177</v>
      </c>
      <c r="F2780" s="1" t="s">
        <v>124</v>
      </c>
      <c r="G2780" s="1" t="s">
        <v>17</v>
      </c>
      <c r="H2780" s="1" t="s">
        <v>16</v>
      </c>
      <c r="I2780" s="7">
        <v>168.54</v>
      </c>
      <c r="J2780" s="1" t="s">
        <v>38</v>
      </c>
      <c r="K2780" s="1"/>
      <c r="L2780" s="1" t="s">
        <v>39</v>
      </c>
      <c r="M2780" s="1" t="str">
        <f>INDEX(MCC_Lookup!$B$2:$B$12,MATCH(G2780,MCC_Lookup!$A$2:$A$12,0))</f>
        <v>Entertainment</v>
      </c>
      <c r="N2780" s="1" t="str">
        <f>IF(TRIM(H2780)="","BLANK",IF(PROPER(TRIM(H2780))=TRIM(M2780),"MATCH","MISMATCH"))</f>
        <v>MATCH</v>
      </c>
      <c r="O2780" s="5" t="str">
        <f>INDEX([1]Employee!$C$2:$C$276,MATCH(B2780,[1]Employee!$A$2:$A$276,0))</f>
        <v>Claims</v>
      </c>
    </row>
    <row r="2781" spans="1:15">
      <c r="A2781" s="1" t="s">
        <v>5453</v>
      </c>
      <c r="B2781" s="1" t="s">
        <v>373</v>
      </c>
      <c r="C2781" s="1" t="s">
        <v>5454</v>
      </c>
      <c r="D2781" s="2">
        <v>46177</v>
      </c>
      <c r="E2781" s="2">
        <v>46177</v>
      </c>
      <c r="F2781" s="1" t="s">
        <v>242</v>
      </c>
      <c r="G2781" s="1" t="s">
        <v>13</v>
      </c>
      <c r="H2781" s="1" t="s">
        <v>14</v>
      </c>
      <c r="I2781" s="7">
        <v>52.86</v>
      </c>
      <c r="J2781" s="1" t="s">
        <v>38</v>
      </c>
      <c r="K2781" s="1"/>
      <c r="L2781" s="1" t="s">
        <v>39</v>
      </c>
      <c r="M2781" s="1" t="str">
        <f>INDEX(MCC_Lookup!$B$2:$B$12,MATCH(G2781,MCC_Lookup!$A$2:$A$12,0))</f>
        <v>Software</v>
      </c>
      <c r="N2781" s="1" t="str">
        <f>IF(TRIM(H2781)="","BLANK",IF(PROPER(TRIM(H2781))=TRIM(M2781),"MATCH","MISMATCH"))</f>
        <v>MATCH</v>
      </c>
      <c r="O2781" s="5" t="str">
        <f>INDEX([1]Employee!$C$2:$C$276,MATCH(B2781,[1]Employee!$A$2:$A$276,0))</f>
        <v>Sales &amp; Marketing</v>
      </c>
    </row>
    <row r="2782" spans="1:15">
      <c r="A2782" s="1" t="s">
        <v>5455</v>
      </c>
      <c r="B2782" s="1" t="s">
        <v>373</v>
      </c>
      <c r="C2782" s="1" t="s">
        <v>5456</v>
      </c>
      <c r="D2782" s="2">
        <v>46172</v>
      </c>
      <c r="E2782" s="2">
        <v>46177</v>
      </c>
      <c r="F2782" s="1" t="s">
        <v>37</v>
      </c>
      <c r="G2782" s="1" t="s">
        <v>4</v>
      </c>
      <c r="H2782" s="1" t="s">
        <v>5</v>
      </c>
      <c r="I2782" s="7">
        <v>355.13</v>
      </c>
      <c r="J2782" s="1" t="s">
        <v>38</v>
      </c>
      <c r="K2782" s="1"/>
      <c r="L2782" s="1" t="s">
        <v>39</v>
      </c>
      <c r="M2782" s="1" t="str">
        <f>INDEX(MCC_Lookup!$B$2:$B$12,MATCH(G2782,MCC_Lookup!$A$2:$A$12,0))</f>
        <v>Travel</v>
      </c>
      <c r="N2782" s="1" t="str">
        <f>IF(TRIM(H2782)="","BLANK",IF(PROPER(TRIM(H2782))=TRIM(M2782),"MATCH","MISMATCH"))</f>
        <v>MATCH</v>
      </c>
      <c r="O2782" s="5" t="str">
        <f>INDEX([1]Employee!$C$2:$C$276,MATCH(B2782,[1]Employee!$A$2:$A$276,0))</f>
        <v>Sales &amp; Marketing</v>
      </c>
    </row>
    <row r="2783" spans="1:15">
      <c r="A2783" s="1" t="s">
        <v>5457</v>
      </c>
      <c r="B2783" s="1" t="s">
        <v>41</v>
      </c>
      <c r="C2783" s="1" t="s">
        <v>5458</v>
      </c>
      <c r="D2783" s="2">
        <v>46170</v>
      </c>
      <c r="E2783" s="2">
        <v>46177</v>
      </c>
      <c r="F2783" s="1" t="s">
        <v>259</v>
      </c>
      <c r="G2783" s="1" t="s">
        <v>20</v>
      </c>
      <c r="H2783" s="1" t="s">
        <v>19</v>
      </c>
      <c r="I2783" s="7">
        <v>442.42</v>
      </c>
      <c r="J2783" s="1" t="s">
        <v>38</v>
      </c>
      <c r="K2783" s="1"/>
      <c r="L2783" s="1" t="s">
        <v>39</v>
      </c>
      <c r="M2783" s="1" t="str">
        <f>INDEX(MCC_Lookup!$B$2:$B$12,MATCH(G2783,MCC_Lookup!$A$2:$A$12,0))</f>
        <v>Events</v>
      </c>
      <c r="N2783" s="1" t="str">
        <f>IF(TRIM(H2783)="","BLANK",IF(PROPER(TRIM(H2783))=TRIM(M2783),"MATCH","MISMATCH"))</f>
        <v>MATCH</v>
      </c>
      <c r="O2783" s="5" t="str">
        <f>INDEX([1]Employee!$C$2:$C$276,MATCH(B2783,[1]Employee!$A$2:$A$276,0))</f>
        <v>Sales &amp; Marketing</v>
      </c>
    </row>
    <row r="2784" spans="1:15">
      <c r="A2784" s="1" t="s">
        <v>5459</v>
      </c>
      <c r="B2784" s="1" t="s">
        <v>506</v>
      </c>
      <c r="C2784" s="1" t="s">
        <v>5460</v>
      </c>
      <c r="D2784" s="2">
        <v>46168</v>
      </c>
      <c r="E2784" s="2">
        <v>46177</v>
      </c>
      <c r="F2784" s="1" t="s">
        <v>56</v>
      </c>
      <c r="G2784" s="1" t="s">
        <v>4</v>
      </c>
      <c r="H2784" s="1" t="s">
        <v>5</v>
      </c>
      <c r="I2784" s="7">
        <v>388.75</v>
      </c>
      <c r="J2784" s="1" t="s">
        <v>38</v>
      </c>
      <c r="K2784" s="1"/>
      <c r="L2784" s="1" t="s">
        <v>39</v>
      </c>
      <c r="M2784" s="1" t="str">
        <f>INDEX(MCC_Lookup!$B$2:$B$12,MATCH(G2784,MCC_Lookup!$A$2:$A$12,0))</f>
        <v>Travel</v>
      </c>
      <c r="N2784" s="1" t="str">
        <f>IF(TRIM(H2784)="","BLANK",IF(PROPER(TRIM(H2784))=TRIM(M2784),"MATCH","MISMATCH"))</f>
        <v>MATCH</v>
      </c>
      <c r="O2784" s="5" t="str">
        <f>INDEX([1]Employee!$C$2:$C$276,MATCH(B2784,[1]Employee!$A$2:$A$276,0))</f>
        <v>Executive &amp; Corporate</v>
      </c>
    </row>
    <row r="2785" spans="1:15">
      <c r="A2785" s="1" t="s">
        <v>5461</v>
      </c>
      <c r="B2785" s="1" t="s">
        <v>108</v>
      </c>
      <c r="C2785" s="1" t="s">
        <v>5462</v>
      </c>
      <c r="D2785" s="2">
        <v>46172</v>
      </c>
      <c r="E2785" s="2">
        <v>46177</v>
      </c>
      <c r="F2785" s="1" t="s">
        <v>56</v>
      </c>
      <c r="G2785" s="1" t="s">
        <v>4</v>
      </c>
      <c r="H2785" s="1" t="s">
        <v>5</v>
      </c>
      <c r="I2785" s="7">
        <v>369.31</v>
      </c>
      <c r="J2785" s="1" t="s">
        <v>38</v>
      </c>
      <c r="K2785" s="1"/>
      <c r="L2785" s="1" t="s">
        <v>39</v>
      </c>
      <c r="M2785" s="1" t="str">
        <f>INDEX(MCC_Lookup!$B$2:$B$12,MATCH(G2785,MCC_Lookup!$A$2:$A$12,0))</f>
        <v>Travel</v>
      </c>
      <c r="N2785" s="1" t="str">
        <f>IF(TRIM(H2785)="","BLANK",IF(PROPER(TRIM(H2785))=TRIM(M2785),"MATCH","MISMATCH"))</f>
        <v>MATCH</v>
      </c>
      <c r="O2785" s="5" t="str">
        <f>INDEX([1]Employee!$C$2:$C$276,MATCH(B2785,[1]Employee!$A$2:$A$276,0))</f>
        <v>Sales &amp; Marketing</v>
      </c>
    </row>
    <row r="2786" spans="1:15">
      <c r="A2786" s="1" t="s">
        <v>5463</v>
      </c>
      <c r="B2786" s="1" t="s">
        <v>210</v>
      </c>
      <c r="C2786" s="1"/>
      <c r="D2786" s="2">
        <v>46176</v>
      </c>
      <c r="E2786" s="2">
        <v>46177</v>
      </c>
      <c r="F2786" s="1" t="s">
        <v>242</v>
      </c>
      <c r="G2786" s="1" t="s">
        <v>13</v>
      </c>
      <c r="H2786" s="1" t="s">
        <v>14</v>
      </c>
      <c r="I2786" s="7">
        <v>48.93</v>
      </c>
      <c r="J2786" s="1" t="s">
        <v>38</v>
      </c>
      <c r="K2786" s="1"/>
      <c r="L2786" s="1" t="s">
        <v>39</v>
      </c>
      <c r="M2786" s="1" t="str">
        <f>INDEX(MCC_Lookup!$B$2:$B$12,MATCH(G2786,MCC_Lookup!$A$2:$A$12,0))</f>
        <v>Software</v>
      </c>
      <c r="N2786" s="1" t="str">
        <f>IF(TRIM(H2786)="","BLANK",IF(PROPER(TRIM(H2786))=TRIM(M2786),"MATCH","MISMATCH"))</f>
        <v>MATCH</v>
      </c>
      <c r="O2786" s="5" t="str">
        <f>INDEX([1]Employee!$C$2:$C$276,MATCH(B2786,[1]Employee!$A$2:$A$276,0))</f>
        <v>Sales &amp; Marketing</v>
      </c>
    </row>
    <row r="2787" spans="1:15">
      <c r="A2787" s="1" t="s">
        <v>5464</v>
      </c>
      <c r="B2787" s="1" t="s">
        <v>1119</v>
      </c>
      <c r="C2787" s="1" t="s">
        <v>5465</v>
      </c>
      <c r="D2787" s="2">
        <v>46168</v>
      </c>
      <c r="E2787" s="2">
        <v>46178</v>
      </c>
      <c r="F2787" s="1" t="s">
        <v>305</v>
      </c>
      <c r="G2787" s="1" t="s">
        <v>2</v>
      </c>
      <c r="H2787" s="1" t="s">
        <v>3</v>
      </c>
      <c r="I2787" s="7">
        <v>8.5500000000000007</v>
      </c>
      <c r="J2787" s="1" t="s">
        <v>38</v>
      </c>
      <c r="K2787" s="1"/>
      <c r="L2787" s="1" t="s">
        <v>39</v>
      </c>
      <c r="M2787" s="1" t="str">
        <f>INDEX(MCC_Lookup!$B$2:$B$12,MATCH(G2787,MCC_Lookup!$A$2:$A$12,0))</f>
        <v>Meals</v>
      </c>
      <c r="N2787" s="1" t="str">
        <f>IF(TRIM(H2787)="","BLANK",IF(PROPER(TRIM(H2787))=TRIM(M2787),"MATCH","MISMATCH"))</f>
        <v>MATCH</v>
      </c>
      <c r="O2787" s="5" t="str">
        <f>INDEX([1]Employee!$C$2:$C$276,MATCH(B2787,[1]Employee!$A$2:$A$276,0))</f>
        <v>Customer Support</v>
      </c>
    </row>
    <row r="2788" spans="1:15">
      <c r="A2788" s="1" t="s">
        <v>5466</v>
      </c>
      <c r="B2788" s="1" t="s">
        <v>182</v>
      </c>
      <c r="C2788" s="1" t="s">
        <v>5467</v>
      </c>
      <c r="D2788" s="2">
        <v>46175</v>
      </c>
      <c r="E2788" s="2">
        <v>46178</v>
      </c>
      <c r="F2788" s="1" t="s">
        <v>47</v>
      </c>
      <c r="G2788" s="1" t="s">
        <v>6</v>
      </c>
      <c r="H2788" s="1" t="s">
        <v>7</v>
      </c>
      <c r="I2788" s="7">
        <v>255.22</v>
      </c>
      <c r="J2788" s="1" t="s">
        <v>38</v>
      </c>
      <c r="K2788" s="1"/>
      <c r="L2788" s="1" t="s">
        <v>39</v>
      </c>
      <c r="M2788" s="1" t="str">
        <f>INDEX(MCC_Lookup!$B$2:$B$12,MATCH(G2788,MCC_Lookup!$A$2:$A$12,0))</f>
        <v>Lodging</v>
      </c>
      <c r="N2788" s="1" t="str">
        <f>IF(TRIM(H2788)="","BLANK",IF(PROPER(TRIM(H2788))=TRIM(M2788),"MATCH","MISMATCH"))</f>
        <v>MATCH</v>
      </c>
      <c r="O2788" s="5" t="str">
        <f>INDEX([1]Employee!$C$2:$C$276,MATCH(B2788,[1]Employee!$A$2:$A$276,0))</f>
        <v>Sales &amp; Marketing</v>
      </c>
    </row>
    <row r="2789" spans="1:15">
      <c r="A2789" s="1" t="s">
        <v>5468</v>
      </c>
      <c r="B2789" s="1" t="s">
        <v>194</v>
      </c>
      <c r="C2789" s="1" t="s">
        <v>5469</v>
      </c>
      <c r="D2789" s="2">
        <v>46170</v>
      </c>
      <c r="E2789" s="2">
        <v>46178</v>
      </c>
      <c r="F2789" s="1" t="s">
        <v>72</v>
      </c>
      <c r="G2789" s="1" t="s">
        <v>8</v>
      </c>
      <c r="H2789" s="1" t="s">
        <v>9</v>
      </c>
      <c r="I2789" s="7">
        <v>46.49</v>
      </c>
      <c r="J2789" s="1" t="s">
        <v>38</v>
      </c>
      <c r="K2789" s="1"/>
      <c r="L2789" s="1" t="s">
        <v>39</v>
      </c>
      <c r="M2789" s="1" t="str">
        <f>INDEX(MCC_Lookup!$B$2:$B$12,MATCH(G2789,MCC_Lookup!$A$2:$A$12,0))</f>
        <v>Transportation</v>
      </c>
      <c r="N2789" s="1" t="str">
        <f>IF(TRIM(H2789)="","BLANK",IF(PROPER(TRIM(H2789))=TRIM(M2789),"MATCH","MISMATCH"))</f>
        <v>MATCH</v>
      </c>
      <c r="O2789" s="5" t="str">
        <f>INDEX([1]Employee!$C$2:$C$276,MATCH(B2789,[1]Employee!$A$2:$A$276,0))</f>
        <v>Claims</v>
      </c>
    </row>
    <row r="2790" spans="1:15">
      <c r="A2790" s="1" t="s">
        <v>5470</v>
      </c>
      <c r="B2790" s="1" t="s">
        <v>915</v>
      </c>
      <c r="C2790" s="1" t="s">
        <v>5471</v>
      </c>
      <c r="D2790" s="2">
        <v>46176</v>
      </c>
      <c r="E2790" s="2">
        <v>46178</v>
      </c>
      <c r="F2790" s="1" t="s">
        <v>116</v>
      </c>
      <c r="G2790" s="1" t="s">
        <v>2</v>
      </c>
      <c r="H2790" s="1" t="s">
        <v>3</v>
      </c>
      <c r="I2790" s="7">
        <v>18.88</v>
      </c>
      <c r="J2790" s="1" t="s">
        <v>38</v>
      </c>
      <c r="K2790" s="1"/>
      <c r="L2790" s="1" t="s">
        <v>39</v>
      </c>
      <c r="M2790" s="1" t="str">
        <f>INDEX(MCC_Lookup!$B$2:$B$12,MATCH(G2790,MCC_Lookup!$A$2:$A$12,0))</f>
        <v>Meals</v>
      </c>
      <c r="N2790" s="1" t="str">
        <f>IF(TRIM(H2790)="","BLANK",IF(PROPER(TRIM(H2790))=TRIM(M2790),"MATCH","MISMATCH"))</f>
        <v>MATCH</v>
      </c>
      <c r="O2790" s="5" t="str">
        <f>INDEX([1]Employee!$C$2:$C$276,MATCH(B2790,[1]Employee!$A$2:$A$276,0))</f>
        <v>Sales &amp; Marketing</v>
      </c>
    </row>
    <row r="2791" spans="1:15">
      <c r="A2791" s="1" t="s">
        <v>5472</v>
      </c>
      <c r="B2791" s="1" t="s">
        <v>761</v>
      </c>
      <c r="C2791" s="1" t="s">
        <v>5473</v>
      </c>
      <c r="D2791" s="2">
        <v>46176</v>
      </c>
      <c r="E2791" s="2">
        <v>46178</v>
      </c>
      <c r="F2791" s="1" t="s">
        <v>95</v>
      </c>
      <c r="G2791" s="1" t="s">
        <v>6</v>
      </c>
      <c r="H2791" s="1" t="s">
        <v>7</v>
      </c>
      <c r="I2791" s="7">
        <v>252.57</v>
      </c>
      <c r="J2791" s="1" t="s">
        <v>38</v>
      </c>
      <c r="K2791" s="1"/>
      <c r="L2791" s="1" t="s">
        <v>39</v>
      </c>
      <c r="M2791" s="1" t="str">
        <f>INDEX(MCC_Lookup!$B$2:$B$12,MATCH(G2791,MCC_Lookup!$A$2:$A$12,0))</f>
        <v>Lodging</v>
      </c>
      <c r="N2791" s="1" t="str">
        <f>IF(TRIM(H2791)="","BLANK",IF(PROPER(TRIM(H2791))=TRIM(M2791),"MATCH","MISMATCH"))</f>
        <v>MATCH</v>
      </c>
      <c r="O2791" s="5" t="str">
        <f>INDEX([1]Employee!$C$2:$C$276,MATCH(B2791,[1]Employee!$A$2:$A$276,0))</f>
        <v>Finance</v>
      </c>
    </row>
    <row r="2792" spans="1:15">
      <c r="A2792" s="1" t="s">
        <v>5474</v>
      </c>
      <c r="B2792" s="1" t="s">
        <v>433</v>
      </c>
      <c r="C2792" s="1"/>
      <c r="D2792" s="2">
        <v>46169</v>
      </c>
      <c r="E2792" s="2">
        <v>46178</v>
      </c>
      <c r="F2792" s="1" t="s">
        <v>109</v>
      </c>
      <c r="G2792" s="1" t="s">
        <v>18</v>
      </c>
      <c r="H2792" s="1" t="s">
        <v>19</v>
      </c>
      <c r="I2792" s="7">
        <v>78.77</v>
      </c>
      <c r="J2792" s="1" t="s">
        <v>38</v>
      </c>
      <c r="K2792" s="1"/>
      <c r="L2792" s="1" t="s">
        <v>39</v>
      </c>
      <c r="M2792" s="1" t="str">
        <f>INDEX(MCC_Lookup!$B$2:$B$12,MATCH(G2792,MCC_Lookup!$A$2:$A$12,0))</f>
        <v>Events</v>
      </c>
      <c r="N2792" s="1" t="str">
        <f>IF(TRIM(H2792)="","BLANK",IF(PROPER(TRIM(H2792))=TRIM(M2792),"MATCH","MISMATCH"))</f>
        <v>MATCH</v>
      </c>
      <c r="O2792" s="5" t="str">
        <f>INDEX([1]Employee!$C$2:$C$276,MATCH(B2792,[1]Employee!$A$2:$A$276,0))</f>
        <v>Sales &amp; Marketing</v>
      </c>
    </row>
    <row r="2793" spans="1:15">
      <c r="A2793" s="1" t="s">
        <v>5475</v>
      </c>
      <c r="B2793" s="1" t="s">
        <v>597</v>
      </c>
      <c r="C2793" s="1"/>
      <c r="D2793" s="2">
        <v>46176</v>
      </c>
      <c r="E2793" s="2">
        <v>46178</v>
      </c>
      <c r="F2793" s="1" t="s">
        <v>43</v>
      </c>
      <c r="G2793" s="1" t="s">
        <v>2</v>
      </c>
      <c r="H2793" s="1" t="s">
        <v>3</v>
      </c>
      <c r="I2793" s="7">
        <v>16.329999999999998</v>
      </c>
      <c r="J2793" s="1" t="s">
        <v>38</v>
      </c>
      <c r="K2793" s="1"/>
      <c r="L2793" s="1" t="s">
        <v>39</v>
      </c>
      <c r="M2793" s="1" t="str">
        <f>INDEX(MCC_Lookup!$B$2:$B$12,MATCH(G2793,MCC_Lookup!$A$2:$A$12,0))</f>
        <v>Meals</v>
      </c>
      <c r="N2793" s="1" t="str">
        <f>IF(TRIM(H2793)="","BLANK",IF(PROPER(TRIM(H2793))=TRIM(M2793),"MATCH","MISMATCH"))</f>
        <v>MATCH</v>
      </c>
      <c r="O2793" s="5" t="str">
        <f>INDEX([1]Employee!$C$2:$C$276,MATCH(B2793,[1]Employee!$A$2:$A$276,0))</f>
        <v>Sales &amp; Marketing</v>
      </c>
    </row>
    <row r="2794" spans="1:15">
      <c r="A2794" s="1" t="s">
        <v>5476</v>
      </c>
      <c r="B2794" s="1" t="s">
        <v>1824</v>
      </c>
      <c r="C2794" s="1" t="s">
        <v>5477</v>
      </c>
      <c r="D2794" s="2">
        <v>46171</v>
      </c>
      <c r="E2794" s="2">
        <v>46178</v>
      </c>
      <c r="F2794" s="1" t="s">
        <v>160</v>
      </c>
      <c r="G2794" s="1" t="s">
        <v>6</v>
      </c>
      <c r="H2794" s="1" t="s">
        <v>7</v>
      </c>
      <c r="I2794" s="7">
        <v>279.37</v>
      </c>
      <c r="J2794" s="1" t="s">
        <v>38</v>
      </c>
      <c r="K2794" s="1"/>
      <c r="L2794" s="1" t="s">
        <v>39</v>
      </c>
      <c r="M2794" s="1" t="str">
        <f>INDEX(MCC_Lookup!$B$2:$B$12,MATCH(G2794,MCC_Lookup!$A$2:$A$12,0))</f>
        <v>Lodging</v>
      </c>
      <c r="N2794" s="1" t="str">
        <f>IF(TRIM(H2794)="","BLANK",IF(PROPER(TRIM(H2794))=TRIM(M2794),"MATCH","MISMATCH"))</f>
        <v>MATCH</v>
      </c>
      <c r="O2794" s="5" t="str">
        <f>INDEX([1]Employee!$C$2:$C$276,MATCH(B2794,[1]Employee!$A$2:$A$276,0))</f>
        <v>Claims</v>
      </c>
    </row>
    <row r="2795" spans="1:15">
      <c r="A2795" s="1" t="s">
        <v>5478</v>
      </c>
      <c r="B2795" s="1" t="s">
        <v>595</v>
      </c>
      <c r="C2795" s="1" t="s">
        <v>5479</v>
      </c>
      <c r="D2795" s="2">
        <v>46177</v>
      </c>
      <c r="E2795" s="2">
        <v>46178</v>
      </c>
      <c r="F2795" s="1" t="s">
        <v>72</v>
      </c>
      <c r="G2795" s="1" t="s">
        <v>8</v>
      </c>
      <c r="H2795" s="1" t="s">
        <v>9</v>
      </c>
      <c r="I2795" s="7">
        <v>40.97</v>
      </c>
      <c r="J2795" s="1" t="s">
        <v>38</v>
      </c>
      <c r="K2795" s="1"/>
      <c r="L2795" s="1" t="s">
        <v>39</v>
      </c>
      <c r="M2795" s="1" t="str">
        <f>INDEX(MCC_Lookup!$B$2:$B$12,MATCH(G2795,MCC_Lookup!$A$2:$A$12,0))</f>
        <v>Transportation</v>
      </c>
      <c r="N2795" s="1" t="str">
        <f>IF(TRIM(H2795)="","BLANK",IF(PROPER(TRIM(H2795))=TRIM(M2795),"MATCH","MISMATCH"))</f>
        <v>MATCH</v>
      </c>
      <c r="O2795" s="5" t="str">
        <f>INDEX([1]Employee!$C$2:$C$276,MATCH(B2795,[1]Employee!$A$2:$A$276,0))</f>
        <v>Executive &amp; Corporate</v>
      </c>
    </row>
    <row r="2796" spans="1:15">
      <c r="A2796" s="1" t="s">
        <v>5480</v>
      </c>
      <c r="B2796" s="1" t="s">
        <v>255</v>
      </c>
      <c r="C2796" s="1"/>
      <c r="D2796" s="2">
        <v>46175</v>
      </c>
      <c r="E2796" s="2">
        <v>46178</v>
      </c>
      <c r="F2796" s="1" t="s">
        <v>43</v>
      </c>
      <c r="G2796" s="1" t="s">
        <v>2</v>
      </c>
      <c r="H2796" s="1" t="s">
        <v>154</v>
      </c>
      <c r="I2796" s="7">
        <v>10.95</v>
      </c>
      <c r="J2796" s="1" t="s">
        <v>38</v>
      </c>
      <c r="K2796" s="1"/>
      <c r="L2796" s="1" t="s">
        <v>39</v>
      </c>
      <c r="M2796" s="1" t="str">
        <f>INDEX(MCC_Lookup!$B$2:$B$12,MATCH(G2796,MCC_Lookup!$A$2:$A$12,0))</f>
        <v>Meals</v>
      </c>
      <c r="N2796" s="1" t="str">
        <f>IF(TRIM(H2796)="","BLANK",IF(PROPER(TRIM(H2796))=TRIM(M2796),"MATCH","MISMATCH"))</f>
        <v>MATCH</v>
      </c>
      <c r="O2796" s="5" t="str">
        <f>INDEX([1]Employee!$C$2:$C$276,MATCH(B2796,[1]Employee!$A$2:$A$276,0))</f>
        <v>Claims</v>
      </c>
    </row>
    <row r="2797" spans="1:15">
      <c r="A2797" s="1" t="s">
        <v>5481</v>
      </c>
      <c r="B2797" s="1" t="s">
        <v>67</v>
      </c>
      <c r="C2797" s="1" t="s">
        <v>5482</v>
      </c>
      <c r="D2797" s="2">
        <v>46169</v>
      </c>
      <c r="E2797" s="2">
        <v>46178</v>
      </c>
      <c r="F2797" s="1" t="s">
        <v>1793</v>
      </c>
      <c r="G2797" s="1" t="s">
        <v>12</v>
      </c>
      <c r="H2797" s="1" t="s">
        <v>11</v>
      </c>
      <c r="I2797" s="7">
        <v>387.29</v>
      </c>
      <c r="J2797" s="1" t="s">
        <v>38</v>
      </c>
      <c r="K2797" s="1"/>
      <c r="L2797" s="1" t="s">
        <v>39</v>
      </c>
      <c r="M2797" s="1" t="str">
        <f>INDEX(MCC_Lookup!$B$2:$B$12,MATCH(G2797,MCC_Lookup!$A$2:$A$12,0))</f>
        <v>Office Supplies</v>
      </c>
      <c r="N2797" s="1" t="str">
        <f>IF(TRIM(H2797)="","BLANK",IF(PROPER(TRIM(H2797))=TRIM(M2797),"MATCH","MISMATCH"))</f>
        <v>MATCH</v>
      </c>
      <c r="O2797" s="5" t="str">
        <f>INDEX([1]Employee!$C$2:$C$276,MATCH(B2797,[1]Employee!$A$2:$A$276,0))</f>
        <v>Sales &amp; Marketing</v>
      </c>
    </row>
    <row r="2798" spans="1:15">
      <c r="A2798" s="1" t="s">
        <v>5483</v>
      </c>
      <c r="B2798" s="1" t="s">
        <v>1509</v>
      </c>
      <c r="C2798" s="1" t="s">
        <v>5484</v>
      </c>
      <c r="D2798" s="2">
        <v>46177</v>
      </c>
      <c r="E2798" s="2">
        <v>46178</v>
      </c>
      <c r="F2798" s="1" t="s">
        <v>177</v>
      </c>
      <c r="G2798" s="1" t="s">
        <v>13</v>
      </c>
      <c r="H2798" s="1" t="s">
        <v>14</v>
      </c>
      <c r="I2798" s="7">
        <v>41.59</v>
      </c>
      <c r="J2798" s="1" t="s">
        <v>38</v>
      </c>
      <c r="K2798" s="1"/>
      <c r="L2798" s="1" t="s">
        <v>39</v>
      </c>
      <c r="M2798" s="1" t="str">
        <f>INDEX(MCC_Lookup!$B$2:$B$12,MATCH(G2798,MCC_Lookup!$A$2:$A$12,0))</f>
        <v>Software</v>
      </c>
      <c r="N2798" s="1" t="str">
        <f>IF(TRIM(H2798)="","BLANK",IF(PROPER(TRIM(H2798))=TRIM(M2798),"MATCH","MISMATCH"))</f>
        <v>MATCH</v>
      </c>
      <c r="O2798" s="5" t="str">
        <f>INDEX([1]Employee!$C$2:$C$276,MATCH(B2798,[1]Employee!$A$2:$A$276,0))</f>
        <v>Claims</v>
      </c>
    </row>
    <row r="2799" spans="1:15">
      <c r="A2799" s="1" t="s">
        <v>5485</v>
      </c>
      <c r="B2799" s="1" t="s">
        <v>512</v>
      </c>
      <c r="C2799" s="1" t="s">
        <v>5486</v>
      </c>
      <c r="D2799" s="2">
        <v>46175</v>
      </c>
      <c r="E2799" s="2">
        <v>46178</v>
      </c>
      <c r="F2799" s="1" t="s">
        <v>109</v>
      </c>
      <c r="G2799" s="1" t="s">
        <v>18</v>
      </c>
      <c r="H2799" s="1" t="s">
        <v>19</v>
      </c>
      <c r="I2799" s="7">
        <v>267.14999999999998</v>
      </c>
      <c r="J2799" s="1" t="s">
        <v>38</v>
      </c>
      <c r="K2799" s="1"/>
      <c r="L2799" s="1" t="s">
        <v>39</v>
      </c>
      <c r="M2799" s="1" t="str">
        <f>INDEX(MCC_Lookup!$B$2:$B$12,MATCH(G2799,MCC_Lookup!$A$2:$A$12,0))</f>
        <v>Events</v>
      </c>
      <c r="N2799" s="1" t="str">
        <f>IF(TRIM(H2799)="","BLANK",IF(PROPER(TRIM(H2799))=TRIM(M2799),"MATCH","MISMATCH"))</f>
        <v>MATCH</v>
      </c>
      <c r="O2799" s="5" t="str">
        <f>INDEX([1]Employee!$C$2:$C$276,MATCH(B2799,[1]Employee!$A$2:$A$276,0))</f>
        <v>Sales &amp; Marketing</v>
      </c>
    </row>
    <row r="2800" spans="1:15">
      <c r="A2800" s="1" t="s">
        <v>5487</v>
      </c>
      <c r="B2800" s="1" t="s">
        <v>588</v>
      </c>
      <c r="C2800" s="1" t="s">
        <v>5488</v>
      </c>
      <c r="D2800" s="2">
        <v>46174</v>
      </c>
      <c r="E2800" s="2">
        <v>46179</v>
      </c>
      <c r="F2800" s="1" t="s">
        <v>259</v>
      </c>
      <c r="G2800" s="1" t="s">
        <v>20</v>
      </c>
      <c r="H2800" s="1" t="s">
        <v>19</v>
      </c>
      <c r="I2800" s="7">
        <v>156.44999999999999</v>
      </c>
      <c r="J2800" s="1" t="s">
        <v>38</v>
      </c>
      <c r="K2800" s="1"/>
      <c r="L2800" s="1" t="s">
        <v>39</v>
      </c>
      <c r="M2800" s="1" t="str">
        <f>INDEX(MCC_Lookup!$B$2:$B$12,MATCH(G2800,MCC_Lookup!$A$2:$A$12,0))</f>
        <v>Events</v>
      </c>
      <c r="N2800" s="1" t="str">
        <f>IF(TRIM(H2800)="","BLANK",IF(PROPER(TRIM(H2800))=TRIM(M2800),"MATCH","MISMATCH"))</f>
        <v>MATCH</v>
      </c>
      <c r="O2800" s="5" t="str">
        <f>INDEX([1]Employee!$C$2:$C$276,MATCH(B2800,[1]Employee!$A$2:$A$276,0))</f>
        <v>Claims</v>
      </c>
    </row>
    <row r="2801" spans="1:15">
      <c r="A2801" s="1" t="s">
        <v>5489</v>
      </c>
      <c r="B2801" s="1" t="s">
        <v>216</v>
      </c>
      <c r="C2801" s="1" t="s">
        <v>5490</v>
      </c>
      <c r="D2801" s="2">
        <v>46174</v>
      </c>
      <c r="E2801" s="2">
        <v>46179</v>
      </c>
      <c r="F2801" s="1" t="s">
        <v>116</v>
      </c>
      <c r="G2801" s="1" t="s">
        <v>2</v>
      </c>
      <c r="H2801" s="1" t="s">
        <v>3</v>
      </c>
      <c r="I2801" s="7">
        <v>14.83</v>
      </c>
      <c r="J2801" s="1" t="s">
        <v>38</v>
      </c>
      <c r="K2801" s="1"/>
      <c r="L2801" s="1" t="s">
        <v>39</v>
      </c>
      <c r="M2801" s="1" t="str">
        <f>INDEX(MCC_Lookup!$B$2:$B$12,MATCH(G2801,MCC_Lookup!$A$2:$A$12,0))</f>
        <v>Meals</v>
      </c>
      <c r="N2801" s="1" t="str">
        <f>IF(TRIM(H2801)="","BLANK",IF(PROPER(TRIM(H2801))=TRIM(M2801),"MATCH","MISMATCH"))</f>
        <v>MATCH</v>
      </c>
      <c r="O2801" s="5" t="str">
        <f>INDEX([1]Employee!$C$2:$C$276,MATCH(B2801,[1]Employee!$A$2:$A$276,0))</f>
        <v>Sales &amp; Marketing</v>
      </c>
    </row>
    <row r="2802" spans="1:15">
      <c r="A2802" s="1" t="s">
        <v>5491</v>
      </c>
      <c r="B2802" s="1" t="s">
        <v>512</v>
      </c>
      <c r="C2802" s="1" t="s">
        <v>5492</v>
      </c>
      <c r="D2802" s="2">
        <v>46178</v>
      </c>
      <c r="E2802" s="2">
        <v>46179</v>
      </c>
      <c r="F2802" s="1" t="s">
        <v>43</v>
      </c>
      <c r="G2802" s="1" t="s">
        <v>2</v>
      </c>
      <c r="H2802" s="1" t="s">
        <v>3</v>
      </c>
      <c r="I2802" s="7">
        <v>15.78</v>
      </c>
      <c r="J2802" s="1" t="s">
        <v>38</v>
      </c>
      <c r="K2802" s="1"/>
      <c r="L2802" s="1" t="s">
        <v>39</v>
      </c>
      <c r="M2802" s="1" t="str">
        <f>INDEX(MCC_Lookup!$B$2:$B$12,MATCH(G2802,MCC_Lookup!$A$2:$A$12,0))</f>
        <v>Meals</v>
      </c>
      <c r="N2802" s="1" t="str">
        <f>IF(TRIM(H2802)="","BLANK",IF(PROPER(TRIM(H2802))=TRIM(M2802),"MATCH","MISMATCH"))</f>
        <v>MATCH</v>
      </c>
      <c r="O2802" s="5" t="str">
        <f>INDEX([1]Employee!$C$2:$C$276,MATCH(B2802,[1]Employee!$A$2:$A$276,0))</f>
        <v>Sales &amp; Marketing</v>
      </c>
    </row>
    <row r="2803" spans="1:15">
      <c r="A2803" s="1" t="s">
        <v>5493</v>
      </c>
      <c r="B2803" s="1" t="s">
        <v>382</v>
      </c>
      <c r="C2803" s="1" t="s">
        <v>5494</v>
      </c>
      <c r="D2803" s="2">
        <v>46172</v>
      </c>
      <c r="E2803" s="2">
        <v>46179</v>
      </c>
      <c r="F2803" s="1" t="s">
        <v>124</v>
      </c>
      <c r="G2803" s="1" t="s">
        <v>17</v>
      </c>
      <c r="H2803" s="1"/>
      <c r="I2803" s="7">
        <v>145.71</v>
      </c>
      <c r="J2803" s="1" t="s">
        <v>38</v>
      </c>
      <c r="K2803" s="1"/>
      <c r="L2803" s="1" t="s">
        <v>39</v>
      </c>
      <c r="M2803" s="1" t="str">
        <f>INDEX(MCC_Lookup!$B$2:$B$12,MATCH(G2803,MCC_Lookup!$A$2:$A$12,0))</f>
        <v>Entertainment</v>
      </c>
      <c r="N2803" s="1" t="str">
        <f>IF(TRIM(H2803)="","BLANK",IF(PROPER(TRIM(H2803))=TRIM(M2803),"MATCH","MISMATCH"))</f>
        <v>BLANK</v>
      </c>
      <c r="O2803" s="5" t="str">
        <f>INDEX([1]Employee!$C$2:$C$276,MATCH(B2803,[1]Employee!$A$2:$A$276,0))</f>
        <v>Sales &amp; Marketing</v>
      </c>
    </row>
    <row r="2804" spans="1:15">
      <c r="A2804" s="1" t="s">
        <v>5495</v>
      </c>
      <c r="B2804" s="1" t="s">
        <v>763</v>
      </c>
      <c r="C2804" s="1" t="s">
        <v>5496</v>
      </c>
      <c r="D2804" s="2">
        <v>46172</v>
      </c>
      <c r="E2804" s="2">
        <v>46179</v>
      </c>
      <c r="F2804" s="1" t="s">
        <v>92</v>
      </c>
      <c r="G2804" s="1" t="s">
        <v>10</v>
      </c>
      <c r="H2804" s="1" t="s">
        <v>11</v>
      </c>
      <c r="I2804" s="7">
        <v>41.86</v>
      </c>
      <c r="J2804" s="1" t="s">
        <v>38</v>
      </c>
      <c r="K2804" s="1"/>
      <c r="L2804" s="1" t="s">
        <v>39</v>
      </c>
      <c r="M2804" s="1" t="str">
        <f>INDEX(MCC_Lookup!$B$2:$B$12,MATCH(G2804,MCC_Lookup!$A$2:$A$12,0))</f>
        <v>Office Supplies</v>
      </c>
      <c r="N2804" s="1" t="str">
        <f>IF(TRIM(H2804)="","BLANK",IF(PROPER(TRIM(H2804))=TRIM(M2804),"MATCH","MISMATCH"))</f>
        <v>MATCH</v>
      </c>
      <c r="O2804" s="5" t="str">
        <f>INDEX([1]Employee!$C$2:$C$276,MATCH(B2804,[1]Employee!$A$2:$A$276,0))</f>
        <v>Executive &amp; Corporate</v>
      </c>
    </row>
    <row r="2805" spans="1:15">
      <c r="A2805" s="1" t="s">
        <v>5497</v>
      </c>
      <c r="B2805" s="1" t="s">
        <v>597</v>
      </c>
      <c r="C2805" s="1" t="s">
        <v>5498</v>
      </c>
      <c r="D2805" s="2">
        <v>46177</v>
      </c>
      <c r="E2805" s="2">
        <v>46179</v>
      </c>
      <c r="F2805" s="1" t="s">
        <v>4811</v>
      </c>
      <c r="G2805" s="1" t="s">
        <v>8</v>
      </c>
      <c r="H2805" s="1" t="s">
        <v>9</v>
      </c>
      <c r="I2805" s="7">
        <v>49.94</v>
      </c>
      <c r="J2805" s="1" t="s">
        <v>38</v>
      </c>
      <c r="K2805" s="1"/>
      <c r="L2805" s="1" t="s">
        <v>39</v>
      </c>
      <c r="M2805" s="1" t="str">
        <f>INDEX(MCC_Lookup!$B$2:$B$12,MATCH(G2805,MCC_Lookup!$A$2:$A$12,0))</f>
        <v>Transportation</v>
      </c>
      <c r="N2805" s="1" t="str">
        <f>IF(TRIM(H2805)="","BLANK",IF(PROPER(TRIM(H2805))=TRIM(M2805),"MATCH","MISMATCH"))</f>
        <v>MATCH</v>
      </c>
      <c r="O2805" s="5" t="str">
        <f>INDEX([1]Employee!$C$2:$C$276,MATCH(B2805,[1]Employee!$A$2:$A$276,0))</f>
        <v>Sales &amp; Marketing</v>
      </c>
    </row>
    <row r="2806" spans="1:15">
      <c r="A2806" s="1" t="s">
        <v>5499</v>
      </c>
      <c r="B2806" s="1" t="s">
        <v>712</v>
      </c>
      <c r="C2806" s="1"/>
      <c r="D2806" s="2">
        <v>46173</v>
      </c>
      <c r="E2806" s="2">
        <v>46179</v>
      </c>
      <c r="F2806" s="1" t="s">
        <v>106</v>
      </c>
      <c r="G2806" s="1" t="s">
        <v>13</v>
      </c>
      <c r="H2806" s="1" t="s">
        <v>269</v>
      </c>
      <c r="I2806" s="7">
        <v>118.59</v>
      </c>
      <c r="J2806" s="1" t="s">
        <v>38</v>
      </c>
      <c r="K2806" s="1"/>
      <c r="L2806" s="1" t="s">
        <v>39</v>
      </c>
      <c r="M2806" s="1" t="str">
        <f>INDEX(MCC_Lookup!$B$2:$B$12,MATCH(G2806,MCC_Lookup!$A$2:$A$12,0))</f>
        <v>Software</v>
      </c>
      <c r="N2806" s="1" t="str">
        <f>IF(TRIM(H2806)="","BLANK",IF(PROPER(TRIM(H2806))=TRIM(M2806),"MATCH","MISMATCH"))</f>
        <v>MISMATCH</v>
      </c>
      <c r="O2806" s="5" t="str">
        <f>INDEX([1]Employee!$C$2:$C$276,MATCH(B2806,[1]Employee!$A$2:$A$276,0))</f>
        <v>Underwriting</v>
      </c>
    </row>
    <row r="2807" spans="1:15">
      <c r="A2807" s="1" t="s">
        <v>5500</v>
      </c>
      <c r="B2807" s="1" t="s">
        <v>63</v>
      </c>
      <c r="C2807" s="1" t="s">
        <v>5501</v>
      </c>
      <c r="D2807" s="2">
        <v>46170</v>
      </c>
      <c r="E2807" s="2">
        <v>46179</v>
      </c>
      <c r="F2807" s="1" t="s">
        <v>106</v>
      </c>
      <c r="G2807" s="1" t="s">
        <v>13</v>
      </c>
      <c r="H2807" s="1"/>
      <c r="I2807" s="7">
        <v>112.19</v>
      </c>
      <c r="J2807" s="1" t="s">
        <v>38</v>
      </c>
      <c r="K2807" s="1"/>
      <c r="L2807" s="1" t="s">
        <v>39</v>
      </c>
      <c r="M2807" s="1" t="str">
        <f>INDEX(MCC_Lookup!$B$2:$B$12,MATCH(G2807,MCC_Lookup!$A$2:$A$12,0))</f>
        <v>Software</v>
      </c>
      <c r="N2807" s="1" t="str">
        <f>IF(TRIM(H2807)="","BLANK",IF(PROPER(TRIM(H2807))=TRIM(M2807),"MATCH","MISMATCH"))</f>
        <v>BLANK</v>
      </c>
      <c r="O2807" s="5" t="str">
        <f>INDEX([1]Employee!$C$2:$C$276,MATCH(B2807,[1]Employee!$A$2:$A$276,0))</f>
        <v>Sales &amp; Marketing</v>
      </c>
    </row>
    <row r="2808" spans="1:15">
      <c r="A2808" s="1" t="s">
        <v>5502</v>
      </c>
      <c r="B2808" s="1" t="s">
        <v>1886</v>
      </c>
      <c r="C2808" s="1" t="s">
        <v>5503</v>
      </c>
      <c r="D2808" s="2">
        <v>46176</v>
      </c>
      <c r="E2808" s="2">
        <v>46179</v>
      </c>
      <c r="F2808" s="1" t="s">
        <v>43</v>
      </c>
      <c r="G2808" s="1" t="s">
        <v>2</v>
      </c>
      <c r="H2808" s="1" t="s">
        <v>3</v>
      </c>
      <c r="I2808" s="7">
        <v>12.37</v>
      </c>
      <c r="J2808" s="1" t="s">
        <v>38</v>
      </c>
      <c r="K2808" s="1"/>
      <c r="L2808" s="1" t="s">
        <v>39</v>
      </c>
      <c r="M2808" s="1" t="str">
        <f>INDEX(MCC_Lookup!$B$2:$B$12,MATCH(G2808,MCC_Lookup!$A$2:$A$12,0))</f>
        <v>Meals</v>
      </c>
      <c r="N2808" s="1" t="str">
        <f>IF(TRIM(H2808)="","BLANK",IF(PROPER(TRIM(H2808))=TRIM(M2808),"MATCH","MISMATCH"))</f>
        <v>MATCH</v>
      </c>
      <c r="O2808" s="5" t="str">
        <f>INDEX([1]Employee!$C$2:$C$276,MATCH(B2808,[1]Employee!$A$2:$A$276,0))</f>
        <v>Actuarial &amp; Risk</v>
      </c>
    </row>
    <row r="2809" spans="1:15">
      <c r="A2809" s="1" t="s">
        <v>5504</v>
      </c>
      <c r="B2809" s="1" t="s">
        <v>1567</v>
      </c>
      <c r="C2809" s="1" t="s">
        <v>5505</v>
      </c>
      <c r="D2809" s="2">
        <v>46171</v>
      </c>
      <c r="E2809" s="2">
        <v>46179</v>
      </c>
      <c r="F2809" s="1" t="s">
        <v>99</v>
      </c>
      <c r="G2809" s="1" t="s">
        <v>2</v>
      </c>
      <c r="H2809" s="1" t="s">
        <v>3</v>
      </c>
      <c r="I2809" s="7">
        <v>131.57</v>
      </c>
      <c r="J2809" s="1" t="s">
        <v>38</v>
      </c>
      <c r="K2809" s="1"/>
      <c r="L2809" s="1" t="s">
        <v>39</v>
      </c>
      <c r="M2809" s="1" t="str">
        <f>INDEX(MCC_Lookup!$B$2:$B$12,MATCH(G2809,MCC_Lookup!$A$2:$A$12,0))</f>
        <v>Meals</v>
      </c>
      <c r="N2809" s="1" t="str">
        <f>IF(TRIM(H2809)="","BLANK",IF(PROPER(TRIM(H2809))=TRIM(M2809),"MATCH","MISMATCH"))</f>
        <v>MATCH</v>
      </c>
      <c r="O2809" s="5" t="str">
        <f>INDEX([1]Employee!$C$2:$C$276,MATCH(B2809,[1]Employee!$A$2:$A$276,0))</f>
        <v>Underwriting</v>
      </c>
    </row>
    <row r="2810" spans="1:15">
      <c r="A2810" s="1" t="s">
        <v>5506</v>
      </c>
      <c r="B2810" s="1" t="s">
        <v>836</v>
      </c>
      <c r="C2810" s="1" t="s">
        <v>5507</v>
      </c>
      <c r="D2810" s="2">
        <v>46175</v>
      </c>
      <c r="E2810" s="2">
        <v>46179</v>
      </c>
      <c r="F2810" s="1" t="s">
        <v>56</v>
      </c>
      <c r="G2810" s="1" t="s">
        <v>4</v>
      </c>
      <c r="H2810" s="1" t="s">
        <v>5</v>
      </c>
      <c r="I2810" s="7">
        <v>287.70999999999998</v>
      </c>
      <c r="J2810" s="1" t="s">
        <v>38</v>
      </c>
      <c r="K2810" s="1"/>
      <c r="L2810" s="1" t="s">
        <v>39</v>
      </c>
      <c r="M2810" s="1" t="str">
        <f>INDEX(MCC_Lookup!$B$2:$B$12,MATCH(G2810,MCC_Lookup!$A$2:$A$12,0))</f>
        <v>Travel</v>
      </c>
      <c r="N2810" s="1" t="str">
        <f>IF(TRIM(H2810)="","BLANK",IF(PROPER(TRIM(H2810))=TRIM(M2810),"MATCH","MISMATCH"))</f>
        <v>MATCH</v>
      </c>
      <c r="O2810" s="5" t="str">
        <f>INDEX([1]Employee!$C$2:$C$276,MATCH(B2810,[1]Employee!$A$2:$A$276,0))</f>
        <v>Sales &amp; Marketing</v>
      </c>
    </row>
    <row r="2811" spans="1:15">
      <c r="A2811" s="1" t="s">
        <v>5508</v>
      </c>
      <c r="B2811" s="1" t="s">
        <v>836</v>
      </c>
      <c r="C2811" s="1" t="s">
        <v>5509</v>
      </c>
      <c r="D2811" s="2">
        <v>46177</v>
      </c>
      <c r="E2811" s="2">
        <v>46179</v>
      </c>
      <c r="F2811" s="1" t="s">
        <v>43</v>
      </c>
      <c r="G2811" s="1" t="s">
        <v>2</v>
      </c>
      <c r="H2811" s="1" t="s">
        <v>3</v>
      </c>
      <c r="I2811" s="7">
        <v>17.47</v>
      </c>
      <c r="J2811" s="1" t="s">
        <v>38</v>
      </c>
      <c r="K2811" s="1"/>
      <c r="L2811" s="1" t="s">
        <v>39</v>
      </c>
      <c r="M2811" s="1" t="str">
        <f>INDEX(MCC_Lookup!$B$2:$B$12,MATCH(G2811,MCC_Lookup!$A$2:$A$12,0))</f>
        <v>Meals</v>
      </c>
      <c r="N2811" s="1" t="str">
        <f>IF(TRIM(H2811)="","BLANK",IF(PROPER(TRIM(H2811))=TRIM(M2811),"MATCH","MISMATCH"))</f>
        <v>MATCH</v>
      </c>
      <c r="O2811" s="5" t="str">
        <f>INDEX([1]Employee!$C$2:$C$276,MATCH(B2811,[1]Employee!$A$2:$A$276,0))</f>
        <v>Sales &amp; Marketing</v>
      </c>
    </row>
    <row r="2812" spans="1:15">
      <c r="A2812" s="1" t="s">
        <v>5510</v>
      </c>
      <c r="B2812" s="1" t="s">
        <v>240</v>
      </c>
      <c r="C2812" s="1" t="s">
        <v>5511</v>
      </c>
      <c r="D2812" s="2">
        <v>46175</v>
      </c>
      <c r="E2812" s="2">
        <v>46179</v>
      </c>
      <c r="F2812" s="1" t="s">
        <v>242</v>
      </c>
      <c r="G2812" s="1" t="s">
        <v>13</v>
      </c>
      <c r="H2812" s="1" t="s">
        <v>14</v>
      </c>
      <c r="I2812" s="7">
        <v>15.3</v>
      </c>
      <c r="J2812" s="1" t="s">
        <v>38</v>
      </c>
      <c r="K2812" s="1"/>
      <c r="L2812" s="1" t="s">
        <v>39</v>
      </c>
      <c r="M2812" s="1" t="str">
        <f>INDEX(MCC_Lookup!$B$2:$B$12,MATCH(G2812,MCC_Lookup!$A$2:$A$12,0))</f>
        <v>Software</v>
      </c>
      <c r="N2812" s="1" t="str">
        <f>IF(TRIM(H2812)="","BLANK",IF(PROPER(TRIM(H2812))=TRIM(M2812),"MATCH","MISMATCH"))</f>
        <v>MATCH</v>
      </c>
      <c r="O2812" s="5" t="str">
        <f>INDEX([1]Employee!$C$2:$C$276,MATCH(B2812,[1]Employee!$A$2:$A$276,0))</f>
        <v>Claims</v>
      </c>
    </row>
    <row r="2813" spans="1:15">
      <c r="A2813" s="1" t="s">
        <v>5512</v>
      </c>
      <c r="B2813" s="1" t="s">
        <v>890</v>
      </c>
      <c r="C2813" s="1" t="s">
        <v>5513</v>
      </c>
      <c r="D2813" s="2">
        <v>46175</v>
      </c>
      <c r="E2813" s="2">
        <v>46179</v>
      </c>
      <c r="F2813" s="1" t="s">
        <v>106</v>
      </c>
      <c r="G2813" s="1" t="s">
        <v>13</v>
      </c>
      <c r="H2813" s="1" t="s">
        <v>14</v>
      </c>
      <c r="I2813" s="7">
        <v>192.54</v>
      </c>
      <c r="J2813" s="1" t="s">
        <v>38</v>
      </c>
      <c r="K2813" s="1"/>
      <c r="L2813" s="1" t="s">
        <v>39</v>
      </c>
      <c r="M2813" s="1" t="str">
        <f>INDEX(MCC_Lookup!$B$2:$B$12,MATCH(G2813,MCC_Lookup!$A$2:$A$12,0))</f>
        <v>Software</v>
      </c>
      <c r="N2813" s="1" t="str">
        <f>IF(TRIM(H2813)="","BLANK",IF(PROPER(TRIM(H2813))=TRIM(M2813),"MATCH","MISMATCH"))</f>
        <v>MATCH</v>
      </c>
      <c r="O2813" s="5" t="str">
        <f>INDEX([1]Employee!$C$2:$C$276,MATCH(B2813,[1]Employee!$A$2:$A$276,0))</f>
        <v>Sales &amp; Marketing</v>
      </c>
    </row>
    <row r="2814" spans="1:15">
      <c r="A2814" s="1" t="s">
        <v>5514</v>
      </c>
      <c r="B2814" s="1" t="s">
        <v>129</v>
      </c>
      <c r="C2814" s="1" t="s">
        <v>5515</v>
      </c>
      <c r="D2814" s="2">
        <v>46177</v>
      </c>
      <c r="E2814" s="2">
        <v>46179</v>
      </c>
      <c r="F2814" s="1" t="s">
        <v>52</v>
      </c>
      <c r="G2814" s="1" t="s">
        <v>15</v>
      </c>
      <c r="H2814" s="1"/>
      <c r="I2814" s="7">
        <v>48.78</v>
      </c>
      <c r="J2814" s="1" t="s">
        <v>38</v>
      </c>
      <c r="K2814" s="1"/>
      <c r="L2814" s="1" t="s">
        <v>39</v>
      </c>
      <c r="M2814" s="1" t="str">
        <f>INDEX(MCC_Lookup!$B$2:$B$12,MATCH(G2814,MCC_Lookup!$A$2:$A$12,0))</f>
        <v>Entertainment</v>
      </c>
      <c r="N2814" s="1" t="str">
        <f>IF(TRIM(H2814)="","BLANK",IF(PROPER(TRIM(H2814))=TRIM(M2814),"MATCH","MISMATCH"))</f>
        <v>BLANK</v>
      </c>
      <c r="O2814" s="5" t="str">
        <f>INDEX([1]Employee!$C$2:$C$276,MATCH(B2814,[1]Employee!$A$2:$A$276,0))</f>
        <v>Sales &amp; Marketing</v>
      </c>
    </row>
    <row r="2815" spans="1:15">
      <c r="A2815" s="1" t="s">
        <v>5516</v>
      </c>
      <c r="B2815" s="1" t="s">
        <v>90</v>
      </c>
      <c r="C2815" s="1" t="s">
        <v>5517</v>
      </c>
      <c r="D2815" s="2">
        <v>46172</v>
      </c>
      <c r="E2815" s="2">
        <v>46179</v>
      </c>
      <c r="F2815" s="1" t="s">
        <v>259</v>
      </c>
      <c r="G2815" s="1" t="s">
        <v>20</v>
      </c>
      <c r="H2815" s="1" t="s">
        <v>19</v>
      </c>
      <c r="I2815" s="7">
        <v>549.64</v>
      </c>
      <c r="J2815" s="1" t="s">
        <v>38</v>
      </c>
      <c r="K2815" s="1"/>
      <c r="L2815" s="1" t="s">
        <v>39</v>
      </c>
      <c r="M2815" s="1" t="str">
        <f>INDEX(MCC_Lookup!$B$2:$B$12,MATCH(G2815,MCC_Lookup!$A$2:$A$12,0))</f>
        <v>Events</v>
      </c>
      <c r="N2815" s="1" t="str">
        <f>IF(TRIM(H2815)="","BLANK",IF(PROPER(TRIM(H2815))=TRIM(M2815),"MATCH","MISMATCH"))</f>
        <v>MATCH</v>
      </c>
      <c r="O2815" s="5" t="str">
        <f>INDEX([1]Employee!$C$2:$C$276,MATCH(B2815,[1]Employee!$A$2:$A$276,0))</f>
        <v>Sales &amp; Marketing</v>
      </c>
    </row>
    <row r="2816" spans="1:15">
      <c r="A2816" s="1" t="s">
        <v>5518</v>
      </c>
      <c r="B2816" s="1" t="s">
        <v>207</v>
      </c>
      <c r="C2816" s="1" t="s">
        <v>5519</v>
      </c>
      <c r="D2816" s="2">
        <v>46178</v>
      </c>
      <c r="E2816" s="2">
        <v>46179</v>
      </c>
      <c r="F2816" s="1" t="s">
        <v>242</v>
      </c>
      <c r="G2816" s="1" t="s">
        <v>13</v>
      </c>
      <c r="H2816" s="1" t="s">
        <v>14</v>
      </c>
      <c r="I2816" s="7">
        <v>43.96</v>
      </c>
      <c r="J2816" s="1" t="s">
        <v>38</v>
      </c>
      <c r="K2816" s="1"/>
      <c r="L2816" s="1" t="s">
        <v>39</v>
      </c>
      <c r="M2816" s="1" t="str">
        <f>INDEX(MCC_Lookup!$B$2:$B$12,MATCH(G2816,MCC_Lookup!$A$2:$A$12,0))</f>
        <v>Software</v>
      </c>
      <c r="N2816" s="1" t="str">
        <f>IF(TRIM(H2816)="","BLANK",IF(PROPER(TRIM(H2816))=TRIM(M2816),"MATCH","MISMATCH"))</f>
        <v>MATCH</v>
      </c>
      <c r="O2816" s="5" t="str">
        <f>INDEX([1]Employee!$C$2:$C$276,MATCH(B2816,[1]Employee!$A$2:$A$276,0))</f>
        <v>Claims</v>
      </c>
    </row>
    <row r="2817" spans="1:15">
      <c r="A2817" s="1" t="s">
        <v>5520</v>
      </c>
      <c r="B2817" s="1" t="s">
        <v>472</v>
      </c>
      <c r="C2817" s="1" t="s">
        <v>5521</v>
      </c>
      <c r="D2817" s="2">
        <v>46176</v>
      </c>
      <c r="E2817" s="2">
        <v>46179</v>
      </c>
      <c r="F2817" s="1" t="s">
        <v>259</v>
      </c>
      <c r="G2817" s="1" t="s">
        <v>20</v>
      </c>
      <c r="H2817" s="1" t="s">
        <v>19</v>
      </c>
      <c r="I2817" s="7">
        <v>98.58</v>
      </c>
      <c r="J2817" s="1" t="s">
        <v>38</v>
      </c>
      <c r="K2817" s="1"/>
      <c r="L2817" s="1" t="s">
        <v>39</v>
      </c>
      <c r="M2817" s="1" t="str">
        <f>INDEX(MCC_Lookup!$B$2:$B$12,MATCH(G2817,MCC_Lookup!$A$2:$A$12,0))</f>
        <v>Events</v>
      </c>
      <c r="N2817" s="1" t="str">
        <f>IF(TRIM(H2817)="","BLANK",IF(PROPER(TRIM(H2817))=TRIM(M2817),"MATCH","MISMATCH"))</f>
        <v>MATCH</v>
      </c>
      <c r="O2817" s="5" t="str">
        <f>INDEX([1]Employee!$C$2:$C$276,MATCH(B2817,[1]Employee!$A$2:$A$276,0))</f>
        <v>Sales &amp; Marketing</v>
      </c>
    </row>
    <row r="2818" spans="1:15">
      <c r="A2818" s="1" t="s">
        <v>5522</v>
      </c>
      <c r="B2818" s="1" t="s">
        <v>547</v>
      </c>
      <c r="C2818" s="1"/>
      <c r="D2818" s="2">
        <v>46171</v>
      </c>
      <c r="E2818" s="2">
        <v>46180</v>
      </c>
      <c r="F2818" s="1" t="s">
        <v>43</v>
      </c>
      <c r="G2818" s="1" t="s">
        <v>2</v>
      </c>
      <c r="H2818" s="1" t="s">
        <v>3</v>
      </c>
      <c r="I2818" s="7">
        <v>9.2200000000000006</v>
      </c>
      <c r="J2818" s="1" t="s">
        <v>111</v>
      </c>
      <c r="K2818" s="1" t="s">
        <v>229</v>
      </c>
      <c r="L2818" s="1" t="s">
        <v>39</v>
      </c>
      <c r="M2818" s="1" t="str">
        <f>INDEX(MCC_Lookup!$B$2:$B$12,MATCH(G2818,MCC_Lookup!$A$2:$A$12,0))</f>
        <v>Meals</v>
      </c>
      <c r="N2818" s="1" t="str">
        <f>IF(TRIM(H2818)="","BLANK",IF(PROPER(TRIM(H2818))=TRIM(M2818),"MATCH","MISMATCH"))</f>
        <v>MATCH</v>
      </c>
      <c r="O2818" s="5" t="str">
        <f>INDEX([1]Employee!$C$2:$C$276,MATCH(B2818,[1]Employee!$A$2:$A$276,0))</f>
        <v>Sales &amp; Marketing</v>
      </c>
    </row>
    <row r="2819" spans="1:15">
      <c r="A2819" s="1" t="s">
        <v>5523</v>
      </c>
      <c r="B2819" s="1" t="s">
        <v>67</v>
      </c>
      <c r="C2819" s="1" t="s">
        <v>5524</v>
      </c>
      <c r="D2819" s="2">
        <v>46177</v>
      </c>
      <c r="E2819" s="2">
        <v>46180</v>
      </c>
      <c r="F2819" s="1" t="s">
        <v>37</v>
      </c>
      <c r="G2819" s="1" t="s">
        <v>4</v>
      </c>
      <c r="H2819" s="1" t="s">
        <v>5</v>
      </c>
      <c r="I2819" s="7">
        <v>125.06</v>
      </c>
      <c r="J2819" s="1" t="s">
        <v>38</v>
      </c>
      <c r="K2819" s="1"/>
      <c r="L2819" s="1" t="s">
        <v>39</v>
      </c>
      <c r="M2819" s="1" t="str">
        <f>INDEX(MCC_Lookup!$B$2:$B$12,MATCH(G2819,MCC_Lookup!$A$2:$A$12,0))</f>
        <v>Travel</v>
      </c>
      <c r="N2819" s="1" t="str">
        <f>IF(TRIM(H2819)="","BLANK",IF(PROPER(TRIM(H2819))=TRIM(M2819),"MATCH","MISMATCH"))</f>
        <v>MATCH</v>
      </c>
      <c r="O2819" s="5" t="str">
        <f>INDEX([1]Employee!$C$2:$C$276,MATCH(B2819,[1]Employee!$A$2:$A$276,0))</f>
        <v>Sales &amp; Marketing</v>
      </c>
    </row>
    <row r="2820" spans="1:15">
      <c r="A2820" s="1" t="s">
        <v>5525</v>
      </c>
      <c r="B2820" s="1" t="s">
        <v>227</v>
      </c>
      <c r="C2820" s="1" t="s">
        <v>5526</v>
      </c>
      <c r="D2820" s="2">
        <v>46180</v>
      </c>
      <c r="E2820" s="2">
        <v>46180</v>
      </c>
      <c r="F2820" s="1" t="s">
        <v>106</v>
      </c>
      <c r="G2820" s="1" t="s">
        <v>13</v>
      </c>
      <c r="H2820" s="1" t="s">
        <v>14</v>
      </c>
      <c r="I2820" s="7">
        <v>179.13</v>
      </c>
      <c r="J2820" s="1" t="s">
        <v>38</v>
      </c>
      <c r="K2820" s="1"/>
      <c r="L2820" s="1" t="s">
        <v>39</v>
      </c>
      <c r="M2820" s="1" t="str">
        <f>INDEX(MCC_Lookup!$B$2:$B$12,MATCH(G2820,MCC_Lookup!$A$2:$A$12,0))</f>
        <v>Software</v>
      </c>
      <c r="N2820" s="1" t="str">
        <f>IF(TRIM(H2820)="","BLANK",IF(PROPER(TRIM(H2820))=TRIM(M2820),"MATCH","MISMATCH"))</f>
        <v>MATCH</v>
      </c>
      <c r="O2820" s="5" t="str">
        <f>INDEX([1]Employee!$C$2:$C$276,MATCH(B2820,[1]Employee!$A$2:$A$276,0))</f>
        <v>Claims</v>
      </c>
    </row>
    <row r="2821" spans="1:15">
      <c r="A2821" s="1" t="s">
        <v>5527</v>
      </c>
      <c r="B2821" s="1" t="s">
        <v>244</v>
      </c>
      <c r="C2821" s="1" t="s">
        <v>5528</v>
      </c>
      <c r="D2821" s="2">
        <v>46174</v>
      </c>
      <c r="E2821" s="2">
        <v>46180</v>
      </c>
      <c r="F2821" s="1" t="s">
        <v>201</v>
      </c>
      <c r="G2821" s="1" t="s">
        <v>4</v>
      </c>
      <c r="H2821" s="1" t="s">
        <v>5</v>
      </c>
      <c r="I2821" s="7">
        <v>650.72</v>
      </c>
      <c r="J2821" s="1" t="s">
        <v>38</v>
      </c>
      <c r="K2821" s="1"/>
      <c r="L2821" s="1" t="s">
        <v>39</v>
      </c>
      <c r="M2821" s="1" t="str">
        <f>INDEX(MCC_Lookup!$B$2:$B$12,MATCH(G2821,MCC_Lookup!$A$2:$A$12,0))</f>
        <v>Travel</v>
      </c>
      <c r="N2821" s="1" t="str">
        <f>IF(TRIM(H2821)="","BLANK",IF(PROPER(TRIM(H2821))=TRIM(M2821),"MATCH","MISMATCH"))</f>
        <v>MATCH</v>
      </c>
      <c r="O2821" s="5" t="str">
        <f>INDEX([1]Employee!$C$2:$C$276,MATCH(B2821,[1]Employee!$A$2:$A$276,0))</f>
        <v>Sales &amp; Marketing</v>
      </c>
    </row>
    <row r="2822" spans="1:15">
      <c r="A2822" s="1" t="s">
        <v>5529</v>
      </c>
      <c r="B2822" s="1" t="s">
        <v>966</v>
      </c>
      <c r="C2822" s="1" t="s">
        <v>5530</v>
      </c>
      <c r="D2822" s="2">
        <v>46172</v>
      </c>
      <c r="E2822" s="2">
        <v>46180</v>
      </c>
      <c r="F2822" s="1" t="s">
        <v>52</v>
      </c>
      <c r="G2822" s="1" t="s">
        <v>15</v>
      </c>
      <c r="H2822" s="1" t="s">
        <v>16</v>
      </c>
      <c r="I2822" s="7">
        <v>33.04</v>
      </c>
      <c r="J2822" s="1" t="s">
        <v>38</v>
      </c>
      <c r="K2822" s="1"/>
      <c r="L2822" s="1" t="s">
        <v>39</v>
      </c>
      <c r="M2822" s="1" t="str">
        <f>INDEX(MCC_Lookup!$B$2:$B$12,MATCH(G2822,MCC_Lookup!$A$2:$A$12,0))</f>
        <v>Entertainment</v>
      </c>
      <c r="N2822" s="1" t="str">
        <f>IF(TRIM(H2822)="","BLANK",IF(PROPER(TRIM(H2822))=TRIM(M2822),"MATCH","MISMATCH"))</f>
        <v>MATCH</v>
      </c>
      <c r="O2822" s="5" t="str">
        <f>INDEX([1]Employee!$C$2:$C$276,MATCH(B2822,[1]Employee!$A$2:$A$276,0))</f>
        <v>Finance</v>
      </c>
    </row>
    <row r="2823" spans="1:15">
      <c r="A2823" s="1" t="s">
        <v>5531</v>
      </c>
      <c r="B2823" s="1" t="s">
        <v>122</v>
      </c>
      <c r="C2823" s="1"/>
      <c r="D2823" s="2">
        <v>46179</v>
      </c>
      <c r="E2823" s="2">
        <v>46180</v>
      </c>
      <c r="F2823" s="1" t="s">
        <v>65</v>
      </c>
      <c r="G2823" s="1" t="s">
        <v>18</v>
      </c>
      <c r="H2823" s="1" t="s">
        <v>19</v>
      </c>
      <c r="I2823" s="7">
        <v>529.01</v>
      </c>
      <c r="J2823" s="1" t="s">
        <v>38</v>
      </c>
      <c r="K2823" s="1"/>
      <c r="L2823" s="1" t="s">
        <v>39</v>
      </c>
      <c r="M2823" s="1" t="str">
        <f>INDEX(MCC_Lookup!$B$2:$B$12,MATCH(G2823,MCC_Lookup!$A$2:$A$12,0))</f>
        <v>Events</v>
      </c>
      <c r="N2823" s="1" t="str">
        <f>IF(TRIM(H2823)="","BLANK",IF(PROPER(TRIM(H2823))=TRIM(M2823),"MATCH","MISMATCH"))</f>
        <v>MATCH</v>
      </c>
      <c r="O2823" s="5" t="str">
        <f>INDEX([1]Employee!$C$2:$C$276,MATCH(B2823,[1]Employee!$A$2:$A$276,0))</f>
        <v>Sales &amp; Marketing</v>
      </c>
    </row>
    <row r="2824" spans="1:15">
      <c r="A2824" s="1" t="s">
        <v>5532</v>
      </c>
      <c r="B2824" s="1" t="s">
        <v>182</v>
      </c>
      <c r="C2824" s="1" t="s">
        <v>5533</v>
      </c>
      <c r="D2824" s="2">
        <v>46170</v>
      </c>
      <c r="E2824" s="2">
        <v>46180</v>
      </c>
      <c r="F2824" s="1" t="s">
        <v>65</v>
      </c>
      <c r="G2824" s="1" t="s">
        <v>18</v>
      </c>
      <c r="H2824" s="1" t="s">
        <v>517</v>
      </c>
      <c r="I2824" s="7">
        <v>71.83</v>
      </c>
      <c r="J2824" s="1" t="s">
        <v>38</v>
      </c>
      <c r="K2824" s="1"/>
      <c r="L2824" s="1" t="s">
        <v>39</v>
      </c>
      <c r="M2824" s="1" t="str">
        <f>INDEX(MCC_Lookup!$B$2:$B$12,MATCH(G2824,MCC_Lookup!$A$2:$A$12,0))</f>
        <v>Events</v>
      </c>
      <c r="N2824" s="1" t="str">
        <f>IF(TRIM(H2824)="","BLANK",IF(PROPER(TRIM(H2824))=TRIM(M2824),"MATCH","MISMATCH"))</f>
        <v>MATCH</v>
      </c>
      <c r="O2824" s="5" t="str">
        <f>INDEX([1]Employee!$C$2:$C$276,MATCH(B2824,[1]Employee!$A$2:$A$276,0))</f>
        <v>Sales &amp; Marketing</v>
      </c>
    </row>
    <row r="2825" spans="1:15">
      <c r="A2825" s="1" t="s">
        <v>5534</v>
      </c>
      <c r="B2825" s="1" t="s">
        <v>210</v>
      </c>
      <c r="C2825" s="1"/>
      <c r="D2825" s="2">
        <v>46175</v>
      </c>
      <c r="E2825" s="2">
        <v>46180</v>
      </c>
      <c r="F2825" s="1" t="s">
        <v>76</v>
      </c>
      <c r="G2825" s="1" t="s">
        <v>13</v>
      </c>
      <c r="H2825" s="1" t="s">
        <v>14</v>
      </c>
      <c r="I2825" s="7">
        <v>557.51</v>
      </c>
      <c r="J2825" s="1" t="s">
        <v>38</v>
      </c>
      <c r="K2825" s="1"/>
      <c r="L2825" s="1" t="s">
        <v>39</v>
      </c>
      <c r="M2825" s="1" t="str">
        <f>INDEX(MCC_Lookup!$B$2:$B$12,MATCH(G2825,MCC_Lookup!$A$2:$A$12,0))</f>
        <v>Software</v>
      </c>
      <c r="N2825" s="1" t="str">
        <f>IF(TRIM(H2825)="","BLANK",IF(PROPER(TRIM(H2825))=TRIM(M2825),"MATCH","MISMATCH"))</f>
        <v>MATCH</v>
      </c>
      <c r="O2825" s="5" t="str">
        <f>INDEX([1]Employee!$C$2:$C$276,MATCH(B2825,[1]Employee!$A$2:$A$276,0))</f>
        <v>Sales &amp; Marketing</v>
      </c>
    </row>
    <row r="2826" spans="1:15">
      <c r="A2826" s="1" t="s">
        <v>5535</v>
      </c>
      <c r="B2826" s="1" t="s">
        <v>843</v>
      </c>
      <c r="C2826" s="1" t="s">
        <v>5536</v>
      </c>
      <c r="D2826" s="2">
        <v>46177</v>
      </c>
      <c r="E2826" s="2">
        <v>46180</v>
      </c>
      <c r="F2826" s="1" t="s">
        <v>116</v>
      </c>
      <c r="G2826" s="1" t="s">
        <v>2</v>
      </c>
      <c r="H2826" s="1" t="s">
        <v>3</v>
      </c>
      <c r="I2826" s="7">
        <v>10.98</v>
      </c>
      <c r="J2826" s="1" t="s">
        <v>38</v>
      </c>
      <c r="K2826" s="1"/>
      <c r="L2826" s="1" t="s">
        <v>39</v>
      </c>
      <c r="M2826" s="1" t="str">
        <f>INDEX(MCC_Lookup!$B$2:$B$12,MATCH(G2826,MCC_Lookup!$A$2:$A$12,0))</f>
        <v>Meals</v>
      </c>
      <c r="N2826" s="1" t="str">
        <f>IF(TRIM(H2826)="","BLANK",IF(PROPER(TRIM(H2826))=TRIM(M2826),"MATCH","MISMATCH"))</f>
        <v>MATCH</v>
      </c>
      <c r="O2826" s="5" t="str">
        <f>INDEX([1]Employee!$C$2:$C$276,MATCH(B2826,[1]Employee!$A$2:$A$276,0))</f>
        <v>Customer Support</v>
      </c>
    </row>
    <row r="2827" spans="1:15">
      <c r="A2827" s="1" t="s">
        <v>5537</v>
      </c>
      <c r="B2827" s="1" t="s">
        <v>2902</v>
      </c>
      <c r="C2827" s="1" t="s">
        <v>5538</v>
      </c>
      <c r="D2827" s="2">
        <v>46171</v>
      </c>
      <c r="E2827" s="2">
        <v>46180</v>
      </c>
      <c r="F2827" s="1" t="s">
        <v>106</v>
      </c>
      <c r="G2827" s="1" t="s">
        <v>13</v>
      </c>
      <c r="H2827" s="1" t="s">
        <v>14</v>
      </c>
      <c r="I2827" s="7">
        <v>52.25</v>
      </c>
      <c r="J2827" s="1" t="s">
        <v>38</v>
      </c>
      <c r="K2827" s="1"/>
      <c r="L2827" s="1" t="s">
        <v>39</v>
      </c>
      <c r="M2827" s="1" t="str">
        <f>INDEX(MCC_Lookup!$B$2:$B$12,MATCH(G2827,MCC_Lookup!$A$2:$A$12,0))</f>
        <v>Software</v>
      </c>
      <c r="N2827" s="1" t="str">
        <f>IF(TRIM(H2827)="","BLANK",IF(PROPER(TRIM(H2827))=TRIM(M2827),"MATCH","MISMATCH"))</f>
        <v>MATCH</v>
      </c>
      <c r="O2827" s="5" t="str">
        <f>INDEX([1]Employee!$C$2:$C$276,MATCH(B2827,[1]Employee!$A$2:$A$276,0))</f>
        <v>Underwriting</v>
      </c>
    </row>
    <row r="2828" spans="1:15">
      <c r="A2828" s="1" t="s">
        <v>5539</v>
      </c>
      <c r="B2828" s="1" t="s">
        <v>1188</v>
      </c>
      <c r="C2828" s="1" t="s">
        <v>5540</v>
      </c>
      <c r="D2828" s="2">
        <v>46180</v>
      </c>
      <c r="E2828" s="2">
        <v>46180</v>
      </c>
      <c r="F2828" s="1" t="s">
        <v>76</v>
      </c>
      <c r="G2828" s="1" t="s">
        <v>13</v>
      </c>
      <c r="H2828" s="1" t="s">
        <v>14</v>
      </c>
      <c r="I2828" s="7">
        <v>527.64</v>
      </c>
      <c r="J2828" s="1" t="s">
        <v>38</v>
      </c>
      <c r="K2828" s="1"/>
      <c r="L2828" s="1" t="s">
        <v>39</v>
      </c>
      <c r="M2828" s="1" t="str">
        <f>INDEX(MCC_Lookup!$B$2:$B$12,MATCH(G2828,MCC_Lookup!$A$2:$A$12,0))</f>
        <v>Software</v>
      </c>
      <c r="N2828" s="1" t="str">
        <f>IF(TRIM(H2828)="","BLANK",IF(PROPER(TRIM(H2828))=TRIM(M2828),"MATCH","MISMATCH"))</f>
        <v>MATCH</v>
      </c>
      <c r="O2828" s="5" t="str">
        <f>INDEX([1]Employee!$C$2:$C$276,MATCH(B2828,[1]Employee!$A$2:$A$276,0))</f>
        <v>Executive &amp; Corporate</v>
      </c>
    </row>
    <row r="2829" spans="1:15">
      <c r="A2829" s="1" t="s">
        <v>5541</v>
      </c>
      <c r="B2829" s="1" t="s">
        <v>59</v>
      </c>
      <c r="C2829" s="1" t="s">
        <v>5542</v>
      </c>
      <c r="D2829" s="2">
        <v>46174</v>
      </c>
      <c r="E2829" s="2">
        <v>46180</v>
      </c>
      <c r="F2829" s="1" t="s">
        <v>37</v>
      </c>
      <c r="G2829" s="1" t="s">
        <v>4</v>
      </c>
      <c r="H2829" s="1" t="s">
        <v>5</v>
      </c>
      <c r="I2829" s="7">
        <v>134.88</v>
      </c>
      <c r="J2829" s="1" t="s">
        <v>38</v>
      </c>
      <c r="K2829" s="1"/>
      <c r="L2829" s="1" t="s">
        <v>39</v>
      </c>
      <c r="M2829" s="1" t="str">
        <f>INDEX(MCC_Lookup!$B$2:$B$12,MATCH(G2829,MCC_Lookup!$A$2:$A$12,0))</f>
        <v>Travel</v>
      </c>
      <c r="N2829" s="1" t="str">
        <f>IF(TRIM(H2829)="","BLANK",IF(PROPER(TRIM(H2829))=TRIM(M2829),"MATCH","MISMATCH"))</f>
        <v>MATCH</v>
      </c>
      <c r="O2829" s="5" t="str">
        <f>INDEX([1]Employee!$C$2:$C$276,MATCH(B2829,[1]Employee!$A$2:$A$276,0))</f>
        <v>Sales &amp; Marketing</v>
      </c>
    </row>
    <row r="2830" spans="1:15">
      <c r="A2830" s="1" t="s">
        <v>5543</v>
      </c>
      <c r="B2830" s="1" t="s">
        <v>623</v>
      </c>
      <c r="C2830" s="1" t="s">
        <v>5544</v>
      </c>
      <c r="D2830" s="2">
        <v>46172</v>
      </c>
      <c r="E2830" s="2">
        <v>46180</v>
      </c>
      <c r="F2830" s="1" t="s">
        <v>305</v>
      </c>
      <c r="G2830" s="1" t="s">
        <v>2</v>
      </c>
      <c r="H2830" s="1" t="s">
        <v>3</v>
      </c>
      <c r="I2830" s="7">
        <v>8.68</v>
      </c>
      <c r="J2830" s="1" t="s">
        <v>38</v>
      </c>
      <c r="K2830" s="1"/>
      <c r="L2830" s="1" t="s">
        <v>39</v>
      </c>
      <c r="M2830" s="1" t="str">
        <f>INDEX(MCC_Lookup!$B$2:$B$12,MATCH(G2830,MCC_Lookup!$A$2:$A$12,0))</f>
        <v>Meals</v>
      </c>
      <c r="N2830" s="1" t="str">
        <f>IF(TRIM(H2830)="","BLANK",IF(PROPER(TRIM(H2830))=TRIM(M2830),"MATCH","MISMATCH"))</f>
        <v>MATCH</v>
      </c>
      <c r="O2830" s="5" t="str">
        <f>INDEX([1]Employee!$C$2:$C$276,MATCH(B2830,[1]Employee!$A$2:$A$276,0))</f>
        <v>Underwriting</v>
      </c>
    </row>
    <row r="2831" spans="1:15">
      <c r="A2831" s="1" t="s">
        <v>5545</v>
      </c>
      <c r="B2831" s="1" t="s">
        <v>947</v>
      </c>
      <c r="C2831" s="1"/>
      <c r="D2831" s="2">
        <v>46175</v>
      </c>
      <c r="E2831" s="2">
        <v>46180</v>
      </c>
      <c r="F2831" s="1" t="s">
        <v>116</v>
      </c>
      <c r="G2831" s="1" t="s">
        <v>2</v>
      </c>
      <c r="H2831" s="1" t="s">
        <v>3</v>
      </c>
      <c r="I2831" s="7">
        <v>13.34</v>
      </c>
      <c r="J2831" s="1" t="s">
        <v>111</v>
      </c>
      <c r="K2831" s="1" t="s">
        <v>229</v>
      </c>
      <c r="L2831" s="1" t="s">
        <v>39</v>
      </c>
      <c r="M2831" s="1" t="str">
        <f>INDEX(MCC_Lookup!$B$2:$B$12,MATCH(G2831,MCC_Lookup!$A$2:$A$12,0))</f>
        <v>Meals</v>
      </c>
      <c r="N2831" s="1" t="str">
        <f>IF(TRIM(H2831)="","BLANK",IF(PROPER(TRIM(H2831))=TRIM(M2831),"MATCH","MISMATCH"))</f>
        <v>MATCH</v>
      </c>
      <c r="O2831" s="5" t="str">
        <f>INDEX([1]Employee!$C$2:$C$276,MATCH(B2831,[1]Employee!$A$2:$A$276,0))</f>
        <v>Sales &amp; Marketing</v>
      </c>
    </row>
    <row r="2832" spans="1:15">
      <c r="A2832" s="1" t="s">
        <v>5546</v>
      </c>
      <c r="B2832" s="1" t="s">
        <v>303</v>
      </c>
      <c r="C2832" s="1" t="s">
        <v>5547</v>
      </c>
      <c r="D2832" s="2">
        <v>46178</v>
      </c>
      <c r="E2832" s="2">
        <v>46181</v>
      </c>
      <c r="F2832" s="1" t="s">
        <v>83</v>
      </c>
      <c r="G2832" s="1" t="s">
        <v>2</v>
      </c>
      <c r="H2832" s="1" t="s">
        <v>3</v>
      </c>
      <c r="I2832" s="7">
        <v>24.52</v>
      </c>
      <c r="J2832" s="1" t="s">
        <v>38</v>
      </c>
      <c r="K2832" s="1"/>
      <c r="L2832" s="1" t="s">
        <v>39</v>
      </c>
      <c r="M2832" s="1" t="str">
        <f>INDEX(MCC_Lookup!$B$2:$B$12,MATCH(G2832,MCC_Lookup!$A$2:$A$12,0))</f>
        <v>Meals</v>
      </c>
      <c r="N2832" s="1" t="str">
        <f>IF(TRIM(H2832)="","BLANK",IF(PROPER(TRIM(H2832))=TRIM(M2832),"MATCH","MISMATCH"))</f>
        <v>MATCH</v>
      </c>
      <c r="O2832" s="5" t="str">
        <f>INDEX([1]Employee!$C$2:$C$276,MATCH(B2832,[1]Employee!$A$2:$A$276,0))</f>
        <v>Sales &amp; Marketing</v>
      </c>
    </row>
    <row r="2833" spans="1:15">
      <c r="A2833" s="1" t="s">
        <v>5548</v>
      </c>
      <c r="B2833" s="1" t="s">
        <v>81</v>
      </c>
      <c r="C2833" s="1" t="s">
        <v>5549</v>
      </c>
      <c r="D2833" s="2">
        <v>46177</v>
      </c>
      <c r="E2833" s="2">
        <v>46181</v>
      </c>
      <c r="F2833" s="1" t="s">
        <v>201</v>
      </c>
      <c r="G2833" s="1" t="s">
        <v>4</v>
      </c>
      <c r="H2833" s="1"/>
      <c r="I2833" s="7">
        <v>649.19000000000005</v>
      </c>
      <c r="J2833" s="1" t="s">
        <v>38</v>
      </c>
      <c r="K2833" s="1"/>
      <c r="L2833" s="1" t="s">
        <v>39</v>
      </c>
      <c r="M2833" s="1" t="str">
        <f>INDEX(MCC_Lookup!$B$2:$B$12,MATCH(G2833,MCC_Lookup!$A$2:$A$12,0))</f>
        <v>Travel</v>
      </c>
      <c r="N2833" s="1" t="str">
        <f>IF(TRIM(H2833)="","BLANK",IF(PROPER(TRIM(H2833))=TRIM(M2833),"MATCH","MISMATCH"))</f>
        <v>BLANK</v>
      </c>
      <c r="O2833" s="5" t="str">
        <f>INDEX([1]Employee!$C$2:$C$276,MATCH(B2833,[1]Employee!$A$2:$A$276,0))</f>
        <v>Sales &amp; Marketing</v>
      </c>
    </row>
    <row r="2834" spans="1:15">
      <c r="A2834" s="1" t="s">
        <v>5550</v>
      </c>
      <c r="B2834" s="1" t="s">
        <v>1180</v>
      </c>
      <c r="C2834" s="1" t="s">
        <v>5551</v>
      </c>
      <c r="D2834" s="2">
        <v>46172</v>
      </c>
      <c r="E2834" s="2">
        <v>46181</v>
      </c>
      <c r="F2834" s="1" t="s">
        <v>76</v>
      </c>
      <c r="G2834" s="1" t="s">
        <v>13</v>
      </c>
      <c r="H2834" s="1" t="s">
        <v>14</v>
      </c>
      <c r="I2834" s="7">
        <v>451.33</v>
      </c>
      <c r="J2834" s="1" t="s">
        <v>38</v>
      </c>
      <c r="K2834" s="1"/>
      <c r="L2834" s="1" t="s">
        <v>48</v>
      </c>
      <c r="M2834" s="1" t="str">
        <f>INDEX(MCC_Lookup!$B$2:$B$12,MATCH(G2834,MCC_Lookup!$A$2:$A$12,0))</f>
        <v>Software</v>
      </c>
      <c r="N2834" s="1" t="str">
        <f>IF(TRIM(H2834)="","BLANK",IF(PROPER(TRIM(H2834))=TRIM(M2834),"MATCH","MISMATCH"))</f>
        <v>MATCH</v>
      </c>
      <c r="O2834" s="5" t="str">
        <f>INDEX([1]Employee!$C$2:$C$276,MATCH(B2834,[1]Employee!$A$2:$A$276,0))</f>
        <v>IT &amp; Platform Engineering</v>
      </c>
    </row>
    <row r="2835" spans="1:15">
      <c r="A2835" s="1" t="s">
        <v>5552</v>
      </c>
      <c r="B2835" s="1" t="s">
        <v>179</v>
      </c>
      <c r="C2835" s="1" t="s">
        <v>5553</v>
      </c>
      <c r="D2835" s="2">
        <v>46172</v>
      </c>
      <c r="E2835" s="2">
        <v>46181</v>
      </c>
      <c r="F2835" s="1" t="s">
        <v>259</v>
      </c>
      <c r="G2835" s="1" t="s">
        <v>20</v>
      </c>
      <c r="H2835" s="1" t="s">
        <v>19</v>
      </c>
      <c r="I2835" s="7">
        <v>111.17</v>
      </c>
      <c r="J2835" s="1" t="s">
        <v>38</v>
      </c>
      <c r="K2835" s="1"/>
      <c r="L2835" s="1" t="s">
        <v>39</v>
      </c>
      <c r="M2835" s="1" t="str">
        <f>INDEX(MCC_Lookup!$B$2:$B$12,MATCH(G2835,MCC_Lookup!$A$2:$A$12,0))</f>
        <v>Events</v>
      </c>
      <c r="N2835" s="1" t="str">
        <f>IF(TRIM(H2835)="","BLANK",IF(PROPER(TRIM(H2835))=TRIM(M2835),"MATCH","MISMATCH"))</f>
        <v>MATCH</v>
      </c>
      <c r="O2835" s="5" t="str">
        <f>INDEX([1]Employee!$C$2:$C$276,MATCH(B2835,[1]Employee!$A$2:$A$276,0))</f>
        <v>Claims</v>
      </c>
    </row>
    <row r="2836" spans="1:15">
      <c r="A2836" s="1" t="s">
        <v>5554</v>
      </c>
      <c r="B2836" s="1" t="s">
        <v>902</v>
      </c>
      <c r="C2836" s="1" t="s">
        <v>5555</v>
      </c>
      <c r="D2836" s="2">
        <v>46171</v>
      </c>
      <c r="E2836" s="2">
        <v>46181</v>
      </c>
      <c r="F2836" s="1" t="s">
        <v>76</v>
      </c>
      <c r="G2836" s="1" t="s">
        <v>13</v>
      </c>
      <c r="H2836" s="1" t="s">
        <v>14</v>
      </c>
      <c r="I2836" s="7">
        <v>348.45</v>
      </c>
      <c r="J2836" s="1" t="s">
        <v>38</v>
      </c>
      <c r="K2836" s="1"/>
      <c r="L2836" s="1" t="s">
        <v>39</v>
      </c>
      <c r="M2836" s="1" t="str">
        <f>INDEX(MCC_Lookup!$B$2:$B$12,MATCH(G2836,MCC_Lookup!$A$2:$A$12,0))</f>
        <v>Software</v>
      </c>
      <c r="N2836" s="1" t="str">
        <f>IF(TRIM(H2836)="","BLANK",IF(PROPER(TRIM(H2836))=TRIM(M2836),"MATCH","MISMATCH"))</f>
        <v>MATCH</v>
      </c>
      <c r="O2836" s="5" t="str">
        <f>INDEX([1]Employee!$C$2:$C$276,MATCH(B2836,[1]Employee!$A$2:$A$276,0))</f>
        <v>HR &amp; Events</v>
      </c>
    </row>
    <row r="2837" spans="1:15">
      <c r="A2837" s="1" t="s">
        <v>5556</v>
      </c>
      <c r="B2837" s="1" t="s">
        <v>597</v>
      </c>
      <c r="C2837" s="1" t="s">
        <v>5557</v>
      </c>
      <c r="D2837" s="2">
        <v>46179</v>
      </c>
      <c r="E2837" s="2">
        <v>46181</v>
      </c>
      <c r="F2837" s="1" t="s">
        <v>61</v>
      </c>
      <c r="G2837" s="1" t="s">
        <v>13</v>
      </c>
      <c r="H2837" s="1" t="s">
        <v>14</v>
      </c>
      <c r="I2837" s="7">
        <v>82.15</v>
      </c>
      <c r="J2837" s="1" t="s">
        <v>38</v>
      </c>
      <c r="K2837" s="1"/>
      <c r="L2837" s="1" t="s">
        <v>39</v>
      </c>
      <c r="M2837" s="1" t="str">
        <f>INDEX(MCC_Lookup!$B$2:$B$12,MATCH(G2837,MCC_Lookup!$A$2:$A$12,0))</f>
        <v>Software</v>
      </c>
      <c r="N2837" s="1" t="str">
        <f>IF(TRIM(H2837)="","BLANK",IF(PROPER(TRIM(H2837))=TRIM(M2837),"MATCH","MISMATCH"))</f>
        <v>MATCH</v>
      </c>
      <c r="O2837" s="5" t="str">
        <f>INDEX([1]Employee!$C$2:$C$276,MATCH(B2837,[1]Employee!$A$2:$A$276,0))</f>
        <v>Sales &amp; Marketing</v>
      </c>
    </row>
    <row r="2838" spans="1:15">
      <c r="A2838" s="1" t="s">
        <v>5558</v>
      </c>
      <c r="B2838" s="1" t="s">
        <v>1552</v>
      </c>
      <c r="C2838" s="1"/>
      <c r="D2838" s="2">
        <v>46174</v>
      </c>
      <c r="E2838" s="2">
        <v>46181</v>
      </c>
      <c r="F2838" s="1" t="s">
        <v>305</v>
      </c>
      <c r="G2838" s="1" t="s">
        <v>2</v>
      </c>
      <c r="H2838" s="1"/>
      <c r="I2838" s="7">
        <v>10.84</v>
      </c>
      <c r="J2838" s="1" t="s">
        <v>38</v>
      </c>
      <c r="K2838" s="1"/>
      <c r="L2838" s="1" t="s">
        <v>39</v>
      </c>
      <c r="M2838" s="1" t="str">
        <f>INDEX(MCC_Lookup!$B$2:$B$12,MATCH(G2838,MCC_Lookup!$A$2:$A$12,0))</f>
        <v>Meals</v>
      </c>
      <c r="N2838" s="1" t="str">
        <f>IF(TRIM(H2838)="","BLANK",IF(PROPER(TRIM(H2838))=TRIM(M2838),"MATCH","MISMATCH"))</f>
        <v>BLANK</v>
      </c>
      <c r="O2838" s="5" t="str">
        <f>INDEX([1]Employee!$C$2:$C$276,MATCH(B2838,[1]Employee!$A$2:$A$276,0))</f>
        <v>Underwriting</v>
      </c>
    </row>
    <row r="2839" spans="1:15">
      <c r="A2839" s="1" t="s">
        <v>5559</v>
      </c>
      <c r="B2839" s="1" t="s">
        <v>515</v>
      </c>
      <c r="C2839" s="1" t="s">
        <v>5560</v>
      </c>
      <c r="D2839" s="2">
        <v>46175</v>
      </c>
      <c r="E2839" s="2">
        <v>46181</v>
      </c>
      <c r="F2839" s="1" t="s">
        <v>259</v>
      </c>
      <c r="G2839" s="1" t="s">
        <v>20</v>
      </c>
      <c r="H2839" s="1" t="s">
        <v>19</v>
      </c>
      <c r="I2839" s="7">
        <v>74.290000000000006</v>
      </c>
      <c r="J2839" s="1" t="s">
        <v>38</v>
      </c>
      <c r="K2839" s="1"/>
      <c r="L2839" s="1" t="s">
        <v>39</v>
      </c>
      <c r="M2839" s="1" t="str">
        <f>INDEX(MCC_Lookup!$B$2:$B$12,MATCH(G2839,MCC_Lookup!$A$2:$A$12,0))</f>
        <v>Events</v>
      </c>
      <c r="N2839" s="1" t="str">
        <f>IF(TRIM(H2839)="","BLANK",IF(PROPER(TRIM(H2839))=TRIM(M2839),"MATCH","MISMATCH"))</f>
        <v>MATCH</v>
      </c>
      <c r="O2839" s="5" t="str">
        <f>INDEX([1]Employee!$C$2:$C$276,MATCH(B2839,[1]Employee!$A$2:$A$276,0))</f>
        <v>Actuarial &amp; Risk</v>
      </c>
    </row>
    <row r="2840" spans="1:15">
      <c r="A2840" s="1" t="s">
        <v>5561</v>
      </c>
      <c r="B2840" s="1" t="s">
        <v>1886</v>
      </c>
      <c r="C2840" s="1" t="s">
        <v>5562</v>
      </c>
      <c r="D2840" s="2">
        <v>46171</v>
      </c>
      <c r="E2840" s="2">
        <v>46181</v>
      </c>
      <c r="F2840" s="1" t="s">
        <v>160</v>
      </c>
      <c r="G2840" s="1" t="s">
        <v>6</v>
      </c>
      <c r="H2840" s="1" t="s">
        <v>7</v>
      </c>
      <c r="I2840" s="7">
        <v>299.72000000000003</v>
      </c>
      <c r="J2840" s="1" t="s">
        <v>38</v>
      </c>
      <c r="K2840" s="1"/>
      <c r="L2840" s="1" t="s">
        <v>39</v>
      </c>
      <c r="M2840" s="1" t="str">
        <f>INDEX(MCC_Lookup!$B$2:$B$12,MATCH(G2840,MCC_Lookup!$A$2:$A$12,0))</f>
        <v>Lodging</v>
      </c>
      <c r="N2840" s="1" t="str">
        <f>IF(TRIM(H2840)="","BLANK",IF(PROPER(TRIM(H2840))=TRIM(M2840),"MATCH","MISMATCH"))</f>
        <v>MATCH</v>
      </c>
      <c r="O2840" s="5" t="str">
        <f>INDEX([1]Employee!$C$2:$C$276,MATCH(B2840,[1]Employee!$A$2:$A$276,0))</f>
        <v>Actuarial &amp; Risk</v>
      </c>
    </row>
    <row r="2841" spans="1:15">
      <c r="A2841" s="1" t="s">
        <v>5563</v>
      </c>
      <c r="B2841" s="1" t="s">
        <v>469</v>
      </c>
      <c r="C2841" s="1"/>
      <c r="D2841" s="2">
        <v>46176</v>
      </c>
      <c r="E2841" s="2">
        <v>46181</v>
      </c>
      <c r="F2841" s="1" t="s">
        <v>72</v>
      </c>
      <c r="G2841" s="1" t="s">
        <v>8</v>
      </c>
      <c r="H2841" s="1" t="s">
        <v>9</v>
      </c>
      <c r="I2841" s="7">
        <v>45.73</v>
      </c>
      <c r="J2841" s="1" t="s">
        <v>111</v>
      </c>
      <c r="K2841" s="1" t="s">
        <v>127</v>
      </c>
      <c r="L2841" s="1" t="s">
        <v>39</v>
      </c>
      <c r="M2841" s="1" t="str">
        <f>INDEX(MCC_Lookup!$B$2:$B$12,MATCH(G2841,MCC_Lookup!$A$2:$A$12,0))</f>
        <v>Transportation</v>
      </c>
      <c r="N2841" s="1" t="str">
        <f>IF(TRIM(H2841)="","BLANK",IF(PROPER(TRIM(H2841))=TRIM(M2841),"MATCH","MISMATCH"))</f>
        <v>MATCH</v>
      </c>
      <c r="O2841" s="5" t="str">
        <f>INDEX([1]Employee!$C$2:$C$276,MATCH(B2841,[1]Employee!$A$2:$A$276,0))</f>
        <v>Sales &amp; Marketing</v>
      </c>
    </row>
    <row r="2842" spans="1:15">
      <c r="A2842" s="1" t="s">
        <v>5564</v>
      </c>
      <c r="B2842" s="1" t="s">
        <v>407</v>
      </c>
      <c r="C2842" s="1" t="s">
        <v>5565</v>
      </c>
      <c r="D2842" s="2">
        <v>46176</v>
      </c>
      <c r="E2842" s="2">
        <v>46181</v>
      </c>
      <c r="F2842" s="1" t="s">
        <v>242</v>
      </c>
      <c r="G2842" s="1" t="s">
        <v>13</v>
      </c>
      <c r="H2842" s="1" t="s">
        <v>14</v>
      </c>
      <c r="I2842" s="7">
        <v>51.14</v>
      </c>
      <c r="J2842" s="1" t="s">
        <v>38</v>
      </c>
      <c r="K2842" s="1"/>
      <c r="L2842" s="1" t="s">
        <v>39</v>
      </c>
      <c r="M2842" s="1" t="str">
        <f>INDEX(MCC_Lookup!$B$2:$B$12,MATCH(G2842,MCC_Lookup!$A$2:$A$12,0))</f>
        <v>Software</v>
      </c>
      <c r="N2842" s="1" t="str">
        <f>IF(TRIM(H2842)="","BLANK",IF(PROPER(TRIM(H2842))=TRIM(M2842),"MATCH","MISMATCH"))</f>
        <v>MATCH</v>
      </c>
      <c r="O2842" s="5" t="str">
        <f>INDEX([1]Employee!$C$2:$C$276,MATCH(B2842,[1]Employee!$A$2:$A$276,0))</f>
        <v>Executive &amp; Corporate</v>
      </c>
    </row>
    <row r="2843" spans="1:15">
      <c r="A2843" s="1" t="s">
        <v>5566</v>
      </c>
      <c r="B2843" s="1" t="s">
        <v>354</v>
      </c>
      <c r="C2843" s="1" t="s">
        <v>5567</v>
      </c>
      <c r="D2843" s="2">
        <v>46172</v>
      </c>
      <c r="E2843" s="2">
        <v>46181</v>
      </c>
      <c r="F2843" s="1" t="s">
        <v>120</v>
      </c>
      <c r="G2843" s="1" t="s">
        <v>12</v>
      </c>
      <c r="H2843" s="1" t="s">
        <v>2226</v>
      </c>
      <c r="I2843" s="7">
        <v>357.29</v>
      </c>
      <c r="J2843" s="1" t="s">
        <v>38</v>
      </c>
      <c r="K2843" s="1"/>
      <c r="L2843" s="1" t="s">
        <v>39</v>
      </c>
      <c r="M2843" s="1" t="str">
        <f>INDEX(MCC_Lookup!$B$2:$B$12,MATCH(G2843,MCC_Lookup!$A$2:$A$12,0))</f>
        <v>Office Supplies</v>
      </c>
      <c r="N2843" s="1" t="str">
        <f>IF(TRIM(H2843)="","BLANK",IF(PROPER(TRIM(H2843))=TRIM(M2843),"MATCH","MISMATCH"))</f>
        <v>MATCH</v>
      </c>
      <c r="O2843" s="5" t="str">
        <f>INDEX([1]Employee!$C$2:$C$276,MATCH(B2843,[1]Employee!$A$2:$A$276,0))</f>
        <v>Customer Support</v>
      </c>
    </row>
    <row r="2844" spans="1:15">
      <c r="A2844" s="1" t="s">
        <v>5568</v>
      </c>
      <c r="B2844" s="1" t="s">
        <v>108</v>
      </c>
      <c r="C2844" s="1"/>
      <c r="D2844" s="2">
        <v>46173</v>
      </c>
      <c r="E2844" s="2">
        <v>46181</v>
      </c>
      <c r="F2844" s="1" t="s">
        <v>65</v>
      </c>
      <c r="G2844" s="1" t="s">
        <v>18</v>
      </c>
      <c r="H2844" s="1" t="s">
        <v>19</v>
      </c>
      <c r="I2844" s="7">
        <v>377.96</v>
      </c>
      <c r="J2844" s="1" t="s">
        <v>38</v>
      </c>
      <c r="K2844" s="1"/>
      <c r="L2844" s="1" t="s">
        <v>48</v>
      </c>
      <c r="M2844" s="1" t="str">
        <f>INDEX(MCC_Lookup!$B$2:$B$12,MATCH(G2844,MCC_Lookup!$A$2:$A$12,0))</f>
        <v>Events</v>
      </c>
      <c r="N2844" s="1" t="str">
        <f>IF(TRIM(H2844)="","BLANK",IF(PROPER(TRIM(H2844))=TRIM(M2844),"MATCH","MISMATCH"))</f>
        <v>MATCH</v>
      </c>
      <c r="O2844" s="5" t="str">
        <f>INDEX([1]Employee!$C$2:$C$276,MATCH(B2844,[1]Employee!$A$2:$A$276,0))</f>
        <v>Sales &amp; Marketing</v>
      </c>
    </row>
    <row r="2845" spans="1:15">
      <c r="A2845" s="1" t="s">
        <v>5569</v>
      </c>
      <c r="B2845" s="1" t="s">
        <v>108</v>
      </c>
      <c r="C2845" s="1" t="s">
        <v>5570</v>
      </c>
      <c r="D2845" s="2">
        <v>46174</v>
      </c>
      <c r="E2845" s="2">
        <v>46181</v>
      </c>
      <c r="F2845" s="1" t="s">
        <v>109</v>
      </c>
      <c r="G2845" s="1" t="s">
        <v>18</v>
      </c>
      <c r="H2845" s="1" t="s">
        <v>19</v>
      </c>
      <c r="I2845" s="7">
        <v>29.56</v>
      </c>
      <c r="J2845" s="1" t="s">
        <v>38</v>
      </c>
      <c r="K2845" s="1"/>
      <c r="L2845" s="1" t="s">
        <v>39</v>
      </c>
      <c r="M2845" s="1" t="str">
        <f>INDEX(MCC_Lookup!$B$2:$B$12,MATCH(G2845,MCC_Lookup!$A$2:$A$12,0))</f>
        <v>Events</v>
      </c>
      <c r="N2845" s="1" t="str">
        <f>IF(TRIM(H2845)="","BLANK",IF(PROPER(TRIM(H2845))=TRIM(M2845),"MATCH","MISMATCH"))</f>
        <v>MATCH</v>
      </c>
      <c r="O2845" s="5" t="str">
        <f>INDEX([1]Employee!$C$2:$C$276,MATCH(B2845,[1]Employee!$A$2:$A$276,0))</f>
        <v>Sales &amp; Marketing</v>
      </c>
    </row>
    <row r="2846" spans="1:15">
      <c r="A2846" s="1" t="s">
        <v>5571</v>
      </c>
      <c r="B2846" s="1" t="s">
        <v>136</v>
      </c>
      <c r="C2846" s="1" t="s">
        <v>5572</v>
      </c>
      <c r="D2846" s="2">
        <v>46178</v>
      </c>
      <c r="E2846" s="2">
        <v>46181</v>
      </c>
      <c r="F2846" s="1" t="s">
        <v>47</v>
      </c>
      <c r="G2846" s="1" t="s">
        <v>6</v>
      </c>
      <c r="H2846" s="1" t="s">
        <v>726</v>
      </c>
      <c r="I2846" s="7">
        <v>244.05</v>
      </c>
      <c r="J2846" s="1" t="s">
        <v>38</v>
      </c>
      <c r="K2846" s="1"/>
      <c r="L2846" s="1" t="s">
        <v>39</v>
      </c>
      <c r="M2846" s="1" t="str">
        <f>INDEX(MCC_Lookup!$B$2:$B$12,MATCH(G2846,MCC_Lookup!$A$2:$A$12,0))</f>
        <v>Lodging</v>
      </c>
      <c r="N2846" s="1" t="str">
        <f>IF(TRIM(H2846)="","BLANK",IF(PROPER(TRIM(H2846))=TRIM(M2846),"MATCH","MISMATCH"))</f>
        <v>MATCH</v>
      </c>
      <c r="O2846" s="5" t="str">
        <f>INDEX([1]Employee!$C$2:$C$276,MATCH(B2846,[1]Employee!$A$2:$A$276,0))</f>
        <v>Sales &amp; Marketing</v>
      </c>
    </row>
    <row r="2847" spans="1:15">
      <c r="A2847" s="1" t="s">
        <v>5573</v>
      </c>
      <c r="B2847" s="1" t="s">
        <v>868</v>
      </c>
      <c r="C2847" s="1" t="s">
        <v>5574</v>
      </c>
      <c r="D2847" s="2">
        <v>46181</v>
      </c>
      <c r="E2847" s="2">
        <v>46181</v>
      </c>
      <c r="F2847" s="1" t="s">
        <v>52</v>
      </c>
      <c r="G2847" s="1" t="s">
        <v>15</v>
      </c>
      <c r="H2847" s="1" t="s">
        <v>16</v>
      </c>
      <c r="I2847" s="7">
        <v>33.08</v>
      </c>
      <c r="J2847" s="1" t="s">
        <v>38</v>
      </c>
      <c r="K2847" s="1"/>
      <c r="L2847" s="1" t="s">
        <v>39</v>
      </c>
      <c r="M2847" s="1" t="str">
        <f>INDEX(MCC_Lookup!$B$2:$B$12,MATCH(G2847,MCC_Lookup!$A$2:$A$12,0))</f>
        <v>Entertainment</v>
      </c>
      <c r="N2847" s="1" t="str">
        <f>IF(TRIM(H2847)="","BLANK",IF(PROPER(TRIM(H2847))=TRIM(M2847),"MATCH","MISMATCH"))</f>
        <v>MATCH</v>
      </c>
      <c r="O2847" s="5" t="str">
        <f>INDEX([1]Employee!$C$2:$C$276,MATCH(B2847,[1]Employee!$A$2:$A$276,0))</f>
        <v>Sales &amp; Marketing</v>
      </c>
    </row>
    <row r="2848" spans="1:15">
      <c r="A2848" s="1" t="s">
        <v>5575</v>
      </c>
      <c r="B2848" s="1" t="s">
        <v>947</v>
      </c>
      <c r="C2848" s="1" t="s">
        <v>5576</v>
      </c>
      <c r="D2848" s="2">
        <v>46174</v>
      </c>
      <c r="E2848" s="2">
        <v>46181</v>
      </c>
      <c r="F2848" s="1" t="s">
        <v>83</v>
      </c>
      <c r="G2848" s="1" t="s">
        <v>2</v>
      </c>
      <c r="H2848" s="1" t="s">
        <v>154</v>
      </c>
      <c r="I2848" s="7">
        <v>29.79</v>
      </c>
      <c r="J2848" s="1" t="s">
        <v>38</v>
      </c>
      <c r="K2848" s="1"/>
      <c r="L2848" s="1" t="s">
        <v>39</v>
      </c>
      <c r="M2848" s="1" t="str">
        <f>INDEX(MCC_Lookup!$B$2:$B$12,MATCH(G2848,MCC_Lookup!$A$2:$A$12,0))</f>
        <v>Meals</v>
      </c>
      <c r="N2848" s="1" t="str">
        <f>IF(TRIM(H2848)="","BLANK",IF(PROPER(TRIM(H2848))=TRIM(M2848),"MATCH","MISMATCH"))</f>
        <v>MATCH</v>
      </c>
      <c r="O2848" s="5" t="str">
        <f>INDEX([1]Employee!$C$2:$C$276,MATCH(B2848,[1]Employee!$A$2:$A$276,0))</f>
        <v>Sales &amp; Marketing</v>
      </c>
    </row>
    <row r="2849" spans="1:15">
      <c r="A2849" s="1" t="s">
        <v>5577</v>
      </c>
      <c r="B2849" s="1" t="s">
        <v>656</v>
      </c>
      <c r="C2849" s="1" t="s">
        <v>5578</v>
      </c>
      <c r="D2849" s="2">
        <v>46176</v>
      </c>
      <c r="E2849" s="2">
        <v>46181</v>
      </c>
      <c r="F2849" s="1" t="s">
        <v>242</v>
      </c>
      <c r="G2849" s="1" t="s">
        <v>13</v>
      </c>
      <c r="H2849" s="1" t="s">
        <v>14</v>
      </c>
      <c r="I2849" s="7">
        <v>18.760000000000002</v>
      </c>
      <c r="J2849" s="1" t="s">
        <v>38</v>
      </c>
      <c r="K2849" s="1"/>
      <c r="L2849" s="1" t="s">
        <v>39</v>
      </c>
      <c r="M2849" s="1" t="str">
        <f>INDEX(MCC_Lookup!$B$2:$B$12,MATCH(G2849,MCC_Lookup!$A$2:$A$12,0))</f>
        <v>Software</v>
      </c>
      <c r="N2849" s="1" t="str">
        <f>IF(TRIM(H2849)="","BLANK",IF(PROPER(TRIM(H2849))=TRIM(M2849),"MATCH","MISMATCH"))</f>
        <v>MATCH</v>
      </c>
      <c r="O2849" s="5" t="str">
        <f>INDEX([1]Employee!$C$2:$C$276,MATCH(B2849,[1]Employee!$A$2:$A$276,0))</f>
        <v>Claims</v>
      </c>
    </row>
    <row r="2850" spans="1:15">
      <c r="A2850" s="1" t="s">
        <v>5579</v>
      </c>
      <c r="B2850" s="1" t="s">
        <v>129</v>
      </c>
      <c r="C2850" s="1" t="s">
        <v>5580</v>
      </c>
      <c r="D2850" s="2">
        <v>46174</v>
      </c>
      <c r="E2850" s="2">
        <v>46181</v>
      </c>
      <c r="F2850" s="1" t="s">
        <v>173</v>
      </c>
      <c r="G2850" s="1" t="s">
        <v>2</v>
      </c>
      <c r="H2850" s="1" t="s">
        <v>3</v>
      </c>
      <c r="I2850" s="7">
        <v>66.819999999999993</v>
      </c>
      <c r="J2850" s="1" t="s">
        <v>38</v>
      </c>
      <c r="K2850" s="1"/>
      <c r="L2850" s="1" t="s">
        <v>39</v>
      </c>
      <c r="M2850" s="1" t="str">
        <f>INDEX(MCC_Lookup!$B$2:$B$12,MATCH(G2850,MCC_Lookup!$A$2:$A$12,0))</f>
        <v>Meals</v>
      </c>
      <c r="N2850" s="1" t="str">
        <f>IF(TRIM(H2850)="","BLANK",IF(PROPER(TRIM(H2850))=TRIM(M2850),"MATCH","MISMATCH"))</f>
        <v>MATCH</v>
      </c>
      <c r="O2850" s="5" t="str">
        <f>INDEX([1]Employee!$C$2:$C$276,MATCH(B2850,[1]Employee!$A$2:$A$276,0))</f>
        <v>Sales &amp; Marketing</v>
      </c>
    </row>
    <row r="2851" spans="1:15">
      <c r="A2851" s="1" t="s">
        <v>5581</v>
      </c>
      <c r="B2851" s="1" t="s">
        <v>224</v>
      </c>
      <c r="C2851" s="1" t="s">
        <v>5582</v>
      </c>
      <c r="D2851" s="2">
        <v>46175</v>
      </c>
      <c r="E2851" s="2">
        <v>46181</v>
      </c>
      <c r="F2851" s="1" t="s">
        <v>124</v>
      </c>
      <c r="G2851" s="1" t="s">
        <v>17</v>
      </c>
      <c r="H2851" s="1"/>
      <c r="I2851" s="7">
        <v>66.17</v>
      </c>
      <c r="J2851" s="1" t="s">
        <v>38</v>
      </c>
      <c r="K2851" s="1"/>
      <c r="L2851" s="1" t="s">
        <v>39</v>
      </c>
      <c r="M2851" s="1" t="str">
        <f>INDEX(MCC_Lookup!$B$2:$B$12,MATCH(G2851,MCC_Lookup!$A$2:$A$12,0))</f>
        <v>Entertainment</v>
      </c>
      <c r="N2851" s="1" t="str">
        <f>IF(TRIM(H2851)="","BLANK",IF(PROPER(TRIM(H2851))=TRIM(M2851),"MATCH","MISMATCH"))</f>
        <v>BLANK</v>
      </c>
      <c r="O2851" s="5" t="str">
        <f>INDEX([1]Employee!$C$2:$C$276,MATCH(B2851,[1]Employee!$A$2:$A$276,0))</f>
        <v>Finance</v>
      </c>
    </row>
    <row r="2852" spans="1:15">
      <c r="A2852" s="1" t="s">
        <v>5583</v>
      </c>
      <c r="B2852" s="1" t="s">
        <v>190</v>
      </c>
      <c r="C2852" s="1" t="s">
        <v>5584</v>
      </c>
      <c r="D2852" s="2">
        <v>46179</v>
      </c>
      <c r="E2852" s="2">
        <v>46181</v>
      </c>
      <c r="F2852" s="1" t="s">
        <v>116</v>
      </c>
      <c r="G2852" s="1" t="s">
        <v>2</v>
      </c>
      <c r="H2852" s="1" t="s">
        <v>3</v>
      </c>
      <c r="I2852" s="7">
        <v>18.37</v>
      </c>
      <c r="J2852" s="1" t="s">
        <v>38</v>
      </c>
      <c r="K2852" s="1"/>
      <c r="L2852" s="1" t="s">
        <v>39</v>
      </c>
      <c r="M2852" s="1" t="str">
        <f>INDEX(MCC_Lookup!$B$2:$B$12,MATCH(G2852,MCC_Lookup!$A$2:$A$12,0))</f>
        <v>Meals</v>
      </c>
      <c r="N2852" s="1" t="str">
        <f>IF(TRIM(H2852)="","BLANK",IF(PROPER(TRIM(H2852))=TRIM(M2852),"MATCH","MISMATCH"))</f>
        <v>MATCH</v>
      </c>
      <c r="O2852" s="5" t="str">
        <f>INDEX([1]Employee!$C$2:$C$276,MATCH(B2852,[1]Employee!$A$2:$A$276,0))</f>
        <v>Sales &amp; Marketing</v>
      </c>
    </row>
    <row r="2853" spans="1:15">
      <c r="A2853" s="1" t="s">
        <v>5585</v>
      </c>
      <c r="B2853" s="1" t="s">
        <v>190</v>
      </c>
      <c r="C2853" s="1" t="s">
        <v>5586</v>
      </c>
      <c r="D2853" s="2">
        <v>46175</v>
      </c>
      <c r="E2853" s="2">
        <v>46181</v>
      </c>
      <c r="F2853" s="1" t="s">
        <v>259</v>
      </c>
      <c r="G2853" s="1" t="s">
        <v>20</v>
      </c>
      <c r="H2853" s="1" t="s">
        <v>19</v>
      </c>
      <c r="I2853" s="7">
        <v>360.19</v>
      </c>
      <c r="J2853" s="1" t="s">
        <v>38</v>
      </c>
      <c r="K2853" s="1"/>
      <c r="L2853" s="1" t="s">
        <v>39</v>
      </c>
      <c r="M2853" s="1" t="str">
        <f>INDEX(MCC_Lookup!$B$2:$B$12,MATCH(G2853,MCC_Lookup!$A$2:$A$12,0))</f>
        <v>Events</v>
      </c>
      <c r="N2853" s="1" t="str">
        <f>IF(TRIM(H2853)="","BLANK",IF(PROPER(TRIM(H2853))=TRIM(M2853),"MATCH","MISMATCH"))</f>
        <v>MATCH</v>
      </c>
      <c r="O2853" s="5" t="str">
        <f>INDEX([1]Employee!$C$2:$C$276,MATCH(B2853,[1]Employee!$A$2:$A$276,0))</f>
        <v>Sales &amp; Marketing</v>
      </c>
    </row>
    <row r="2854" spans="1:15">
      <c r="A2854" s="1" t="s">
        <v>5587</v>
      </c>
      <c r="B2854" s="1" t="s">
        <v>890</v>
      </c>
      <c r="C2854" s="1" t="s">
        <v>5588</v>
      </c>
      <c r="D2854" s="2">
        <v>46176</v>
      </c>
      <c r="E2854" s="2">
        <v>46182</v>
      </c>
      <c r="F2854" s="1" t="s">
        <v>56</v>
      </c>
      <c r="G2854" s="1" t="s">
        <v>4</v>
      </c>
      <c r="H2854" s="1" t="s">
        <v>16</v>
      </c>
      <c r="I2854" s="7">
        <v>241.73</v>
      </c>
      <c r="J2854" s="1" t="s">
        <v>38</v>
      </c>
      <c r="K2854" s="1"/>
      <c r="L2854" s="1" t="s">
        <v>48</v>
      </c>
      <c r="M2854" s="1" t="str">
        <f>INDEX(MCC_Lookup!$B$2:$B$12,MATCH(G2854,MCC_Lookup!$A$2:$A$12,0))</f>
        <v>Travel</v>
      </c>
      <c r="N2854" s="1" t="str">
        <f>IF(TRIM(H2854)="","BLANK",IF(PROPER(TRIM(H2854))=TRIM(M2854),"MATCH","MISMATCH"))</f>
        <v>MISMATCH</v>
      </c>
      <c r="O2854" s="5" t="str">
        <f>INDEX([1]Employee!$C$2:$C$276,MATCH(B2854,[1]Employee!$A$2:$A$276,0))</f>
        <v>Sales &amp; Marketing</v>
      </c>
    </row>
    <row r="2855" spans="1:15">
      <c r="A2855" s="1" t="s">
        <v>5589</v>
      </c>
      <c r="B2855" s="1" t="s">
        <v>1399</v>
      </c>
      <c r="C2855" s="1" t="s">
        <v>5590</v>
      </c>
      <c r="D2855" s="2">
        <v>46175</v>
      </c>
      <c r="E2855" s="2">
        <v>46182</v>
      </c>
      <c r="F2855" s="1" t="s">
        <v>43</v>
      </c>
      <c r="G2855" s="1" t="s">
        <v>2</v>
      </c>
      <c r="H2855" s="1" t="s">
        <v>3</v>
      </c>
      <c r="I2855" s="7">
        <v>19.3</v>
      </c>
      <c r="J2855" s="1" t="s">
        <v>38</v>
      </c>
      <c r="K2855" s="1"/>
      <c r="L2855" s="1" t="s">
        <v>39</v>
      </c>
      <c r="M2855" s="1" t="str">
        <f>INDEX(MCC_Lookup!$B$2:$B$12,MATCH(G2855,MCC_Lookup!$A$2:$A$12,0))</f>
        <v>Meals</v>
      </c>
      <c r="N2855" s="1" t="str">
        <f>IF(TRIM(H2855)="","BLANK",IF(PROPER(TRIM(H2855))=TRIM(M2855),"MATCH","MISMATCH"))</f>
        <v>MATCH</v>
      </c>
      <c r="O2855" s="5" t="str">
        <f>INDEX([1]Employee!$C$2:$C$276,MATCH(B2855,[1]Employee!$A$2:$A$276,0))</f>
        <v>Underwriting</v>
      </c>
    </row>
    <row r="2856" spans="1:15">
      <c r="A2856" s="1" t="s">
        <v>5591</v>
      </c>
      <c r="B2856" s="1" t="s">
        <v>253</v>
      </c>
      <c r="C2856" s="1"/>
      <c r="D2856" s="2">
        <v>46176</v>
      </c>
      <c r="E2856" s="2">
        <v>46182</v>
      </c>
      <c r="F2856" s="1" t="s">
        <v>43</v>
      </c>
      <c r="G2856" s="1" t="s">
        <v>2</v>
      </c>
      <c r="H2856" s="1" t="s">
        <v>3</v>
      </c>
      <c r="I2856" s="7">
        <v>9.66</v>
      </c>
      <c r="J2856" s="1" t="s">
        <v>111</v>
      </c>
      <c r="K2856" s="1" t="s">
        <v>112</v>
      </c>
      <c r="L2856" s="1" t="s">
        <v>39</v>
      </c>
      <c r="M2856" s="1" t="str">
        <f>INDEX(MCC_Lookup!$B$2:$B$12,MATCH(G2856,MCC_Lookup!$A$2:$A$12,0))</f>
        <v>Meals</v>
      </c>
      <c r="N2856" s="1" t="str">
        <f>IF(TRIM(H2856)="","BLANK",IF(PROPER(TRIM(H2856))=TRIM(M2856),"MATCH","MISMATCH"))</f>
        <v>MATCH</v>
      </c>
      <c r="O2856" s="5" t="str">
        <f>INDEX([1]Employee!$C$2:$C$276,MATCH(B2856,[1]Employee!$A$2:$A$276,0))</f>
        <v>Claims</v>
      </c>
    </row>
    <row r="2857" spans="1:15">
      <c r="A2857" s="1" t="s">
        <v>5592</v>
      </c>
      <c r="B2857" s="1" t="s">
        <v>2824</v>
      </c>
      <c r="C2857" s="1" t="s">
        <v>5593</v>
      </c>
      <c r="D2857" s="2">
        <v>46173</v>
      </c>
      <c r="E2857" s="2">
        <v>46182</v>
      </c>
      <c r="F2857" s="1" t="s">
        <v>83</v>
      </c>
      <c r="G2857" s="1" t="s">
        <v>2</v>
      </c>
      <c r="H2857" s="1" t="s">
        <v>3</v>
      </c>
      <c r="I2857" s="7">
        <v>21.7</v>
      </c>
      <c r="J2857" s="1" t="s">
        <v>38</v>
      </c>
      <c r="K2857" s="1"/>
      <c r="L2857" s="1" t="s">
        <v>48</v>
      </c>
      <c r="M2857" s="1" t="str">
        <f>INDEX(MCC_Lookup!$B$2:$B$12,MATCH(G2857,MCC_Lookup!$A$2:$A$12,0))</f>
        <v>Meals</v>
      </c>
      <c r="N2857" s="1" t="str">
        <f>IF(TRIM(H2857)="","BLANK",IF(PROPER(TRIM(H2857))=TRIM(M2857),"MATCH","MISMATCH"))</f>
        <v>MATCH</v>
      </c>
      <c r="O2857" s="5" t="str">
        <f>INDEX([1]Employee!$C$2:$C$276,MATCH(B2857,[1]Employee!$A$2:$A$276,0))</f>
        <v>Finance</v>
      </c>
    </row>
    <row r="2858" spans="1:15">
      <c r="A2858" s="1" t="s">
        <v>5594</v>
      </c>
      <c r="B2858" s="1" t="s">
        <v>303</v>
      </c>
      <c r="C2858" s="1" t="s">
        <v>5595</v>
      </c>
      <c r="D2858" s="2">
        <v>46172</v>
      </c>
      <c r="E2858" s="2">
        <v>46182</v>
      </c>
      <c r="F2858" s="1" t="s">
        <v>56</v>
      </c>
      <c r="G2858" s="1" t="s">
        <v>4</v>
      </c>
      <c r="H2858" s="1" t="s">
        <v>5</v>
      </c>
      <c r="I2858" s="7">
        <v>361.79</v>
      </c>
      <c r="J2858" s="1" t="s">
        <v>38</v>
      </c>
      <c r="K2858" s="1"/>
      <c r="L2858" s="1" t="s">
        <v>39</v>
      </c>
      <c r="M2858" s="1" t="str">
        <f>INDEX(MCC_Lookup!$B$2:$B$12,MATCH(G2858,MCC_Lookup!$A$2:$A$12,0))</f>
        <v>Travel</v>
      </c>
      <c r="N2858" s="1" t="str">
        <f>IF(TRIM(H2858)="","BLANK",IF(PROPER(TRIM(H2858))=TRIM(M2858),"MATCH","MISMATCH"))</f>
        <v>MATCH</v>
      </c>
      <c r="O2858" s="5" t="str">
        <f>INDEX([1]Employee!$C$2:$C$276,MATCH(B2858,[1]Employee!$A$2:$A$276,0))</f>
        <v>Sales &amp; Marketing</v>
      </c>
    </row>
    <row r="2859" spans="1:15">
      <c r="A2859" s="1" t="s">
        <v>5596</v>
      </c>
      <c r="B2859" s="1" t="s">
        <v>303</v>
      </c>
      <c r="C2859" s="1" t="s">
        <v>5597</v>
      </c>
      <c r="D2859" s="2">
        <v>46182</v>
      </c>
      <c r="E2859" s="2">
        <v>46182</v>
      </c>
      <c r="F2859" s="1" t="s">
        <v>173</v>
      </c>
      <c r="G2859" s="1" t="s">
        <v>2</v>
      </c>
      <c r="H2859" s="1" t="s">
        <v>3</v>
      </c>
      <c r="I2859" s="7">
        <v>40.93</v>
      </c>
      <c r="J2859" s="1" t="s">
        <v>38</v>
      </c>
      <c r="K2859" s="1"/>
      <c r="L2859" s="1" t="s">
        <v>39</v>
      </c>
      <c r="M2859" s="1" t="str">
        <f>INDEX(MCC_Lookup!$B$2:$B$12,MATCH(G2859,MCC_Lookup!$A$2:$A$12,0))</f>
        <v>Meals</v>
      </c>
      <c r="N2859" s="1" t="str">
        <f>IF(TRIM(H2859)="","BLANK",IF(PROPER(TRIM(H2859))=TRIM(M2859),"MATCH","MISMATCH"))</f>
        <v>MATCH</v>
      </c>
      <c r="O2859" s="5" t="str">
        <f>INDEX([1]Employee!$C$2:$C$276,MATCH(B2859,[1]Employee!$A$2:$A$276,0))</f>
        <v>Sales &amp; Marketing</v>
      </c>
    </row>
    <row r="2860" spans="1:15">
      <c r="A2860" s="1" t="s">
        <v>5598</v>
      </c>
      <c r="B2860" s="1" t="s">
        <v>1252</v>
      </c>
      <c r="C2860" s="1" t="s">
        <v>5599</v>
      </c>
      <c r="D2860" s="2">
        <v>46182</v>
      </c>
      <c r="E2860" s="2">
        <v>46182</v>
      </c>
      <c r="F2860" s="1" t="s">
        <v>76</v>
      </c>
      <c r="G2860" s="1" t="s">
        <v>13</v>
      </c>
      <c r="H2860" s="1" t="s">
        <v>14</v>
      </c>
      <c r="I2860" s="7">
        <v>352.22</v>
      </c>
      <c r="J2860" s="1" t="s">
        <v>38</v>
      </c>
      <c r="K2860" s="1"/>
      <c r="L2860" s="1" t="s">
        <v>39</v>
      </c>
      <c r="M2860" s="1" t="str">
        <f>INDEX(MCC_Lookup!$B$2:$B$12,MATCH(G2860,MCC_Lookup!$A$2:$A$12,0))</f>
        <v>Software</v>
      </c>
      <c r="N2860" s="1" t="str">
        <f>IF(TRIM(H2860)="","BLANK",IF(PROPER(TRIM(H2860))=TRIM(M2860),"MATCH","MISMATCH"))</f>
        <v>MATCH</v>
      </c>
      <c r="O2860" s="5" t="str">
        <f>INDEX([1]Employee!$C$2:$C$276,MATCH(B2860,[1]Employee!$A$2:$A$276,0))</f>
        <v>Underwriting</v>
      </c>
    </row>
    <row r="2861" spans="1:15">
      <c r="A2861" s="1" t="s">
        <v>5600</v>
      </c>
      <c r="B2861" s="1" t="s">
        <v>1170</v>
      </c>
      <c r="C2861" s="1" t="s">
        <v>5601</v>
      </c>
      <c r="D2861" s="2">
        <v>46177</v>
      </c>
      <c r="E2861" s="2">
        <v>46182</v>
      </c>
      <c r="F2861" s="1" t="s">
        <v>116</v>
      </c>
      <c r="G2861" s="1" t="s">
        <v>2</v>
      </c>
      <c r="H2861" s="1" t="s">
        <v>3</v>
      </c>
      <c r="I2861" s="7">
        <v>9.74</v>
      </c>
      <c r="J2861" s="1" t="s">
        <v>38</v>
      </c>
      <c r="K2861" s="1"/>
      <c r="L2861" s="1" t="s">
        <v>39</v>
      </c>
      <c r="M2861" s="1" t="str">
        <f>INDEX(MCC_Lookup!$B$2:$B$12,MATCH(G2861,MCC_Lookup!$A$2:$A$12,0))</f>
        <v>Meals</v>
      </c>
      <c r="N2861" s="1" t="str">
        <f>IF(TRIM(H2861)="","BLANK",IF(PROPER(TRIM(H2861))=TRIM(M2861),"MATCH","MISMATCH"))</f>
        <v>MATCH</v>
      </c>
      <c r="O2861" s="5" t="str">
        <f>INDEX([1]Employee!$C$2:$C$276,MATCH(B2861,[1]Employee!$A$2:$A$276,0))</f>
        <v>Finance</v>
      </c>
    </row>
    <row r="2862" spans="1:15">
      <c r="A2862" s="1" t="s">
        <v>5602</v>
      </c>
      <c r="B2862" s="1" t="s">
        <v>433</v>
      </c>
      <c r="C2862" s="1" t="s">
        <v>5603</v>
      </c>
      <c r="D2862" s="2">
        <v>46180</v>
      </c>
      <c r="E2862" s="2">
        <v>46182</v>
      </c>
      <c r="F2862" s="1" t="s">
        <v>47</v>
      </c>
      <c r="G2862" s="1" t="s">
        <v>6</v>
      </c>
      <c r="H2862" s="1" t="s">
        <v>7</v>
      </c>
      <c r="I2862" s="7">
        <v>294.64</v>
      </c>
      <c r="J2862" s="1" t="s">
        <v>38</v>
      </c>
      <c r="K2862" s="1"/>
      <c r="L2862" s="1" t="s">
        <v>39</v>
      </c>
      <c r="M2862" s="1" t="str">
        <f>INDEX(MCC_Lookup!$B$2:$B$12,MATCH(G2862,MCC_Lookup!$A$2:$A$12,0))</f>
        <v>Lodging</v>
      </c>
      <c r="N2862" s="1" t="str">
        <f>IF(TRIM(H2862)="","BLANK",IF(PROPER(TRIM(H2862))=TRIM(M2862),"MATCH","MISMATCH"))</f>
        <v>MATCH</v>
      </c>
      <c r="O2862" s="5" t="str">
        <f>INDEX([1]Employee!$C$2:$C$276,MATCH(B2862,[1]Employee!$A$2:$A$276,0))</f>
        <v>Sales &amp; Marketing</v>
      </c>
    </row>
    <row r="2863" spans="1:15">
      <c r="A2863" s="1" t="s">
        <v>5604</v>
      </c>
      <c r="B2863" s="1" t="s">
        <v>661</v>
      </c>
      <c r="C2863" s="1"/>
      <c r="D2863" s="2">
        <v>46180</v>
      </c>
      <c r="E2863" s="2">
        <v>46182</v>
      </c>
      <c r="F2863" s="1" t="s">
        <v>76</v>
      </c>
      <c r="G2863" s="1" t="s">
        <v>13</v>
      </c>
      <c r="H2863" s="1" t="s">
        <v>14</v>
      </c>
      <c r="I2863" s="7">
        <v>501.25</v>
      </c>
      <c r="J2863" s="1" t="s">
        <v>38</v>
      </c>
      <c r="K2863" s="1"/>
      <c r="L2863" s="1" t="s">
        <v>39</v>
      </c>
      <c r="M2863" s="1" t="str">
        <f>INDEX(MCC_Lookup!$B$2:$B$12,MATCH(G2863,MCC_Lookup!$A$2:$A$12,0))</f>
        <v>Software</v>
      </c>
      <c r="N2863" s="1" t="str">
        <f>IF(TRIM(H2863)="","BLANK",IF(PROPER(TRIM(H2863))=TRIM(M2863),"MATCH","MISMATCH"))</f>
        <v>MATCH</v>
      </c>
      <c r="O2863" s="5" t="str">
        <f>INDEX([1]Employee!$C$2:$C$276,MATCH(B2863,[1]Employee!$A$2:$A$276,0))</f>
        <v>Sales &amp; Marketing</v>
      </c>
    </row>
    <row r="2864" spans="1:15">
      <c r="A2864" s="1" t="s">
        <v>5605</v>
      </c>
      <c r="B2864" s="1" t="s">
        <v>152</v>
      </c>
      <c r="C2864" s="1" t="s">
        <v>5606</v>
      </c>
      <c r="D2864" s="2">
        <v>46176</v>
      </c>
      <c r="E2864" s="2">
        <v>46182</v>
      </c>
      <c r="F2864" s="1" t="s">
        <v>242</v>
      </c>
      <c r="G2864" s="1" t="s">
        <v>13</v>
      </c>
      <c r="H2864" s="1" t="s">
        <v>14</v>
      </c>
      <c r="I2864" s="7">
        <v>27.22</v>
      </c>
      <c r="J2864" s="1" t="s">
        <v>38</v>
      </c>
      <c r="K2864" s="1"/>
      <c r="L2864" s="1" t="s">
        <v>39</v>
      </c>
      <c r="M2864" s="1" t="str">
        <f>INDEX(MCC_Lookup!$B$2:$B$12,MATCH(G2864,MCC_Lookup!$A$2:$A$12,0))</f>
        <v>Software</v>
      </c>
      <c r="N2864" s="1" t="str">
        <f>IF(TRIM(H2864)="","BLANK",IF(PROPER(TRIM(H2864))=TRIM(M2864),"MATCH","MISMATCH"))</f>
        <v>MATCH</v>
      </c>
      <c r="O2864" s="5" t="str">
        <f>INDEX([1]Employee!$C$2:$C$276,MATCH(B2864,[1]Employee!$A$2:$A$276,0))</f>
        <v>Sales &amp; Marketing</v>
      </c>
    </row>
    <row r="2865" spans="1:15">
      <c r="A2865" s="1" t="s">
        <v>5607</v>
      </c>
      <c r="B2865" s="1" t="s">
        <v>407</v>
      </c>
      <c r="C2865" s="1" t="s">
        <v>5608</v>
      </c>
      <c r="D2865" s="2">
        <v>46181</v>
      </c>
      <c r="E2865" s="2">
        <v>46182</v>
      </c>
      <c r="F2865" s="1" t="s">
        <v>124</v>
      </c>
      <c r="G2865" s="1" t="s">
        <v>17</v>
      </c>
      <c r="H2865" s="1" t="s">
        <v>16</v>
      </c>
      <c r="I2865" s="7">
        <v>217.62</v>
      </c>
      <c r="J2865" s="1" t="s">
        <v>38</v>
      </c>
      <c r="K2865" s="1"/>
      <c r="L2865" s="1" t="s">
        <v>39</v>
      </c>
      <c r="M2865" s="1" t="str">
        <f>INDEX(MCC_Lookup!$B$2:$B$12,MATCH(G2865,MCC_Lookup!$A$2:$A$12,0))</f>
        <v>Entertainment</v>
      </c>
      <c r="N2865" s="1" t="str">
        <f>IF(TRIM(H2865)="","BLANK",IF(PROPER(TRIM(H2865))=TRIM(M2865),"MATCH","MISMATCH"))</f>
        <v>MATCH</v>
      </c>
      <c r="O2865" s="5" t="str">
        <f>INDEX([1]Employee!$C$2:$C$276,MATCH(B2865,[1]Employee!$A$2:$A$276,0))</f>
        <v>Executive &amp; Corporate</v>
      </c>
    </row>
    <row r="2866" spans="1:15">
      <c r="A2866" s="1" t="s">
        <v>5609</v>
      </c>
      <c r="B2866" s="1" t="s">
        <v>210</v>
      </c>
      <c r="C2866" s="1" t="s">
        <v>5610</v>
      </c>
      <c r="D2866" s="2">
        <v>46182</v>
      </c>
      <c r="E2866" s="2">
        <v>46182</v>
      </c>
      <c r="F2866" s="1" t="s">
        <v>120</v>
      </c>
      <c r="G2866" s="1" t="s">
        <v>12</v>
      </c>
      <c r="H2866" s="1" t="s">
        <v>11</v>
      </c>
      <c r="I2866" s="7">
        <v>348.99</v>
      </c>
      <c r="J2866" s="1" t="s">
        <v>38</v>
      </c>
      <c r="K2866" s="1"/>
      <c r="L2866" s="1" t="s">
        <v>39</v>
      </c>
      <c r="M2866" s="1" t="str">
        <f>INDEX(MCC_Lookup!$B$2:$B$12,MATCH(G2866,MCC_Lookup!$A$2:$A$12,0))</f>
        <v>Office Supplies</v>
      </c>
      <c r="N2866" s="1" t="str">
        <f>IF(TRIM(H2866)="","BLANK",IF(PROPER(TRIM(H2866))=TRIM(M2866),"MATCH","MISMATCH"))</f>
        <v>MATCH</v>
      </c>
      <c r="O2866" s="5" t="str">
        <f>INDEX([1]Employee!$C$2:$C$276,MATCH(B2866,[1]Employee!$A$2:$A$276,0))</f>
        <v>Sales &amp; Marketing</v>
      </c>
    </row>
    <row r="2867" spans="1:15">
      <c r="A2867" s="1" t="s">
        <v>5611</v>
      </c>
      <c r="B2867" s="1" t="s">
        <v>947</v>
      </c>
      <c r="C2867" s="1"/>
      <c r="D2867" s="2">
        <v>46176</v>
      </c>
      <c r="E2867" s="2">
        <v>46183</v>
      </c>
      <c r="F2867" s="1" t="s">
        <v>65</v>
      </c>
      <c r="G2867" s="1" t="s">
        <v>18</v>
      </c>
      <c r="H2867" s="1" t="s">
        <v>19</v>
      </c>
      <c r="I2867" s="7">
        <v>494.24</v>
      </c>
      <c r="J2867" s="1" t="s">
        <v>111</v>
      </c>
      <c r="K2867" s="1" t="s">
        <v>229</v>
      </c>
      <c r="L2867" s="1" t="s">
        <v>39</v>
      </c>
      <c r="M2867" s="1" t="str">
        <f>INDEX(MCC_Lookup!$B$2:$B$12,MATCH(G2867,MCC_Lookup!$A$2:$A$12,0))</f>
        <v>Events</v>
      </c>
      <c r="N2867" s="1" t="str">
        <f>IF(TRIM(H2867)="","BLANK",IF(PROPER(TRIM(H2867))=TRIM(M2867),"MATCH","MISMATCH"))</f>
        <v>MATCH</v>
      </c>
      <c r="O2867" s="5" t="str">
        <f>INDEX([1]Employee!$C$2:$C$276,MATCH(B2867,[1]Employee!$A$2:$A$276,0))</f>
        <v>Sales &amp; Marketing</v>
      </c>
    </row>
    <row r="2868" spans="1:15">
      <c r="A2868" s="1" t="s">
        <v>5612</v>
      </c>
      <c r="B2868" s="1" t="s">
        <v>1496</v>
      </c>
      <c r="C2868" s="1" t="s">
        <v>5613</v>
      </c>
      <c r="D2868" s="2">
        <v>46175</v>
      </c>
      <c r="E2868" s="2">
        <v>46183</v>
      </c>
      <c r="F2868" s="1" t="s">
        <v>124</v>
      </c>
      <c r="G2868" s="1" t="s">
        <v>17</v>
      </c>
      <c r="H2868" s="1" t="s">
        <v>16</v>
      </c>
      <c r="I2868" s="7">
        <v>120.8</v>
      </c>
      <c r="J2868" s="1" t="s">
        <v>38</v>
      </c>
      <c r="K2868" s="1"/>
      <c r="L2868" s="1" t="s">
        <v>39</v>
      </c>
      <c r="M2868" s="1" t="str">
        <f>INDEX(MCC_Lookup!$B$2:$B$12,MATCH(G2868,MCC_Lookup!$A$2:$A$12,0))</f>
        <v>Entertainment</v>
      </c>
      <c r="N2868" s="1" t="str">
        <f>IF(TRIM(H2868)="","BLANK",IF(PROPER(TRIM(H2868))=TRIM(M2868),"MATCH","MISMATCH"))</f>
        <v>MATCH</v>
      </c>
      <c r="O2868" s="5" t="str">
        <f>INDEX([1]Employee!$C$2:$C$276,MATCH(B2868,[1]Employee!$A$2:$A$276,0))</f>
        <v>Underwriting</v>
      </c>
    </row>
    <row r="2869" spans="1:15">
      <c r="A2869" s="1" t="s">
        <v>5614</v>
      </c>
      <c r="B2869" s="1" t="s">
        <v>136</v>
      </c>
      <c r="C2869" s="1" t="s">
        <v>5615</v>
      </c>
      <c r="D2869" s="2">
        <v>46177</v>
      </c>
      <c r="E2869" s="2">
        <v>46183</v>
      </c>
      <c r="F2869" s="1" t="s">
        <v>1953</v>
      </c>
      <c r="G2869" s="1" t="s">
        <v>8</v>
      </c>
      <c r="H2869" s="1" t="s">
        <v>9</v>
      </c>
      <c r="I2869" s="7">
        <v>51.04</v>
      </c>
      <c r="J2869" s="1" t="s">
        <v>38</v>
      </c>
      <c r="K2869" s="1"/>
      <c r="L2869" s="1" t="s">
        <v>39</v>
      </c>
      <c r="M2869" s="1" t="str">
        <f>INDEX(MCC_Lookup!$B$2:$B$12,MATCH(G2869,MCC_Lookup!$A$2:$A$12,0))</f>
        <v>Transportation</v>
      </c>
      <c r="N2869" s="1" t="str">
        <f>IF(TRIM(H2869)="","BLANK",IF(PROPER(TRIM(H2869))=TRIM(M2869),"MATCH","MISMATCH"))</f>
        <v>MATCH</v>
      </c>
      <c r="O2869" s="5" t="str">
        <f>INDEX([1]Employee!$C$2:$C$276,MATCH(B2869,[1]Employee!$A$2:$A$276,0))</f>
        <v>Sales &amp; Marketing</v>
      </c>
    </row>
    <row r="2870" spans="1:15">
      <c r="A2870" s="1" t="s">
        <v>5616</v>
      </c>
      <c r="B2870" s="1" t="s">
        <v>303</v>
      </c>
      <c r="C2870" s="1" t="s">
        <v>5617</v>
      </c>
      <c r="D2870" s="2">
        <v>46181</v>
      </c>
      <c r="E2870" s="2">
        <v>46183</v>
      </c>
      <c r="F2870" s="1" t="s">
        <v>76</v>
      </c>
      <c r="G2870" s="1" t="s">
        <v>13</v>
      </c>
      <c r="H2870" s="1" t="s">
        <v>14</v>
      </c>
      <c r="I2870" s="7">
        <v>240.05</v>
      </c>
      <c r="J2870" s="1" t="s">
        <v>38</v>
      </c>
      <c r="K2870" s="1"/>
      <c r="L2870" s="1" t="s">
        <v>48</v>
      </c>
      <c r="M2870" s="1" t="str">
        <f>INDEX(MCC_Lookup!$B$2:$B$12,MATCH(G2870,MCC_Lookup!$A$2:$A$12,0))</f>
        <v>Software</v>
      </c>
      <c r="N2870" s="1" t="str">
        <f>IF(TRIM(H2870)="","BLANK",IF(PROPER(TRIM(H2870))=TRIM(M2870),"MATCH","MISMATCH"))</f>
        <v>MATCH</v>
      </c>
      <c r="O2870" s="5" t="str">
        <f>INDEX([1]Employee!$C$2:$C$276,MATCH(B2870,[1]Employee!$A$2:$A$276,0))</f>
        <v>Sales &amp; Marketing</v>
      </c>
    </row>
    <row r="2871" spans="1:15">
      <c r="A2871" s="1" t="s">
        <v>5618</v>
      </c>
      <c r="B2871" s="1" t="s">
        <v>90</v>
      </c>
      <c r="C2871" s="1" t="s">
        <v>5619</v>
      </c>
      <c r="D2871" s="2">
        <v>46179</v>
      </c>
      <c r="E2871" s="2">
        <v>46183</v>
      </c>
      <c r="F2871" s="1" t="s">
        <v>160</v>
      </c>
      <c r="G2871" s="1" t="s">
        <v>6</v>
      </c>
      <c r="H2871" s="1" t="s">
        <v>7</v>
      </c>
      <c r="I2871" s="7">
        <v>253.48</v>
      </c>
      <c r="J2871" s="1" t="s">
        <v>38</v>
      </c>
      <c r="K2871" s="1"/>
      <c r="L2871" s="1" t="s">
        <v>39</v>
      </c>
      <c r="M2871" s="1" t="str">
        <f>INDEX(MCC_Lookup!$B$2:$B$12,MATCH(G2871,MCC_Lookup!$A$2:$A$12,0))</f>
        <v>Lodging</v>
      </c>
      <c r="N2871" s="1" t="str">
        <f>IF(TRIM(H2871)="","BLANK",IF(PROPER(TRIM(H2871))=TRIM(M2871),"MATCH","MISMATCH"))</f>
        <v>MATCH</v>
      </c>
      <c r="O2871" s="5" t="str">
        <f>INDEX([1]Employee!$C$2:$C$276,MATCH(B2871,[1]Employee!$A$2:$A$276,0))</f>
        <v>Sales &amp; Marketing</v>
      </c>
    </row>
    <row r="2872" spans="1:15">
      <c r="A2872" s="1" t="s">
        <v>5620</v>
      </c>
      <c r="B2872" s="1" t="s">
        <v>595</v>
      </c>
      <c r="C2872" s="1" t="s">
        <v>5621</v>
      </c>
      <c r="D2872" s="2">
        <v>46178</v>
      </c>
      <c r="E2872" s="2">
        <v>46183</v>
      </c>
      <c r="F2872" s="1" t="s">
        <v>201</v>
      </c>
      <c r="G2872" s="1" t="s">
        <v>4</v>
      </c>
      <c r="H2872" s="1" t="s">
        <v>5</v>
      </c>
      <c r="I2872" s="7">
        <v>666.89</v>
      </c>
      <c r="J2872" s="1" t="s">
        <v>38</v>
      </c>
      <c r="K2872" s="1"/>
      <c r="L2872" s="1" t="s">
        <v>39</v>
      </c>
      <c r="M2872" s="1" t="str">
        <f>INDEX(MCC_Lookup!$B$2:$B$12,MATCH(G2872,MCC_Lookup!$A$2:$A$12,0))</f>
        <v>Travel</v>
      </c>
      <c r="N2872" s="1" t="str">
        <f>IF(TRIM(H2872)="","BLANK",IF(PROPER(TRIM(H2872))=TRIM(M2872),"MATCH","MISMATCH"))</f>
        <v>MATCH</v>
      </c>
      <c r="O2872" s="5" t="str">
        <f>INDEX([1]Employee!$C$2:$C$276,MATCH(B2872,[1]Employee!$A$2:$A$276,0))</f>
        <v>Executive &amp; Corporate</v>
      </c>
    </row>
    <row r="2873" spans="1:15">
      <c r="A2873" s="1" t="s">
        <v>5622</v>
      </c>
      <c r="B2873" s="1" t="s">
        <v>171</v>
      </c>
      <c r="C2873" s="1" t="s">
        <v>5623</v>
      </c>
      <c r="D2873" s="2">
        <v>46178</v>
      </c>
      <c r="E2873" s="2">
        <v>46183</v>
      </c>
      <c r="F2873" s="1" t="s">
        <v>92</v>
      </c>
      <c r="G2873" s="1" t="s">
        <v>10</v>
      </c>
      <c r="H2873" s="1" t="s">
        <v>11</v>
      </c>
      <c r="I2873" s="7">
        <v>12.06</v>
      </c>
      <c r="J2873" s="1" t="s">
        <v>38</v>
      </c>
      <c r="K2873" s="1"/>
      <c r="L2873" s="1" t="s">
        <v>39</v>
      </c>
      <c r="M2873" s="1" t="str">
        <f>INDEX(MCC_Lookup!$B$2:$B$12,MATCH(G2873,MCC_Lookup!$A$2:$A$12,0))</f>
        <v>Office Supplies</v>
      </c>
      <c r="N2873" s="1" t="str">
        <f>IF(TRIM(H2873)="","BLANK",IF(PROPER(TRIM(H2873))=TRIM(M2873),"MATCH","MISMATCH"))</f>
        <v>MATCH</v>
      </c>
      <c r="O2873" s="5" t="str">
        <f>INDEX([1]Employee!$C$2:$C$276,MATCH(B2873,[1]Employee!$A$2:$A$276,0))</f>
        <v>Claims</v>
      </c>
    </row>
    <row r="2874" spans="1:15">
      <c r="A2874" s="1" t="s">
        <v>5624</v>
      </c>
      <c r="B2874" s="1" t="s">
        <v>542</v>
      </c>
      <c r="C2874" s="1" t="s">
        <v>5625</v>
      </c>
      <c r="D2874" s="2">
        <v>46183</v>
      </c>
      <c r="E2874" s="2">
        <v>46183</v>
      </c>
      <c r="F2874" s="1" t="s">
        <v>177</v>
      </c>
      <c r="G2874" s="1" t="s">
        <v>13</v>
      </c>
      <c r="H2874" s="1" t="s">
        <v>14</v>
      </c>
      <c r="I2874" s="7">
        <v>66.78</v>
      </c>
      <c r="J2874" s="1" t="s">
        <v>38</v>
      </c>
      <c r="K2874" s="1"/>
      <c r="L2874" s="1" t="s">
        <v>39</v>
      </c>
      <c r="M2874" s="1" t="str">
        <f>INDEX(MCC_Lookup!$B$2:$B$12,MATCH(G2874,MCC_Lookup!$A$2:$A$12,0))</f>
        <v>Software</v>
      </c>
      <c r="N2874" s="1" t="str">
        <f>IF(TRIM(H2874)="","BLANK",IF(PROPER(TRIM(H2874))=TRIM(M2874),"MATCH","MISMATCH"))</f>
        <v>MATCH</v>
      </c>
      <c r="O2874" s="5" t="str">
        <f>INDEX([1]Employee!$C$2:$C$276,MATCH(B2874,[1]Employee!$A$2:$A$276,0))</f>
        <v>Underwriting</v>
      </c>
    </row>
    <row r="2875" spans="1:15">
      <c r="A2875" s="1" t="s">
        <v>5626</v>
      </c>
      <c r="B2875" s="1" t="s">
        <v>1188</v>
      </c>
      <c r="C2875" s="1" t="s">
        <v>5627</v>
      </c>
      <c r="D2875" s="2">
        <v>46180</v>
      </c>
      <c r="E2875" s="2">
        <v>46183</v>
      </c>
      <c r="F2875" s="1" t="s">
        <v>109</v>
      </c>
      <c r="G2875" s="1" t="s">
        <v>18</v>
      </c>
      <c r="H2875" s="1" t="s">
        <v>19</v>
      </c>
      <c r="I2875" s="7">
        <v>244.39</v>
      </c>
      <c r="J2875" s="1" t="s">
        <v>38</v>
      </c>
      <c r="K2875" s="1"/>
      <c r="L2875" s="1" t="s">
        <v>39</v>
      </c>
      <c r="M2875" s="1" t="str">
        <f>INDEX(MCC_Lookup!$B$2:$B$12,MATCH(G2875,MCC_Lookup!$A$2:$A$12,0))</f>
        <v>Events</v>
      </c>
      <c r="N2875" s="1" t="str">
        <f>IF(TRIM(H2875)="","BLANK",IF(PROPER(TRIM(H2875))=TRIM(M2875),"MATCH","MISMATCH"))</f>
        <v>MATCH</v>
      </c>
      <c r="O2875" s="5" t="str">
        <f>INDEX([1]Employee!$C$2:$C$276,MATCH(B2875,[1]Employee!$A$2:$A$276,0))</f>
        <v>Executive &amp; Corporate</v>
      </c>
    </row>
    <row r="2876" spans="1:15">
      <c r="A2876" s="1" t="s">
        <v>5628</v>
      </c>
      <c r="B2876" s="1" t="s">
        <v>667</v>
      </c>
      <c r="C2876" s="1" t="s">
        <v>5629</v>
      </c>
      <c r="D2876" s="2">
        <v>46174</v>
      </c>
      <c r="E2876" s="2">
        <v>46183</v>
      </c>
      <c r="F2876" s="1" t="s">
        <v>242</v>
      </c>
      <c r="G2876" s="1" t="s">
        <v>13</v>
      </c>
      <c r="H2876" s="1" t="s">
        <v>14</v>
      </c>
      <c r="I2876" s="7">
        <v>39.82</v>
      </c>
      <c r="J2876" s="1" t="s">
        <v>38</v>
      </c>
      <c r="K2876" s="1"/>
      <c r="L2876" s="1" t="s">
        <v>39</v>
      </c>
      <c r="M2876" s="1" t="str">
        <f>INDEX(MCC_Lookup!$B$2:$B$12,MATCH(G2876,MCC_Lookup!$A$2:$A$12,0))</f>
        <v>Software</v>
      </c>
      <c r="N2876" s="1" t="str">
        <f>IF(TRIM(H2876)="","BLANK",IF(PROPER(TRIM(H2876))=TRIM(M2876),"MATCH","MISMATCH"))</f>
        <v>MATCH</v>
      </c>
      <c r="O2876" s="5" t="str">
        <f>INDEX([1]Employee!$C$2:$C$276,MATCH(B2876,[1]Employee!$A$2:$A$276,0))</f>
        <v>Sales &amp; Marketing</v>
      </c>
    </row>
    <row r="2877" spans="1:15">
      <c r="A2877" s="1" t="s">
        <v>5630</v>
      </c>
      <c r="B2877" s="1" t="s">
        <v>451</v>
      </c>
      <c r="C2877" s="1" t="s">
        <v>5631</v>
      </c>
      <c r="D2877" s="2">
        <v>46181</v>
      </c>
      <c r="E2877" s="2">
        <v>46183</v>
      </c>
      <c r="F2877" s="1" t="s">
        <v>99</v>
      </c>
      <c r="G2877" s="1" t="s">
        <v>2</v>
      </c>
      <c r="H2877" s="1" t="s">
        <v>3</v>
      </c>
      <c r="I2877" s="7">
        <v>101.16</v>
      </c>
      <c r="J2877" s="1" t="s">
        <v>38</v>
      </c>
      <c r="K2877" s="1"/>
      <c r="L2877" s="1" t="s">
        <v>39</v>
      </c>
      <c r="M2877" s="1" t="str">
        <f>INDEX(MCC_Lookup!$B$2:$B$12,MATCH(G2877,MCC_Lookup!$A$2:$A$12,0))</f>
        <v>Meals</v>
      </c>
      <c r="N2877" s="1" t="str">
        <f>IF(TRIM(H2877)="","BLANK",IF(PROPER(TRIM(H2877))=TRIM(M2877),"MATCH","MISMATCH"))</f>
        <v>MATCH</v>
      </c>
      <c r="O2877" s="5" t="str">
        <f>INDEX([1]Employee!$C$2:$C$276,MATCH(B2877,[1]Employee!$A$2:$A$276,0))</f>
        <v>IT &amp; Platform Engineering</v>
      </c>
    </row>
    <row r="2878" spans="1:15">
      <c r="A2878" s="1" t="s">
        <v>5632</v>
      </c>
      <c r="B2878" s="1" t="s">
        <v>469</v>
      </c>
      <c r="C2878" s="1"/>
      <c r="D2878" s="2">
        <v>46173</v>
      </c>
      <c r="E2878" s="2">
        <v>46183</v>
      </c>
      <c r="F2878" s="1" t="s">
        <v>99</v>
      </c>
      <c r="G2878" s="1" t="s">
        <v>2</v>
      </c>
      <c r="H2878" s="1" t="s">
        <v>16</v>
      </c>
      <c r="I2878" s="7">
        <v>87.52</v>
      </c>
      <c r="J2878" s="1" t="s">
        <v>111</v>
      </c>
      <c r="K2878" s="1" t="s">
        <v>127</v>
      </c>
      <c r="L2878" s="1" t="s">
        <v>39</v>
      </c>
      <c r="M2878" s="1" t="str">
        <f>INDEX(MCC_Lookup!$B$2:$B$12,MATCH(G2878,MCC_Lookup!$A$2:$A$12,0))</f>
        <v>Meals</v>
      </c>
      <c r="N2878" s="1" t="str">
        <f>IF(TRIM(H2878)="","BLANK",IF(PROPER(TRIM(H2878))=TRIM(M2878),"MATCH","MISMATCH"))</f>
        <v>MISMATCH</v>
      </c>
      <c r="O2878" s="5" t="str">
        <f>INDEX([1]Employee!$C$2:$C$276,MATCH(B2878,[1]Employee!$A$2:$A$276,0))</f>
        <v>Sales &amp; Marketing</v>
      </c>
    </row>
    <row r="2879" spans="1:15">
      <c r="A2879" s="1" t="s">
        <v>5633</v>
      </c>
      <c r="B2879" s="1" t="s">
        <v>1122</v>
      </c>
      <c r="C2879" s="1" t="s">
        <v>5634</v>
      </c>
      <c r="D2879" s="2">
        <v>46182</v>
      </c>
      <c r="E2879" s="2">
        <v>46183</v>
      </c>
      <c r="F2879" s="1" t="s">
        <v>124</v>
      </c>
      <c r="G2879" s="1" t="s">
        <v>17</v>
      </c>
      <c r="H2879" s="1" t="s">
        <v>16</v>
      </c>
      <c r="I2879" s="7">
        <v>73.19</v>
      </c>
      <c r="J2879" s="1" t="s">
        <v>38</v>
      </c>
      <c r="K2879" s="1"/>
      <c r="L2879" s="1" t="s">
        <v>39</v>
      </c>
      <c r="M2879" s="1" t="str">
        <f>INDEX(MCC_Lookup!$B$2:$B$12,MATCH(G2879,MCC_Lookup!$A$2:$A$12,0))</f>
        <v>Entertainment</v>
      </c>
      <c r="N2879" s="1" t="str">
        <f>IF(TRIM(H2879)="","BLANK",IF(PROPER(TRIM(H2879))=TRIM(M2879),"MATCH","MISMATCH"))</f>
        <v>MATCH</v>
      </c>
      <c r="O2879" s="5" t="str">
        <f>INDEX([1]Employee!$C$2:$C$276,MATCH(B2879,[1]Employee!$A$2:$A$276,0))</f>
        <v>Customer Support</v>
      </c>
    </row>
    <row r="2880" spans="1:15">
      <c r="A2880" s="1" t="s">
        <v>5635</v>
      </c>
      <c r="B2880" s="1" t="s">
        <v>407</v>
      </c>
      <c r="C2880" s="1" t="s">
        <v>5636</v>
      </c>
      <c r="D2880" s="2">
        <v>46182</v>
      </c>
      <c r="E2880" s="2">
        <v>46183</v>
      </c>
      <c r="F2880" s="1" t="s">
        <v>76</v>
      </c>
      <c r="G2880" s="1" t="s">
        <v>13</v>
      </c>
      <c r="H2880" s="1" t="s">
        <v>14</v>
      </c>
      <c r="I2880" s="7">
        <v>189.03</v>
      </c>
      <c r="J2880" s="1" t="s">
        <v>38</v>
      </c>
      <c r="K2880" s="1"/>
      <c r="L2880" s="1" t="s">
        <v>39</v>
      </c>
      <c r="M2880" s="1" t="str">
        <f>INDEX(MCC_Lookup!$B$2:$B$12,MATCH(G2880,MCC_Lookup!$A$2:$A$12,0))</f>
        <v>Software</v>
      </c>
      <c r="N2880" s="1" t="str">
        <f>IF(TRIM(H2880)="","BLANK",IF(PROPER(TRIM(H2880))=TRIM(M2880),"MATCH","MISMATCH"))</f>
        <v>MATCH</v>
      </c>
      <c r="O2880" s="5" t="str">
        <f>INDEX([1]Employee!$C$2:$C$276,MATCH(B2880,[1]Employee!$A$2:$A$276,0))</f>
        <v>Executive &amp; Corporate</v>
      </c>
    </row>
    <row r="2881" spans="1:15">
      <c r="A2881" s="1" t="s">
        <v>5637</v>
      </c>
      <c r="B2881" s="1" t="s">
        <v>600</v>
      </c>
      <c r="C2881" s="1"/>
      <c r="D2881" s="2">
        <v>46177</v>
      </c>
      <c r="E2881" s="2">
        <v>46183</v>
      </c>
      <c r="F2881" s="1" t="s">
        <v>160</v>
      </c>
      <c r="G2881" s="1" t="s">
        <v>6</v>
      </c>
      <c r="H2881" s="1" t="s">
        <v>7</v>
      </c>
      <c r="I2881" s="7">
        <v>308.58</v>
      </c>
      <c r="J2881" s="1" t="s">
        <v>38</v>
      </c>
      <c r="K2881" s="1"/>
      <c r="L2881" s="1" t="s">
        <v>39</v>
      </c>
      <c r="M2881" s="1" t="str">
        <f>INDEX(MCC_Lookup!$B$2:$B$12,MATCH(G2881,MCC_Lookup!$A$2:$A$12,0))</f>
        <v>Lodging</v>
      </c>
      <c r="N2881" s="1" t="str">
        <f>IF(TRIM(H2881)="","BLANK",IF(PROPER(TRIM(H2881))=TRIM(M2881),"MATCH","MISMATCH"))</f>
        <v>MATCH</v>
      </c>
      <c r="O2881" s="5" t="str">
        <f>INDEX([1]Employee!$C$2:$C$276,MATCH(B2881,[1]Employee!$A$2:$A$276,0))</f>
        <v>Actuarial &amp; Risk</v>
      </c>
    </row>
    <row r="2882" spans="1:15">
      <c r="A2882" s="1" t="s">
        <v>5638</v>
      </c>
      <c r="B2882" s="1" t="s">
        <v>969</v>
      </c>
      <c r="C2882" s="1" t="s">
        <v>5639</v>
      </c>
      <c r="D2882" s="2">
        <v>46183</v>
      </c>
      <c r="E2882" s="2">
        <v>46183</v>
      </c>
      <c r="F2882" s="1" t="s">
        <v>43</v>
      </c>
      <c r="G2882" s="1" t="s">
        <v>2</v>
      </c>
      <c r="H2882" s="1" t="s">
        <v>3</v>
      </c>
      <c r="I2882" s="7">
        <v>8.11</v>
      </c>
      <c r="J2882" s="1" t="s">
        <v>38</v>
      </c>
      <c r="K2882" s="1"/>
      <c r="L2882" s="1" t="s">
        <v>39</v>
      </c>
      <c r="M2882" s="1" t="str">
        <f>INDEX(MCC_Lookup!$B$2:$B$12,MATCH(G2882,MCC_Lookup!$A$2:$A$12,0))</f>
        <v>Meals</v>
      </c>
      <c r="N2882" s="1" t="str">
        <f>IF(TRIM(H2882)="","BLANK",IF(PROPER(TRIM(H2882))=TRIM(M2882),"MATCH","MISMATCH"))</f>
        <v>MATCH</v>
      </c>
      <c r="O2882" s="5" t="str">
        <f>INDEX([1]Employee!$C$2:$C$276,MATCH(B2882,[1]Employee!$A$2:$A$276,0))</f>
        <v>HR &amp; Events</v>
      </c>
    </row>
    <row r="2883" spans="1:15">
      <c r="A2883" s="1" t="s">
        <v>5640</v>
      </c>
      <c r="B2883" s="1" t="s">
        <v>519</v>
      </c>
      <c r="C2883" s="1" t="s">
        <v>5641</v>
      </c>
      <c r="D2883" s="2">
        <v>46179</v>
      </c>
      <c r="E2883" s="2">
        <v>46183</v>
      </c>
      <c r="F2883" s="1" t="s">
        <v>160</v>
      </c>
      <c r="G2883" s="1" t="s">
        <v>6</v>
      </c>
      <c r="H2883" s="1" t="s">
        <v>228</v>
      </c>
      <c r="I2883" s="7">
        <v>338.18</v>
      </c>
      <c r="J2883" s="1" t="s">
        <v>38</v>
      </c>
      <c r="K2883" s="1"/>
      <c r="L2883" s="1" t="s">
        <v>39</v>
      </c>
      <c r="M2883" s="1" t="str">
        <f>INDEX(MCC_Lookup!$B$2:$B$12,MATCH(G2883,MCC_Lookup!$A$2:$A$12,0))</f>
        <v>Lodging</v>
      </c>
      <c r="N2883" s="1" t="str">
        <f>IF(TRIM(H2883)="","BLANK",IF(PROPER(TRIM(H2883))=TRIM(M2883),"MATCH","MISMATCH"))</f>
        <v>MATCH</v>
      </c>
      <c r="O2883" s="5" t="str">
        <f>INDEX([1]Employee!$C$2:$C$276,MATCH(B2883,[1]Employee!$A$2:$A$276,0))</f>
        <v>Customer Support</v>
      </c>
    </row>
    <row r="2884" spans="1:15">
      <c r="A2884" s="1" t="s">
        <v>5642</v>
      </c>
      <c r="B2884" s="1" t="s">
        <v>453</v>
      </c>
      <c r="C2884" s="1" t="s">
        <v>5643</v>
      </c>
      <c r="D2884" s="2">
        <v>46175</v>
      </c>
      <c r="E2884" s="2">
        <v>46183</v>
      </c>
      <c r="F2884" s="1" t="s">
        <v>61</v>
      </c>
      <c r="G2884" s="1" t="s">
        <v>13</v>
      </c>
      <c r="H2884" s="1" t="s">
        <v>14</v>
      </c>
      <c r="I2884" s="7">
        <v>86.18</v>
      </c>
      <c r="J2884" s="1" t="s">
        <v>38</v>
      </c>
      <c r="K2884" s="1"/>
      <c r="L2884" s="1" t="s">
        <v>39</v>
      </c>
      <c r="M2884" s="1" t="str">
        <f>INDEX(MCC_Lookup!$B$2:$B$12,MATCH(G2884,MCC_Lookup!$A$2:$A$12,0))</f>
        <v>Software</v>
      </c>
      <c r="N2884" s="1" t="str">
        <f>IF(TRIM(H2884)="","BLANK",IF(PROPER(TRIM(H2884))=TRIM(M2884),"MATCH","MISMATCH"))</f>
        <v>MATCH</v>
      </c>
      <c r="O2884" s="5" t="str">
        <f>INDEX([1]Employee!$C$2:$C$276,MATCH(B2884,[1]Employee!$A$2:$A$276,0))</f>
        <v>IT &amp; Platform Engineering</v>
      </c>
    </row>
    <row r="2885" spans="1:15">
      <c r="A2885" s="1" t="s">
        <v>5644</v>
      </c>
      <c r="B2885" s="1" t="s">
        <v>1302</v>
      </c>
      <c r="C2885" s="1"/>
      <c r="D2885" s="2">
        <v>46183</v>
      </c>
      <c r="E2885" s="2">
        <v>46184</v>
      </c>
      <c r="F2885" s="1" t="s">
        <v>43</v>
      </c>
      <c r="G2885" s="1" t="s">
        <v>2</v>
      </c>
      <c r="H2885" s="1" t="s">
        <v>5645</v>
      </c>
      <c r="I2885" s="7">
        <v>8.82</v>
      </c>
      <c r="J2885" s="1" t="s">
        <v>111</v>
      </c>
      <c r="K2885" s="1" t="s">
        <v>112</v>
      </c>
      <c r="L2885" s="1" t="s">
        <v>39</v>
      </c>
      <c r="M2885" s="1" t="str">
        <f>INDEX(MCC_Lookup!$B$2:$B$12,MATCH(G2885,MCC_Lookup!$A$2:$A$12,0))</f>
        <v>Meals</v>
      </c>
      <c r="N2885" s="1" t="str">
        <f>IF(TRIM(H2885)="","BLANK",IF(PROPER(TRIM(H2885))=TRIM(M2885),"MATCH","MISMATCH"))</f>
        <v>MATCH</v>
      </c>
      <c r="O2885" s="5" t="str">
        <f>INDEX([1]Employee!$C$2:$C$276,MATCH(B2885,[1]Employee!$A$2:$A$276,0))</f>
        <v>HR &amp; Events</v>
      </c>
    </row>
    <row r="2886" spans="1:15">
      <c r="A2886" s="1" t="s">
        <v>5646</v>
      </c>
      <c r="B2886" s="1" t="s">
        <v>373</v>
      </c>
      <c r="C2886" s="1" t="s">
        <v>5647</v>
      </c>
      <c r="D2886" s="2">
        <v>46176</v>
      </c>
      <c r="E2886" s="2">
        <v>46184</v>
      </c>
      <c r="F2886" s="1" t="s">
        <v>109</v>
      </c>
      <c r="G2886" s="1" t="s">
        <v>18</v>
      </c>
      <c r="H2886" s="1" t="s">
        <v>19</v>
      </c>
      <c r="I2886" s="7">
        <v>229.07</v>
      </c>
      <c r="J2886" s="1" t="s">
        <v>38</v>
      </c>
      <c r="K2886" s="1"/>
      <c r="L2886" s="1" t="s">
        <v>39</v>
      </c>
      <c r="M2886" s="1" t="str">
        <f>INDEX(MCC_Lookup!$B$2:$B$12,MATCH(G2886,MCC_Lookup!$A$2:$A$12,0))</f>
        <v>Events</v>
      </c>
      <c r="N2886" s="1" t="str">
        <f>IF(TRIM(H2886)="","BLANK",IF(PROPER(TRIM(H2886))=TRIM(M2886),"MATCH","MISMATCH"))</f>
        <v>MATCH</v>
      </c>
      <c r="O2886" s="5" t="str">
        <f>INDEX([1]Employee!$C$2:$C$276,MATCH(B2886,[1]Employee!$A$2:$A$276,0))</f>
        <v>Sales &amp; Marketing</v>
      </c>
    </row>
    <row r="2887" spans="1:15">
      <c r="A2887" s="1" t="s">
        <v>5648</v>
      </c>
      <c r="B2887" s="1" t="s">
        <v>379</v>
      </c>
      <c r="C2887" s="1" t="s">
        <v>5649</v>
      </c>
      <c r="D2887" s="2">
        <v>46183</v>
      </c>
      <c r="E2887" s="2">
        <v>46184</v>
      </c>
      <c r="F2887" s="1" t="s">
        <v>124</v>
      </c>
      <c r="G2887" s="1" t="s">
        <v>17</v>
      </c>
      <c r="H2887" s="1" t="s">
        <v>403</v>
      </c>
      <c r="I2887" s="7">
        <v>104.33</v>
      </c>
      <c r="J2887" s="1" t="s">
        <v>38</v>
      </c>
      <c r="K2887" s="1"/>
      <c r="L2887" s="1" t="s">
        <v>39</v>
      </c>
      <c r="M2887" s="1" t="str">
        <f>INDEX(MCC_Lookup!$B$2:$B$12,MATCH(G2887,MCC_Lookup!$A$2:$A$12,0))</f>
        <v>Entertainment</v>
      </c>
      <c r="N2887" s="1" t="str">
        <f>IF(TRIM(H2887)="","BLANK",IF(PROPER(TRIM(H2887))=TRIM(M2887),"MATCH","MISMATCH"))</f>
        <v>MATCH</v>
      </c>
      <c r="O2887" s="5" t="str">
        <f>INDEX([1]Employee!$C$2:$C$276,MATCH(B2887,[1]Employee!$A$2:$A$276,0))</f>
        <v>Sales &amp; Marketing</v>
      </c>
    </row>
    <row r="2888" spans="1:15">
      <c r="A2888" s="1" t="s">
        <v>5650</v>
      </c>
      <c r="B2888" s="1" t="s">
        <v>832</v>
      </c>
      <c r="C2888" s="1" t="s">
        <v>5651</v>
      </c>
      <c r="D2888" s="2">
        <v>46179</v>
      </c>
      <c r="E2888" s="2">
        <v>46184</v>
      </c>
      <c r="F2888" s="1" t="s">
        <v>116</v>
      </c>
      <c r="G2888" s="1" t="s">
        <v>2</v>
      </c>
      <c r="H2888" s="1" t="s">
        <v>138</v>
      </c>
      <c r="I2888" s="7">
        <v>13.28</v>
      </c>
      <c r="J2888" s="1" t="s">
        <v>38</v>
      </c>
      <c r="K2888" s="1"/>
      <c r="L2888" s="1" t="s">
        <v>39</v>
      </c>
      <c r="M2888" s="1" t="str">
        <f>INDEX(MCC_Lookup!$B$2:$B$12,MATCH(G2888,MCC_Lookup!$A$2:$A$12,0))</f>
        <v>Meals</v>
      </c>
      <c r="N2888" s="1" t="str">
        <f>IF(TRIM(H2888)="","BLANK",IF(PROPER(TRIM(H2888))=TRIM(M2888),"MATCH","MISMATCH"))</f>
        <v>MATCH</v>
      </c>
      <c r="O2888" s="5" t="str">
        <f>INDEX([1]Employee!$C$2:$C$276,MATCH(B2888,[1]Employee!$A$2:$A$276,0))</f>
        <v>Sales &amp; Marketing</v>
      </c>
    </row>
    <row r="2889" spans="1:15">
      <c r="A2889" s="1" t="s">
        <v>5652</v>
      </c>
      <c r="B2889" s="1" t="s">
        <v>679</v>
      </c>
      <c r="C2889" s="1"/>
      <c r="D2889" s="2">
        <v>46179</v>
      </c>
      <c r="E2889" s="2">
        <v>46184</v>
      </c>
      <c r="F2889" s="1" t="s">
        <v>3009</v>
      </c>
      <c r="G2889" s="1" t="s">
        <v>4</v>
      </c>
      <c r="H2889" s="1" t="s">
        <v>5</v>
      </c>
      <c r="I2889" s="7">
        <v>415.85</v>
      </c>
      <c r="J2889" s="1" t="s">
        <v>111</v>
      </c>
      <c r="K2889" s="1" t="s">
        <v>127</v>
      </c>
      <c r="L2889" s="1" t="s">
        <v>48</v>
      </c>
      <c r="M2889" s="1" t="str">
        <f>INDEX(MCC_Lookup!$B$2:$B$12,MATCH(G2889,MCC_Lookup!$A$2:$A$12,0))</f>
        <v>Travel</v>
      </c>
      <c r="N2889" s="1" t="str">
        <f>IF(TRIM(H2889)="","BLANK",IF(PROPER(TRIM(H2889))=TRIM(M2889),"MATCH","MISMATCH"))</f>
        <v>MATCH</v>
      </c>
      <c r="O2889" s="5" t="str">
        <f>INDEX([1]Employee!$C$2:$C$276,MATCH(B2889,[1]Employee!$A$2:$A$276,0))</f>
        <v>Sales &amp; Marketing</v>
      </c>
    </row>
    <row r="2890" spans="1:15">
      <c r="A2890" s="1" t="s">
        <v>5653</v>
      </c>
      <c r="B2890" s="1" t="s">
        <v>244</v>
      </c>
      <c r="C2890" s="1"/>
      <c r="D2890" s="2">
        <v>46183</v>
      </c>
      <c r="E2890" s="2">
        <v>46184</v>
      </c>
      <c r="F2890" s="1" t="s">
        <v>99</v>
      </c>
      <c r="G2890" s="1" t="s">
        <v>2</v>
      </c>
      <c r="H2890" s="1" t="s">
        <v>3</v>
      </c>
      <c r="I2890" s="7">
        <v>82.67</v>
      </c>
      <c r="J2890" s="1" t="s">
        <v>111</v>
      </c>
      <c r="K2890" s="1" t="s">
        <v>161</v>
      </c>
      <c r="L2890" s="1" t="s">
        <v>39</v>
      </c>
      <c r="M2890" s="1" t="str">
        <f>INDEX(MCC_Lookup!$B$2:$B$12,MATCH(G2890,MCC_Lookup!$A$2:$A$12,0))</f>
        <v>Meals</v>
      </c>
      <c r="N2890" s="1" t="str">
        <f>IF(TRIM(H2890)="","BLANK",IF(PROPER(TRIM(H2890))=TRIM(M2890),"MATCH","MISMATCH"))</f>
        <v>MATCH</v>
      </c>
      <c r="O2890" s="5" t="str">
        <f>INDEX([1]Employee!$C$2:$C$276,MATCH(B2890,[1]Employee!$A$2:$A$276,0))</f>
        <v>Sales &amp; Marketing</v>
      </c>
    </row>
    <row r="2891" spans="1:15">
      <c r="A2891" s="1" t="s">
        <v>5654</v>
      </c>
      <c r="B2891" s="1" t="s">
        <v>87</v>
      </c>
      <c r="C2891" s="1" t="s">
        <v>5655</v>
      </c>
      <c r="D2891" s="2">
        <v>46179</v>
      </c>
      <c r="E2891" s="2">
        <v>46184</v>
      </c>
      <c r="F2891" s="1" t="s">
        <v>79</v>
      </c>
      <c r="G2891" s="1" t="s">
        <v>13</v>
      </c>
      <c r="H2891" s="1"/>
      <c r="I2891" s="7">
        <v>208.7</v>
      </c>
      <c r="J2891" s="1" t="s">
        <v>38</v>
      </c>
      <c r="K2891" s="1"/>
      <c r="L2891" s="1" t="s">
        <v>39</v>
      </c>
      <c r="M2891" s="1" t="str">
        <f>INDEX(MCC_Lookup!$B$2:$B$12,MATCH(G2891,MCC_Lookup!$A$2:$A$12,0))</f>
        <v>Software</v>
      </c>
      <c r="N2891" s="1" t="str">
        <f>IF(TRIM(H2891)="","BLANK",IF(PROPER(TRIM(H2891))=TRIM(M2891),"MATCH","MISMATCH"))</f>
        <v>BLANK</v>
      </c>
      <c r="O2891" s="5" t="str">
        <f>INDEX([1]Employee!$C$2:$C$276,MATCH(B2891,[1]Employee!$A$2:$A$276,0))</f>
        <v>HR &amp; Events</v>
      </c>
    </row>
    <row r="2892" spans="1:15">
      <c r="A2892" s="1" t="s">
        <v>5656</v>
      </c>
      <c r="B2892" s="1" t="s">
        <v>656</v>
      </c>
      <c r="C2892" s="1"/>
      <c r="D2892" s="2">
        <v>46179</v>
      </c>
      <c r="E2892" s="2">
        <v>46184</v>
      </c>
      <c r="F2892" s="1" t="s">
        <v>76</v>
      </c>
      <c r="G2892" s="1" t="s">
        <v>13</v>
      </c>
      <c r="H2892" s="1" t="s">
        <v>14</v>
      </c>
      <c r="I2892" s="7">
        <v>151.11000000000001</v>
      </c>
      <c r="J2892" s="1" t="s">
        <v>38</v>
      </c>
      <c r="K2892" s="1"/>
      <c r="L2892" s="1" t="s">
        <v>39</v>
      </c>
      <c r="M2892" s="1" t="str">
        <f>INDEX(MCC_Lookup!$B$2:$B$12,MATCH(G2892,MCC_Lookup!$A$2:$A$12,0))</f>
        <v>Software</v>
      </c>
      <c r="N2892" s="1" t="str">
        <f>IF(TRIM(H2892)="","BLANK",IF(PROPER(TRIM(H2892))=TRIM(M2892),"MATCH","MISMATCH"))</f>
        <v>MATCH</v>
      </c>
      <c r="O2892" s="5" t="str">
        <f>INDEX([1]Employee!$C$2:$C$276,MATCH(B2892,[1]Employee!$A$2:$A$276,0))</f>
        <v>Claims</v>
      </c>
    </row>
    <row r="2893" spans="1:15">
      <c r="A2893" s="1" t="s">
        <v>5657</v>
      </c>
      <c r="B2893" s="1" t="s">
        <v>656</v>
      </c>
      <c r="C2893" s="1" t="s">
        <v>5658</v>
      </c>
      <c r="D2893" s="2">
        <v>46175</v>
      </c>
      <c r="E2893" s="2">
        <v>46184</v>
      </c>
      <c r="F2893" s="1" t="s">
        <v>347</v>
      </c>
      <c r="G2893" s="1" t="s">
        <v>8</v>
      </c>
      <c r="H2893" s="1" t="s">
        <v>14</v>
      </c>
      <c r="I2893" s="7">
        <v>59.15</v>
      </c>
      <c r="J2893" s="1" t="s">
        <v>38</v>
      </c>
      <c r="K2893" s="1"/>
      <c r="L2893" s="1" t="s">
        <v>39</v>
      </c>
      <c r="M2893" s="1" t="str">
        <f>INDEX(MCC_Lookup!$B$2:$B$12,MATCH(G2893,MCC_Lookup!$A$2:$A$12,0))</f>
        <v>Transportation</v>
      </c>
      <c r="N2893" s="1" t="str">
        <f>IF(TRIM(H2893)="","BLANK",IF(PROPER(TRIM(H2893))=TRIM(M2893),"MATCH","MISMATCH"))</f>
        <v>MISMATCH</v>
      </c>
      <c r="O2893" s="5" t="str">
        <f>INDEX([1]Employee!$C$2:$C$276,MATCH(B2893,[1]Employee!$A$2:$A$276,0))</f>
        <v>Claims</v>
      </c>
    </row>
    <row r="2894" spans="1:15">
      <c r="A2894" s="1" t="s">
        <v>5659</v>
      </c>
      <c r="B2894" s="1" t="s">
        <v>448</v>
      </c>
      <c r="C2894" s="1" t="s">
        <v>5660</v>
      </c>
      <c r="D2894" s="2">
        <v>46178</v>
      </c>
      <c r="E2894" s="2">
        <v>46184</v>
      </c>
      <c r="F2894" s="1" t="s">
        <v>95</v>
      </c>
      <c r="G2894" s="1" t="s">
        <v>6</v>
      </c>
      <c r="H2894" s="1" t="s">
        <v>7</v>
      </c>
      <c r="I2894" s="7">
        <v>214.59</v>
      </c>
      <c r="J2894" s="1" t="s">
        <v>38</v>
      </c>
      <c r="K2894" s="1"/>
      <c r="L2894" s="1" t="s">
        <v>39</v>
      </c>
      <c r="M2894" s="1" t="str">
        <f>INDEX(MCC_Lookup!$B$2:$B$12,MATCH(G2894,MCC_Lookup!$A$2:$A$12,0))</f>
        <v>Lodging</v>
      </c>
      <c r="N2894" s="1" t="str">
        <f>IF(TRIM(H2894)="","BLANK",IF(PROPER(TRIM(H2894))=TRIM(M2894),"MATCH","MISMATCH"))</f>
        <v>MATCH</v>
      </c>
      <c r="O2894" s="5" t="str">
        <f>INDEX([1]Employee!$C$2:$C$276,MATCH(B2894,[1]Employee!$A$2:$A$276,0))</f>
        <v>Sales &amp; Marketing</v>
      </c>
    </row>
    <row r="2895" spans="1:15">
      <c r="A2895" s="1" t="s">
        <v>5661</v>
      </c>
      <c r="B2895" s="1" t="s">
        <v>179</v>
      </c>
      <c r="C2895" s="1" t="s">
        <v>5662</v>
      </c>
      <c r="D2895" s="2">
        <v>46175</v>
      </c>
      <c r="E2895" s="2">
        <v>46184</v>
      </c>
      <c r="F2895" s="1" t="s">
        <v>72</v>
      </c>
      <c r="G2895" s="1" t="s">
        <v>8</v>
      </c>
      <c r="H2895" s="1" t="s">
        <v>9</v>
      </c>
      <c r="I2895" s="7">
        <v>44.25</v>
      </c>
      <c r="J2895" s="1" t="s">
        <v>38</v>
      </c>
      <c r="K2895" s="1"/>
      <c r="L2895" s="1" t="s">
        <v>39</v>
      </c>
      <c r="M2895" s="1" t="str">
        <f>INDEX(MCC_Lookup!$B$2:$B$12,MATCH(G2895,MCC_Lookup!$A$2:$A$12,0))</f>
        <v>Transportation</v>
      </c>
      <c r="N2895" s="1" t="str">
        <f>IF(TRIM(H2895)="","BLANK",IF(PROPER(TRIM(H2895))=TRIM(M2895),"MATCH","MISMATCH"))</f>
        <v>MATCH</v>
      </c>
      <c r="O2895" s="5" t="str">
        <f>INDEX([1]Employee!$C$2:$C$276,MATCH(B2895,[1]Employee!$A$2:$A$276,0))</f>
        <v>Claims</v>
      </c>
    </row>
    <row r="2896" spans="1:15">
      <c r="A2896" s="1" t="s">
        <v>5663</v>
      </c>
      <c r="B2896" s="1" t="s">
        <v>2593</v>
      </c>
      <c r="C2896" s="1" t="s">
        <v>5664</v>
      </c>
      <c r="D2896" s="2">
        <v>46181</v>
      </c>
      <c r="E2896" s="2">
        <v>46184</v>
      </c>
      <c r="F2896" s="1" t="s">
        <v>201</v>
      </c>
      <c r="G2896" s="1" t="s">
        <v>4</v>
      </c>
      <c r="H2896" s="1" t="s">
        <v>5</v>
      </c>
      <c r="I2896" s="7">
        <v>242.76</v>
      </c>
      <c r="J2896" s="1" t="s">
        <v>38</v>
      </c>
      <c r="K2896" s="1"/>
      <c r="L2896" s="1" t="s">
        <v>39</v>
      </c>
      <c r="M2896" s="1" t="str">
        <f>INDEX(MCC_Lookup!$B$2:$B$12,MATCH(G2896,MCC_Lookup!$A$2:$A$12,0))</f>
        <v>Travel</v>
      </c>
      <c r="N2896" s="1" t="str">
        <f>IF(TRIM(H2896)="","BLANK",IF(PROPER(TRIM(H2896))=TRIM(M2896),"MATCH","MISMATCH"))</f>
        <v>MATCH</v>
      </c>
      <c r="O2896" s="5" t="str">
        <f>INDEX([1]Employee!$C$2:$C$276,MATCH(B2896,[1]Employee!$A$2:$A$276,0))</f>
        <v>Actuarial &amp; Risk</v>
      </c>
    </row>
    <row r="2897" spans="1:15">
      <c r="A2897" s="1" t="s">
        <v>5665</v>
      </c>
      <c r="B2897" s="1" t="s">
        <v>2593</v>
      </c>
      <c r="C2897" s="1"/>
      <c r="D2897" s="2">
        <v>46181</v>
      </c>
      <c r="E2897" s="2">
        <v>46184</v>
      </c>
      <c r="F2897" s="1" t="s">
        <v>43</v>
      </c>
      <c r="G2897" s="1" t="s">
        <v>2</v>
      </c>
      <c r="H2897" s="1" t="s">
        <v>154</v>
      </c>
      <c r="I2897" s="7">
        <v>7.06</v>
      </c>
      <c r="J2897" s="1" t="s">
        <v>111</v>
      </c>
      <c r="K2897" s="1" t="s">
        <v>161</v>
      </c>
      <c r="L2897" s="1" t="s">
        <v>39</v>
      </c>
      <c r="M2897" s="1" t="str">
        <f>INDEX(MCC_Lookup!$B$2:$B$12,MATCH(G2897,MCC_Lookup!$A$2:$A$12,0))</f>
        <v>Meals</v>
      </c>
      <c r="N2897" s="1" t="str">
        <f>IF(TRIM(H2897)="","BLANK",IF(PROPER(TRIM(H2897))=TRIM(M2897),"MATCH","MISMATCH"))</f>
        <v>MATCH</v>
      </c>
      <c r="O2897" s="5" t="str">
        <f>INDEX([1]Employee!$C$2:$C$276,MATCH(B2897,[1]Employee!$A$2:$A$276,0))</f>
        <v>Actuarial &amp; Risk</v>
      </c>
    </row>
    <row r="2898" spans="1:15">
      <c r="A2898" s="1" t="s">
        <v>5666</v>
      </c>
      <c r="B2898" s="1" t="s">
        <v>59</v>
      </c>
      <c r="C2898" s="1" t="s">
        <v>5667</v>
      </c>
      <c r="D2898" s="2">
        <v>46184</v>
      </c>
      <c r="E2898" s="2">
        <v>46184</v>
      </c>
      <c r="F2898" s="1" t="s">
        <v>106</v>
      </c>
      <c r="G2898" s="1" t="s">
        <v>13</v>
      </c>
      <c r="H2898" s="1" t="s">
        <v>14</v>
      </c>
      <c r="I2898" s="7">
        <v>74.77</v>
      </c>
      <c r="J2898" s="1" t="s">
        <v>38</v>
      </c>
      <c r="K2898" s="1"/>
      <c r="L2898" s="1" t="s">
        <v>48</v>
      </c>
      <c r="M2898" s="1" t="str">
        <f>INDEX(MCC_Lookup!$B$2:$B$12,MATCH(G2898,MCC_Lookup!$A$2:$A$12,0))</f>
        <v>Software</v>
      </c>
      <c r="N2898" s="1" t="str">
        <f>IF(TRIM(H2898)="","BLANK",IF(PROPER(TRIM(H2898))=TRIM(M2898),"MATCH","MISMATCH"))</f>
        <v>MATCH</v>
      </c>
      <c r="O2898" s="5" t="str">
        <f>INDEX([1]Employee!$C$2:$C$276,MATCH(B2898,[1]Employee!$A$2:$A$276,0))</f>
        <v>Sales &amp; Marketing</v>
      </c>
    </row>
    <row r="2899" spans="1:15">
      <c r="A2899" s="1" t="s">
        <v>5668</v>
      </c>
      <c r="B2899" s="1" t="s">
        <v>364</v>
      </c>
      <c r="C2899" s="1" t="s">
        <v>5669</v>
      </c>
      <c r="D2899" s="2">
        <v>46176</v>
      </c>
      <c r="E2899" s="2">
        <v>46184</v>
      </c>
      <c r="F2899" s="1" t="s">
        <v>242</v>
      </c>
      <c r="G2899" s="1" t="s">
        <v>13</v>
      </c>
      <c r="H2899" s="1"/>
      <c r="I2899" s="7">
        <v>24.08</v>
      </c>
      <c r="J2899" s="1" t="s">
        <v>38</v>
      </c>
      <c r="K2899" s="1"/>
      <c r="L2899" s="1" t="s">
        <v>39</v>
      </c>
      <c r="M2899" s="1" t="str">
        <f>INDEX(MCC_Lookup!$B$2:$B$12,MATCH(G2899,MCC_Lookup!$A$2:$A$12,0))</f>
        <v>Software</v>
      </c>
      <c r="N2899" s="1" t="str">
        <f>IF(TRIM(H2899)="","BLANK",IF(PROPER(TRIM(H2899))=TRIM(M2899),"MATCH","MISMATCH"))</f>
        <v>BLANK</v>
      </c>
      <c r="O2899" s="5" t="str">
        <f>INDEX([1]Employee!$C$2:$C$276,MATCH(B2899,[1]Employee!$A$2:$A$276,0))</f>
        <v>Sales &amp; Marketing</v>
      </c>
    </row>
    <row r="2900" spans="1:15">
      <c r="A2900" s="1" t="s">
        <v>5670</v>
      </c>
      <c r="B2900" s="1" t="s">
        <v>199</v>
      </c>
      <c r="C2900" s="1" t="s">
        <v>5671</v>
      </c>
      <c r="D2900" s="2">
        <v>46177</v>
      </c>
      <c r="E2900" s="2">
        <v>46184</v>
      </c>
      <c r="F2900" s="1" t="s">
        <v>124</v>
      </c>
      <c r="G2900" s="1" t="s">
        <v>17</v>
      </c>
      <c r="H2900" s="1" t="s">
        <v>1442</v>
      </c>
      <c r="I2900" s="7">
        <v>173.03</v>
      </c>
      <c r="J2900" s="1" t="s">
        <v>38</v>
      </c>
      <c r="K2900" s="1"/>
      <c r="L2900" s="1" t="s">
        <v>39</v>
      </c>
      <c r="M2900" s="1" t="str">
        <f>INDEX(MCC_Lookup!$B$2:$B$12,MATCH(G2900,MCC_Lookup!$A$2:$A$12,0))</f>
        <v>Entertainment</v>
      </c>
      <c r="N2900" s="1" t="str">
        <f>IF(TRIM(H2900)="","BLANK",IF(PROPER(TRIM(H2900))=TRIM(M2900),"MATCH","MISMATCH"))</f>
        <v>MATCH</v>
      </c>
      <c r="O2900" s="5" t="str">
        <f>INDEX([1]Employee!$C$2:$C$276,MATCH(B2900,[1]Employee!$A$2:$A$276,0))</f>
        <v>Sales &amp; Marketing</v>
      </c>
    </row>
    <row r="2901" spans="1:15">
      <c r="A2901" s="1" t="s">
        <v>5672</v>
      </c>
      <c r="B2901" s="1" t="s">
        <v>547</v>
      </c>
      <c r="C2901" s="1" t="s">
        <v>5673</v>
      </c>
      <c r="D2901" s="2">
        <v>46184</v>
      </c>
      <c r="E2901" s="2">
        <v>46184</v>
      </c>
      <c r="F2901" s="1" t="s">
        <v>61</v>
      </c>
      <c r="G2901" s="1" t="s">
        <v>13</v>
      </c>
      <c r="H2901" s="1" t="s">
        <v>14</v>
      </c>
      <c r="I2901" s="7">
        <v>49.54</v>
      </c>
      <c r="J2901" s="1" t="s">
        <v>38</v>
      </c>
      <c r="K2901" s="1"/>
      <c r="L2901" s="1" t="s">
        <v>39</v>
      </c>
      <c r="M2901" s="1" t="str">
        <f>INDEX(MCC_Lookup!$B$2:$B$12,MATCH(G2901,MCC_Lookup!$A$2:$A$12,0))</f>
        <v>Software</v>
      </c>
      <c r="N2901" s="1" t="str">
        <f>IF(TRIM(H2901)="","BLANK",IF(PROPER(TRIM(H2901))=TRIM(M2901),"MATCH","MISMATCH"))</f>
        <v>MATCH</v>
      </c>
      <c r="O2901" s="5" t="str">
        <f>INDEX([1]Employee!$C$2:$C$276,MATCH(B2901,[1]Employee!$A$2:$A$276,0))</f>
        <v>Sales &amp; Marketing</v>
      </c>
    </row>
    <row r="2902" spans="1:15">
      <c r="A2902" s="1" t="s">
        <v>5674</v>
      </c>
      <c r="B2902" s="1" t="s">
        <v>2997</v>
      </c>
      <c r="C2902" s="1" t="s">
        <v>5675</v>
      </c>
      <c r="D2902" s="2">
        <v>46176</v>
      </c>
      <c r="E2902" s="2">
        <v>46184</v>
      </c>
      <c r="F2902" s="1" t="s">
        <v>43</v>
      </c>
      <c r="G2902" s="1" t="s">
        <v>2</v>
      </c>
      <c r="H2902" s="1" t="s">
        <v>3</v>
      </c>
      <c r="I2902" s="7">
        <v>15.78</v>
      </c>
      <c r="J2902" s="1" t="s">
        <v>38</v>
      </c>
      <c r="K2902" s="1"/>
      <c r="L2902" s="1" t="s">
        <v>39</v>
      </c>
      <c r="M2902" s="1" t="str">
        <f>INDEX(MCC_Lookup!$B$2:$B$12,MATCH(G2902,MCC_Lookup!$A$2:$A$12,0))</f>
        <v>Meals</v>
      </c>
      <c r="N2902" s="1" t="str">
        <f>IF(TRIM(H2902)="","BLANK",IF(PROPER(TRIM(H2902))=TRIM(M2902),"MATCH","MISMATCH"))</f>
        <v>MATCH</v>
      </c>
      <c r="O2902" s="5" t="str">
        <f>INDEX([1]Employee!$C$2:$C$276,MATCH(B2902,[1]Employee!$A$2:$A$276,0))</f>
        <v>Finance</v>
      </c>
    </row>
    <row r="2903" spans="1:15">
      <c r="A2903" s="1" t="s">
        <v>5676</v>
      </c>
      <c r="B2903" s="1" t="s">
        <v>1116</v>
      </c>
      <c r="C2903" s="1" t="s">
        <v>5677</v>
      </c>
      <c r="D2903" s="2">
        <v>46176</v>
      </c>
      <c r="E2903" s="2">
        <v>46184</v>
      </c>
      <c r="F2903" s="1" t="s">
        <v>99</v>
      </c>
      <c r="G2903" s="1" t="s">
        <v>2</v>
      </c>
      <c r="H2903" s="1" t="s">
        <v>19</v>
      </c>
      <c r="I2903" s="7">
        <v>33.39</v>
      </c>
      <c r="J2903" s="1" t="s">
        <v>38</v>
      </c>
      <c r="K2903" s="1"/>
      <c r="L2903" s="1" t="s">
        <v>39</v>
      </c>
      <c r="M2903" s="1" t="str">
        <f>INDEX(MCC_Lookup!$B$2:$B$12,MATCH(G2903,MCC_Lookup!$A$2:$A$12,0))</f>
        <v>Meals</v>
      </c>
      <c r="N2903" s="1" t="str">
        <f>IF(TRIM(H2903)="","BLANK",IF(PROPER(TRIM(H2903))=TRIM(M2903),"MATCH","MISMATCH"))</f>
        <v>MISMATCH</v>
      </c>
      <c r="O2903" s="5" t="str">
        <f>INDEX([1]Employee!$C$2:$C$276,MATCH(B2903,[1]Employee!$A$2:$A$276,0))</f>
        <v>Underwriting</v>
      </c>
    </row>
    <row r="2904" spans="1:15">
      <c r="A2904" s="1" t="s">
        <v>5678</v>
      </c>
      <c r="B2904" s="1" t="s">
        <v>667</v>
      </c>
      <c r="C2904" s="1"/>
      <c r="D2904" s="2">
        <v>46183</v>
      </c>
      <c r="E2904" s="2">
        <v>46184</v>
      </c>
      <c r="F2904" s="1" t="s">
        <v>160</v>
      </c>
      <c r="G2904" s="1" t="s">
        <v>6</v>
      </c>
      <c r="H2904" s="1" t="s">
        <v>7</v>
      </c>
      <c r="I2904" s="7">
        <v>295.93</v>
      </c>
      <c r="J2904" s="1" t="s">
        <v>38</v>
      </c>
      <c r="K2904" s="1"/>
      <c r="L2904" s="1" t="s">
        <v>39</v>
      </c>
      <c r="M2904" s="1" t="str">
        <f>INDEX(MCC_Lookup!$B$2:$B$12,MATCH(G2904,MCC_Lookup!$A$2:$A$12,0))</f>
        <v>Lodging</v>
      </c>
      <c r="N2904" s="1" t="str">
        <f>IF(TRIM(H2904)="","BLANK",IF(PROPER(TRIM(H2904))=TRIM(M2904),"MATCH","MISMATCH"))</f>
        <v>MATCH</v>
      </c>
      <c r="O2904" s="5" t="str">
        <f>INDEX([1]Employee!$C$2:$C$276,MATCH(B2904,[1]Employee!$A$2:$A$276,0))</f>
        <v>Sales &amp; Marketing</v>
      </c>
    </row>
    <row r="2905" spans="1:15">
      <c r="A2905" s="1" t="s">
        <v>5679</v>
      </c>
      <c r="B2905" s="1" t="s">
        <v>1399</v>
      </c>
      <c r="C2905" s="1" t="s">
        <v>5680</v>
      </c>
      <c r="D2905" s="2">
        <v>46182</v>
      </c>
      <c r="E2905" s="2">
        <v>46184</v>
      </c>
      <c r="F2905" s="1" t="s">
        <v>47</v>
      </c>
      <c r="G2905" s="1" t="s">
        <v>6</v>
      </c>
      <c r="H2905" s="1" t="s">
        <v>7</v>
      </c>
      <c r="I2905" s="7">
        <v>378.92</v>
      </c>
      <c r="J2905" s="1" t="s">
        <v>38</v>
      </c>
      <c r="K2905" s="1"/>
      <c r="L2905" s="1" t="s">
        <v>39</v>
      </c>
      <c r="M2905" s="1" t="str">
        <f>INDEX(MCC_Lookup!$B$2:$B$12,MATCH(G2905,MCC_Lookup!$A$2:$A$12,0))</f>
        <v>Lodging</v>
      </c>
      <c r="N2905" s="1" t="str">
        <f>IF(TRIM(H2905)="","BLANK",IF(PROPER(TRIM(H2905))=TRIM(M2905),"MATCH","MISMATCH"))</f>
        <v>MATCH</v>
      </c>
      <c r="O2905" s="5" t="str">
        <f>INDEX([1]Employee!$C$2:$C$276,MATCH(B2905,[1]Employee!$A$2:$A$276,0))</f>
        <v>Underwriting</v>
      </c>
    </row>
    <row r="2906" spans="1:15">
      <c r="A2906" s="1" t="s">
        <v>5681</v>
      </c>
      <c r="B2906" s="1" t="s">
        <v>506</v>
      </c>
      <c r="C2906" s="1"/>
      <c r="D2906" s="2">
        <v>46180</v>
      </c>
      <c r="E2906" s="2">
        <v>46184</v>
      </c>
      <c r="F2906" s="1" t="s">
        <v>92</v>
      </c>
      <c r="G2906" s="1" t="s">
        <v>10</v>
      </c>
      <c r="H2906" s="1" t="s">
        <v>131</v>
      </c>
      <c r="I2906" s="7">
        <v>117.87</v>
      </c>
      <c r="J2906" s="1" t="s">
        <v>38</v>
      </c>
      <c r="K2906" s="1"/>
      <c r="L2906" s="1" t="s">
        <v>39</v>
      </c>
      <c r="M2906" s="1" t="str">
        <f>INDEX(MCC_Lookup!$B$2:$B$12,MATCH(G2906,MCC_Lookup!$A$2:$A$12,0))</f>
        <v>Office Supplies</v>
      </c>
      <c r="N2906" s="1" t="str">
        <f>IF(TRIM(H2906)="","BLANK",IF(PROPER(TRIM(H2906))=TRIM(M2906),"MATCH","MISMATCH"))</f>
        <v>MATCH</v>
      </c>
      <c r="O2906" s="5" t="str">
        <f>INDEX([1]Employee!$C$2:$C$276,MATCH(B2906,[1]Employee!$A$2:$A$276,0))</f>
        <v>Executive &amp; Corporate</v>
      </c>
    </row>
    <row r="2907" spans="1:15">
      <c r="A2907" s="1" t="s">
        <v>5682</v>
      </c>
      <c r="B2907" s="1" t="s">
        <v>303</v>
      </c>
      <c r="C2907" s="1" t="s">
        <v>5683</v>
      </c>
      <c r="D2907" s="2">
        <v>46181</v>
      </c>
      <c r="E2907" s="2">
        <v>46184</v>
      </c>
      <c r="F2907" s="1" t="s">
        <v>305</v>
      </c>
      <c r="G2907" s="1" t="s">
        <v>2</v>
      </c>
      <c r="H2907" s="1" t="s">
        <v>3</v>
      </c>
      <c r="I2907" s="7">
        <v>6.17</v>
      </c>
      <c r="J2907" s="1" t="s">
        <v>38</v>
      </c>
      <c r="K2907" s="1"/>
      <c r="L2907" s="1" t="s">
        <v>48</v>
      </c>
      <c r="M2907" s="1" t="str">
        <f>INDEX(MCC_Lookup!$B$2:$B$12,MATCH(G2907,MCC_Lookup!$A$2:$A$12,0))</f>
        <v>Meals</v>
      </c>
      <c r="N2907" s="1" t="str">
        <f>IF(TRIM(H2907)="","BLANK",IF(PROPER(TRIM(H2907))=TRIM(M2907),"MATCH","MISMATCH"))</f>
        <v>MATCH</v>
      </c>
      <c r="O2907" s="5" t="str">
        <f>INDEX([1]Employee!$C$2:$C$276,MATCH(B2907,[1]Employee!$A$2:$A$276,0))</f>
        <v>Sales &amp; Marketing</v>
      </c>
    </row>
    <row r="2908" spans="1:15">
      <c r="A2908" s="1" t="s">
        <v>5684</v>
      </c>
      <c r="B2908" s="1" t="s">
        <v>1208</v>
      </c>
      <c r="C2908" s="1" t="s">
        <v>5685</v>
      </c>
      <c r="D2908" s="2">
        <v>46179</v>
      </c>
      <c r="E2908" s="2">
        <v>46184</v>
      </c>
      <c r="F2908" s="1" t="s">
        <v>95</v>
      </c>
      <c r="G2908" s="1" t="s">
        <v>6</v>
      </c>
      <c r="H2908" s="1" t="s">
        <v>7</v>
      </c>
      <c r="I2908" s="7">
        <v>374.17</v>
      </c>
      <c r="J2908" s="1" t="s">
        <v>38</v>
      </c>
      <c r="K2908" s="1"/>
      <c r="L2908" s="1" t="s">
        <v>39</v>
      </c>
      <c r="M2908" s="1" t="str">
        <f>INDEX(MCC_Lookup!$B$2:$B$12,MATCH(G2908,MCC_Lookup!$A$2:$A$12,0))</f>
        <v>Lodging</v>
      </c>
      <c r="N2908" s="1" t="str">
        <f>IF(TRIM(H2908)="","BLANK",IF(PROPER(TRIM(H2908))=TRIM(M2908),"MATCH","MISMATCH"))</f>
        <v>MATCH</v>
      </c>
      <c r="O2908" s="5" t="str">
        <f>INDEX([1]Employee!$C$2:$C$276,MATCH(B2908,[1]Employee!$A$2:$A$276,0))</f>
        <v>HR &amp; Events</v>
      </c>
    </row>
    <row r="2909" spans="1:15">
      <c r="A2909" s="1" t="s">
        <v>5686</v>
      </c>
      <c r="B2909" s="1" t="s">
        <v>738</v>
      </c>
      <c r="C2909" s="1"/>
      <c r="D2909" s="2">
        <v>46185</v>
      </c>
      <c r="E2909" s="2">
        <v>46185</v>
      </c>
      <c r="F2909" s="1" t="s">
        <v>79</v>
      </c>
      <c r="G2909" s="1" t="s">
        <v>13</v>
      </c>
      <c r="H2909" s="1" t="s">
        <v>419</v>
      </c>
      <c r="I2909" s="7">
        <v>188.66</v>
      </c>
      <c r="J2909" s="1" t="s">
        <v>111</v>
      </c>
      <c r="K2909" s="1" t="s">
        <v>161</v>
      </c>
      <c r="L2909" s="1" t="s">
        <v>39</v>
      </c>
      <c r="M2909" s="1" t="str">
        <f>INDEX(MCC_Lookup!$B$2:$B$12,MATCH(G2909,MCC_Lookup!$A$2:$A$12,0))</f>
        <v>Software</v>
      </c>
      <c r="N2909" s="1" t="str">
        <f>IF(TRIM(H2909)="","BLANK",IF(PROPER(TRIM(H2909))=TRIM(M2909),"MATCH","MISMATCH"))</f>
        <v>MATCH</v>
      </c>
      <c r="O2909" s="5" t="str">
        <f>INDEX([1]Employee!$C$2:$C$276,MATCH(B2909,[1]Employee!$A$2:$A$276,0))</f>
        <v>Sales &amp; Marketing</v>
      </c>
    </row>
    <row r="2910" spans="1:15">
      <c r="A2910" s="1" t="s">
        <v>5687</v>
      </c>
      <c r="B2910" s="1" t="s">
        <v>738</v>
      </c>
      <c r="C2910" s="1" t="s">
        <v>5688</v>
      </c>
      <c r="D2910" s="2">
        <v>46182</v>
      </c>
      <c r="E2910" s="2">
        <v>46185</v>
      </c>
      <c r="F2910" s="1" t="s">
        <v>106</v>
      </c>
      <c r="G2910" s="1" t="s">
        <v>13</v>
      </c>
      <c r="H2910" s="1" t="s">
        <v>419</v>
      </c>
      <c r="I2910" s="7">
        <v>159.69</v>
      </c>
      <c r="J2910" s="1" t="s">
        <v>38</v>
      </c>
      <c r="K2910" s="1"/>
      <c r="L2910" s="1" t="s">
        <v>39</v>
      </c>
      <c r="M2910" s="1" t="str">
        <f>INDEX(MCC_Lookup!$B$2:$B$12,MATCH(G2910,MCC_Lookup!$A$2:$A$12,0))</f>
        <v>Software</v>
      </c>
      <c r="N2910" s="1" t="str">
        <f>IF(TRIM(H2910)="","BLANK",IF(PROPER(TRIM(H2910))=TRIM(M2910),"MATCH","MISMATCH"))</f>
        <v>MATCH</v>
      </c>
      <c r="O2910" s="5" t="str">
        <f>INDEX([1]Employee!$C$2:$C$276,MATCH(B2910,[1]Employee!$A$2:$A$276,0))</f>
        <v>Sales &amp; Marketing</v>
      </c>
    </row>
    <row r="2911" spans="1:15">
      <c r="A2911" s="1" t="s">
        <v>5689</v>
      </c>
      <c r="B2911" s="1" t="s">
        <v>1061</v>
      </c>
      <c r="C2911" s="1" t="s">
        <v>5690</v>
      </c>
      <c r="D2911" s="2">
        <v>46185</v>
      </c>
      <c r="E2911" s="2">
        <v>46185</v>
      </c>
      <c r="F2911" s="1" t="s">
        <v>47</v>
      </c>
      <c r="G2911" s="1" t="s">
        <v>6</v>
      </c>
      <c r="H2911" s="1"/>
      <c r="I2911" s="7">
        <v>313.58999999999997</v>
      </c>
      <c r="J2911" s="1" t="s">
        <v>38</v>
      </c>
      <c r="K2911" s="1"/>
      <c r="L2911" s="1" t="s">
        <v>39</v>
      </c>
      <c r="M2911" s="1" t="str">
        <f>INDEX(MCC_Lookup!$B$2:$B$12,MATCH(G2911,MCC_Lookup!$A$2:$A$12,0))</f>
        <v>Lodging</v>
      </c>
      <c r="N2911" s="1" t="str">
        <f>IF(TRIM(H2911)="","BLANK",IF(PROPER(TRIM(H2911))=TRIM(M2911),"MATCH","MISMATCH"))</f>
        <v>BLANK</v>
      </c>
      <c r="O2911" s="5" t="str">
        <f>INDEX([1]Employee!$C$2:$C$276,MATCH(B2911,[1]Employee!$A$2:$A$276,0))</f>
        <v>Claims</v>
      </c>
    </row>
    <row r="2912" spans="1:15">
      <c r="A2912" s="1" t="s">
        <v>5691</v>
      </c>
      <c r="B2912" s="1" t="s">
        <v>101</v>
      </c>
      <c r="C2912" s="1" t="s">
        <v>5692</v>
      </c>
      <c r="D2912" s="2">
        <v>46181</v>
      </c>
      <c r="E2912" s="2">
        <v>46185</v>
      </c>
      <c r="F2912" s="1" t="s">
        <v>47</v>
      </c>
      <c r="G2912" s="1" t="s">
        <v>6</v>
      </c>
      <c r="H2912" s="1" t="s">
        <v>7</v>
      </c>
      <c r="I2912" s="7">
        <v>377.83</v>
      </c>
      <c r="J2912" s="1" t="s">
        <v>38</v>
      </c>
      <c r="K2912" s="1"/>
      <c r="L2912" s="1" t="s">
        <v>48</v>
      </c>
      <c r="M2912" s="1" t="str">
        <f>INDEX(MCC_Lookup!$B$2:$B$12,MATCH(G2912,MCC_Lookup!$A$2:$A$12,0))</f>
        <v>Lodging</v>
      </c>
      <c r="N2912" s="1" t="str">
        <f>IF(TRIM(H2912)="","BLANK",IF(PROPER(TRIM(H2912))=TRIM(M2912),"MATCH","MISMATCH"))</f>
        <v>MATCH</v>
      </c>
      <c r="O2912" s="5" t="str">
        <f>INDEX([1]Employee!$C$2:$C$276,MATCH(B2912,[1]Employee!$A$2:$A$276,0))</f>
        <v>Underwriting</v>
      </c>
    </row>
    <row r="2913" spans="1:15">
      <c r="A2913" s="1" t="s">
        <v>5693</v>
      </c>
      <c r="B2913" s="1" t="s">
        <v>550</v>
      </c>
      <c r="C2913" s="1"/>
      <c r="D2913" s="2">
        <v>46175</v>
      </c>
      <c r="E2913" s="2">
        <v>46185</v>
      </c>
      <c r="F2913" s="1" t="s">
        <v>79</v>
      </c>
      <c r="G2913" s="1" t="s">
        <v>13</v>
      </c>
      <c r="H2913" s="1" t="s">
        <v>11</v>
      </c>
      <c r="I2913" s="7">
        <v>90.63</v>
      </c>
      <c r="J2913" s="1" t="s">
        <v>38</v>
      </c>
      <c r="K2913" s="1"/>
      <c r="L2913" s="1" t="s">
        <v>39</v>
      </c>
      <c r="M2913" s="1" t="str">
        <f>INDEX(MCC_Lookup!$B$2:$B$12,MATCH(G2913,MCC_Lookup!$A$2:$A$12,0))</f>
        <v>Software</v>
      </c>
      <c r="N2913" s="1" t="str">
        <f>IF(TRIM(H2913)="","BLANK",IF(PROPER(TRIM(H2913))=TRIM(M2913),"MATCH","MISMATCH"))</f>
        <v>MISMATCH</v>
      </c>
      <c r="O2913" s="5" t="str">
        <f>INDEX([1]Employee!$C$2:$C$276,MATCH(B2913,[1]Employee!$A$2:$A$276,0))</f>
        <v>Sales &amp; Marketing</v>
      </c>
    </row>
    <row r="2914" spans="1:15">
      <c r="A2914" s="1" t="s">
        <v>5694</v>
      </c>
      <c r="B2914" s="1" t="s">
        <v>846</v>
      </c>
      <c r="C2914" s="1" t="s">
        <v>5695</v>
      </c>
      <c r="D2914" s="2">
        <v>46184</v>
      </c>
      <c r="E2914" s="2">
        <v>46185</v>
      </c>
      <c r="F2914" s="1" t="s">
        <v>99</v>
      </c>
      <c r="G2914" s="1" t="s">
        <v>2</v>
      </c>
      <c r="H2914" s="1" t="s">
        <v>3</v>
      </c>
      <c r="I2914" s="7">
        <v>94.7</v>
      </c>
      <c r="J2914" s="1" t="s">
        <v>38</v>
      </c>
      <c r="K2914" s="1"/>
      <c r="L2914" s="1" t="s">
        <v>39</v>
      </c>
      <c r="M2914" s="1" t="str">
        <f>INDEX(MCC_Lookup!$B$2:$B$12,MATCH(G2914,MCC_Lookup!$A$2:$A$12,0))</f>
        <v>Meals</v>
      </c>
      <c r="N2914" s="1" t="str">
        <f>IF(TRIM(H2914)="","BLANK",IF(PROPER(TRIM(H2914))=TRIM(M2914),"MATCH","MISMATCH"))</f>
        <v>MATCH</v>
      </c>
      <c r="O2914" s="5" t="str">
        <f>INDEX([1]Employee!$C$2:$C$276,MATCH(B2914,[1]Employee!$A$2:$A$276,0))</f>
        <v>Sales &amp; Marketing</v>
      </c>
    </row>
    <row r="2915" spans="1:15">
      <c r="A2915" s="1" t="s">
        <v>5696</v>
      </c>
      <c r="B2915" s="1" t="s">
        <v>407</v>
      </c>
      <c r="C2915" s="1"/>
      <c r="D2915" s="2">
        <v>46182</v>
      </c>
      <c r="E2915" s="2">
        <v>46185</v>
      </c>
      <c r="F2915" s="1" t="s">
        <v>160</v>
      </c>
      <c r="G2915" s="1" t="s">
        <v>6</v>
      </c>
      <c r="H2915" s="1" t="s">
        <v>228</v>
      </c>
      <c r="I2915" s="7">
        <v>386.9</v>
      </c>
      <c r="J2915" s="1" t="s">
        <v>38</v>
      </c>
      <c r="K2915" s="1"/>
      <c r="L2915" s="1" t="s">
        <v>39</v>
      </c>
      <c r="M2915" s="1" t="str">
        <f>INDEX(MCC_Lookup!$B$2:$B$12,MATCH(G2915,MCC_Lookup!$A$2:$A$12,0))</f>
        <v>Lodging</v>
      </c>
      <c r="N2915" s="1" t="str">
        <f>IF(TRIM(H2915)="","BLANK",IF(PROPER(TRIM(H2915))=TRIM(M2915),"MATCH","MISMATCH"))</f>
        <v>MATCH</v>
      </c>
      <c r="O2915" s="5" t="str">
        <f>INDEX([1]Employee!$C$2:$C$276,MATCH(B2915,[1]Employee!$A$2:$A$276,0))</f>
        <v>Executive &amp; Corporate</v>
      </c>
    </row>
    <row r="2916" spans="1:15">
      <c r="A2916" s="1" t="s">
        <v>5697</v>
      </c>
      <c r="B2916" s="1" t="s">
        <v>379</v>
      </c>
      <c r="C2916" s="1" t="s">
        <v>5698</v>
      </c>
      <c r="D2916" s="2">
        <v>46176</v>
      </c>
      <c r="E2916" s="2">
        <v>46185</v>
      </c>
      <c r="F2916" s="1" t="s">
        <v>37</v>
      </c>
      <c r="G2916" s="1" t="s">
        <v>4</v>
      </c>
      <c r="H2916" s="1" t="s">
        <v>5</v>
      </c>
      <c r="I2916" s="7">
        <v>158.11000000000001</v>
      </c>
      <c r="J2916" s="1" t="s">
        <v>38</v>
      </c>
      <c r="K2916" s="1"/>
      <c r="L2916" s="1" t="s">
        <v>39</v>
      </c>
      <c r="M2916" s="1" t="str">
        <f>INDEX(MCC_Lookup!$B$2:$B$12,MATCH(G2916,MCC_Lookup!$A$2:$A$12,0))</f>
        <v>Travel</v>
      </c>
      <c r="N2916" s="1" t="str">
        <f>IF(TRIM(H2916)="","BLANK",IF(PROPER(TRIM(H2916))=TRIM(M2916),"MATCH","MISMATCH"))</f>
        <v>MATCH</v>
      </c>
      <c r="O2916" s="5" t="str">
        <f>INDEX([1]Employee!$C$2:$C$276,MATCH(B2916,[1]Employee!$A$2:$A$276,0))</f>
        <v>Sales &amp; Marketing</v>
      </c>
    </row>
    <row r="2917" spans="1:15">
      <c r="A2917" s="1" t="s">
        <v>5699</v>
      </c>
      <c r="B2917" s="1" t="s">
        <v>466</v>
      </c>
      <c r="C2917" s="1"/>
      <c r="D2917" s="2">
        <v>46175</v>
      </c>
      <c r="E2917" s="2">
        <v>46185</v>
      </c>
      <c r="F2917" s="1" t="s">
        <v>65</v>
      </c>
      <c r="G2917" s="1" t="s">
        <v>18</v>
      </c>
      <c r="H2917" s="1" t="s">
        <v>19</v>
      </c>
      <c r="I2917" s="7">
        <v>320.63</v>
      </c>
      <c r="J2917" s="1" t="s">
        <v>111</v>
      </c>
      <c r="K2917" s="1" t="s">
        <v>161</v>
      </c>
      <c r="L2917" s="1" t="s">
        <v>39</v>
      </c>
      <c r="M2917" s="1" t="str">
        <f>INDEX(MCC_Lookup!$B$2:$B$12,MATCH(G2917,MCC_Lookup!$A$2:$A$12,0))</f>
        <v>Events</v>
      </c>
      <c r="N2917" s="1" t="str">
        <f>IF(TRIM(H2917)="","BLANK",IF(PROPER(TRIM(H2917))=TRIM(M2917),"MATCH","MISMATCH"))</f>
        <v>MATCH</v>
      </c>
      <c r="O2917" s="5" t="str">
        <f>INDEX([1]Employee!$C$2:$C$276,MATCH(B2917,[1]Employee!$A$2:$A$276,0))</f>
        <v>Finance</v>
      </c>
    </row>
    <row r="2918" spans="1:15">
      <c r="A2918" s="1" t="s">
        <v>5700</v>
      </c>
      <c r="B2918" s="1" t="s">
        <v>472</v>
      </c>
      <c r="C2918" s="1" t="s">
        <v>5701</v>
      </c>
      <c r="D2918" s="2">
        <v>46175</v>
      </c>
      <c r="E2918" s="2">
        <v>46185</v>
      </c>
      <c r="F2918" s="1" t="s">
        <v>72</v>
      </c>
      <c r="G2918" s="1" t="s">
        <v>8</v>
      </c>
      <c r="H2918" s="1" t="s">
        <v>9</v>
      </c>
      <c r="I2918" s="7">
        <v>48.55</v>
      </c>
      <c r="J2918" s="1" t="s">
        <v>38</v>
      </c>
      <c r="K2918" s="1"/>
      <c r="L2918" s="1" t="s">
        <v>39</v>
      </c>
      <c r="M2918" s="1" t="str">
        <f>INDEX(MCC_Lookup!$B$2:$B$12,MATCH(G2918,MCC_Lookup!$A$2:$A$12,0))</f>
        <v>Transportation</v>
      </c>
      <c r="N2918" s="1" t="str">
        <f>IF(TRIM(H2918)="","BLANK",IF(PROPER(TRIM(H2918))=TRIM(M2918),"MATCH","MISMATCH"))</f>
        <v>MATCH</v>
      </c>
      <c r="O2918" s="5" t="str">
        <f>INDEX([1]Employee!$C$2:$C$276,MATCH(B2918,[1]Employee!$A$2:$A$276,0))</f>
        <v>Sales &amp; Marketing</v>
      </c>
    </row>
    <row r="2919" spans="1:15">
      <c r="A2919" s="1" t="s">
        <v>5702</v>
      </c>
      <c r="B2919" s="1" t="s">
        <v>271</v>
      </c>
      <c r="C2919" s="1"/>
      <c r="D2919" s="2">
        <v>46183</v>
      </c>
      <c r="E2919" s="2">
        <v>46185</v>
      </c>
      <c r="F2919" s="1" t="s">
        <v>92</v>
      </c>
      <c r="G2919" s="1" t="s">
        <v>10</v>
      </c>
      <c r="H2919" s="1" t="s">
        <v>11</v>
      </c>
      <c r="I2919" s="7">
        <v>107.07</v>
      </c>
      <c r="J2919" s="1" t="s">
        <v>111</v>
      </c>
      <c r="K2919" s="1" t="s">
        <v>161</v>
      </c>
      <c r="L2919" s="1" t="s">
        <v>39</v>
      </c>
      <c r="M2919" s="1" t="str">
        <f>INDEX(MCC_Lookup!$B$2:$B$12,MATCH(G2919,MCC_Lookup!$A$2:$A$12,0))</f>
        <v>Office Supplies</v>
      </c>
      <c r="N2919" s="1" t="str">
        <f>IF(TRIM(H2919)="","BLANK",IF(PROPER(TRIM(H2919))=TRIM(M2919),"MATCH","MISMATCH"))</f>
        <v>MATCH</v>
      </c>
      <c r="O2919" s="5" t="str">
        <f>INDEX([1]Employee!$C$2:$C$276,MATCH(B2919,[1]Employee!$A$2:$A$276,0))</f>
        <v>Customer Support</v>
      </c>
    </row>
    <row r="2920" spans="1:15">
      <c r="A2920" s="1" t="s">
        <v>5703</v>
      </c>
      <c r="B2920" s="1" t="s">
        <v>640</v>
      </c>
      <c r="C2920" s="1" t="s">
        <v>5704</v>
      </c>
      <c r="D2920" s="2">
        <v>46178</v>
      </c>
      <c r="E2920" s="2">
        <v>46185</v>
      </c>
      <c r="F2920" s="1" t="s">
        <v>61</v>
      </c>
      <c r="G2920" s="1" t="s">
        <v>13</v>
      </c>
      <c r="H2920" s="1" t="s">
        <v>14</v>
      </c>
      <c r="I2920" s="7">
        <v>66.22</v>
      </c>
      <c r="J2920" s="1" t="s">
        <v>38</v>
      </c>
      <c r="K2920" s="1"/>
      <c r="L2920" s="1" t="s">
        <v>39</v>
      </c>
      <c r="M2920" s="1" t="str">
        <f>INDEX(MCC_Lookup!$B$2:$B$12,MATCH(G2920,MCC_Lookup!$A$2:$A$12,0))</f>
        <v>Software</v>
      </c>
      <c r="N2920" s="1" t="str">
        <f>IF(TRIM(H2920)="","BLANK",IF(PROPER(TRIM(H2920))=TRIM(M2920),"MATCH","MISMATCH"))</f>
        <v>MATCH</v>
      </c>
      <c r="O2920" s="5" t="str">
        <f>INDEX([1]Employee!$C$2:$C$276,MATCH(B2920,[1]Employee!$A$2:$A$276,0))</f>
        <v>Underwriting</v>
      </c>
    </row>
    <row r="2921" spans="1:15">
      <c r="A2921" s="1" t="s">
        <v>5705</v>
      </c>
      <c r="B2921" s="1" t="s">
        <v>314</v>
      </c>
      <c r="C2921" s="1" t="s">
        <v>5706</v>
      </c>
      <c r="D2921" s="2">
        <v>46182</v>
      </c>
      <c r="E2921" s="2">
        <v>46185</v>
      </c>
      <c r="F2921" s="1" t="s">
        <v>79</v>
      </c>
      <c r="G2921" s="1" t="s">
        <v>13</v>
      </c>
      <c r="H2921" s="1" t="s">
        <v>14</v>
      </c>
      <c r="I2921" s="7">
        <v>223.68</v>
      </c>
      <c r="J2921" s="1" t="s">
        <v>38</v>
      </c>
      <c r="K2921" s="1"/>
      <c r="L2921" s="1" t="s">
        <v>39</v>
      </c>
      <c r="M2921" s="1" t="str">
        <f>INDEX(MCC_Lookup!$B$2:$B$12,MATCH(G2921,MCC_Lookup!$A$2:$A$12,0))</f>
        <v>Software</v>
      </c>
      <c r="N2921" s="1" t="str">
        <f>IF(TRIM(H2921)="","BLANK",IF(PROPER(TRIM(H2921))=TRIM(M2921),"MATCH","MISMATCH"))</f>
        <v>MATCH</v>
      </c>
      <c r="O2921" s="5" t="str">
        <f>INDEX([1]Employee!$C$2:$C$276,MATCH(B2921,[1]Employee!$A$2:$A$276,0))</f>
        <v>Sales &amp; Marketing</v>
      </c>
    </row>
    <row r="2922" spans="1:15">
      <c r="A2922" s="1" t="s">
        <v>5707</v>
      </c>
      <c r="B2922" s="1" t="s">
        <v>1632</v>
      </c>
      <c r="C2922" s="1" t="s">
        <v>5708</v>
      </c>
      <c r="D2922" s="2">
        <v>46176</v>
      </c>
      <c r="E2922" s="2">
        <v>46185</v>
      </c>
      <c r="F2922" s="1" t="s">
        <v>201</v>
      </c>
      <c r="G2922" s="1" t="s">
        <v>4</v>
      </c>
      <c r="H2922" s="1" t="s">
        <v>5</v>
      </c>
      <c r="I2922" s="7">
        <v>396.31</v>
      </c>
      <c r="J2922" s="1" t="s">
        <v>38</v>
      </c>
      <c r="K2922" s="1"/>
      <c r="L2922" s="1" t="s">
        <v>39</v>
      </c>
      <c r="M2922" s="1" t="str">
        <f>INDEX(MCC_Lookup!$B$2:$B$12,MATCH(G2922,MCC_Lookup!$A$2:$A$12,0))</f>
        <v>Travel</v>
      </c>
      <c r="N2922" s="1" t="str">
        <f>IF(TRIM(H2922)="","BLANK",IF(PROPER(TRIM(H2922))=TRIM(M2922),"MATCH","MISMATCH"))</f>
        <v>MATCH</v>
      </c>
      <c r="O2922" s="5" t="str">
        <f>INDEX([1]Employee!$C$2:$C$276,MATCH(B2922,[1]Employee!$A$2:$A$276,0))</f>
        <v>HR &amp; Events</v>
      </c>
    </row>
    <row r="2923" spans="1:15">
      <c r="A2923" s="1" t="s">
        <v>5709</v>
      </c>
      <c r="B2923" s="1" t="s">
        <v>3375</v>
      </c>
      <c r="C2923" s="1" t="s">
        <v>5710</v>
      </c>
      <c r="D2923" s="2">
        <v>46185</v>
      </c>
      <c r="E2923" s="2">
        <v>46185</v>
      </c>
      <c r="F2923" s="1" t="s">
        <v>69</v>
      </c>
      <c r="G2923" s="1" t="s">
        <v>8</v>
      </c>
      <c r="H2923" s="1" t="s">
        <v>9</v>
      </c>
      <c r="I2923" s="7">
        <v>47.79</v>
      </c>
      <c r="J2923" s="1" t="s">
        <v>38</v>
      </c>
      <c r="K2923" s="1"/>
      <c r="L2923" s="1" t="s">
        <v>39</v>
      </c>
      <c r="M2923" s="1" t="str">
        <f>INDEX(MCC_Lookup!$B$2:$B$12,MATCH(G2923,MCC_Lookup!$A$2:$A$12,0))</f>
        <v>Transportation</v>
      </c>
      <c r="N2923" s="1" t="str">
        <f>IF(TRIM(H2923)="","BLANK",IF(PROPER(TRIM(H2923))=TRIM(M2923),"MATCH","MISMATCH"))</f>
        <v>MATCH</v>
      </c>
      <c r="O2923" s="5" t="str">
        <f>INDEX([1]Employee!$C$2:$C$276,MATCH(B2923,[1]Employee!$A$2:$A$276,0))</f>
        <v>IT &amp; Platform Engineering</v>
      </c>
    </row>
    <row r="2924" spans="1:15">
      <c r="A2924" s="1" t="s">
        <v>5711</v>
      </c>
      <c r="B2924" s="1" t="s">
        <v>274</v>
      </c>
      <c r="C2924" s="1" t="s">
        <v>5712</v>
      </c>
      <c r="D2924" s="2">
        <v>46185</v>
      </c>
      <c r="E2924" s="2">
        <v>46185</v>
      </c>
      <c r="F2924" s="1" t="s">
        <v>92</v>
      </c>
      <c r="G2924" s="1" t="s">
        <v>10</v>
      </c>
      <c r="H2924" s="1"/>
      <c r="I2924" s="7">
        <v>92.35</v>
      </c>
      <c r="J2924" s="1" t="s">
        <v>38</v>
      </c>
      <c r="K2924" s="1"/>
      <c r="L2924" s="1" t="s">
        <v>39</v>
      </c>
      <c r="M2924" s="1" t="str">
        <f>INDEX(MCC_Lookup!$B$2:$B$12,MATCH(G2924,MCC_Lookup!$A$2:$A$12,0))</f>
        <v>Office Supplies</v>
      </c>
      <c r="N2924" s="1" t="str">
        <f>IF(TRIM(H2924)="","BLANK",IF(PROPER(TRIM(H2924))=TRIM(M2924),"MATCH","MISMATCH"))</f>
        <v>BLANK</v>
      </c>
      <c r="O2924" s="5" t="str">
        <f>INDEX([1]Employee!$C$2:$C$276,MATCH(B2924,[1]Employee!$A$2:$A$276,0))</f>
        <v>Finance</v>
      </c>
    </row>
    <row r="2925" spans="1:15">
      <c r="A2925" s="1" t="s">
        <v>5713</v>
      </c>
      <c r="B2925" s="1" t="s">
        <v>512</v>
      </c>
      <c r="C2925" s="1" t="s">
        <v>5714</v>
      </c>
      <c r="D2925" s="2">
        <v>46177</v>
      </c>
      <c r="E2925" s="2">
        <v>46185</v>
      </c>
      <c r="F2925" s="1" t="s">
        <v>173</v>
      </c>
      <c r="G2925" s="1" t="s">
        <v>2</v>
      </c>
      <c r="H2925" s="1"/>
      <c r="I2925" s="7">
        <v>20.85</v>
      </c>
      <c r="J2925" s="1" t="s">
        <v>38</v>
      </c>
      <c r="K2925" s="1"/>
      <c r="L2925" s="1" t="s">
        <v>39</v>
      </c>
      <c r="M2925" s="1" t="str">
        <f>INDEX(MCC_Lookup!$B$2:$B$12,MATCH(G2925,MCC_Lookup!$A$2:$A$12,0))</f>
        <v>Meals</v>
      </c>
      <c r="N2925" s="1" t="str">
        <f>IF(TRIM(H2925)="","BLANK",IF(PROPER(TRIM(H2925))=TRIM(M2925),"MATCH","MISMATCH"))</f>
        <v>BLANK</v>
      </c>
      <c r="O2925" s="5" t="str">
        <f>INDEX([1]Employee!$C$2:$C$276,MATCH(B2925,[1]Employee!$A$2:$A$276,0))</f>
        <v>Sales &amp; Marketing</v>
      </c>
    </row>
    <row r="2926" spans="1:15">
      <c r="A2926" s="1" t="s">
        <v>5715</v>
      </c>
      <c r="B2926" s="1" t="s">
        <v>2564</v>
      </c>
      <c r="C2926" s="1"/>
      <c r="D2926" s="2">
        <v>46184</v>
      </c>
      <c r="E2926" s="2">
        <v>46185</v>
      </c>
      <c r="F2926" s="1" t="s">
        <v>116</v>
      </c>
      <c r="G2926" s="1" t="s">
        <v>2</v>
      </c>
      <c r="H2926" s="1" t="s">
        <v>3</v>
      </c>
      <c r="I2926" s="7">
        <v>9.6300000000000008</v>
      </c>
      <c r="J2926" s="1" t="s">
        <v>38</v>
      </c>
      <c r="K2926" s="1"/>
      <c r="L2926" s="1" t="s">
        <v>39</v>
      </c>
      <c r="M2926" s="1" t="str">
        <f>INDEX(MCC_Lookup!$B$2:$B$12,MATCH(G2926,MCC_Lookup!$A$2:$A$12,0))</f>
        <v>Meals</v>
      </c>
      <c r="N2926" s="1" t="str">
        <f>IF(TRIM(H2926)="","BLANK",IF(PROPER(TRIM(H2926))=TRIM(M2926),"MATCH","MISMATCH"))</f>
        <v>MATCH</v>
      </c>
      <c r="O2926" s="5" t="str">
        <f>INDEX([1]Employee!$C$2:$C$276,MATCH(B2926,[1]Employee!$A$2:$A$276,0))</f>
        <v>Underwriting</v>
      </c>
    </row>
    <row r="2927" spans="1:15">
      <c r="A2927" s="1" t="s">
        <v>5716</v>
      </c>
      <c r="B2927" s="1" t="s">
        <v>553</v>
      </c>
      <c r="C2927" s="1" t="s">
        <v>5717</v>
      </c>
      <c r="D2927" s="2">
        <v>46180</v>
      </c>
      <c r="E2927" s="2">
        <v>46185</v>
      </c>
      <c r="F2927" s="1" t="s">
        <v>106</v>
      </c>
      <c r="G2927" s="1" t="s">
        <v>13</v>
      </c>
      <c r="H2927" s="1" t="s">
        <v>14</v>
      </c>
      <c r="I2927" s="7">
        <v>65.849999999999994</v>
      </c>
      <c r="J2927" s="1" t="s">
        <v>38</v>
      </c>
      <c r="K2927" s="1"/>
      <c r="L2927" s="1" t="s">
        <v>39</v>
      </c>
      <c r="M2927" s="1" t="str">
        <f>INDEX(MCC_Lookup!$B$2:$B$12,MATCH(G2927,MCC_Lookup!$A$2:$A$12,0))</f>
        <v>Software</v>
      </c>
      <c r="N2927" s="1" t="str">
        <f>IF(TRIM(H2927)="","BLANK",IF(PROPER(TRIM(H2927))=TRIM(M2927),"MATCH","MISMATCH"))</f>
        <v>MATCH</v>
      </c>
      <c r="O2927" s="5" t="str">
        <f>INDEX([1]Employee!$C$2:$C$276,MATCH(B2927,[1]Employee!$A$2:$A$276,0))</f>
        <v>Claims</v>
      </c>
    </row>
    <row r="2928" spans="1:15">
      <c r="A2928" s="1" t="s">
        <v>5718</v>
      </c>
      <c r="B2928" s="1" t="s">
        <v>129</v>
      </c>
      <c r="C2928" s="1" t="s">
        <v>5719</v>
      </c>
      <c r="D2928" s="2">
        <v>46185</v>
      </c>
      <c r="E2928" s="2">
        <v>46186</v>
      </c>
      <c r="F2928" s="1" t="s">
        <v>242</v>
      </c>
      <c r="G2928" s="1" t="s">
        <v>13</v>
      </c>
      <c r="H2928" s="1"/>
      <c r="I2928" s="7">
        <v>52.49</v>
      </c>
      <c r="J2928" s="1" t="s">
        <v>38</v>
      </c>
      <c r="K2928" s="1"/>
      <c r="L2928" s="1" t="s">
        <v>48</v>
      </c>
      <c r="M2928" s="1" t="str">
        <f>INDEX(MCC_Lookup!$B$2:$B$12,MATCH(G2928,MCC_Lookup!$A$2:$A$12,0))</f>
        <v>Software</v>
      </c>
      <c r="N2928" s="1" t="str">
        <f>IF(TRIM(H2928)="","BLANK",IF(PROPER(TRIM(H2928))=TRIM(M2928),"MATCH","MISMATCH"))</f>
        <v>BLANK</v>
      </c>
      <c r="O2928" s="5" t="str">
        <f>INDEX([1]Employee!$C$2:$C$276,MATCH(B2928,[1]Employee!$A$2:$A$276,0))</f>
        <v>Sales &amp; Marketing</v>
      </c>
    </row>
    <row r="2929" spans="1:15">
      <c r="A2929" s="1" t="s">
        <v>5720</v>
      </c>
      <c r="B2929" s="1" t="s">
        <v>466</v>
      </c>
      <c r="C2929" s="1" t="s">
        <v>5721</v>
      </c>
      <c r="D2929" s="2">
        <v>46181</v>
      </c>
      <c r="E2929" s="2">
        <v>46186</v>
      </c>
      <c r="F2929" s="1" t="s">
        <v>43</v>
      </c>
      <c r="G2929" s="1" t="s">
        <v>2</v>
      </c>
      <c r="H2929" s="1" t="s">
        <v>3</v>
      </c>
      <c r="I2929" s="7">
        <v>10.53</v>
      </c>
      <c r="J2929" s="1" t="s">
        <v>38</v>
      </c>
      <c r="K2929" s="1"/>
      <c r="L2929" s="1" t="s">
        <v>39</v>
      </c>
      <c r="M2929" s="1" t="str">
        <f>INDEX(MCC_Lookup!$B$2:$B$12,MATCH(G2929,MCC_Lookup!$A$2:$A$12,0))</f>
        <v>Meals</v>
      </c>
      <c r="N2929" s="1" t="str">
        <f>IF(TRIM(H2929)="","BLANK",IF(PROPER(TRIM(H2929))=TRIM(M2929),"MATCH","MISMATCH"))</f>
        <v>MATCH</v>
      </c>
      <c r="O2929" s="5" t="str">
        <f>INDEX([1]Employee!$C$2:$C$276,MATCH(B2929,[1]Employee!$A$2:$A$276,0))</f>
        <v>Finance</v>
      </c>
    </row>
    <row r="2930" spans="1:15">
      <c r="A2930" s="1" t="s">
        <v>5722</v>
      </c>
      <c r="B2930" s="1" t="s">
        <v>1422</v>
      </c>
      <c r="C2930" s="1" t="s">
        <v>5723</v>
      </c>
      <c r="D2930" s="2">
        <v>46178</v>
      </c>
      <c r="E2930" s="2">
        <v>46186</v>
      </c>
      <c r="F2930" s="1" t="s">
        <v>65</v>
      </c>
      <c r="G2930" s="1" t="s">
        <v>18</v>
      </c>
      <c r="H2930" s="1" t="s">
        <v>14</v>
      </c>
      <c r="I2930" s="7">
        <v>201.33</v>
      </c>
      <c r="J2930" s="1" t="s">
        <v>38</v>
      </c>
      <c r="K2930" s="1"/>
      <c r="L2930" s="1" t="s">
        <v>39</v>
      </c>
      <c r="M2930" s="1" t="str">
        <f>INDEX(MCC_Lookup!$B$2:$B$12,MATCH(G2930,MCC_Lookup!$A$2:$A$12,0))</f>
        <v>Events</v>
      </c>
      <c r="N2930" s="1" t="str">
        <f>IF(TRIM(H2930)="","BLANK",IF(PROPER(TRIM(H2930))=TRIM(M2930),"MATCH","MISMATCH"))</f>
        <v>MISMATCH</v>
      </c>
      <c r="O2930" s="5" t="str">
        <f>INDEX([1]Employee!$C$2:$C$276,MATCH(B2930,[1]Employee!$A$2:$A$276,0))</f>
        <v>Underwriting</v>
      </c>
    </row>
    <row r="2931" spans="1:15">
      <c r="A2931" s="1" t="s">
        <v>5724</v>
      </c>
      <c r="B2931" s="1" t="s">
        <v>499</v>
      </c>
      <c r="C2931" s="1" t="s">
        <v>5725</v>
      </c>
      <c r="D2931" s="2">
        <v>46185</v>
      </c>
      <c r="E2931" s="2">
        <v>46186</v>
      </c>
      <c r="F2931" s="1" t="s">
        <v>76</v>
      </c>
      <c r="G2931" s="1" t="s">
        <v>13</v>
      </c>
      <c r="H2931" s="1" t="s">
        <v>14</v>
      </c>
      <c r="I2931" s="7">
        <v>528.92999999999995</v>
      </c>
      <c r="J2931" s="1" t="s">
        <v>38</v>
      </c>
      <c r="K2931" s="1"/>
      <c r="L2931" s="1" t="s">
        <v>39</v>
      </c>
      <c r="M2931" s="1" t="str">
        <f>INDEX(MCC_Lookup!$B$2:$B$12,MATCH(G2931,MCC_Lookup!$A$2:$A$12,0))</f>
        <v>Software</v>
      </c>
      <c r="N2931" s="1" t="str">
        <f>IF(TRIM(H2931)="","BLANK",IF(PROPER(TRIM(H2931))=TRIM(M2931),"MATCH","MISMATCH"))</f>
        <v>MATCH</v>
      </c>
      <c r="O2931" s="5" t="str">
        <f>INDEX([1]Employee!$C$2:$C$276,MATCH(B2931,[1]Employee!$A$2:$A$276,0))</f>
        <v>Sales &amp; Marketing</v>
      </c>
    </row>
    <row r="2932" spans="1:15">
      <c r="A2932" s="1" t="s">
        <v>5726</v>
      </c>
      <c r="B2932" s="1" t="s">
        <v>499</v>
      </c>
      <c r="C2932" s="1" t="s">
        <v>5727</v>
      </c>
      <c r="D2932" s="2">
        <v>46185</v>
      </c>
      <c r="E2932" s="2">
        <v>46186</v>
      </c>
      <c r="F2932" s="1" t="s">
        <v>79</v>
      </c>
      <c r="G2932" s="1" t="s">
        <v>13</v>
      </c>
      <c r="H2932" s="1" t="s">
        <v>14</v>
      </c>
      <c r="I2932" s="7">
        <v>103.65</v>
      </c>
      <c r="J2932" s="1" t="s">
        <v>38</v>
      </c>
      <c r="K2932" s="1"/>
      <c r="L2932" s="1" t="s">
        <v>39</v>
      </c>
      <c r="M2932" s="1" t="str">
        <f>INDEX(MCC_Lookup!$B$2:$B$12,MATCH(G2932,MCC_Lookup!$A$2:$A$12,0))</f>
        <v>Software</v>
      </c>
      <c r="N2932" s="1" t="str">
        <f>IF(TRIM(H2932)="","BLANK",IF(PROPER(TRIM(H2932))=TRIM(M2932),"MATCH","MISMATCH"))</f>
        <v>MATCH</v>
      </c>
      <c r="O2932" s="5" t="str">
        <f>INDEX([1]Employee!$C$2:$C$276,MATCH(B2932,[1]Employee!$A$2:$A$276,0))</f>
        <v>Sales &amp; Marketing</v>
      </c>
    </row>
    <row r="2933" spans="1:15">
      <c r="A2933" s="1" t="s">
        <v>5728</v>
      </c>
      <c r="B2933" s="1" t="s">
        <v>35</v>
      </c>
      <c r="C2933" s="1"/>
      <c r="D2933" s="2">
        <v>46176</v>
      </c>
      <c r="E2933" s="2">
        <v>46186</v>
      </c>
      <c r="F2933" s="1" t="s">
        <v>116</v>
      </c>
      <c r="G2933" s="1" t="s">
        <v>2</v>
      </c>
      <c r="H2933" s="1" t="s">
        <v>3</v>
      </c>
      <c r="I2933" s="7">
        <v>19.440000000000001</v>
      </c>
      <c r="J2933" s="1" t="s">
        <v>38</v>
      </c>
      <c r="K2933" s="1"/>
      <c r="L2933" s="1" t="s">
        <v>39</v>
      </c>
      <c r="M2933" s="1" t="str">
        <f>INDEX(MCC_Lookup!$B$2:$B$12,MATCH(G2933,MCC_Lookup!$A$2:$A$12,0))</f>
        <v>Meals</v>
      </c>
      <c r="N2933" s="1" t="str">
        <f>IF(TRIM(H2933)="","BLANK",IF(PROPER(TRIM(H2933))=TRIM(M2933),"MATCH","MISMATCH"))</f>
        <v>MATCH</v>
      </c>
      <c r="O2933" s="5" t="str">
        <f>INDEX([1]Employee!$C$2:$C$276,MATCH(B2933,[1]Employee!$A$2:$A$276,0))</f>
        <v>Sales &amp; Marketing</v>
      </c>
    </row>
    <row r="2934" spans="1:15">
      <c r="A2934" s="1" t="s">
        <v>5729</v>
      </c>
      <c r="B2934" s="1" t="s">
        <v>63</v>
      </c>
      <c r="C2934" s="1" t="s">
        <v>5730</v>
      </c>
      <c r="D2934" s="2">
        <v>46176</v>
      </c>
      <c r="E2934" s="2">
        <v>46186</v>
      </c>
      <c r="F2934" s="1" t="s">
        <v>69</v>
      </c>
      <c r="G2934" s="1" t="s">
        <v>8</v>
      </c>
      <c r="H2934" s="1" t="s">
        <v>9</v>
      </c>
      <c r="I2934" s="7">
        <v>38.72</v>
      </c>
      <c r="J2934" s="1" t="s">
        <v>38</v>
      </c>
      <c r="K2934" s="1"/>
      <c r="L2934" s="1" t="s">
        <v>39</v>
      </c>
      <c r="M2934" s="1" t="str">
        <f>INDEX(MCC_Lookup!$B$2:$B$12,MATCH(G2934,MCC_Lookup!$A$2:$A$12,0))</f>
        <v>Transportation</v>
      </c>
      <c r="N2934" s="1" t="str">
        <f>IF(TRIM(H2934)="","BLANK",IF(PROPER(TRIM(H2934))=TRIM(M2934),"MATCH","MISMATCH"))</f>
        <v>MATCH</v>
      </c>
      <c r="O2934" s="5" t="str">
        <f>INDEX([1]Employee!$C$2:$C$276,MATCH(B2934,[1]Employee!$A$2:$A$276,0))</f>
        <v>Sales &amp; Marketing</v>
      </c>
    </row>
    <row r="2935" spans="1:15">
      <c r="A2935" s="1" t="s">
        <v>5731</v>
      </c>
      <c r="B2935" s="1" t="s">
        <v>656</v>
      </c>
      <c r="C2935" s="1" t="s">
        <v>5732</v>
      </c>
      <c r="D2935" s="2">
        <v>46184</v>
      </c>
      <c r="E2935" s="2">
        <v>46186</v>
      </c>
      <c r="F2935" s="1" t="s">
        <v>120</v>
      </c>
      <c r="G2935" s="1" t="s">
        <v>12</v>
      </c>
      <c r="H2935" s="1" t="s">
        <v>11</v>
      </c>
      <c r="I2935" s="7">
        <v>105.34</v>
      </c>
      <c r="J2935" s="1" t="s">
        <v>38</v>
      </c>
      <c r="K2935" s="1"/>
      <c r="L2935" s="1" t="s">
        <v>39</v>
      </c>
      <c r="M2935" s="1" t="str">
        <f>INDEX(MCC_Lookup!$B$2:$B$12,MATCH(G2935,MCC_Lookup!$A$2:$A$12,0))</f>
        <v>Office Supplies</v>
      </c>
      <c r="N2935" s="1" t="str">
        <f>IF(TRIM(H2935)="","BLANK",IF(PROPER(TRIM(H2935))=TRIM(M2935),"MATCH","MISMATCH"))</f>
        <v>MATCH</v>
      </c>
      <c r="O2935" s="5" t="str">
        <f>INDEX([1]Employee!$C$2:$C$276,MATCH(B2935,[1]Employee!$A$2:$A$276,0))</f>
        <v>Claims</v>
      </c>
    </row>
    <row r="2936" spans="1:15">
      <c r="A2936" s="1" t="s">
        <v>5733</v>
      </c>
      <c r="B2936" s="1" t="s">
        <v>50</v>
      </c>
      <c r="C2936" s="1"/>
      <c r="D2936" s="2">
        <v>46183</v>
      </c>
      <c r="E2936" s="2">
        <v>46186</v>
      </c>
      <c r="F2936" s="1" t="s">
        <v>72</v>
      </c>
      <c r="G2936" s="1" t="s">
        <v>8</v>
      </c>
      <c r="H2936" s="1" t="s">
        <v>494</v>
      </c>
      <c r="I2936" s="7">
        <v>16.93</v>
      </c>
      <c r="J2936" s="1" t="s">
        <v>38</v>
      </c>
      <c r="K2936" s="1"/>
      <c r="L2936" s="1" t="s">
        <v>39</v>
      </c>
      <c r="M2936" s="1" t="str">
        <f>INDEX(MCC_Lookup!$B$2:$B$12,MATCH(G2936,MCC_Lookup!$A$2:$A$12,0))</f>
        <v>Transportation</v>
      </c>
      <c r="N2936" s="1" t="str">
        <f>IF(TRIM(H2936)="","BLANK",IF(PROPER(TRIM(H2936))=TRIM(M2936),"MATCH","MISMATCH"))</f>
        <v>MATCH</v>
      </c>
      <c r="O2936" s="5" t="str">
        <f>INDEX([1]Employee!$C$2:$C$276,MATCH(B2936,[1]Employee!$A$2:$A$276,0))</f>
        <v>Sales &amp; Marketing</v>
      </c>
    </row>
    <row r="2937" spans="1:15">
      <c r="A2937" s="1" t="s">
        <v>5734</v>
      </c>
      <c r="B2937" s="1" t="s">
        <v>300</v>
      </c>
      <c r="C2937" s="1"/>
      <c r="D2937" s="2">
        <v>46186</v>
      </c>
      <c r="E2937" s="2">
        <v>46186</v>
      </c>
      <c r="F2937" s="1" t="s">
        <v>347</v>
      </c>
      <c r="G2937" s="1" t="s">
        <v>8</v>
      </c>
      <c r="H2937" s="1" t="s">
        <v>9</v>
      </c>
      <c r="I2937" s="7">
        <v>36.96</v>
      </c>
      <c r="J2937" s="1" t="s">
        <v>38</v>
      </c>
      <c r="K2937" s="1"/>
      <c r="L2937" s="1" t="s">
        <v>39</v>
      </c>
      <c r="M2937" s="1" t="str">
        <f>INDEX(MCC_Lookup!$B$2:$B$12,MATCH(G2937,MCC_Lookup!$A$2:$A$12,0))</f>
        <v>Transportation</v>
      </c>
      <c r="N2937" s="1" t="str">
        <f>IF(TRIM(H2937)="","BLANK",IF(PROPER(TRIM(H2937))=TRIM(M2937),"MATCH","MISMATCH"))</f>
        <v>MATCH</v>
      </c>
      <c r="O2937" s="5" t="str">
        <f>INDEX([1]Employee!$C$2:$C$276,MATCH(B2937,[1]Employee!$A$2:$A$276,0))</f>
        <v>Sales &amp; Marketing</v>
      </c>
    </row>
    <row r="2938" spans="1:15">
      <c r="A2938" s="1" t="s">
        <v>5735</v>
      </c>
      <c r="B2938" s="1" t="s">
        <v>810</v>
      </c>
      <c r="C2938" s="1"/>
      <c r="D2938" s="2">
        <v>46180</v>
      </c>
      <c r="E2938" s="2">
        <v>46186</v>
      </c>
      <c r="F2938" s="1" t="s">
        <v>242</v>
      </c>
      <c r="G2938" s="1" t="s">
        <v>13</v>
      </c>
      <c r="H2938" s="1"/>
      <c r="I2938" s="7">
        <v>38.200000000000003</v>
      </c>
      <c r="J2938" s="1" t="s">
        <v>38</v>
      </c>
      <c r="K2938" s="1"/>
      <c r="L2938" s="1" t="s">
        <v>39</v>
      </c>
      <c r="M2938" s="1" t="str">
        <f>INDEX(MCC_Lookup!$B$2:$B$12,MATCH(G2938,MCC_Lookup!$A$2:$A$12,0))</f>
        <v>Software</v>
      </c>
      <c r="N2938" s="1" t="str">
        <f>IF(TRIM(H2938)="","BLANK",IF(PROPER(TRIM(H2938))=TRIM(M2938),"MATCH","MISMATCH"))</f>
        <v>BLANK</v>
      </c>
      <c r="O2938" s="5" t="str">
        <f>INDEX([1]Employee!$C$2:$C$276,MATCH(B2938,[1]Employee!$A$2:$A$276,0))</f>
        <v>Sales &amp; Marketing</v>
      </c>
    </row>
    <row r="2939" spans="1:15">
      <c r="A2939" s="1" t="s">
        <v>5736</v>
      </c>
      <c r="B2939" s="1" t="s">
        <v>2925</v>
      </c>
      <c r="C2939" s="1" t="s">
        <v>5737</v>
      </c>
      <c r="D2939" s="2">
        <v>46183</v>
      </c>
      <c r="E2939" s="2">
        <v>46186</v>
      </c>
      <c r="F2939" s="1" t="s">
        <v>61</v>
      </c>
      <c r="G2939" s="1" t="s">
        <v>13</v>
      </c>
      <c r="H2939" s="1"/>
      <c r="I2939" s="7">
        <v>84.69</v>
      </c>
      <c r="J2939" s="1" t="s">
        <v>38</v>
      </c>
      <c r="K2939" s="1"/>
      <c r="L2939" s="1" t="s">
        <v>39</v>
      </c>
      <c r="M2939" s="1" t="str">
        <f>INDEX(MCC_Lookup!$B$2:$B$12,MATCH(G2939,MCC_Lookup!$A$2:$A$12,0))</f>
        <v>Software</v>
      </c>
      <c r="N2939" s="1" t="str">
        <f>IF(TRIM(H2939)="","BLANK",IF(PROPER(TRIM(H2939))=TRIM(M2939),"MATCH","MISMATCH"))</f>
        <v>BLANK</v>
      </c>
      <c r="O2939" s="5" t="str">
        <f>INDEX([1]Employee!$C$2:$C$276,MATCH(B2939,[1]Employee!$A$2:$A$276,0))</f>
        <v>Actuarial &amp; Risk</v>
      </c>
    </row>
    <row r="2940" spans="1:15">
      <c r="A2940" s="1" t="s">
        <v>5738</v>
      </c>
      <c r="B2940" s="1" t="s">
        <v>317</v>
      </c>
      <c r="C2940" s="1"/>
      <c r="D2940" s="2">
        <v>46181</v>
      </c>
      <c r="E2940" s="2">
        <v>46186</v>
      </c>
      <c r="F2940" s="1" t="s">
        <v>106</v>
      </c>
      <c r="G2940" s="1" t="s">
        <v>13</v>
      </c>
      <c r="H2940" s="1" t="s">
        <v>14</v>
      </c>
      <c r="I2940" s="7">
        <v>243.63</v>
      </c>
      <c r="J2940" s="1" t="s">
        <v>38</v>
      </c>
      <c r="K2940" s="1"/>
      <c r="L2940" s="1" t="s">
        <v>39</v>
      </c>
      <c r="M2940" s="1" t="str">
        <f>INDEX(MCC_Lookup!$B$2:$B$12,MATCH(G2940,MCC_Lookup!$A$2:$A$12,0))</f>
        <v>Software</v>
      </c>
      <c r="N2940" s="1" t="str">
        <f>IF(TRIM(H2940)="","BLANK",IF(PROPER(TRIM(H2940))=TRIM(M2940),"MATCH","MISMATCH"))</f>
        <v>MATCH</v>
      </c>
      <c r="O2940" s="5" t="str">
        <f>INDEX([1]Employee!$C$2:$C$276,MATCH(B2940,[1]Employee!$A$2:$A$276,0))</f>
        <v>Sales &amp; Marketing</v>
      </c>
    </row>
    <row r="2941" spans="1:15">
      <c r="A2941" s="1" t="s">
        <v>5739</v>
      </c>
      <c r="B2941" s="1" t="s">
        <v>2344</v>
      </c>
      <c r="C2941" s="1" t="s">
        <v>5740</v>
      </c>
      <c r="D2941" s="2">
        <v>46186</v>
      </c>
      <c r="E2941" s="2">
        <v>46186</v>
      </c>
      <c r="F2941" s="1" t="s">
        <v>120</v>
      </c>
      <c r="G2941" s="1" t="s">
        <v>12</v>
      </c>
      <c r="H2941" s="1" t="s">
        <v>11</v>
      </c>
      <c r="I2941" s="7">
        <v>330.19</v>
      </c>
      <c r="J2941" s="1" t="s">
        <v>38</v>
      </c>
      <c r="K2941" s="1"/>
      <c r="L2941" s="1" t="s">
        <v>48</v>
      </c>
      <c r="M2941" s="1" t="str">
        <f>INDEX(MCC_Lookup!$B$2:$B$12,MATCH(G2941,MCC_Lookup!$A$2:$A$12,0))</f>
        <v>Office Supplies</v>
      </c>
      <c r="N2941" s="1" t="str">
        <f>IF(TRIM(H2941)="","BLANK",IF(PROPER(TRIM(H2941))=TRIM(M2941),"MATCH","MISMATCH"))</f>
        <v>MATCH</v>
      </c>
      <c r="O2941" s="5" t="str">
        <f>INDEX([1]Employee!$C$2:$C$276,MATCH(B2941,[1]Employee!$A$2:$A$276,0))</f>
        <v>Claims</v>
      </c>
    </row>
    <row r="2942" spans="1:15">
      <c r="A2942" s="1" t="s">
        <v>5741</v>
      </c>
      <c r="B2942" s="1" t="s">
        <v>564</v>
      </c>
      <c r="C2942" s="1" t="s">
        <v>5742</v>
      </c>
      <c r="D2942" s="2">
        <v>46183</v>
      </c>
      <c r="E2942" s="2">
        <v>46186</v>
      </c>
      <c r="F2942" s="1" t="s">
        <v>116</v>
      </c>
      <c r="G2942" s="1" t="s">
        <v>2</v>
      </c>
      <c r="H2942" s="1" t="s">
        <v>3</v>
      </c>
      <c r="I2942" s="7">
        <v>9.73</v>
      </c>
      <c r="J2942" s="1" t="s">
        <v>38</v>
      </c>
      <c r="K2942" s="1"/>
      <c r="L2942" s="1" t="s">
        <v>39</v>
      </c>
      <c r="M2942" s="1" t="str">
        <f>INDEX(MCC_Lookup!$B$2:$B$12,MATCH(G2942,MCC_Lookup!$A$2:$A$12,0))</f>
        <v>Meals</v>
      </c>
      <c r="N2942" s="1" t="str">
        <f>IF(TRIM(H2942)="","BLANK",IF(PROPER(TRIM(H2942))=TRIM(M2942),"MATCH","MISMATCH"))</f>
        <v>MATCH</v>
      </c>
      <c r="O2942" s="5" t="str">
        <f>INDEX([1]Employee!$C$2:$C$276,MATCH(B2942,[1]Employee!$A$2:$A$276,0))</f>
        <v>Sales &amp; Marketing</v>
      </c>
    </row>
    <row r="2943" spans="1:15">
      <c r="A2943" s="1" t="s">
        <v>5743</v>
      </c>
      <c r="B2943" s="1" t="s">
        <v>716</v>
      </c>
      <c r="C2943" s="1" t="s">
        <v>5744</v>
      </c>
      <c r="D2943" s="2">
        <v>46176</v>
      </c>
      <c r="E2943" s="2">
        <v>46186</v>
      </c>
      <c r="F2943" s="1" t="s">
        <v>76</v>
      </c>
      <c r="G2943" s="1" t="s">
        <v>13</v>
      </c>
      <c r="H2943" s="1" t="s">
        <v>14</v>
      </c>
      <c r="I2943" s="7">
        <v>543.05999999999995</v>
      </c>
      <c r="J2943" s="1" t="s">
        <v>38</v>
      </c>
      <c r="K2943" s="1"/>
      <c r="L2943" s="1" t="s">
        <v>39</v>
      </c>
      <c r="M2943" s="1" t="str">
        <f>INDEX(MCC_Lookup!$B$2:$B$12,MATCH(G2943,MCC_Lookup!$A$2:$A$12,0))</f>
        <v>Software</v>
      </c>
      <c r="N2943" s="1" t="str">
        <f>IF(TRIM(H2943)="","BLANK",IF(PROPER(TRIM(H2943))=TRIM(M2943),"MATCH","MISMATCH"))</f>
        <v>MATCH</v>
      </c>
      <c r="O2943" s="5" t="str">
        <f>INDEX([1]Employee!$C$2:$C$276,MATCH(B2943,[1]Employee!$A$2:$A$276,0))</f>
        <v>Claims</v>
      </c>
    </row>
    <row r="2944" spans="1:15">
      <c r="A2944" s="1" t="s">
        <v>5745</v>
      </c>
      <c r="B2944" s="1" t="s">
        <v>815</v>
      </c>
      <c r="C2944" s="1"/>
      <c r="D2944" s="2">
        <v>46186</v>
      </c>
      <c r="E2944" s="2">
        <v>46186</v>
      </c>
      <c r="F2944" s="1" t="s">
        <v>106</v>
      </c>
      <c r="G2944" s="1" t="s">
        <v>13</v>
      </c>
      <c r="H2944" s="1" t="s">
        <v>419</v>
      </c>
      <c r="I2944" s="7">
        <v>190.63</v>
      </c>
      <c r="J2944" s="1" t="s">
        <v>111</v>
      </c>
      <c r="K2944" s="1" t="s">
        <v>161</v>
      </c>
      <c r="L2944" s="1" t="s">
        <v>39</v>
      </c>
      <c r="M2944" s="1" t="str">
        <f>INDEX(MCC_Lookup!$B$2:$B$12,MATCH(G2944,MCC_Lookup!$A$2:$A$12,0))</f>
        <v>Software</v>
      </c>
      <c r="N2944" s="1" t="str">
        <f>IF(TRIM(H2944)="","BLANK",IF(PROPER(TRIM(H2944))=TRIM(M2944),"MATCH","MISMATCH"))</f>
        <v>MATCH</v>
      </c>
      <c r="O2944" s="5" t="str">
        <f>INDEX([1]Employee!$C$2:$C$276,MATCH(B2944,[1]Employee!$A$2:$A$276,0))</f>
        <v>Claims</v>
      </c>
    </row>
    <row r="2945" spans="1:15">
      <c r="A2945" s="1" t="s">
        <v>5746</v>
      </c>
      <c r="B2945" s="1" t="s">
        <v>550</v>
      </c>
      <c r="C2945" s="1" t="s">
        <v>5747</v>
      </c>
      <c r="D2945" s="2">
        <v>46182</v>
      </c>
      <c r="E2945" s="2">
        <v>46187</v>
      </c>
      <c r="F2945" s="1" t="s">
        <v>76</v>
      </c>
      <c r="G2945" s="1" t="s">
        <v>13</v>
      </c>
      <c r="H2945" s="1" t="s">
        <v>14</v>
      </c>
      <c r="I2945" s="7">
        <v>520.42999999999995</v>
      </c>
      <c r="J2945" s="1" t="s">
        <v>38</v>
      </c>
      <c r="K2945" s="1"/>
      <c r="L2945" s="1" t="s">
        <v>39</v>
      </c>
      <c r="M2945" s="1" t="str">
        <f>INDEX(MCC_Lookup!$B$2:$B$12,MATCH(G2945,MCC_Lookup!$A$2:$A$12,0))</f>
        <v>Software</v>
      </c>
      <c r="N2945" s="1" t="str">
        <f>IF(TRIM(H2945)="","BLANK",IF(PROPER(TRIM(H2945))=TRIM(M2945),"MATCH","MISMATCH"))</f>
        <v>MATCH</v>
      </c>
      <c r="O2945" s="5" t="str">
        <f>INDEX([1]Employee!$C$2:$C$276,MATCH(B2945,[1]Employee!$A$2:$A$276,0))</f>
        <v>Sales &amp; Marketing</v>
      </c>
    </row>
    <row r="2946" spans="1:15">
      <c r="A2946" s="1" t="s">
        <v>5748</v>
      </c>
      <c r="B2946" s="1" t="s">
        <v>2564</v>
      </c>
      <c r="C2946" s="1" t="s">
        <v>5749</v>
      </c>
      <c r="D2946" s="2">
        <v>46180</v>
      </c>
      <c r="E2946" s="2">
        <v>46187</v>
      </c>
      <c r="F2946" s="1" t="s">
        <v>37</v>
      </c>
      <c r="G2946" s="1" t="s">
        <v>4</v>
      </c>
      <c r="H2946" s="1" t="s">
        <v>5</v>
      </c>
      <c r="I2946" s="7">
        <v>452.52</v>
      </c>
      <c r="J2946" s="1" t="s">
        <v>38</v>
      </c>
      <c r="K2946" s="1"/>
      <c r="L2946" s="1" t="s">
        <v>39</v>
      </c>
      <c r="M2946" s="1" t="str">
        <f>INDEX(MCC_Lookup!$B$2:$B$12,MATCH(G2946,MCC_Lookup!$A$2:$A$12,0))</f>
        <v>Travel</v>
      </c>
      <c r="N2946" s="1" t="str">
        <f>IF(TRIM(H2946)="","BLANK",IF(PROPER(TRIM(H2946))=TRIM(M2946),"MATCH","MISMATCH"))</f>
        <v>MATCH</v>
      </c>
      <c r="O2946" s="5" t="str">
        <f>INDEX([1]Employee!$C$2:$C$276,MATCH(B2946,[1]Employee!$A$2:$A$276,0))</f>
        <v>Underwriting</v>
      </c>
    </row>
    <row r="2947" spans="1:15">
      <c r="A2947" s="1" t="s">
        <v>5750</v>
      </c>
      <c r="B2947" s="1" t="s">
        <v>63</v>
      </c>
      <c r="C2947" s="1" t="s">
        <v>5751</v>
      </c>
      <c r="D2947" s="2">
        <v>46182</v>
      </c>
      <c r="E2947" s="2">
        <v>46187</v>
      </c>
      <c r="F2947" s="1" t="s">
        <v>177</v>
      </c>
      <c r="G2947" s="1" t="s">
        <v>13</v>
      </c>
      <c r="H2947" s="1" t="s">
        <v>14</v>
      </c>
      <c r="I2947" s="7">
        <v>12.58</v>
      </c>
      <c r="J2947" s="1" t="s">
        <v>38</v>
      </c>
      <c r="K2947" s="1"/>
      <c r="L2947" s="1" t="s">
        <v>39</v>
      </c>
      <c r="M2947" s="1" t="str">
        <f>INDEX(MCC_Lookup!$B$2:$B$12,MATCH(G2947,MCC_Lookup!$A$2:$A$12,0))</f>
        <v>Software</v>
      </c>
      <c r="N2947" s="1" t="str">
        <f>IF(TRIM(H2947)="","BLANK",IF(PROPER(TRIM(H2947))=TRIM(M2947),"MATCH","MISMATCH"))</f>
        <v>MATCH</v>
      </c>
      <c r="O2947" s="5" t="str">
        <f>INDEX([1]Employee!$C$2:$C$276,MATCH(B2947,[1]Employee!$A$2:$A$276,0))</f>
        <v>Sales &amp; Marketing</v>
      </c>
    </row>
    <row r="2948" spans="1:15">
      <c r="A2948" s="1" t="s">
        <v>5752</v>
      </c>
      <c r="B2948" s="1" t="s">
        <v>368</v>
      </c>
      <c r="C2948" s="1" t="s">
        <v>5753</v>
      </c>
      <c r="D2948" s="2">
        <v>46187</v>
      </c>
      <c r="E2948" s="2">
        <v>46187</v>
      </c>
      <c r="F2948" s="1" t="s">
        <v>76</v>
      </c>
      <c r="G2948" s="1" t="s">
        <v>13</v>
      </c>
      <c r="H2948" s="1" t="s">
        <v>14</v>
      </c>
      <c r="I2948" s="7">
        <v>494.7</v>
      </c>
      <c r="J2948" s="1" t="s">
        <v>38</v>
      </c>
      <c r="K2948" s="1"/>
      <c r="L2948" s="1" t="s">
        <v>39</v>
      </c>
      <c r="M2948" s="1" t="str">
        <f>INDEX(MCC_Lookup!$B$2:$B$12,MATCH(G2948,MCC_Lookup!$A$2:$A$12,0))</f>
        <v>Software</v>
      </c>
      <c r="N2948" s="1" t="str">
        <f>IF(TRIM(H2948)="","BLANK",IF(PROPER(TRIM(H2948))=TRIM(M2948),"MATCH","MISMATCH"))</f>
        <v>MATCH</v>
      </c>
      <c r="O2948" s="5" t="str">
        <f>INDEX([1]Employee!$C$2:$C$276,MATCH(B2948,[1]Employee!$A$2:$A$276,0))</f>
        <v>Actuarial &amp; Risk</v>
      </c>
    </row>
    <row r="2949" spans="1:15">
      <c r="A2949" s="1" t="s">
        <v>5754</v>
      </c>
      <c r="B2949" s="1" t="s">
        <v>1595</v>
      </c>
      <c r="C2949" s="1" t="s">
        <v>5755</v>
      </c>
      <c r="D2949" s="2">
        <v>46187</v>
      </c>
      <c r="E2949" s="2">
        <v>46187</v>
      </c>
      <c r="F2949" s="1" t="s">
        <v>83</v>
      </c>
      <c r="G2949" s="1" t="s">
        <v>2</v>
      </c>
      <c r="H2949" s="1" t="s">
        <v>3</v>
      </c>
      <c r="I2949" s="7">
        <v>25.81</v>
      </c>
      <c r="J2949" s="1" t="s">
        <v>38</v>
      </c>
      <c r="K2949" s="1"/>
      <c r="L2949" s="1" t="s">
        <v>39</v>
      </c>
      <c r="M2949" s="1" t="str">
        <f>INDEX(MCC_Lookup!$B$2:$B$12,MATCH(G2949,MCC_Lookup!$A$2:$A$12,0))</f>
        <v>Meals</v>
      </c>
      <c r="N2949" s="1" t="str">
        <f>IF(TRIM(H2949)="","BLANK",IF(PROPER(TRIM(H2949))=TRIM(M2949),"MATCH","MISMATCH"))</f>
        <v>MATCH</v>
      </c>
      <c r="O2949" s="5" t="str">
        <f>INDEX([1]Employee!$C$2:$C$276,MATCH(B2949,[1]Employee!$A$2:$A$276,0))</f>
        <v>HR &amp; Events</v>
      </c>
    </row>
    <row r="2950" spans="1:15">
      <c r="A2950" s="1" t="s">
        <v>5756</v>
      </c>
      <c r="B2950" s="1" t="s">
        <v>1051</v>
      </c>
      <c r="C2950" s="1" t="s">
        <v>5757</v>
      </c>
      <c r="D2950" s="2">
        <v>46180</v>
      </c>
      <c r="E2950" s="2">
        <v>46187</v>
      </c>
      <c r="F2950" s="1" t="s">
        <v>65</v>
      </c>
      <c r="G2950" s="1" t="s">
        <v>18</v>
      </c>
      <c r="H2950" s="1" t="s">
        <v>19</v>
      </c>
      <c r="I2950" s="7">
        <v>399.92</v>
      </c>
      <c r="J2950" s="1" t="s">
        <v>38</v>
      </c>
      <c r="K2950" s="1"/>
      <c r="L2950" s="1" t="s">
        <v>39</v>
      </c>
      <c r="M2950" s="1" t="str">
        <f>INDEX(MCC_Lookup!$B$2:$B$12,MATCH(G2950,MCC_Lookup!$A$2:$A$12,0))</f>
        <v>Events</v>
      </c>
      <c r="N2950" s="1" t="str">
        <f>IF(TRIM(H2950)="","BLANK",IF(PROPER(TRIM(H2950))=TRIM(M2950),"MATCH","MISMATCH"))</f>
        <v>MATCH</v>
      </c>
      <c r="O2950" s="5" t="str">
        <f>INDEX([1]Employee!$C$2:$C$276,MATCH(B2950,[1]Employee!$A$2:$A$276,0))</f>
        <v>Finance</v>
      </c>
    </row>
    <row r="2951" spans="1:15">
      <c r="A2951" s="1" t="s">
        <v>5758</v>
      </c>
      <c r="B2951" s="1" t="s">
        <v>2009</v>
      </c>
      <c r="C2951" s="1" t="s">
        <v>5759</v>
      </c>
      <c r="D2951" s="2">
        <v>46181</v>
      </c>
      <c r="E2951" s="2">
        <v>46187</v>
      </c>
      <c r="F2951" s="1" t="s">
        <v>177</v>
      </c>
      <c r="G2951" s="1" t="s">
        <v>13</v>
      </c>
      <c r="H2951" s="1" t="s">
        <v>14</v>
      </c>
      <c r="I2951" s="7">
        <v>20.05</v>
      </c>
      <c r="J2951" s="1" t="s">
        <v>38</v>
      </c>
      <c r="K2951" s="1"/>
      <c r="L2951" s="1" t="s">
        <v>39</v>
      </c>
      <c r="M2951" s="1" t="str">
        <f>INDEX(MCC_Lookup!$B$2:$B$12,MATCH(G2951,MCC_Lookup!$A$2:$A$12,0))</f>
        <v>Software</v>
      </c>
      <c r="N2951" s="1" t="str">
        <f>IF(TRIM(H2951)="","BLANK",IF(PROPER(TRIM(H2951))=TRIM(M2951),"MATCH","MISMATCH"))</f>
        <v>MATCH</v>
      </c>
      <c r="O2951" s="5" t="str">
        <f>INDEX([1]Employee!$C$2:$C$276,MATCH(B2951,[1]Employee!$A$2:$A$276,0))</f>
        <v>Finance</v>
      </c>
    </row>
    <row r="2952" spans="1:15">
      <c r="A2952" s="1" t="s">
        <v>5760</v>
      </c>
      <c r="B2952" s="1" t="s">
        <v>289</v>
      </c>
      <c r="C2952" s="1" t="s">
        <v>5761</v>
      </c>
      <c r="D2952" s="2">
        <v>46178</v>
      </c>
      <c r="E2952" s="2">
        <v>46187</v>
      </c>
      <c r="F2952" s="1" t="s">
        <v>61</v>
      </c>
      <c r="G2952" s="1" t="s">
        <v>13</v>
      </c>
      <c r="H2952" s="1" t="s">
        <v>14</v>
      </c>
      <c r="I2952" s="7">
        <v>37.4</v>
      </c>
      <c r="J2952" s="1" t="s">
        <v>38</v>
      </c>
      <c r="K2952" s="1"/>
      <c r="L2952" s="1" t="s">
        <v>48</v>
      </c>
      <c r="M2952" s="1" t="str">
        <f>INDEX(MCC_Lookup!$B$2:$B$12,MATCH(G2952,MCC_Lookup!$A$2:$A$12,0))</f>
        <v>Software</v>
      </c>
      <c r="N2952" s="1" t="str">
        <f>IF(TRIM(H2952)="","BLANK",IF(PROPER(TRIM(H2952))=TRIM(M2952),"MATCH","MISMATCH"))</f>
        <v>MATCH</v>
      </c>
      <c r="O2952" s="5" t="str">
        <f>INDEX([1]Employee!$C$2:$C$276,MATCH(B2952,[1]Employee!$A$2:$A$276,0))</f>
        <v>Finance</v>
      </c>
    </row>
    <row r="2953" spans="1:15">
      <c r="A2953" s="1" t="s">
        <v>5762</v>
      </c>
      <c r="B2953" s="1" t="s">
        <v>280</v>
      </c>
      <c r="C2953" s="1" t="s">
        <v>5763</v>
      </c>
      <c r="D2953" s="2">
        <v>46185</v>
      </c>
      <c r="E2953" s="2">
        <v>46187</v>
      </c>
      <c r="F2953" s="1" t="s">
        <v>305</v>
      </c>
      <c r="G2953" s="1" t="s">
        <v>2</v>
      </c>
      <c r="H2953" s="1" t="s">
        <v>3</v>
      </c>
      <c r="I2953" s="7">
        <v>8.65</v>
      </c>
      <c r="J2953" s="1" t="s">
        <v>38</v>
      </c>
      <c r="K2953" s="1"/>
      <c r="L2953" s="1" t="s">
        <v>39</v>
      </c>
      <c r="M2953" s="1" t="str">
        <f>INDEX(MCC_Lookup!$B$2:$B$12,MATCH(G2953,MCC_Lookup!$A$2:$A$12,0))</f>
        <v>Meals</v>
      </c>
      <c r="N2953" s="1" t="str">
        <f>IF(TRIM(H2953)="","BLANK",IF(PROPER(TRIM(H2953))=TRIM(M2953),"MATCH","MISMATCH"))</f>
        <v>MATCH</v>
      </c>
      <c r="O2953" s="5" t="str">
        <f>INDEX([1]Employee!$C$2:$C$276,MATCH(B2953,[1]Employee!$A$2:$A$276,0))</f>
        <v>Claims</v>
      </c>
    </row>
    <row r="2954" spans="1:15">
      <c r="A2954" s="1" t="s">
        <v>5764</v>
      </c>
      <c r="B2954" s="1" t="s">
        <v>716</v>
      </c>
      <c r="C2954" s="1" t="s">
        <v>5765</v>
      </c>
      <c r="D2954" s="2">
        <v>46184</v>
      </c>
      <c r="E2954" s="2">
        <v>46187</v>
      </c>
      <c r="F2954" s="1" t="s">
        <v>99</v>
      </c>
      <c r="G2954" s="1" t="s">
        <v>2</v>
      </c>
      <c r="H2954" s="1" t="s">
        <v>3</v>
      </c>
      <c r="I2954" s="7">
        <v>95.76</v>
      </c>
      <c r="J2954" s="1" t="s">
        <v>38</v>
      </c>
      <c r="K2954" s="1"/>
      <c r="L2954" s="1" t="s">
        <v>39</v>
      </c>
      <c r="M2954" s="1" t="str">
        <f>INDEX(MCC_Lookup!$B$2:$B$12,MATCH(G2954,MCC_Lookup!$A$2:$A$12,0))</f>
        <v>Meals</v>
      </c>
      <c r="N2954" s="1" t="str">
        <f>IF(TRIM(H2954)="","BLANK",IF(PROPER(TRIM(H2954))=TRIM(M2954),"MATCH","MISMATCH"))</f>
        <v>MATCH</v>
      </c>
      <c r="O2954" s="5" t="str">
        <f>INDEX([1]Employee!$C$2:$C$276,MATCH(B2954,[1]Employee!$A$2:$A$276,0))</f>
        <v>Claims</v>
      </c>
    </row>
    <row r="2955" spans="1:15">
      <c r="A2955" s="1" t="s">
        <v>5766</v>
      </c>
      <c r="B2955" s="1" t="s">
        <v>1440</v>
      </c>
      <c r="C2955" s="1" t="s">
        <v>5767</v>
      </c>
      <c r="D2955" s="2">
        <v>46186</v>
      </c>
      <c r="E2955" s="2">
        <v>46187</v>
      </c>
      <c r="F2955" s="1" t="s">
        <v>116</v>
      </c>
      <c r="G2955" s="1" t="s">
        <v>2</v>
      </c>
      <c r="H2955" s="1" t="s">
        <v>3</v>
      </c>
      <c r="I2955" s="7">
        <v>13.03</v>
      </c>
      <c r="J2955" s="1" t="s">
        <v>38</v>
      </c>
      <c r="K2955" s="1"/>
      <c r="L2955" s="1" t="s">
        <v>39</v>
      </c>
      <c r="M2955" s="1" t="str">
        <f>INDEX(MCC_Lookup!$B$2:$B$12,MATCH(G2955,MCC_Lookup!$A$2:$A$12,0))</f>
        <v>Meals</v>
      </c>
      <c r="N2955" s="1" t="str">
        <f>IF(TRIM(H2955)="","BLANK",IF(PROPER(TRIM(H2955))=TRIM(M2955),"MATCH","MISMATCH"))</f>
        <v>MATCH</v>
      </c>
      <c r="O2955" s="5" t="str">
        <f>INDEX([1]Employee!$C$2:$C$276,MATCH(B2955,[1]Employee!$A$2:$A$276,0))</f>
        <v>Claims</v>
      </c>
    </row>
    <row r="2956" spans="1:15">
      <c r="A2956" s="1" t="s">
        <v>5768</v>
      </c>
      <c r="B2956" s="1" t="s">
        <v>74</v>
      </c>
      <c r="C2956" s="1" t="s">
        <v>5769</v>
      </c>
      <c r="D2956" s="2">
        <v>46184</v>
      </c>
      <c r="E2956" s="2">
        <v>46187</v>
      </c>
      <c r="F2956" s="1" t="s">
        <v>201</v>
      </c>
      <c r="G2956" s="1" t="s">
        <v>4</v>
      </c>
      <c r="H2956" s="1" t="s">
        <v>5</v>
      </c>
      <c r="I2956" s="7">
        <v>571.41999999999996</v>
      </c>
      <c r="J2956" s="1" t="s">
        <v>38</v>
      </c>
      <c r="K2956" s="1"/>
      <c r="L2956" s="1" t="s">
        <v>48</v>
      </c>
      <c r="M2956" s="1" t="str">
        <f>INDEX(MCC_Lookup!$B$2:$B$12,MATCH(G2956,MCC_Lookup!$A$2:$A$12,0))</f>
        <v>Travel</v>
      </c>
      <c r="N2956" s="1" t="str">
        <f>IF(TRIM(H2956)="","BLANK",IF(PROPER(TRIM(H2956))=TRIM(M2956),"MATCH","MISMATCH"))</f>
        <v>MATCH</v>
      </c>
      <c r="O2956" s="5" t="str">
        <f>INDEX([1]Employee!$C$2:$C$276,MATCH(B2956,[1]Employee!$A$2:$A$276,0))</f>
        <v>Underwriting</v>
      </c>
    </row>
    <row r="2957" spans="1:15">
      <c r="A2957" s="1" t="s">
        <v>5770</v>
      </c>
      <c r="B2957" s="1" t="s">
        <v>475</v>
      </c>
      <c r="C2957" s="1" t="s">
        <v>5771</v>
      </c>
      <c r="D2957" s="2">
        <v>46182</v>
      </c>
      <c r="E2957" s="2">
        <v>46187</v>
      </c>
      <c r="F2957" s="1" t="s">
        <v>83</v>
      </c>
      <c r="G2957" s="1" t="s">
        <v>2</v>
      </c>
      <c r="H2957" s="1" t="s">
        <v>138</v>
      </c>
      <c r="I2957" s="7">
        <v>20.82</v>
      </c>
      <c r="J2957" s="1" t="s">
        <v>38</v>
      </c>
      <c r="K2957" s="1"/>
      <c r="L2957" s="1" t="s">
        <v>48</v>
      </c>
      <c r="M2957" s="1" t="str">
        <f>INDEX(MCC_Lookup!$B$2:$B$12,MATCH(G2957,MCC_Lookup!$A$2:$A$12,0))</f>
        <v>Meals</v>
      </c>
      <c r="N2957" s="1" t="str">
        <f>IF(TRIM(H2957)="","BLANK",IF(PROPER(TRIM(H2957))=TRIM(M2957),"MATCH","MISMATCH"))</f>
        <v>MATCH</v>
      </c>
      <c r="O2957" s="5" t="str">
        <f>INDEX([1]Employee!$C$2:$C$276,MATCH(B2957,[1]Employee!$A$2:$A$276,0))</f>
        <v>Sales &amp; Marketing</v>
      </c>
    </row>
    <row r="2958" spans="1:15">
      <c r="A2958" s="1" t="s">
        <v>5772</v>
      </c>
      <c r="B2958" s="1" t="s">
        <v>303</v>
      </c>
      <c r="C2958" s="1" t="s">
        <v>5773</v>
      </c>
      <c r="D2958" s="2">
        <v>46177</v>
      </c>
      <c r="E2958" s="2">
        <v>46187</v>
      </c>
      <c r="F2958" s="1" t="s">
        <v>160</v>
      </c>
      <c r="G2958" s="1" t="s">
        <v>6</v>
      </c>
      <c r="H2958" s="1" t="s">
        <v>7</v>
      </c>
      <c r="I2958" s="7">
        <v>189.41</v>
      </c>
      <c r="J2958" s="1" t="s">
        <v>38</v>
      </c>
      <c r="K2958" s="1"/>
      <c r="L2958" s="1" t="s">
        <v>39</v>
      </c>
      <c r="M2958" s="1" t="str">
        <f>INDEX(MCC_Lookup!$B$2:$B$12,MATCH(G2958,MCC_Lookup!$A$2:$A$12,0))</f>
        <v>Lodging</v>
      </c>
      <c r="N2958" s="1" t="str">
        <f>IF(TRIM(H2958)="","BLANK",IF(PROPER(TRIM(H2958))=TRIM(M2958),"MATCH","MISMATCH"))</f>
        <v>MATCH</v>
      </c>
      <c r="O2958" s="5" t="str">
        <f>INDEX([1]Employee!$C$2:$C$276,MATCH(B2958,[1]Employee!$A$2:$A$276,0))</f>
        <v>Sales &amp; Marketing</v>
      </c>
    </row>
    <row r="2959" spans="1:15">
      <c r="A2959" s="1" t="s">
        <v>5774</v>
      </c>
      <c r="B2959" s="1" t="s">
        <v>1188</v>
      </c>
      <c r="C2959" s="1" t="s">
        <v>5775</v>
      </c>
      <c r="D2959" s="2">
        <v>46178</v>
      </c>
      <c r="E2959" s="2">
        <v>46187</v>
      </c>
      <c r="F2959" s="1" t="s">
        <v>56</v>
      </c>
      <c r="G2959" s="1" t="s">
        <v>4</v>
      </c>
      <c r="H2959" s="1" t="s">
        <v>714</v>
      </c>
      <c r="I2959" s="7">
        <v>632.79</v>
      </c>
      <c r="J2959" s="1" t="s">
        <v>38</v>
      </c>
      <c r="K2959" s="1"/>
      <c r="L2959" s="1" t="s">
        <v>39</v>
      </c>
      <c r="M2959" s="1" t="str">
        <f>INDEX(MCC_Lookup!$B$2:$B$12,MATCH(G2959,MCC_Lookup!$A$2:$A$12,0))</f>
        <v>Travel</v>
      </c>
      <c r="N2959" s="1" t="str">
        <f>IF(TRIM(H2959)="","BLANK",IF(PROPER(TRIM(H2959))=TRIM(M2959),"MATCH","MISMATCH"))</f>
        <v>MATCH</v>
      </c>
      <c r="O2959" s="5" t="str">
        <f>INDEX([1]Employee!$C$2:$C$276,MATCH(B2959,[1]Employee!$A$2:$A$276,0))</f>
        <v>Executive &amp; Corporate</v>
      </c>
    </row>
    <row r="2960" spans="1:15">
      <c r="A2960" s="1" t="s">
        <v>5776</v>
      </c>
      <c r="B2960" s="1" t="s">
        <v>194</v>
      </c>
      <c r="C2960" s="1" t="s">
        <v>5777</v>
      </c>
      <c r="D2960" s="2">
        <v>46180</v>
      </c>
      <c r="E2960" s="2">
        <v>46187</v>
      </c>
      <c r="F2960" s="1" t="s">
        <v>109</v>
      </c>
      <c r="G2960" s="1" t="s">
        <v>18</v>
      </c>
      <c r="H2960" s="1" t="s">
        <v>19</v>
      </c>
      <c r="I2960" s="7">
        <v>225.27</v>
      </c>
      <c r="J2960" s="1" t="s">
        <v>38</v>
      </c>
      <c r="K2960" s="1"/>
      <c r="L2960" s="1" t="s">
        <v>48</v>
      </c>
      <c r="M2960" s="1" t="str">
        <f>INDEX(MCC_Lookup!$B$2:$B$12,MATCH(G2960,MCC_Lookup!$A$2:$A$12,0))</f>
        <v>Events</v>
      </c>
      <c r="N2960" s="1" t="str">
        <f>IF(TRIM(H2960)="","BLANK",IF(PROPER(TRIM(H2960))=TRIM(M2960),"MATCH","MISMATCH"))</f>
        <v>MATCH</v>
      </c>
      <c r="O2960" s="5" t="str">
        <f>INDEX([1]Employee!$C$2:$C$276,MATCH(B2960,[1]Employee!$A$2:$A$276,0))</f>
        <v>Claims</v>
      </c>
    </row>
    <row r="2961" spans="1:15">
      <c r="A2961" s="1" t="s">
        <v>5778</v>
      </c>
      <c r="B2961" s="1" t="s">
        <v>1876</v>
      </c>
      <c r="C2961" s="1" t="s">
        <v>5779</v>
      </c>
      <c r="D2961" s="2">
        <v>46181</v>
      </c>
      <c r="E2961" s="2">
        <v>46187</v>
      </c>
      <c r="F2961" s="1" t="s">
        <v>61</v>
      </c>
      <c r="G2961" s="1" t="s">
        <v>13</v>
      </c>
      <c r="H2961" s="1" t="s">
        <v>14</v>
      </c>
      <c r="I2961" s="7">
        <v>84.7</v>
      </c>
      <c r="J2961" s="1" t="s">
        <v>38</v>
      </c>
      <c r="K2961" s="1"/>
      <c r="L2961" s="1" t="s">
        <v>39</v>
      </c>
      <c r="M2961" s="1" t="str">
        <f>INDEX(MCC_Lookup!$B$2:$B$12,MATCH(G2961,MCC_Lookup!$A$2:$A$12,0))</f>
        <v>Software</v>
      </c>
      <c r="N2961" s="1" t="str">
        <f>IF(TRIM(H2961)="","BLANK",IF(PROPER(TRIM(H2961))=TRIM(M2961),"MATCH","MISMATCH"))</f>
        <v>MATCH</v>
      </c>
      <c r="O2961" s="5" t="str">
        <f>INDEX([1]Employee!$C$2:$C$276,MATCH(B2961,[1]Employee!$A$2:$A$276,0))</f>
        <v>IT &amp; Platform Engineering</v>
      </c>
    </row>
    <row r="2962" spans="1:15">
      <c r="A2962" s="1" t="s">
        <v>5780</v>
      </c>
      <c r="B2962" s="1" t="s">
        <v>792</v>
      </c>
      <c r="C2962" s="1" t="s">
        <v>5781</v>
      </c>
      <c r="D2962" s="2">
        <v>46188</v>
      </c>
      <c r="E2962" s="2">
        <v>46188</v>
      </c>
      <c r="F2962" s="1" t="s">
        <v>201</v>
      </c>
      <c r="G2962" s="1" t="s">
        <v>4</v>
      </c>
      <c r="H2962" s="1" t="s">
        <v>5</v>
      </c>
      <c r="I2962" s="7">
        <v>306.24</v>
      </c>
      <c r="J2962" s="1" t="s">
        <v>38</v>
      </c>
      <c r="K2962" s="1"/>
      <c r="L2962" s="1" t="s">
        <v>39</v>
      </c>
      <c r="M2962" s="1" t="str">
        <f>INDEX(MCC_Lookup!$B$2:$B$12,MATCH(G2962,MCC_Lookup!$A$2:$A$12,0))</f>
        <v>Travel</v>
      </c>
      <c r="N2962" s="1" t="str">
        <f>IF(TRIM(H2962)="","BLANK",IF(PROPER(TRIM(H2962))=TRIM(M2962),"MATCH","MISMATCH"))</f>
        <v>MATCH</v>
      </c>
      <c r="O2962" s="5" t="str">
        <f>INDEX([1]Employee!$C$2:$C$276,MATCH(B2962,[1]Employee!$A$2:$A$276,0))</f>
        <v>Underwriting</v>
      </c>
    </row>
    <row r="2963" spans="1:15">
      <c r="A2963" s="1" t="s">
        <v>5782</v>
      </c>
      <c r="B2963" s="1" t="s">
        <v>194</v>
      </c>
      <c r="C2963" s="1" t="s">
        <v>5783</v>
      </c>
      <c r="D2963" s="2">
        <v>46183</v>
      </c>
      <c r="E2963" s="2">
        <v>46188</v>
      </c>
      <c r="F2963" s="1" t="s">
        <v>43</v>
      </c>
      <c r="G2963" s="1" t="s">
        <v>2</v>
      </c>
      <c r="H2963" s="1" t="s">
        <v>3</v>
      </c>
      <c r="I2963" s="7">
        <v>11.2</v>
      </c>
      <c r="J2963" s="1" t="s">
        <v>38</v>
      </c>
      <c r="K2963" s="1"/>
      <c r="L2963" s="1" t="s">
        <v>39</v>
      </c>
      <c r="M2963" s="1" t="str">
        <f>INDEX(MCC_Lookup!$B$2:$B$12,MATCH(G2963,MCC_Lookup!$A$2:$A$12,0))</f>
        <v>Meals</v>
      </c>
      <c r="N2963" s="1" t="str">
        <f>IF(TRIM(H2963)="","BLANK",IF(PROPER(TRIM(H2963))=TRIM(M2963),"MATCH","MISMATCH"))</f>
        <v>MATCH</v>
      </c>
      <c r="O2963" s="5" t="str">
        <f>INDEX([1]Employee!$C$2:$C$276,MATCH(B2963,[1]Employee!$A$2:$A$276,0))</f>
        <v>Claims</v>
      </c>
    </row>
    <row r="2964" spans="1:15">
      <c r="A2964" s="1" t="s">
        <v>5784</v>
      </c>
      <c r="B2964" s="1" t="s">
        <v>679</v>
      </c>
      <c r="C2964" s="1"/>
      <c r="D2964" s="2">
        <v>46179</v>
      </c>
      <c r="E2964" s="2">
        <v>46188</v>
      </c>
      <c r="F2964" s="1" t="s">
        <v>52</v>
      </c>
      <c r="G2964" s="1" t="s">
        <v>15</v>
      </c>
      <c r="H2964" s="1" t="s">
        <v>16</v>
      </c>
      <c r="I2964" s="7">
        <v>22.7</v>
      </c>
      <c r="J2964" s="1" t="s">
        <v>111</v>
      </c>
      <c r="K2964" s="1" t="s">
        <v>127</v>
      </c>
      <c r="L2964" s="1" t="s">
        <v>39</v>
      </c>
      <c r="M2964" s="1" t="str">
        <f>INDEX(MCC_Lookup!$B$2:$B$12,MATCH(G2964,MCC_Lookup!$A$2:$A$12,0))</f>
        <v>Entertainment</v>
      </c>
      <c r="N2964" s="1" t="str">
        <f>IF(TRIM(H2964)="","BLANK",IF(PROPER(TRIM(H2964))=TRIM(M2964),"MATCH","MISMATCH"))</f>
        <v>MATCH</v>
      </c>
      <c r="O2964" s="5" t="str">
        <f>INDEX([1]Employee!$C$2:$C$276,MATCH(B2964,[1]Employee!$A$2:$A$276,0))</f>
        <v>Sales &amp; Marketing</v>
      </c>
    </row>
    <row r="2965" spans="1:15">
      <c r="A2965" s="1" t="s">
        <v>5785</v>
      </c>
      <c r="B2965" s="1" t="s">
        <v>1188</v>
      </c>
      <c r="C2965" s="1" t="s">
        <v>5786</v>
      </c>
      <c r="D2965" s="2">
        <v>46178</v>
      </c>
      <c r="E2965" s="2">
        <v>46188</v>
      </c>
      <c r="F2965" s="1" t="s">
        <v>43</v>
      </c>
      <c r="G2965" s="1" t="s">
        <v>2</v>
      </c>
      <c r="H2965" s="1" t="s">
        <v>3</v>
      </c>
      <c r="I2965" s="7">
        <v>9.23</v>
      </c>
      <c r="J2965" s="1" t="s">
        <v>38</v>
      </c>
      <c r="K2965" s="1"/>
      <c r="L2965" s="1" t="s">
        <v>39</v>
      </c>
      <c r="M2965" s="1" t="str">
        <f>INDEX(MCC_Lookup!$B$2:$B$12,MATCH(G2965,MCC_Lookup!$A$2:$A$12,0))</f>
        <v>Meals</v>
      </c>
      <c r="N2965" s="1" t="str">
        <f>IF(TRIM(H2965)="","BLANK",IF(PROPER(TRIM(H2965))=TRIM(M2965),"MATCH","MISMATCH"))</f>
        <v>MATCH</v>
      </c>
      <c r="O2965" s="5" t="str">
        <f>INDEX([1]Employee!$C$2:$C$276,MATCH(B2965,[1]Employee!$A$2:$A$276,0))</f>
        <v>Executive &amp; Corporate</v>
      </c>
    </row>
    <row r="2966" spans="1:15">
      <c r="A2966" s="1" t="s">
        <v>5787</v>
      </c>
      <c r="B2966" s="1" t="s">
        <v>250</v>
      </c>
      <c r="C2966" s="1"/>
      <c r="D2966" s="2">
        <v>46186</v>
      </c>
      <c r="E2966" s="2">
        <v>46188</v>
      </c>
      <c r="F2966" s="1" t="s">
        <v>99</v>
      </c>
      <c r="G2966" s="1" t="s">
        <v>2</v>
      </c>
      <c r="H2966" s="1" t="s">
        <v>3</v>
      </c>
      <c r="I2966" s="7">
        <v>45.84</v>
      </c>
      <c r="J2966" s="1" t="s">
        <v>38</v>
      </c>
      <c r="K2966" s="1"/>
      <c r="L2966" s="1" t="s">
        <v>39</v>
      </c>
      <c r="M2966" s="1" t="str">
        <f>INDEX(MCC_Lookup!$B$2:$B$12,MATCH(G2966,MCC_Lookup!$A$2:$A$12,0))</f>
        <v>Meals</v>
      </c>
      <c r="N2966" s="1" t="str">
        <f>IF(TRIM(H2966)="","BLANK",IF(PROPER(TRIM(H2966))=TRIM(M2966),"MATCH","MISMATCH"))</f>
        <v>MATCH</v>
      </c>
      <c r="O2966" s="5" t="str">
        <f>INDEX([1]Employee!$C$2:$C$276,MATCH(B2966,[1]Employee!$A$2:$A$276,0))</f>
        <v>Sales &amp; Marketing</v>
      </c>
    </row>
    <row r="2967" spans="1:15">
      <c r="A2967" s="1" t="s">
        <v>5788</v>
      </c>
      <c r="B2967" s="1" t="s">
        <v>610</v>
      </c>
      <c r="C2967" s="1" t="s">
        <v>5789</v>
      </c>
      <c r="D2967" s="2">
        <v>46182</v>
      </c>
      <c r="E2967" s="2">
        <v>46188</v>
      </c>
      <c r="F2967" s="1" t="s">
        <v>43</v>
      </c>
      <c r="G2967" s="1" t="s">
        <v>2</v>
      </c>
      <c r="H2967" s="1" t="s">
        <v>3</v>
      </c>
      <c r="I2967" s="7">
        <v>7.01</v>
      </c>
      <c r="J2967" s="1" t="s">
        <v>38</v>
      </c>
      <c r="K2967" s="1"/>
      <c r="L2967" s="1" t="s">
        <v>39</v>
      </c>
      <c r="M2967" s="1" t="str">
        <f>INDEX(MCC_Lookup!$B$2:$B$12,MATCH(G2967,MCC_Lookup!$A$2:$A$12,0))</f>
        <v>Meals</v>
      </c>
      <c r="N2967" s="1" t="str">
        <f>IF(TRIM(H2967)="","BLANK",IF(PROPER(TRIM(H2967))=TRIM(M2967),"MATCH","MISMATCH"))</f>
        <v>MATCH</v>
      </c>
      <c r="O2967" s="5" t="str">
        <f>INDEX([1]Employee!$C$2:$C$276,MATCH(B2967,[1]Employee!$A$2:$A$276,0))</f>
        <v>Actuarial &amp; Risk</v>
      </c>
    </row>
    <row r="2968" spans="1:15">
      <c r="A2968" s="1" t="s">
        <v>5790</v>
      </c>
      <c r="B2968" s="1" t="s">
        <v>185</v>
      </c>
      <c r="C2968" s="1" t="s">
        <v>5791</v>
      </c>
      <c r="D2968" s="2">
        <v>46184</v>
      </c>
      <c r="E2968" s="2">
        <v>46188</v>
      </c>
      <c r="F2968" s="1" t="s">
        <v>173</v>
      </c>
      <c r="G2968" s="1" t="s">
        <v>2</v>
      </c>
      <c r="H2968" s="1" t="s">
        <v>3</v>
      </c>
      <c r="I2968" s="7">
        <v>76.790000000000006</v>
      </c>
      <c r="J2968" s="1" t="s">
        <v>38</v>
      </c>
      <c r="K2968" s="1"/>
      <c r="L2968" s="1" t="s">
        <v>39</v>
      </c>
      <c r="M2968" s="1" t="str">
        <f>INDEX(MCC_Lookup!$B$2:$B$12,MATCH(G2968,MCC_Lookup!$A$2:$A$12,0))</f>
        <v>Meals</v>
      </c>
      <c r="N2968" s="1" t="str">
        <f>IF(TRIM(H2968)="","BLANK",IF(PROPER(TRIM(H2968))=TRIM(M2968),"MATCH","MISMATCH"))</f>
        <v>MATCH</v>
      </c>
      <c r="O2968" s="5" t="str">
        <f>INDEX([1]Employee!$C$2:$C$276,MATCH(B2968,[1]Employee!$A$2:$A$276,0))</f>
        <v>Underwriting</v>
      </c>
    </row>
    <row r="2969" spans="1:15">
      <c r="A2969" s="1" t="s">
        <v>5792</v>
      </c>
      <c r="B2969" s="1" t="s">
        <v>63</v>
      </c>
      <c r="C2969" s="1" t="s">
        <v>5793</v>
      </c>
      <c r="D2969" s="2">
        <v>46187</v>
      </c>
      <c r="E2969" s="2">
        <v>46188</v>
      </c>
      <c r="F2969" s="1" t="s">
        <v>160</v>
      </c>
      <c r="G2969" s="1" t="s">
        <v>6</v>
      </c>
      <c r="H2969" s="1" t="s">
        <v>7</v>
      </c>
      <c r="I2969" s="7">
        <v>347.29</v>
      </c>
      <c r="J2969" s="1" t="s">
        <v>38</v>
      </c>
      <c r="K2969" s="1"/>
      <c r="L2969" s="1" t="s">
        <v>39</v>
      </c>
      <c r="M2969" s="1" t="str">
        <f>INDEX(MCC_Lookup!$B$2:$B$12,MATCH(G2969,MCC_Lookup!$A$2:$A$12,0))</f>
        <v>Lodging</v>
      </c>
      <c r="N2969" s="1" t="str">
        <f>IF(TRIM(H2969)="","BLANK",IF(PROPER(TRIM(H2969))=TRIM(M2969),"MATCH","MISMATCH"))</f>
        <v>MATCH</v>
      </c>
      <c r="O2969" s="5" t="str">
        <f>INDEX([1]Employee!$C$2:$C$276,MATCH(B2969,[1]Employee!$A$2:$A$276,0))</f>
        <v>Sales &amp; Marketing</v>
      </c>
    </row>
    <row r="2970" spans="1:15">
      <c r="A2970" s="1" t="s">
        <v>5794</v>
      </c>
      <c r="B2970" s="1" t="s">
        <v>836</v>
      </c>
      <c r="C2970" s="1" t="s">
        <v>5795</v>
      </c>
      <c r="D2970" s="2">
        <v>46181</v>
      </c>
      <c r="E2970" s="2">
        <v>46188</v>
      </c>
      <c r="F2970" s="1" t="s">
        <v>79</v>
      </c>
      <c r="G2970" s="1" t="s">
        <v>13</v>
      </c>
      <c r="H2970" s="1" t="s">
        <v>14</v>
      </c>
      <c r="I2970" s="7">
        <v>197</v>
      </c>
      <c r="J2970" s="1" t="s">
        <v>38</v>
      </c>
      <c r="K2970" s="1"/>
      <c r="L2970" s="1" t="s">
        <v>39</v>
      </c>
      <c r="M2970" s="1" t="str">
        <f>INDEX(MCC_Lookup!$B$2:$B$12,MATCH(G2970,MCC_Lookup!$A$2:$A$12,0))</f>
        <v>Software</v>
      </c>
      <c r="N2970" s="1" t="str">
        <f>IF(TRIM(H2970)="","BLANK",IF(PROPER(TRIM(H2970))=TRIM(M2970),"MATCH","MISMATCH"))</f>
        <v>MATCH</v>
      </c>
      <c r="O2970" s="5" t="str">
        <f>INDEX([1]Employee!$C$2:$C$276,MATCH(B2970,[1]Employee!$A$2:$A$276,0))</f>
        <v>Sales &amp; Marketing</v>
      </c>
    </row>
    <row r="2971" spans="1:15">
      <c r="A2971" s="1" t="s">
        <v>5796</v>
      </c>
      <c r="B2971" s="1" t="s">
        <v>373</v>
      </c>
      <c r="C2971" s="1" t="s">
        <v>5797</v>
      </c>
      <c r="D2971" s="2">
        <v>46182</v>
      </c>
      <c r="E2971" s="2">
        <v>46188</v>
      </c>
      <c r="F2971" s="1" t="s">
        <v>201</v>
      </c>
      <c r="G2971" s="1" t="s">
        <v>4</v>
      </c>
      <c r="H2971" s="1" t="s">
        <v>5</v>
      </c>
      <c r="I2971" s="7">
        <v>292.29000000000002</v>
      </c>
      <c r="J2971" s="1" t="s">
        <v>38</v>
      </c>
      <c r="K2971" s="1"/>
      <c r="L2971" s="1" t="s">
        <v>39</v>
      </c>
      <c r="M2971" s="1" t="str">
        <f>INDEX(MCC_Lookup!$B$2:$B$12,MATCH(G2971,MCC_Lookup!$A$2:$A$12,0))</f>
        <v>Travel</v>
      </c>
      <c r="N2971" s="1" t="str">
        <f>IF(TRIM(H2971)="","BLANK",IF(PROPER(TRIM(H2971))=TRIM(M2971),"MATCH","MISMATCH"))</f>
        <v>MATCH</v>
      </c>
      <c r="O2971" s="5" t="str">
        <f>INDEX([1]Employee!$C$2:$C$276,MATCH(B2971,[1]Employee!$A$2:$A$276,0))</f>
        <v>Sales &amp; Marketing</v>
      </c>
    </row>
    <row r="2972" spans="1:15">
      <c r="A2972" s="1" t="s">
        <v>5798</v>
      </c>
      <c r="B2972" s="1" t="s">
        <v>399</v>
      </c>
      <c r="C2972" s="1" t="s">
        <v>5799</v>
      </c>
      <c r="D2972" s="2">
        <v>46180</v>
      </c>
      <c r="E2972" s="2">
        <v>46188</v>
      </c>
      <c r="F2972" s="1" t="s">
        <v>72</v>
      </c>
      <c r="G2972" s="1" t="s">
        <v>8</v>
      </c>
      <c r="H2972" s="1" t="s">
        <v>9</v>
      </c>
      <c r="I2972" s="7">
        <v>36.33</v>
      </c>
      <c r="J2972" s="1" t="s">
        <v>38</v>
      </c>
      <c r="K2972" s="1"/>
      <c r="L2972" s="1" t="s">
        <v>39</v>
      </c>
      <c r="M2972" s="1" t="str">
        <f>INDEX(MCC_Lookup!$B$2:$B$12,MATCH(G2972,MCC_Lookup!$A$2:$A$12,0))</f>
        <v>Transportation</v>
      </c>
      <c r="N2972" s="1" t="str">
        <f>IF(TRIM(H2972)="","BLANK",IF(PROPER(TRIM(H2972))=TRIM(M2972),"MATCH","MISMATCH"))</f>
        <v>MATCH</v>
      </c>
      <c r="O2972" s="5" t="str">
        <f>INDEX([1]Employee!$C$2:$C$276,MATCH(B2972,[1]Employee!$A$2:$A$276,0))</f>
        <v>IT &amp; Platform Engineering</v>
      </c>
    </row>
    <row r="2973" spans="1:15">
      <c r="A2973" s="1" t="s">
        <v>5800</v>
      </c>
      <c r="B2973" s="1" t="s">
        <v>35</v>
      </c>
      <c r="C2973" s="1" t="s">
        <v>5801</v>
      </c>
      <c r="D2973" s="2">
        <v>46183</v>
      </c>
      <c r="E2973" s="2">
        <v>46188</v>
      </c>
      <c r="F2973" s="1" t="s">
        <v>79</v>
      </c>
      <c r="G2973" s="1" t="s">
        <v>13</v>
      </c>
      <c r="H2973" s="1" t="s">
        <v>14</v>
      </c>
      <c r="I2973" s="7">
        <v>248.71</v>
      </c>
      <c r="J2973" s="1" t="s">
        <v>38</v>
      </c>
      <c r="K2973" s="1"/>
      <c r="L2973" s="1" t="s">
        <v>39</v>
      </c>
      <c r="M2973" s="1" t="str">
        <f>INDEX(MCC_Lookup!$B$2:$B$12,MATCH(G2973,MCC_Lookup!$A$2:$A$12,0))</f>
        <v>Software</v>
      </c>
      <c r="N2973" s="1" t="str">
        <f>IF(TRIM(H2973)="","BLANK",IF(PROPER(TRIM(H2973))=TRIM(M2973),"MATCH","MISMATCH"))</f>
        <v>MATCH</v>
      </c>
      <c r="O2973" s="5" t="str">
        <f>INDEX([1]Employee!$C$2:$C$276,MATCH(B2973,[1]Employee!$A$2:$A$276,0))</f>
        <v>Sales &amp; Marketing</v>
      </c>
    </row>
    <row r="2974" spans="1:15">
      <c r="A2974" s="1" t="s">
        <v>5802</v>
      </c>
      <c r="B2974" s="1" t="s">
        <v>475</v>
      </c>
      <c r="C2974" s="1"/>
      <c r="D2974" s="2">
        <v>46186</v>
      </c>
      <c r="E2974" s="2">
        <v>46188</v>
      </c>
      <c r="F2974" s="1" t="s">
        <v>76</v>
      </c>
      <c r="G2974" s="1" t="s">
        <v>13</v>
      </c>
      <c r="H2974" s="1" t="s">
        <v>14</v>
      </c>
      <c r="I2974" s="7">
        <v>235.05</v>
      </c>
      <c r="J2974" s="1" t="s">
        <v>111</v>
      </c>
      <c r="K2974" s="1" t="s">
        <v>229</v>
      </c>
      <c r="L2974" s="1" t="s">
        <v>39</v>
      </c>
      <c r="M2974" s="1" t="str">
        <f>INDEX(MCC_Lookup!$B$2:$B$12,MATCH(G2974,MCC_Lookup!$A$2:$A$12,0))</f>
        <v>Software</v>
      </c>
      <c r="N2974" s="1" t="str">
        <f>IF(TRIM(H2974)="","BLANK",IF(PROPER(TRIM(H2974))=TRIM(M2974),"MATCH","MISMATCH"))</f>
        <v>MATCH</v>
      </c>
      <c r="O2974" s="5" t="str">
        <f>INDEX([1]Employee!$C$2:$C$276,MATCH(B2974,[1]Employee!$A$2:$A$276,0))</f>
        <v>Sales &amp; Marketing</v>
      </c>
    </row>
    <row r="2975" spans="1:15">
      <c r="A2975" s="1" t="s">
        <v>5803</v>
      </c>
      <c r="B2975" s="1" t="s">
        <v>247</v>
      </c>
      <c r="C2975" s="1" t="s">
        <v>5804</v>
      </c>
      <c r="D2975" s="2">
        <v>46183</v>
      </c>
      <c r="E2975" s="2">
        <v>46188</v>
      </c>
      <c r="F2975" s="1" t="s">
        <v>56</v>
      </c>
      <c r="G2975" s="1" t="s">
        <v>4</v>
      </c>
      <c r="H2975" s="1" t="s">
        <v>5</v>
      </c>
      <c r="I2975" s="7">
        <v>483.77</v>
      </c>
      <c r="J2975" s="1" t="s">
        <v>38</v>
      </c>
      <c r="K2975" s="1"/>
      <c r="L2975" s="1" t="s">
        <v>39</v>
      </c>
      <c r="M2975" s="1" t="str">
        <f>INDEX(MCC_Lookup!$B$2:$B$12,MATCH(G2975,MCC_Lookup!$A$2:$A$12,0))</f>
        <v>Travel</v>
      </c>
      <c r="N2975" s="1" t="str">
        <f>IF(TRIM(H2975)="","BLANK",IF(PROPER(TRIM(H2975))=TRIM(M2975),"MATCH","MISMATCH"))</f>
        <v>MATCH</v>
      </c>
      <c r="O2975" s="5" t="str">
        <f>INDEX([1]Employee!$C$2:$C$276,MATCH(B2975,[1]Employee!$A$2:$A$276,0))</f>
        <v>HR &amp; Events</v>
      </c>
    </row>
    <row r="2976" spans="1:15">
      <c r="A2976" s="1" t="s">
        <v>5805</v>
      </c>
      <c r="B2976" s="1" t="s">
        <v>1496</v>
      </c>
      <c r="C2976" s="1" t="s">
        <v>5806</v>
      </c>
      <c r="D2976" s="2">
        <v>46187</v>
      </c>
      <c r="E2976" s="2">
        <v>46188</v>
      </c>
      <c r="F2976" s="1" t="s">
        <v>95</v>
      </c>
      <c r="G2976" s="1" t="s">
        <v>6</v>
      </c>
      <c r="H2976" s="1" t="s">
        <v>726</v>
      </c>
      <c r="I2976" s="7">
        <v>224.14</v>
      </c>
      <c r="J2976" s="1" t="s">
        <v>38</v>
      </c>
      <c r="K2976" s="1"/>
      <c r="L2976" s="1" t="s">
        <v>39</v>
      </c>
      <c r="M2976" s="1" t="str">
        <f>INDEX(MCC_Lookup!$B$2:$B$12,MATCH(G2976,MCC_Lookup!$A$2:$A$12,0))</f>
        <v>Lodging</v>
      </c>
      <c r="N2976" s="1" t="str">
        <f>IF(TRIM(H2976)="","BLANK",IF(PROPER(TRIM(H2976))=TRIM(M2976),"MATCH","MISMATCH"))</f>
        <v>MATCH</v>
      </c>
      <c r="O2976" s="5" t="str">
        <f>INDEX([1]Employee!$C$2:$C$276,MATCH(B2976,[1]Employee!$A$2:$A$276,0))</f>
        <v>Underwriting</v>
      </c>
    </row>
    <row r="2977" spans="1:15">
      <c r="A2977" s="1" t="s">
        <v>5807</v>
      </c>
      <c r="B2977" s="1" t="s">
        <v>593</v>
      </c>
      <c r="C2977" s="1" t="s">
        <v>5808</v>
      </c>
      <c r="D2977" s="2">
        <v>46188</v>
      </c>
      <c r="E2977" s="2">
        <v>46188</v>
      </c>
      <c r="F2977" s="1" t="s">
        <v>43</v>
      </c>
      <c r="G2977" s="1" t="s">
        <v>2</v>
      </c>
      <c r="H2977" s="1" t="s">
        <v>3</v>
      </c>
      <c r="I2977" s="7">
        <v>19.91</v>
      </c>
      <c r="J2977" s="1" t="s">
        <v>38</v>
      </c>
      <c r="K2977" s="1"/>
      <c r="L2977" s="1" t="s">
        <v>39</v>
      </c>
      <c r="M2977" s="1" t="str">
        <f>INDEX(MCC_Lookup!$B$2:$B$12,MATCH(G2977,MCC_Lookup!$A$2:$A$12,0))</f>
        <v>Meals</v>
      </c>
      <c r="N2977" s="1" t="str">
        <f>IF(TRIM(H2977)="","BLANK",IF(PROPER(TRIM(H2977))=TRIM(M2977),"MATCH","MISMATCH"))</f>
        <v>MATCH</v>
      </c>
      <c r="O2977" s="5" t="str">
        <f>INDEX([1]Employee!$C$2:$C$276,MATCH(B2977,[1]Employee!$A$2:$A$276,0))</f>
        <v>Sales &amp; Marketing</v>
      </c>
    </row>
    <row r="2978" spans="1:15">
      <c r="A2978" s="1" t="s">
        <v>5809</v>
      </c>
      <c r="B2978" s="1" t="s">
        <v>664</v>
      </c>
      <c r="C2978" s="1" t="s">
        <v>5810</v>
      </c>
      <c r="D2978" s="2">
        <v>46187</v>
      </c>
      <c r="E2978" s="2">
        <v>46188</v>
      </c>
      <c r="F2978" s="1" t="s">
        <v>76</v>
      </c>
      <c r="G2978" s="1" t="s">
        <v>13</v>
      </c>
      <c r="H2978" s="1" t="s">
        <v>14</v>
      </c>
      <c r="I2978" s="7">
        <v>592.11</v>
      </c>
      <c r="J2978" s="1" t="s">
        <v>38</v>
      </c>
      <c r="K2978" s="1"/>
      <c r="L2978" s="1" t="s">
        <v>39</v>
      </c>
      <c r="M2978" s="1" t="str">
        <f>INDEX(MCC_Lookup!$B$2:$B$12,MATCH(G2978,MCC_Lookup!$A$2:$A$12,0))</f>
        <v>Software</v>
      </c>
      <c r="N2978" s="1" t="str">
        <f>IF(TRIM(H2978)="","BLANK",IF(PROPER(TRIM(H2978))=TRIM(M2978),"MATCH","MISMATCH"))</f>
        <v>MATCH</v>
      </c>
      <c r="O2978" s="5" t="str">
        <f>INDEX([1]Employee!$C$2:$C$276,MATCH(B2978,[1]Employee!$A$2:$A$276,0))</f>
        <v>Actuarial &amp; Risk</v>
      </c>
    </row>
    <row r="2979" spans="1:15">
      <c r="A2979" s="1" t="s">
        <v>5811</v>
      </c>
      <c r="B2979" s="1" t="s">
        <v>506</v>
      </c>
      <c r="C2979" s="1"/>
      <c r="D2979" s="2">
        <v>46183</v>
      </c>
      <c r="E2979" s="2">
        <v>46189</v>
      </c>
      <c r="F2979" s="1" t="s">
        <v>173</v>
      </c>
      <c r="G2979" s="1" t="s">
        <v>2</v>
      </c>
      <c r="H2979" s="1" t="s">
        <v>3</v>
      </c>
      <c r="I2979" s="7">
        <v>22</v>
      </c>
      <c r="J2979" s="1" t="s">
        <v>111</v>
      </c>
      <c r="K2979" s="1" t="s">
        <v>112</v>
      </c>
      <c r="L2979" s="1" t="s">
        <v>39</v>
      </c>
      <c r="M2979" s="1" t="str">
        <f>INDEX(MCC_Lookup!$B$2:$B$12,MATCH(G2979,MCC_Lookup!$A$2:$A$12,0))</f>
        <v>Meals</v>
      </c>
      <c r="N2979" s="1" t="str">
        <f>IF(TRIM(H2979)="","BLANK",IF(PROPER(TRIM(H2979))=TRIM(M2979),"MATCH","MISMATCH"))</f>
        <v>MATCH</v>
      </c>
      <c r="O2979" s="5" t="str">
        <f>INDEX([1]Employee!$C$2:$C$276,MATCH(B2979,[1]Employee!$A$2:$A$276,0))</f>
        <v>Executive &amp; Corporate</v>
      </c>
    </row>
    <row r="2980" spans="1:15">
      <c r="A2980" s="1" t="s">
        <v>5812</v>
      </c>
      <c r="B2980" s="1" t="s">
        <v>661</v>
      </c>
      <c r="C2980" s="1" t="s">
        <v>5813</v>
      </c>
      <c r="D2980" s="2">
        <v>46185</v>
      </c>
      <c r="E2980" s="2">
        <v>46189</v>
      </c>
      <c r="F2980" s="1" t="s">
        <v>305</v>
      </c>
      <c r="G2980" s="1" t="s">
        <v>2</v>
      </c>
      <c r="H2980" s="1" t="s">
        <v>3</v>
      </c>
      <c r="I2980" s="7">
        <v>16.489999999999998</v>
      </c>
      <c r="J2980" s="1" t="s">
        <v>38</v>
      </c>
      <c r="K2980" s="1"/>
      <c r="L2980" s="1" t="s">
        <v>39</v>
      </c>
      <c r="M2980" s="1" t="str">
        <f>INDEX(MCC_Lookup!$B$2:$B$12,MATCH(G2980,MCC_Lookup!$A$2:$A$12,0))</f>
        <v>Meals</v>
      </c>
      <c r="N2980" s="1" t="str">
        <f>IF(TRIM(H2980)="","BLANK",IF(PROPER(TRIM(H2980))=TRIM(M2980),"MATCH","MISMATCH"))</f>
        <v>MATCH</v>
      </c>
      <c r="O2980" s="5" t="str">
        <f>INDEX([1]Employee!$C$2:$C$276,MATCH(B2980,[1]Employee!$A$2:$A$276,0))</f>
        <v>Sales &amp; Marketing</v>
      </c>
    </row>
    <row r="2981" spans="1:15">
      <c r="A2981" s="1" t="s">
        <v>5814</v>
      </c>
      <c r="B2981" s="1" t="s">
        <v>643</v>
      </c>
      <c r="C2981" s="1" t="s">
        <v>5815</v>
      </c>
      <c r="D2981" s="2">
        <v>46182</v>
      </c>
      <c r="E2981" s="2">
        <v>46189</v>
      </c>
      <c r="F2981" s="1" t="s">
        <v>177</v>
      </c>
      <c r="G2981" s="1" t="s">
        <v>13</v>
      </c>
      <c r="H2981" s="1" t="s">
        <v>14</v>
      </c>
      <c r="I2981" s="7">
        <v>52.63</v>
      </c>
      <c r="J2981" s="1" t="s">
        <v>38</v>
      </c>
      <c r="K2981" s="1"/>
      <c r="L2981" s="1" t="s">
        <v>39</v>
      </c>
      <c r="M2981" s="1" t="str">
        <f>INDEX(MCC_Lookup!$B$2:$B$12,MATCH(G2981,MCC_Lookup!$A$2:$A$12,0))</f>
        <v>Software</v>
      </c>
      <c r="N2981" s="1" t="str">
        <f>IF(TRIM(H2981)="","BLANK",IF(PROPER(TRIM(H2981))=TRIM(M2981),"MATCH","MISMATCH"))</f>
        <v>MATCH</v>
      </c>
      <c r="O2981" s="5" t="str">
        <f>INDEX([1]Employee!$C$2:$C$276,MATCH(B2981,[1]Employee!$A$2:$A$276,0))</f>
        <v>Sales &amp; Marketing</v>
      </c>
    </row>
    <row r="2982" spans="1:15">
      <c r="A2982" s="1" t="s">
        <v>5816</v>
      </c>
      <c r="B2982" s="1" t="s">
        <v>303</v>
      </c>
      <c r="C2982" s="1" t="s">
        <v>5817</v>
      </c>
      <c r="D2982" s="2">
        <v>46185</v>
      </c>
      <c r="E2982" s="2">
        <v>46189</v>
      </c>
      <c r="F2982" s="1" t="s">
        <v>65</v>
      </c>
      <c r="G2982" s="1" t="s">
        <v>18</v>
      </c>
      <c r="H2982" s="1" t="s">
        <v>19</v>
      </c>
      <c r="I2982" s="7">
        <v>375.57</v>
      </c>
      <c r="J2982" s="1" t="s">
        <v>38</v>
      </c>
      <c r="K2982" s="1"/>
      <c r="L2982" s="1" t="s">
        <v>39</v>
      </c>
      <c r="M2982" s="1" t="str">
        <f>INDEX(MCC_Lookup!$B$2:$B$12,MATCH(G2982,MCC_Lookup!$A$2:$A$12,0))</f>
        <v>Events</v>
      </c>
      <c r="N2982" s="1" t="str">
        <f>IF(TRIM(H2982)="","BLANK",IF(PROPER(TRIM(H2982))=TRIM(M2982),"MATCH","MISMATCH"))</f>
        <v>MATCH</v>
      </c>
      <c r="O2982" s="5" t="str">
        <f>INDEX([1]Employee!$C$2:$C$276,MATCH(B2982,[1]Employee!$A$2:$A$276,0))</f>
        <v>Sales &amp; Marketing</v>
      </c>
    </row>
    <row r="2983" spans="1:15">
      <c r="A2983" s="1" t="s">
        <v>5818</v>
      </c>
      <c r="B2983" s="1" t="s">
        <v>379</v>
      </c>
      <c r="C2983" s="1" t="s">
        <v>5819</v>
      </c>
      <c r="D2983" s="2">
        <v>46183</v>
      </c>
      <c r="E2983" s="2">
        <v>46189</v>
      </c>
      <c r="F2983" s="1" t="s">
        <v>92</v>
      </c>
      <c r="G2983" s="1" t="s">
        <v>10</v>
      </c>
      <c r="H2983" s="1" t="s">
        <v>11</v>
      </c>
      <c r="I2983" s="7">
        <v>145.66</v>
      </c>
      <c r="J2983" s="1" t="s">
        <v>38</v>
      </c>
      <c r="K2983" s="1"/>
      <c r="L2983" s="1" t="s">
        <v>39</v>
      </c>
      <c r="M2983" s="1" t="str">
        <f>INDEX(MCC_Lookup!$B$2:$B$12,MATCH(G2983,MCC_Lookup!$A$2:$A$12,0))</f>
        <v>Office Supplies</v>
      </c>
      <c r="N2983" s="1" t="str">
        <f>IF(TRIM(H2983)="","BLANK",IF(PROPER(TRIM(H2983))=TRIM(M2983),"MATCH","MISMATCH"))</f>
        <v>MATCH</v>
      </c>
      <c r="O2983" s="5" t="str">
        <f>INDEX([1]Employee!$C$2:$C$276,MATCH(B2983,[1]Employee!$A$2:$A$276,0))</f>
        <v>Sales &amp; Marketing</v>
      </c>
    </row>
    <row r="2984" spans="1:15">
      <c r="A2984" s="1" t="s">
        <v>5820</v>
      </c>
      <c r="B2984" s="1" t="s">
        <v>317</v>
      </c>
      <c r="C2984" s="1" t="s">
        <v>5821</v>
      </c>
      <c r="D2984" s="2">
        <v>46186</v>
      </c>
      <c r="E2984" s="2">
        <v>46189</v>
      </c>
      <c r="F2984" s="1" t="s">
        <v>160</v>
      </c>
      <c r="G2984" s="1" t="s">
        <v>6</v>
      </c>
      <c r="H2984" s="1" t="s">
        <v>7</v>
      </c>
      <c r="I2984" s="7">
        <v>239.09</v>
      </c>
      <c r="J2984" s="1" t="s">
        <v>38</v>
      </c>
      <c r="K2984" s="1"/>
      <c r="L2984" s="1" t="s">
        <v>39</v>
      </c>
      <c r="M2984" s="1" t="str">
        <f>INDEX(MCC_Lookup!$B$2:$B$12,MATCH(G2984,MCC_Lookup!$A$2:$A$12,0))</f>
        <v>Lodging</v>
      </c>
      <c r="N2984" s="1" t="str">
        <f>IF(TRIM(H2984)="","BLANK",IF(PROPER(TRIM(H2984))=TRIM(M2984),"MATCH","MISMATCH"))</f>
        <v>MATCH</v>
      </c>
      <c r="O2984" s="5" t="str">
        <f>INDEX([1]Employee!$C$2:$C$276,MATCH(B2984,[1]Employee!$A$2:$A$276,0))</f>
        <v>Sales &amp; Marketing</v>
      </c>
    </row>
    <row r="2985" spans="1:15">
      <c r="A2985" s="1" t="s">
        <v>5822</v>
      </c>
      <c r="B2985" s="1" t="s">
        <v>136</v>
      </c>
      <c r="C2985" s="1" t="s">
        <v>5823</v>
      </c>
      <c r="D2985" s="2">
        <v>46186</v>
      </c>
      <c r="E2985" s="2">
        <v>46189</v>
      </c>
      <c r="F2985" s="1" t="s">
        <v>92</v>
      </c>
      <c r="G2985" s="1" t="s">
        <v>10</v>
      </c>
      <c r="H2985" s="1" t="s">
        <v>295</v>
      </c>
      <c r="I2985" s="7">
        <v>54.81</v>
      </c>
      <c r="J2985" s="1" t="s">
        <v>38</v>
      </c>
      <c r="K2985" s="1"/>
      <c r="L2985" s="1" t="s">
        <v>39</v>
      </c>
      <c r="M2985" s="1" t="str">
        <f>INDEX(MCC_Lookup!$B$2:$B$12,MATCH(G2985,MCC_Lookup!$A$2:$A$12,0))</f>
        <v>Office Supplies</v>
      </c>
      <c r="N2985" s="1" t="str">
        <f>IF(TRIM(H2985)="","BLANK",IF(PROPER(TRIM(H2985))=TRIM(M2985),"MATCH","MISMATCH"))</f>
        <v>MATCH</v>
      </c>
      <c r="O2985" s="5" t="str">
        <f>INDEX([1]Employee!$C$2:$C$276,MATCH(B2985,[1]Employee!$A$2:$A$276,0))</f>
        <v>Sales &amp; Marketing</v>
      </c>
    </row>
    <row r="2986" spans="1:15">
      <c r="A2986" s="1" t="s">
        <v>5824</v>
      </c>
      <c r="B2986" s="1" t="s">
        <v>832</v>
      </c>
      <c r="C2986" s="1" t="s">
        <v>5825</v>
      </c>
      <c r="D2986" s="2">
        <v>46185</v>
      </c>
      <c r="E2986" s="2">
        <v>46189</v>
      </c>
      <c r="F2986" s="1" t="s">
        <v>201</v>
      </c>
      <c r="G2986" s="1" t="s">
        <v>4</v>
      </c>
      <c r="H2986" s="1" t="s">
        <v>5</v>
      </c>
      <c r="I2986" s="7">
        <v>606.04</v>
      </c>
      <c r="J2986" s="1" t="s">
        <v>38</v>
      </c>
      <c r="K2986" s="1"/>
      <c r="L2986" s="1" t="s">
        <v>39</v>
      </c>
      <c r="M2986" s="1" t="str">
        <f>INDEX(MCC_Lookup!$B$2:$B$12,MATCH(G2986,MCC_Lookup!$A$2:$A$12,0))</f>
        <v>Travel</v>
      </c>
      <c r="N2986" s="1" t="str">
        <f>IF(TRIM(H2986)="","BLANK",IF(PROPER(TRIM(H2986))=TRIM(M2986),"MATCH","MISMATCH"))</f>
        <v>MATCH</v>
      </c>
      <c r="O2986" s="5" t="str">
        <f>INDEX([1]Employee!$C$2:$C$276,MATCH(B2986,[1]Employee!$A$2:$A$276,0))</f>
        <v>Sales &amp; Marketing</v>
      </c>
    </row>
    <row r="2987" spans="1:15">
      <c r="A2987" s="1" t="s">
        <v>5826</v>
      </c>
      <c r="B2987" s="1" t="s">
        <v>677</v>
      </c>
      <c r="C2987" s="1" t="s">
        <v>5827</v>
      </c>
      <c r="D2987" s="2">
        <v>46183</v>
      </c>
      <c r="E2987" s="2">
        <v>46189</v>
      </c>
      <c r="F2987" s="1" t="s">
        <v>173</v>
      </c>
      <c r="G2987" s="1" t="s">
        <v>2</v>
      </c>
      <c r="H2987" s="1" t="s">
        <v>3</v>
      </c>
      <c r="I2987" s="7">
        <v>34.74</v>
      </c>
      <c r="J2987" s="1" t="s">
        <v>38</v>
      </c>
      <c r="K2987" s="1"/>
      <c r="L2987" s="1" t="s">
        <v>39</v>
      </c>
      <c r="M2987" s="1" t="str">
        <f>INDEX(MCC_Lookup!$B$2:$B$12,MATCH(G2987,MCC_Lookup!$A$2:$A$12,0))</f>
        <v>Meals</v>
      </c>
      <c r="N2987" s="1" t="str">
        <f>IF(TRIM(H2987)="","BLANK",IF(PROPER(TRIM(H2987))=TRIM(M2987),"MATCH","MISMATCH"))</f>
        <v>MATCH</v>
      </c>
      <c r="O2987" s="5" t="str">
        <f>INDEX([1]Employee!$C$2:$C$276,MATCH(B2987,[1]Employee!$A$2:$A$276,0))</f>
        <v>Sales &amp; Marketing</v>
      </c>
    </row>
    <row r="2988" spans="1:15">
      <c r="A2988" s="1" t="s">
        <v>5828</v>
      </c>
      <c r="B2988" s="1" t="s">
        <v>1509</v>
      </c>
      <c r="C2988" s="1" t="s">
        <v>5829</v>
      </c>
      <c r="D2988" s="2">
        <v>46179</v>
      </c>
      <c r="E2988" s="2">
        <v>46189</v>
      </c>
      <c r="F2988" s="1" t="s">
        <v>83</v>
      </c>
      <c r="G2988" s="1" t="s">
        <v>2</v>
      </c>
      <c r="H2988" s="1" t="s">
        <v>3</v>
      </c>
      <c r="I2988" s="7">
        <v>16.18</v>
      </c>
      <c r="J2988" s="1" t="s">
        <v>38</v>
      </c>
      <c r="K2988" s="1"/>
      <c r="L2988" s="1" t="s">
        <v>39</v>
      </c>
      <c r="M2988" s="1" t="str">
        <f>INDEX(MCC_Lookup!$B$2:$B$12,MATCH(G2988,MCC_Lookup!$A$2:$A$12,0))</f>
        <v>Meals</v>
      </c>
      <c r="N2988" s="1" t="str">
        <f>IF(TRIM(H2988)="","BLANK",IF(PROPER(TRIM(H2988))=TRIM(M2988),"MATCH","MISMATCH"))</f>
        <v>MATCH</v>
      </c>
      <c r="O2988" s="5" t="str">
        <f>INDEX([1]Employee!$C$2:$C$276,MATCH(B2988,[1]Employee!$A$2:$A$276,0))</f>
        <v>Claims</v>
      </c>
    </row>
    <row r="2989" spans="1:15">
      <c r="A2989" s="1" t="s">
        <v>5830</v>
      </c>
      <c r="B2989" s="1" t="s">
        <v>1159</v>
      </c>
      <c r="C2989" s="1" t="s">
        <v>5831</v>
      </c>
      <c r="D2989" s="2">
        <v>46180</v>
      </c>
      <c r="E2989" s="2">
        <v>46189</v>
      </c>
      <c r="F2989" s="1" t="s">
        <v>242</v>
      </c>
      <c r="G2989" s="1" t="s">
        <v>13</v>
      </c>
      <c r="H2989" s="1" t="s">
        <v>14</v>
      </c>
      <c r="I2989" s="7">
        <v>21.47</v>
      </c>
      <c r="J2989" s="1" t="s">
        <v>38</v>
      </c>
      <c r="K2989" s="1"/>
      <c r="L2989" s="1" t="s">
        <v>39</v>
      </c>
      <c r="M2989" s="1" t="str">
        <f>INDEX(MCC_Lookup!$B$2:$B$12,MATCH(G2989,MCC_Lookup!$A$2:$A$12,0))</f>
        <v>Software</v>
      </c>
      <c r="N2989" s="1" t="str">
        <f>IF(TRIM(H2989)="","BLANK",IF(PROPER(TRIM(H2989))=TRIM(M2989),"MATCH","MISMATCH"))</f>
        <v>MATCH</v>
      </c>
      <c r="O2989" s="5" t="str">
        <f>INDEX([1]Employee!$C$2:$C$276,MATCH(B2989,[1]Employee!$A$2:$A$276,0))</f>
        <v>Customer Support</v>
      </c>
    </row>
    <row r="2990" spans="1:15">
      <c r="A2990" s="1" t="s">
        <v>5832</v>
      </c>
      <c r="B2990" s="1" t="s">
        <v>789</v>
      </c>
      <c r="C2990" s="1" t="s">
        <v>5833</v>
      </c>
      <c r="D2990" s="2">
        <v>46189</v>
      </c>
      <c r="E2990" s="2">
        <v>46189</v>
      </c>
      <c r="F2990" s="1" t="s">
        <v>83</v>
      </c>
      <c r="G2990" s="1" t="s">
        <v>2</v>
      </c>
      <c r="H2990" s="1" t="s">
        <v>3</v>
      </c>
      <c r="I2990" s="7">
        <v>20.65</v>
      </c>
      <c r="J2990" s="1" t="s">
        <v>38</v>
      </c>
      <c r="K2990" s="1"/>
      <c r="L2990" s="1" t="s">
        <v>48</v>
      </c>
      <c r="M2990" s="1" t="str">
        <f>INDEX(MCC_Lookup!$B$2:$B$12,MATCH(G2990,MCC_Lookup!$A$2:$A$12,0))</f>
        <v>Meals</v>
      </c>
      <c r="N2990" s="1" t="str">
        <f>IF(TRIM(H2990)="","BLANK",IF(PROPER(TRIM(H2990))=TRIM(M2990),"MATCH","MISMATCH"))</f>
        <v>MATCH</v>
      </c>
      <c r="O2990" s="5" t="str">
        <f>INDEX([1]Employee!$C$2:$C$276,MATCH(B2990,[1]Employee!$A$2:$A$276,0))</f>
        <v>Actuarial &amp; Risk</v>
      </c>
    </row>
    <row r="2991" spans="1:15">
      <c r="A2991" s="1" t="s">
        <v>5834</v>
      </c>
      <c r="B2991" s="1" t="s">
        <v>199</v>
      </c>
      <c r="C2991" s="1"/>
      <c r="D2991" s="2">
        <v>46181</v>
      </c>
      <c r="E2991" s="2">
        <v>46189</v>
      </c>
      <c r="F2991" s="1" t="s">
        <v>347</v>
      </c>
      <c r="G2991" s="1" t="s">
        <v>8</v>
      </c>
      <c r="H2991" s="1" t="s">
        <v>5</v>
      </c>
      <c r="I2991" s="7">
        <v>18.28</v>
      </c>
      <c r="J2991" s="1" t="s">
        <v>111</v>
      </c>
      <c r="K2991" s="1" t="s">
        <v>112</v>
      </c>
      <c r="L2991" s="1" t="s">
        <v>39</v>
      </c>
      <c r="M2991" s="1" t="str">
        <f>INDEX(MCC_Lookup!$B$2:$B$12,MATCH(G2991,MCC_Lookup!$A$2:$A$12,0))</f>
        <v>Transportation</v>
      </c>
      <c r="N2991" s="1" t="str">
        <f>IF(TRIM(H2991)="","BLANK",IF(PROPER(TRIM(H2991))=TRIM(M2991),"MATCH","MISMATCH"))</f>
        <v>MISMATCH</v>
      </c>
      <c r="O2991" s="5" t="str">
        <f>INDEX([1]Employee!$C$2:$C$276,MATCH(B2991,[1]Employee!$A$2:$A$276,0))</f>
        <v>Sales &amp; Marketing</v>
      </c>
    </row>
    <row r="2992" spans="1:15">
      <c r="A2992" s="1" t="s">
        <v>5835</v>
      </c>
      <c r="B2992" s="1" t="s">
        <v>122</v>
      </c>
      <c r="C2992" s="1" t="s">
        <v>5836</v>
      </c>
      <c r="D2992" s="2">
        <v>46189</v>
      </c>
      <c r="E2992" s="2">
        <v>46189</v>
      </c>
      <c r="F2992" s="1" t="s">
        <v>72</v>
      </c>
      <c r="G2992" s="1" t="s">
        <v>8</v>
      </c>
      <c r="H2992" s="1" t="s">
        <v>9</v>
      </c>
      <c r="I2992" s="7">
        <v>25.36</v>
      </c>
      <c r="J2992" s="1" t="s">
        <v>38</v>
      </c>
      <c r="K2992" s="1"/>
      <c r="L2992" s="1" t="s">
        <v>39</v>
      </c>
      <c r="M2992" s="1" t="str">
        <f>INDEX(MCC_Lookup!$B$2:$B$12,MATCH(G2992,MCC_Lookup!$A$2:$A$12,0))</f>
        <v>Transportation</v>
      </c>
      <c r="N2992" s="1" t="str">
        <f>IF(TRIM(H2992)="","BLANK",IF(PROPER(TRIM(H2992))=TRIM(M2992),"MATCH","MISMATCH"))</f>
        <v>MATCH</v>
      </c>
      <c r="O2992" s="5" t="str">
        <f>INDEX([1]Employee!$C$2:$C$276,MATCH(B2992,[1]Employee!$A$2:$A$276,0))</f>
        <v>Sales &amp; Marketing</v>
      </c>
    </row>
    <row r="2993" spans="1:15">
      <c r="A2993" s="1" t="s">
        <v>5837</v>
      </c>
      <c r="B2993" s="1" t="s">
        <v>868</v>
      </c>
      <c r="C2993" s="1" t="s">
        <v>5838</v>
      </c>
      <c r="D2993" s="2">
        <v>46180</v>
      </c>
      <c r="E2993" s="2">
        <v>46189</v>
      </c>
      <c r="F2993" s="1" t="s">
        <v>56</v>
      </c>
      <c r="G2993" s="1" t="s">
        <v>4</v>
      </c>
      <c r="H2993" s="1" t="s">
        <v>5</v>
      </c>
      <c r="I2993" s="7">
        <v>551.62</v>
      </c>
      <c r="J2993" s="1" t="s">
        <v>38</v>
      </c>
      <c r="K2993" s="1"/>
      <c r="L2993" s="1" t="s">
        <v>48</v>
      </c>
      <c r="M2993" s="1" t="str">
        <f>INDEX(MCC_Lookup!$B$2:$B$12,MATCH(G2993,MCC_Lookup!$A$2:$A$12,0))</f>
        <v>Travel</v>
      </c>
      <c r="N2993" s="1" t="str">
        <f>IF(TRIM(H2993)="","BLANK",IF(PROPER(TRIM(H2993))=TRIM(M2993),"MATCH","MISMATCH"))</f>
        <v>MATCH</v>
      </c>
      <c r="O2993" s="5" t="str">
        <f>INDEX([1]Employee!$C$2:$C$276,MATCH(B2993,[1]Employee!$A$2:$A$276,0))</f>
        <v>Sales &amp; Marketing</v>
      </c>
    </row>
    <row r="2994" spans="1:15">
      <c r="A2994" s="1" t="s">
        <v>5839</v>
      </c>
      <c r="B2994" s="1" t="s">
        <v>426</v>
      </c>
      <c r="C2994" s="1" t="s">
        <v>5840</v>
      </c>
      <c r="D2994" s="2">
        <v>46188</v>
      </c>
      <c r="E2994" s="2">
        <v>46189</v>
      </c>
      <c r="F2994" s="1" t="s">
        <v>37</v>
      </c>
      <c r="G2994" s="1" t="s">
        <v>4</v>
      </c>
      <c r="H2994" s="1" t="s">
        <v>5</v>
      </c>
      <c r="I2994" s="7">
        <v>263.89</v>
      </c>
      <c r="J2994" s="1" t="s">
        <v>38</v>
      </c>
      <c r="K2994" s="1"/>
      <c r="L2994" s="1" t="s">
        <v>39</v>
      </c>
      <c r="M2994" s="1" t="str">
        <f>INDEX(MCC_Lookup!$B$2:$B$12,MATCH(G2994,MCC_Lookup!$A$2:$A$12,0))</f>
        <v>Travel</v>
      </c>
      <c r="N2994" s="1" t="str">
        <f>IF(TRIM(H2994)="","BLANK",IF(PROPER(TRIM(H2994))=TRIM(M2994),"MATCH","MISMATCH"))</f>
        <v>MATCH</v>
      </c>
      <c r="O2994" s="5" t="str">
        <f>INDEX([1]Employee!$C$2:$C$276,MATCH(B2994,[1]Employee!$A$2:$A$276,0))</f>
        <v>Sales &amp; Marketing</v>
      </c>
    </row>
    <row r="2995" spans="1:15">
      <c r="A2995" s="1" t="s">
        <v>5841</v>
      </c>
      <c r="B2995" s="1" t="s">
        <v>738</v>
      </c>
      <c r="C2995" s="1" t="s">
        <v>5842</v>
      </c>
      <c r="D2995" s="2">
        <v>46182</v>
      </c>
      <c r="E2995" s="2">
        <v>46189</v>
      </c>
      <c r="F2995" s="1" t="s">
        <v>160</v>
      </c>
      <c r="G2995" s="1" t="s">
        <v>6</v>
      </c>
      <c r="H2995" s="1" t="s">
        <v>228</v>
      </c>
      <c r="I2995" s="7">
        <v>344.8</v>
      </c>
      <c r="J2995" s="1" t="s">
        <v>38</v>
      </c>
      <c r="K2995" s="1"/>
      <c r="L2995" s="1" t="s">
        <v>39</v>
      </c>
      <c r="M2995" s="1" t="str">
        <f>INDEX(MCC_Lookup!$B$2:$B$12,MATCH(G2995,MCC_Lookup!$A$2:$A$12,0))</f>
        <v>Lodging</v>
      </c>
      <c r="N2995" s="1" t="str">
        <f>IF(TRIM(H2995)="","BLANK",IF(PROPER(TRIM(H2995))=TRIM(M2995),"MATCH","MISMATCH"))</f>
        <v>MATCH</v>
      </c>
      <c r="O2995" s="5" t="str">
        <f>INDEX([1]Employee!$C$2:$C$276,MATCH(B2995,[1]Employee!$A$2:$A$276,0))</f>
        <v>Sales &amp; Marketing</v>
      </c>
    </row>
    <row r="2996" spans="1:15">
      <c r="A2996" s="1" t="s">
        <v>5843</v>
      </c>
      <c r="B2996" s="1" t="s">
        <v>292</v>
      </c>
      <c r="C2996" s="1" t="s">
        <v>5844</v>
      </c>
      <c r="D2996" s="2">
        <v>46187</v>
      </c>
      <c r="E2996" s="2">
        <v>46189</v>
      </c>
      <c r="F2996" s="1" t="s">
        <v>116</v>
      </c>
      <c r="G2996" s="1" t="s">
        <v>2</v>
      </c>
      <c r="H2996" s="1"/>
      <c r="I2996" s="7">
        <v>12.85</v>
      </c>
      <c r="J2996" s="1" t="s">
        <v>38</v>
      </c>
      <c r="K2996" s="1"/>
      <c r="L2996" s="1" t="s">
        <v>39</v>
      </c>
      <c r="M2996" s="1" t="str">
        <f>INDEX(MCC_Lookup!$B$2:$B$12,MATCH(G2996,MCC_Lookup!$A$2:$A$12,0))</f>
        <v>Meals</v>
      </c>
      <c r="N2996" s="1" t="str">
        <f>IF(TRIM(H2996)="","BLANK",IF(PROPER(TRIM(H2996))=TRIM(M2996),"MATCH","MISMATCH"))</f>
        <v>BLANK</v>
      </c>
      <c r="O2996" s="5" t="str">
        <f>INDEX([1]Employee!$C$2:$C$276,MATCH(B2996,[1]Employee!$A$2:$A$276,0))</f>
        <v>Sales &amp; Marketing</v>
      </c>
    </row>
    <row r="2997" spans="1:15">
      <c r="A2997" s="1" t="s">
        <v>5845</v>
      </c>
      <c r="B2997" s="1" t="s">
        <v>133</v>
      </c>
      <c r="C2997" s="1" t="s">
        <v>5846</v>
      </c>
      <c r="D2997" s="2">
        <v>46190</v>
      </c>
      <c r="E2997" s="2">
        <v>46190</v>
      </c>
      <c r="F2997" s="1" t="s">
        <v>160</v>
      </c>
      <c r="G2997" s="1" t="s">
        <v>6</v>
      </c>
      <c r="H2997" s="1" t="s">
        <v>7</v>
      </c>
      <c r="I2997" s="7">
        <v>235.52</v>
      </c>
      <c r="J2997" s="1" t="s">
        <v>38</v>
      </c>
      <c r="K2997" s="1"/>
      <c r="L2997" s="1" t="s">
        <v>48</v>
      </c>
      <c r="M2997" s="1" t="str">
        <f>INDEX(MCC_Lookup!$B$2:$B$12,MATCH(G2997,MCC_Lookup!$A$2:$A$12,0))</f>
        <v>Lodging</v>
      </c>
      <c r="N2997" s="1" t="str">
        <f>IF(TRIM(H2997)="","BLANK",IF(PROPER(TRIM(H2997))=TRIM(M2997),"MATCH","MISMATCH"))</f>
        <v>MATCH</v>
      </c>
      <c r="O2997" s="5" t="str">
        <f>INDEX([1]Employee!$C$2:$C$276,MATCH(B2997,[1]Employee!$A$2:$A$276,0))</f>
        <v>Finance</v>
      </c>
    </row>
    <row r="2998" spans="1:15">
      <c r="A2998" s="1" t="s">
        <v>5847</v>
      </c>
      <c r="B2998" s="1" t="s">
        <v>832</v>
      </c>
      <c r="C2998" s="1" t="s">
        <v>5848</v>
      </c>
      <c r="D2998" s="2">
        <v>46184</v>
      </c>
      <c r="E2998" s="2">
        <v>46190</v>
      </c>
      <c r="F2998" s="1" t="s">
        <v>47</v>
      </c>
      <c r="G2998" s="1" t="s">
        <v>6</v>
      </c>
      <c r="H2998" s="1" t="s">
        <v>7</v>
      </c>
      <c r="I2998" s="7">
        <v>159.38</v>
      </c>
      <c r="J2998" s="1" t="s">
        <v>38</v>
      </c>
      <c r="K2998" s="1"/>
      <c r="L2998" s="1" t="s">
        <v>39</v>
      </c>
      <c r="M2998" s="1" t="str">
        <f>INDEX(MCC_Lookup!$B$2:$B$12,MATCH(G2998,MCC_Lookup!$A$2:$A$12,0))</f>
        <v>Lodging</v>
      </c>
      <c r="N2998" s="1" t="str">
        <f>IF(TRIM(H2998)="","BLANK",IF(PROPER(TRIM(H2998))=TRIM(M2998),"MATCH","MISMATCH"))</f>
        <v>MATCH</v>
      </c>
      <c r="O2998" s="5" t="str">
        <f>INDEX([1]Employee!$C$2:$C$276,MATCH(B2998,[1]Employee!$A$2:$A$276,0))</f>
        <v>Sales &amp; Marketing</v>
      </c>
    </row>
    <row r="2999" spans="1:15">
      <c r="A2999" s="1" t="s">
        <v>5849</v>
      </c>
      <c r="B2999" s="1" t="s">
        <v>679</v>
      </c>
      <c r="C2999" s="1"/>
      <c r="D2999" s="2">
        <v>46182</v>
      </c>
      <c r="E2999" s="2">
        <v>46190</v>
      </c>
      <c r="F2999" s="1" t="s">
        <v>347</v>
      </c>
      <c r="G2999" s="1" t="s">
        <v>8</v>
      </c>
      <c r="H2999" s="1" t="s">
        <v>343</v>
      </c>
      <c r="I2999" s="7">
        <v>12.57</v>
      </c>
      <c r="J2999" s="1" t="s">
        <v>111</v>
      </c>
      <c r="K2999" s="1" t="s">
        <v>127</v>
      </c>
      <c r="L2999" s="1" t="s">
        <v>39</v>
      </c>
      <c r="M2999" s="1" t="str">
        <f>INDEX(MCC_Lookup!$B$2:$B$12,MATCH(G2999,MCC_Lookup!$A$2:$A$12,0))</f>
        <v>Transportation</v>
      </c>
      <c r="N2999" s="1" t="str">
        <f>IF(TRIM(H2999)="","BLANK",IF(PROPER(TRIM(H2999))=TRIM(M2999),"MATCH","MISMATCH"))</f>
        <v>MATCH</v>
      </c>
      <c r="O2999" s="5" t="str">
        <f>INDEX([1]Employee!$C$2:$C$276,MATCH(B2999,[1]Employee!$A$2:$A$276,0))</f>
        <v>Sales &amp; Marketing</v>
      </c>
    </row>
    <row r="3000" spans="1:15">
      <c r="A3000" s="1" t="s">
        <v>5850</v>
      </c>
      <c r="B3000" s="1" t="s">
        <v>1824</v>
      </c>
      <c r="C3000" s="1" t="s">
        <v>5851</v>
      </c>
      <c r="D3000" s="2">
        <v>46185</v>
      </c>
      <c r="E3000" s="2">
        <v>46190</v>
      </c>
      <c r="F3000" s="1" t="s">
        <v>37</v>
      </c>
      <c r="G3000" s="1" t="s">
        <v>4</v>
      </c>
      <c r="H3000" s="1" t="s">
        <v>5</v>
      </c>
      <c r="I3000" s="7">
        <v>429.95</v>
      </c>
      <c r="J3000" s="1" t="s">
        <v>38</v>
      </c>
      <c r="K3000" s="1"/>
      <c r="L3000" s="1" t="s">
        <v>48</v>
      </c>
      <c r="M3000" s="1" t="str">
        <f>INDEX(MCC_Lookup!$B$2:$B$12,MATCH(G3000,MCC_Lookup!$A$2:$A$12,0))</f>
        <v>Travel</v>
      </c>
      <c r="N3000" s="1" t="str">
        <f>IF(TRIM(H3000)="","BLANK",IF(PROPER(TRIM(H3000))=TRIM(M3000),"MATCH","MISMATCH"))</f>
        <v>MATCH</v>
      </c>
      <c r="O3000" s="5" t="str">
        <f>INDEX([1]Employee!$C$2:$C$276,MATCH(B3000,[1]Employee!$A$2:$A$276,0))</f>
        <v>Claims</v>
      </c>
    </row>
    <row r="3001" spans="1:15">
      <c r="A3001" s="1" t="s">
        <v>5852</v>
      </c>
      <c r="B3001" s="1" t="s">
        <v>152</v>
      </c>
      <c r="C3001" s="1" t="s">
        <v>5853</v>
      </c>
      <c r="D3001" s="2">
        <v>46186</v>
      </c>
      <c r="E3001" s="2">
        <v>46190</v>
      </c>
      <c r="F3001" s="1" t="s">
        <v>92</v>
      </c>
      <c r="G3001" s="1" t="s">
        <v>10</v>
      </c>
      <c r="H3001" s="1" t="s">
        <v>11</v>
      </c>
      <c r="I3001" s="7">
        <v>145.22999999999999</v>
      </c>
      <c r="J3001" s="1" t="s">
        <v>38</v>
      </c>
      <c r="K3001" s="1"/>
      <c r="L3001" s="1" t="s">
        <v>39</v>
      </c>
      <c r="M3001" s="1" t="str">
        <f>INDEX(MCC_Lookup!$B$2:$B$12,MATCH(G3001,MCC_Lookup!$A$2:$A$12,0))</f>
        <v>Office Supplies</v>
      </c>
      <c r="N3001" s="1" t="str">
        <f>IF(TRIM(H3001)="","BLANK",IF(PROPER(TRIM(H3001))=TRIM(M3001),"MATCH","MISMATCH"))</f>
        <v>MATCH</v>
      </c>
      <c r="O3001" s="5" t="str">
        <f>INDEX([1]Employee!$C$2:$C$276,MATCH(B3001,[1]Employee!$A$2:$A$276,0))</f>
        <v>Sales &amp; Marketing</v>
      </c>
    </row>
    <row r="3002" spans="1:15">
      <c r="A3002" s="1" t="s">
        <v>5854</v>
      </c>
      <c r="B3002" s="1" t="s">
        <v>902</v>
      </c>
      <c r="C3002" s="1" t="s">
        <v>5855</v>
      </c>
      <c r="D3002" s="2">
        <v>46189</v>
      </c>
      <c r="E3002" s="2">
        <v>46190</v>
      </c>
      <c r="F3002" s="1" t="s">
        <v>177</v>
      </c>
      <c r="G3002" s="1" t="s">
        <v>13</v>
      </c>
      <c r="H3002" s="1" t="s">
        <v>14</v>
      </c>
      <c r="I3002" s="7">
        <v>43.18</v>
      </c>
      <c r="J3002" s="1" t="s">
        <v>38</v>
      </c>
      <c r="K3002" s="1"/>
      <c r="L3002" s="1" t="s">
        <v>39</v>
      </c>
      <c r="M3002" s="1" t="str">
        <f>INDEX(MCC_Lookup!$B$2:$B$12,MATCH(G3002,MCC_Lookup!$A$2:$A$12,0))</f>
        <v>Software</v>
      </c>
      <c r="N3002" s="1" t="str">
        <f>IF(TRIM(H3002)="","BLANK",IF(PROPER(TRIM(H3002))=TRIM(M3002),"MATCH","MISMATCH"))</f>
        <v>MATCH</v>
      </c>
      <c r="O3002" s="5" t="str">
        <f>INDEX([1]Employee!$C$2:$C$276,MATCH(B3002,[1]Employee!$A$2:$A$276,0))</f>
        <v>HR &amp; Events</v>
      </c>
    </row>
    <row r="3003" spans="1:15">
      <c r="A3003" s="1" t="s">
        <v>5856</v>
      </c>
      <c r="B3003" s="1" t="s">
        <v>1642</v>
      </c>
      <c r="C3003" s="1" t="s">
        <v>5857</v>
      </c>
      <c r="D3003" s="2">
        <v>46189</v>
      </c>
      <c r="E3003" s="2">
        <v>46190</v>
      </c>
      <c r="F3003" s="1" t="s">
        <v>347</v>
      </c>
      <c r="G3003" s="1" t="s">
        <v>8</v>
      </c>
      <c r="H3003" s="1" t="s">
        <v>9</v>
      </c>
      <c r="I3003" s="7">
        <v>51.32</v>
      </c>
      <c r="J3003" s="1" t="s">
        <v>38</v>
      </c>
      <c r="K3003" s="1"/>
      <c r="L3003" s="1" t="s">
        <v>39</v>
      </c>
      <c r="M3003" s="1" t="str">
        <f>INDEX(MCC_Lookup!$B$2:$B$12,MATCH(G3003,MCC_Lookup!$A$2:$A$12,0))</f>
        <v>Transportation</v>
      </c>
      <c r="N3003" s="1" t="str">
        <f>IF(TRIM(H3003)="","BLANK",IF(PROPER(TRIM(H3003))=TRIM(M3003),"MATCH","MISMATCH"))</f>
        <v>MATCH</v>
      </c>
      <c r="O3003" s="5" t="str">
        <f>INDEX([1]Employee!$C$2:$C$276,MATCH(B3003,[1]Employee!$A$2:$A$276,0))</f>
        <v>Underwriting</v>
      </c>
    </row>
    <row r="3004" spans="1:15">
      <c r="A3004" s="1" t="s">
        <v>5858</v>
      </c>
      <c r="B3004" s="1" t="s">
        <v>407</v>
      </c>
      <c r="C3004" s="1"/>
      <c r="D3004" s="2">
        <v>46187</v>
      </c>
      <c r="E3004" s="2">
        <v>46190</v>
      </c>
      <c r="F3004" s="1" t="s">
        <v>76</v>
      </c>
      <c r="G3004" s="1" t="s">
        <v>13</v>
      </c>
      <c r="H3004" s="1" t="s">
        <v>14</v>
      </c>
      <c r="I3004" s="7">
        <v>490.37</v>
      </c>
      <c r="J3004" s="1" t="s">
        <v>111</v>
      </c>
      <c r="K3004" s="1" t="s">
        <v>161</v>
      </c>
      <c r="L3004" s="1" t="s">
        <v>48</v>
      </c>
      <c r="M3004" s="1" t="str">
        <f>INDEX(MCC_Lookup!$B$2:$B$12,MATCH(G3004,MCC_Lookup!$A$2:$A$12,0))</f>
        <v>Software</v>
      </c>
      <c r="N3004" s="1" t="str">
        <f>IF(TRIM(H3004)="","BLANK",IF(PROPER(TRIM(H3004))=TRIM(M3004),"MATCH","MISMATCH"))</f>
        <v>MATCH</v>
      </c>
      <c r="O3004" s="5" t="str">
        <f>INDEX([1]Employee!$C$2:$C$276,MATCH(B3004,[1]Employee!$A$2:$A$276,0))</f>
        <v>Executive &amp; Corporate</v>
      </c>
    </row>
    <row r="3005" spans="1:15">
      <c r="A3005" s="1" t="s">
        <v>5859</v>
      </c>
      <c r="B3005" s="1" t="s">
        <v>512</v>
      </c>
      <c r="C3005" s="1" t="s">
        <v>5860</v>
      </c>
      <c r="D3005" s="2">
        <v>46182</v>
      </c>
      <c r="E3005" s="2">
        <v>46190</v>
      </c>
      <c r="F3005" s="1" t="s">
        <v>242</v>
      </c>
      <c r="G3005" s="1" t="s">
        <v>13</v>
      </c>
      <c r="H3005" s="1" t="s">
        <v>192</v>
      </c>
      <c r="I3005" s="7">
        <v>19.329999999999998</v>
      </c>
      <c r="J3005" s="1" t="s">
        <v>38</v>
      </c>
      <c r="K3005" s="1"/>
      <c r="L3005" s="1" t="s">
        <v>39</v>
      </c>
      <c r="M3005" s="1" t="str">
        <f>INDEX(MCC_Lookup!$B$2:$B$12,MATCH(G3005,MCC_Lookup!$A$2:$A$12,0))</f>
        <v>Software</v>
      </c>
      <c r="N3005" s="1" t="str">
        <f>IF(TRIM(H3005)="","BLANK",IF(PROPER(TRIM(H3005))=TRIM(M3005),"MATCH","MISMATCH"))</f>
        <v>MATCH</v>
      </c>
      <c r="O3005" s="5" t="str">
        <f>INDEX([1]Employee!$C$2:$C$276,MATCH(B3005,[1]Employee!$A$2:$A$276,0))</f>
        <v>Sales &amp; Marketing</v>
      </c>
    </row>
    <row r="3006" spans="1:15">
      <c r="A3006" s="1" t="s">
        <v>5861</v>
      </c>
      <c r="B3006" s="1" t="s">
        <v>67</v>
      </c>
      <c r="C3006" s="1" t="s">
        <v>5862</v>
      </c>
      <c r="D3006" s="2">
        <v>46184</v>
      </c>
      <c r="E3006" s="2">
        <v>46190</v>
      </c>
      <c r="F3006" s="1" t="s">
        <v>79</v>
      </c>
      <c r="G3006" s="1" t="s">
        <v>13</v>
      </c>
      <c r="H3006" s="1" t="s">
        <v>14</v>
      </c>
      <c r="I3006" s="7">
        <v>159.19999999999999</v>
      </c>
      <c r="J3006" s="1" t="s">
        <v>38</v>
      </c>
      <c r="K3006" s="1"/>
      <c r="L3006" s="1" t="s">
        <v>39</v>
      </c>
      <c r="M3006" s="1" t="str">
        <f>INDEX(MCC_Lookup!$B$2:$B$12,MATCH(G3006,MCC_Lookup!$A$2:$A$12,0))</f>
        <v>Software</v>
      </c>
      <c r="N3006" s="1" t="str">
        <f>IF(TRIM(H3006)="","BLANK",IF(PROPER(TRIM(H3006))=TRIM(M3006),"MATCH","MISMATCH"))</f>
        <v>MATCH</v>
      </c>
      <c r="O3006" s="5" t="str">
        <f>INDEX([1]Employee!$C$2:$C$276,MATCH(B3006,[1]Employee!$A$2:$A$276,0))</f>
        <v>Sales &amp; Marketing</v>
      </c>
    </row>
    <row r="3007" spans="1:15">
      <c r="A3007" s="1" t="s">
        <v>5863</v>
      </c>
      <c r="B3007" s="1" t="s">
        <v>71</v>
      </c>
      <c r="C3007" s="1"/>
      <c r="D3007" s="2">
        <v>46186</v>
      </c>
      <c r="E3007" s="2">
        <v>46190</v>
      </c>
      <c r="F3007" s="1" t="s">
        <v>106</v>
      </c>
      <c r="G3007" s="1" t="s">
        <v>13</v>
      </c>
      <c r="H3007" s="1" t="s">
        <v>14</v>
      </c>
      <c r="I3007" s="7">
        <v>60.9</v>
      </c>
      <c r="J3007" s="1" t="s">
        <v>38</v>
      </c>
      <c r="K3007" s="1"/>
      <c r="L3007" s="1" t="s">
        <v>39</v>
      </c>
      <c r="M3007" s="1" t="str">
        <f>INDEX(MCC_Lookup!$B$2:$B$12,MATCH(G3007,MCC_Lookup!$A$2:$A$12,0))</f>
        <v>Software</v>
      </c>
      <c r="N3007" s="1" t="str">
        <f>IF(TRIM(H3007)="","BLANK",IF(PROPER(TRIM(H3007))=TRIM(M3007),"MATCH","MISMATCH"))</f>
        <v>MATCH</v>
      </c>
      <c r="O3007" s="5" t="str">
        <f>INDEX([1]Employee!$C$2:$C$276,MATCH(B3007,[1]Employee!$A$2:$A$276,0))</f>
        <v>Sales &amp; Marketing</v>
      </c>
    </row>
    <row r="3008" spans="1:15">
      <c r="A3008" s="1" t="s">
        <v>5864</v>
      </c>
      <c r="B3008" s="1" t="s">
        <v>631</v>
      </c>
      <c r="C3008" s="1"/>
      <c r="D3008" s="2">
        <v>46185</v>
      </c>
      <c r="E3008" s="2">
        <v>46190</v>
      </c>
      <c r="F3008" s="1" t="s">
        <v>65</v>
      </c>
      <c r="G3008" s="1" t="s">
        <v>18</v>
      </c>
      <c r="H3008" s="1" t="s">
        <v>19</v>
      </c>
      <c r="I3008" s="7">
        <v>380.66</v>
      </c>
      <c r="J3008" s="1" t="s">
        <v>111</v>
      </c>
      <c r="K3008" s="1" t="s">
        <v>161</v>
      </c>
      <c r="L3008" s="1" t="s">
        <v>48</v>
      </c>
      <c r="M3008" s="1" t="str">
        <f>INDEX(MCC_Lookup!$B$2:$B$12,MATCH(G3008,MCC_Lookup!$A$2:$A$12,0))</f>
        <v>Events</v>
      </c>
      <c r="N3008" s="1" t="str">
        <f>IF(TRIM(H3008)="","BLANK",IF(PROPER(TRIM(H3008))=TRIM(M3008),"MATCH","MISMATCH"))</f>
        <v>MATCH</v>
      </c>
      <c r="O3008" s="5" t="str">
        <f>INDEX([1]Employee!$C$2:$C$276,MATCH(B3008,[1]Employee!$A$2:$A$276,0))</f>
        <v>Claims</v>
      </c>
    </row>
    <row r="3009" spans="1:15">
      <c r="A3009" s="1" t="s">
        <v>5865</v>
      </c>
      <c r="B3009" s="1" t="s">
        <v>3047</v>
      </c>
      <c r="C3009" s="1" t="s">
        <v>5866</v>
      </c>
      <c r="D3009" s="2">
        <v>46187</v>
      </c>
      <c r="E3009" s="2">
        <v>46190</v>
      </c>
      <c r="F3009" s="1" t="s">
        <v>347</v>
      </c>
      <c r="G3009" s="1" t="s">
        <v>8</v>
      </c>
      <c r="H3009" s="1" t="s">
        <v>9</v>
      </c>
      <c r="I3009" s="7">
        <v>25.8</v>
      </c>
      <c r="J3009" s="1" t="s">
        <v>38</v>
      </c>
      <c r="K3009" s="1"/>
      <c r="L3009" s="1" t="s">
        <v>39</v>
      </c>
      <c r="M3009" s="1" t="str">
        <f>INDEX(MCC_Lookup!$B$2:$B$12,MATCH(G3009,MCC_Lookup!$A$2:$A$12,0))</f>
        <v>Transportation</v>
      </c>
      <c r="N3009" s="1" t="str">
        <f>IF(TRIM(H3009)="","BLANK",IF(PROPER(TRIM(H3009))=TRIM(M3009),"MATCH","MISMATCH"))</f>
        <v>MATCH</v>
      </c>
      <c r="O3009" s="5" t="str">
        <f>INDEX([1]Employee!$C$2:$C$276,MATCH(B3009,[1]Employee!$A$2:$A$276,0))</f>
        <v>Finance</v>
      </c>
    </row>
    <row r="3010" spans="1:15">
      <c r="A3010" s="1" t="s">
        <v>5867</v>
      </c>
      <c r="B3010" s="1" t="s">
        <v>349</v>
      </c>
      <c r="C3010" s="1" t="s">
        <v>5868</v>
      </c>
      <c r="D3010" s="2">
        <v>46190</v>
      </c>
      <c r="E3010" s="2">
        <v>46190</v>
      </c>
      <c r="F3010" s="1" t="s">
        <v>347</v>
      </c>
      <c r="G3010" s="1" t="s">
        <v>8</v>
      </c>
      <c r="H3010" s="1" t="s">
        <v>9</v>
      </c>
      <c r="I3010" s="7">
        <v>51.54</v>
      </c>
      <c r="J3010" s="1" t="s">
        <v>38</v>
      </c>
      <c r="K3010" s="1"/>
      <c r="L3010" s="1" t="s">
        <v>39</v>
      </c>
      <c r="M3010" s="1" t="str">
        <f>INDEX(MCC_Lookup!$B$2:$B$12,MATCH(G3010,MCC_Lookup!$A$2:$A$12,0))</f>
        <v>Transportation</v>
      </c>
      <c r="N3010" s="1" t="str">
        <f>IF(TRIM(H3010)="","BLANK",IF(PROPER(TRIM(H3010))=TRIM(M3010),"MATCH","MISMATCH"))</f>
        <v>MATCH</v>
      </c>
      <c r="O3010" s="5" t="str">
        <f>INDEX([1]Employee!$C$2:$C$276,MATCH(B3010,[1]Employee!$A$2:$A$276,0))</f>
        <v>Sales &amp; Marketing</v>
      </c>
    </row>
    <row r="3011" spans="1:15">
      <c r="A3011" s="1" t="s">
        <v>5869</v>
      </c>
      <c r="B3011" s="1" t="s">
        <v>600</v>
      </c>
      <c r="C3011" s="1" t="s">
        <v>5870</v>
      </c>
      <c r="D3011" s="2">
        <v>46181</v>
      </c>
      <c r="E3011" s="2">
        <v>46191</v>
      </c>
      <c r="F3011" s="1" t="s">
        <v>305</v>
      </c>
      <c r="G3011" s="1" t="s">
        <v>2</v>
      </c>
      <c r="H3011" s="1"/>
      <c r="I3011" s="7">
        <v>6.21</v>
      </c>
      <c r="J3011" s="1" t="s">
        <v>38</v>
      </c>
      <c r="K3011" s="1"/>
      <c r="L3011" s="1" t="s">
        <v>39</v>
      </c>
      <c r="M3011" s="1" t="str">
        <f>INDEX(MCC_Lookup!$B$2:$B$12,MATCH(G3011,MCC_Lookup!$A$2:$A$12,0))</f>
        <v>Meals</v>
      </c>
      <c r="N3011" s="1" t="str">
        <f>IF(TRIM(H3011)="","BLANK",IF(PROPER(TRIM(H3011))=TRIM(M3011),"MATCH","MISMATCH"))</f>
        <v>BLANK</v>
      </c>
      <c r="O3011" s="5" t="str">
        <f>INDEX([1]Employee!$C$2:$C$276,MATCH(B3011,[1]Employee!$A$2:$A$276,0))</f>
        <v>Actuarial &amp; Risk</v>
      </c>
    </row>
    <row r="3012" spans="1:15">
      <c r="A3012" s="1" t="s">
        <v>5871</v>
      </c>
      <c r="B3012" s="1" t="s">
        <v>2344</v>
      </c>
      <c r="C3012" s="1"/>
      <c r="D3012" s="2">
        <v>46185</v>
      </c>
      <c r="E3012" s="2">
        <v>46191</v>
      </c>
      <c r="F3012" s="1" t="s">
        <v>120</v>
      </c>
      <c r="G3012" s="1" t="s">
        <v>12</v>
      </c>
      <c r="H3012" s="1"/>
      <c r="I3012" s="7">
        <v>450.62</v>
      </c>
      <c r="J3012" s="1" t="s">
        <v>38</v>
      </c>
      <c r="K3012" s="1"/>
      <c r="L3012" s="1" t="s">
        <v>39</v>
      </c>
      <c r="M3012" s="1" t="str">
        <f>INDEX(MCC_Lookup!$B$2:$B$12,MATCH(G3012,MCC_Lookup!$A$2:$A$12,0))</f>
        <v>Office Supplies</v>
      </c>
      <c r="N3012" s="1" t="str">
        <f>IF(TRIM(H3012)="","BLANK",IF(PROPER(TRIM(H3012))=TRIM(M3012),"MATCH","MISMATCH"))</f>
        <v>BLANK</v>
      </c>
      <c r="O3012" s="5" t="str">
        <f>INDEX([1]Employee!$C$2:$C$276,MATCH(B3012,[1]Employee!$A$2:$A$276,0))</f>
        <v>Claims</v>
      </c>
    </row>
    <row r="3013" spans="1:15">
      <c r="A3013" s="1" t="s">
        <v>5872</v>
      </c>
      <c r="B3013" s="1" t="s">
        <v>292</v>
      </c>
      <c r="C3013" s="1" t="s">
        <v>5873</v>
      </c>
      <c r="D3013" s="2">
        <v>46190</v>
      </c>
      <c r="E3013" s="2">
        <v>46191</v>
      </c>
      <c r="F3013" s="1" t="s">
        <v>43</v>
      </c>
      <c r="G3013" s="1" t="s">
        <v>2</v>
      </c>
      <c r="H3013" s="1" t="s">
        <v>794</v>
      </c>
      <c r="I3013" s="7">
        <v>7.87</v>
      </c>
      <c r="J3013" s="1" t="s">
        <v>38</v>
      </c>
      <c r="K3013" s="1"/>
      <c r="L3013" s="1" t="s">
        <v>39</v>
      </c>
      <c r="M3013" s="1" t="str">
        <f>INDEX(MCC_Lookup!$B$2:$B$12,MATCH(G3013,MCC_Lookup!$A$2:$A$12,0))</f>
        <v>Meals</v>
      </c>
      <c r="N3013" s="1" t="str">
        <f>IF(TRIM(H3013)="","BLANK",IF(PROPER(TRIM(H3013))=TRIM(M3013),"MATCH","MISMATCH"))</f>
        <v>MATCH</v>
      </c>
      <c r="O3013" s="5" t="str">
        <f>INDEX([1]Employee!$C$2:$C$276,MATCH(B3013,[1]Employee!$A$2:$A$276,0))</f>
        <v>Sales &amp; Marketing</v>
      </c>
    </row>
    <row r="3014" spans="1:15">
      <c r="A3014" s="1" t="s">
        <v>5874</v>
      </c>
      <c r="B3014" s="1" t="s">
        <v>836</v>
      </c>
      <c r="C3014" s="1" t="s">
        <v>5875</v>
      </c>
      <c r="D3014" s="2">
        <v>46181</v>
      </c>
      <c r="E3014" s="2">
        <v>46191</v>
      </c>
      <c r="F3014" s="1" t="s">
        <v>259</v>
      </c>
      <c r="G3014" s="1" t="s">
        <v>20</v>
      </c>
      <c r="H3014" s="1" t="s">
        <v>19</v>
      </c>
      <c r="I3014" s="7">
        <v>206.32</v>
      </c>
      <c r="J3014" s="1" t="s">
        <v>38</v>
      </c>
      <c r="K3014" s="1"/>
      <c r="L3014" s="1" t="s">
        <v>39</v>
      </c>
      <c r="M3014" s="1" t="str">
        <f>INDEX(MCC_Lookup!$B$2:$B$12,MATCH(G3014,MCC_Lookup!$A$2:$A$12,0))</f>
        <v>Events</v>
      </c>
      <c r="N3014" s="1" t="str">
        <f>IF(TRIM(H3014)="","BLANK",IF(PROPER(TRIM(H3014))=TRIM(M3014),"MATCH","MISMATCH"))</f>
        <v>MATCH</v>
      </c>
      <c r="O3014" s="5" t="str">
        <f>INDEX([1]Employee!$C$2:$C$276,MATCH(B3014,[1]Employee!$A$2:$A$276,0))</f>
        <v>Sales &amp; Marketing</v>
      </c>
    </row>
    <row r="3015" spans="1:15">
      <c r="A3015" s="1" t="s">
        <v>5876</v>
      </c>
      <c r="B3015" s="1" t="s">
        <v>836</v>
      </c>
      <c r="C3015" s="1" t="s">
        <v>5877</v>
      </c>
      <c r="D3015" s="2">
        <v>46188</v>
      </c>
      <c r="E3015" s="2">
        <v>46191</v>
      </c>
      <c r="F3015" s="1" t="s">
        <v>72</v>
      </c>
      <c r="G3015" s="1" t="s">
        <v>8</v>
      </c>
      <c r="H3015" s="1" t="s">
        <v>9</v>
      </c>
      <c r="I3015" s="7">
        <v>61.99</v>
      </c>
      <c r="J3015" s="1" t="s">
        <v>38</v>
      </c>
      <c r="K3015" s="1"/>
      <c r="L3015" s="1" t="s">
        <v>39</v>
      </c>
      <c r="M3015" s="1" t="str">
        <f>INDEX(MCC_Lookup!$B$2:$B$12,MATCH(G3015,MCC_Lookup!$A$2:$A$12,0))</f>
        <v>Transportation</v>
      </c>
      <c r="N3015" s="1" t="str">
        <f>IF(TRIM(H3015)="","BLANK",IF(PROPER(TRIM(H3015))=TRIM(M3015),"MATCH","MISMATCH"))</f>
        <v>MATCH</v>
      </c>
      <c r="O3015" s="5" t="str">
        <f>INDEX([1]Employee!$C$2:$C$276,MATCH(B3015,[1]Employee!$A$2:$A$276,0))</f>
        <v>Sales &amp; Marketing</v>
      </c>
    </row>
    <row r="3016" spans="1:15">
      <c r="A3016" s="1" t="s">
        <v>5878</v>
      </c>
      <c r="B3016" s="1" t="s">
        <v>772</v>
      </c>
      <c r="C3016" s="1" t="s">
        <v>5879</v>
      </c>
      <c r="D3016" s="2">
        <v>46183</v>
      </c>
      <c r="E3016" s="2">
        <v>46191</v>
      </c>
      <c r="F3016" s="1" t="s">
        <v>201</v>
      </c>
      <c r="G3016" s="1" t="s">
        <v>4</v>
      </c>
      <c r="H3016" s="1" t="s">
        <v>5</v>
      </c>
      <c r="I3016" s="7">
        <v>421.44</v>
      </c>
      <c r="J3016" s="1" t="s">
        <v>38</v>
      </c>
      <c r="K3016" s="1"/>
      <c r="L3016" s="1" t="s">
        <v>48</v>
      </c>
      <c r="M3016" s="1" t="str">
        <f>INDEX(MCC_Lookup!$B$2:$B$12,MATCH(G3016,MCC_Lookup!$A$2:$A$12,0))</f>
        <v>Travel</v>
      </c>
      <c r="N3016" s="1" t="str">
        <f>IF(TRIM(H3016)="","BLANK",IF(PROPER(TRIM(H3016))=TRIM(M3016),"MATCH","MISMATCH"))</f>
        <v>MATCH</v>
      </c>
      <c r="O3016" s="5" t="str">
        <f>INDEX([1]Employee!$C$2:$C$276,MATCH(B3016,[1]Employee!$A$2:$A$276,0))</f>
        <v>Underwriting</v>
      </c>
    </row>
    <row r="3017" spans="1:15">
      <c r="A3017" s="1" t="s">
        <v>5880</v>
      </c>
      <c r="B3017" s="1" t="s">
        <v>3348</v>
      </c>
      <c r="C3017" s="1" t="s">
        <v>5881</v>
      </c>
      <c r="D3017" s="2">
        <v>46187</v>
      </c>
      <c r="E3017" s="2">
        <v>46191</v>
      </c>
      <c r="F3017" s="1" t="s">
        <v>47</v>
      </c>
      <c r="G3017" s="1" t="s">
        <v>6</v>
      </c>
      <c r="H3017" s="1" t="s">
        <v>7</v>
      </c>
      <c r="I3017" s="7">
        <v>156.94999999999999</v>
      </c>
      <c r="J3017" s="1" t="s">
        <v>38</v>
      </c>
      <c r="K3017" s="1"/>
      <c r="L3017" s="1" t="s">
        <v>39</v>
      </c>
      <c r="M3017" s="1" t="str">
        <f>INDEX(MCC_Lookup!$B$2:$B$12,MATCH(G3017,MCC_Lookup!$A$2:$A$12,0))</f>
        <v>Lodging</v>
      </c>
      <c r="N3017" s="1" t="str">
        <f>IF(TRIM(H3017)="","BLANK",IF(PROPER(TRIM(H3017))=TRIM(M3017),"MATCH","MISMATCH"))</f>
        <v>MATCH</v>
      </c>
      <c r="O3017" s="5" t="str">
        <f>INDEX([1]Employee!$C$2:$C$276,MATCH(B3017,[1]Employee!$A$2:$A$276,0))</f>
        <v>Underwriting</v>
      </c>
    </row>
    <row r="3018" spans="1:15">
      <c r="A3018" s="1" t="s">
        <v>5882</v>
      </c>
      <c r="B3018" s="1" t="s">
        <v>280</v>
      </c>
      <c r="C3018" s="1"/>
      <c r="D3018" s="2">
        <v>46187</v>
      </c>
      <c r="E3018" s="2">
        <v>46191</v>
      </c>
      <c r="F3018" s="1" t="s">
        <v>305</v>
      </c>
      <c r="G3018" s="1" t="s">
        <v>2</v>
      </c>
      <c r="H3018" s="1" t="s">
        <v>3</v>
      </c>
      <c r="I3018" s="7">
        <v>6.13</v>
      </c>
      <c r="J3018" s="1" t="s">
        <v>38</v>
      </c>
      <c r="K3018" s="1"/>
      <c r="L3018" s="1" t="s">
        <v>39</v>
      </c>
      <c r="M3018" s="1" t="str">
        <f>INDEX(MCC_Lookup!$B$2:$B$12,MATCH(G3018,MCC_Lookup!$A$2:$A$12,0))</f>
        <v>Meals</v>
      </c>
      <c r="N3018" s="1" t="str">
        <f>IF(TRIM(H3018)="","BLANK",IF(PROPER(TRIM(H3018))=TRIM(M3018),"MATCH","MISMATCH"))</f>
        <v>MATCH</v>
      </c>
      <c r="O3018" s="5" t="str">
        <f>INDEX([1]Employee!$C$2:$C$276,MATCH(B3018,[1]Employee!$A$2:$A$276,0))</f>
        <v>Claims</v>
      </c>
    </row>
    <row r="3019" spans="1:15">
      <c r="A3019" s="1" t="s">
        <v>5883</v>
      </c>
      <c r="B3019" s="1" t="s">
        <v>71</v>
      </c>
      <c r="C3019" s="1" t="s">
        <v>5884</v>
      </c>
      <c r="D3019" s="2">
        <v>46186</v>
      </c>
      <c r="E3019" s="2">
        <v>46191</v>
      </c>
      <c r="F3019" s="1" t="s">
        <v>116</v>
      </c>
      <c r="G3019" s="1" t="s">
        <v>2</v>
      </c>
      <c r="H3019" s="1" t="s">
        <v>3</v>
      </c>
      <c r="I3019" s="7">
        <v>16</v>
      </c>
      <c r="J3019" s="1" t="s">
        <v>38</v>
      </c>
      <c r="K3019" s="1"/>
      <c r="L3019" s="1" t="s">
        <v>39</v>
      </c>
      <c r="M3019" s="1" t="str">
        <f>INDEX(MCC_Lookup!$B$2:$B$12,MATCH(G3019,MCC_Lookup!$A$2:$A$12,0))</f>
        <v>Meals</v>
      </c>
      <c r="N3019" s="1" t="str">
        <f>IF(TRIM(H3019)="","BLANK",IF(PROPER(TRIM(H3019))=TRIM(M3019),"MATCH","MISMATCH"))</f>
        <v>MATCH</v>
      </c>
      <c r="O3019" s="5" t="str">
        <f>INDEX([1]Employee!$C$2:$C$276,MATCH(B3019,[1]Employee!$A$2:$A$276,0))</f>
        <v>Sales &amp; Marketing</v>
      </c>
    </row>
    <row r="3020" spans="1:15">
      <c r="A3020" s="1" t="s">
        <v>5885</v>
      </c>
      <c r="B3020" s="1" t="s">
        <v>387</v>
      </c>
      <c r="C3020" s="1" t="s">
        <v>5886</v>
      </c>
      <c r="D3020" s="2">
        <v>46191</v>
      </c>
      <c r="E3020" s="2">
        <v>46191</v>
      </c>
      <c r="F3020" s="1" t="s">
        <v>106</v>
      </c>
      <c r="G3020" s="1" t="s">
        <v>13</v>
      </c>
      <c r="H3020" s="1" t="s">
        <v>14</v>
      </c>
      <c r="I3020" s="7">
        <v>205.81</v>
      </c>
      <c r="J3020" s="1" t="s">
        <v>38</v>
      </c>
      <c r="K3020" s="1"/>
      <c r="L3020" s="1" t="s">
        <v>39</v>
      </c>
      <c r="M3020" s="1" t="str">
        <f>INDEX(MCC_Lookup!$B$2:$B$12,MATCH(G3020,MCC_Lookup!$A$2:$A$12,0))</f>
        <v>Software</v>
      </c>
      <c r="N3020" s="1" t="str">
        <f>IF(TRIM(H3020)="","BLANK",IF(PROPER(TRIM(H3020))=TRIM(M3020),"MATCH","MISMATCH"))</f>
        <v>MATCH</v>
      </c>
      <c r="O3020" s="5" t="str">
        <f>INDEX([1]Employee!$C$2:$C$276,MATCH(B3020,[1]Employee!$A$2:$A$276,0))</f>
        <v>IT &amp; Platform Engineering</v>
      </c>
    </row>
    <row r="3021" spans="1:15">
      <c r="A3021" s="1" t="s">
        <v>5887</v>
      </c>
      <c r="B3021" s="1" t="s">
        <v>199</v>
      </c>
      <c r="C3021" s="1" t="s">
        <v>5888</v>
      </c>
      <c r="D3021" s="2">
        <v>46189</v>
      </c>
      <c r="E3021" s="2">
        <v>46191</v>
      </c>
      <c r="F3021" s="1" t="s">
        <v>99</v>
      </c>
      <c r="G3021" s="1" t="s">
        <v>2</v>
      </c>
      <c r="H3021" s="1" t="s">
        <v>3</v>
      </c>
      <c r="I3021" s="7">
        <v>87.21</v>
      </c>
      <c r="J3021" s="1" t="s">
        <v>38</v>
      </c>
      <c r="K3021" s="1"/>
      <c r="L3021" s="1" t="s">
        <v>39</v>
      </c>
      <c r="M3021" s="1" t="str">
        <f>INDEX(MCC_Lookup!$B$2:$B$12,MATCH(G3021,MCC_Lookup!$A$2:$A$12,0))</f>
        <v>Meals</v>
      </c>
      <c r="N3021" s="1" t="str">
        <f>IF(TRIM(H3021)="","BLANK",IF(PROPER(TRIM(H3021))=TRIM(M3021),"MATCH","MISMATCH"))</f>
        <v>MATCH</v>
      </c>
      <c r="O3021" s="5" t="str">
        <f>INDEX([1]Employee!$C$2:$C$276,MATCH(B3021,[1]Employee!$A$2:$A$276,0))</f>
        <v>Sales &amp; Marketing</v>
      </c>
    </row>
    <row r="3022" spans="1:15">
      <c r="A3022" s="1" t="s">
        <v>5889</v>
      </c>
      <c r="B3022" s="1" t="s">
        <v>35</v>
      </c>
      <c r="C3022" s="1" t="s">
        <v>5890</v>
      </c>
      <c r="D3022" s="2">
        <v>46188</v>
      </c>
      <c r="E3022" s="2">
        <v>46191</v>
      </c>
      <c r="F3022" s="1" t="s">
        <v>259</v>
      </c>
      <c r="G3022" s="1" t="s">
        <v>20</v>
      </c>
      <c r="H3022" s="1" t="s">
        <v>19</v>
      </c>
      <c r="I3022" s="7">
        <v>270.54000000000002</v>
      </c>
      <c r="J3022" s="1" t="s">
        <v>38</v>
      </c>
      <c r="K3022" s="1"/>
      <c r="L3022" s="1" t="s">
        <v>39</v>
      </c>
      <c r="M3022" s="1" t="str">
        <f>INDEX(MCC_Lookup!$B$2:$B$12,MATCH(G3022,MCC_Lookup!$A$2:$A$12,0))</f>
        <v>Events</v>
      </c>
      <c r="N3022" s="1" t="str">
        <f>IF(TRIM(H3022)="","BLANK",IF(PROPER(TRIM(H3022))=TRIM(M3022),"MATCH","MISMATCH"))</f>
        <v>MATCH</v>
      </c>
      <c r="O3022" s="5" t="str">
        <f>INDEX([1]Employee!$C$2:$C$276,MATCH(B3022,[1]Employee!$A$2:$A$276,0))</f>
        <v>Sales &amp; Marketing</v>
      </c>
    </row>
    <row r="3023" spans="1:15">
      <c r="A3023" s="1" t="s">
        <v>5891</v>
      </c>
      <c r="B3023" s="1" t="s">
        <v>122</v>
      </c>
      <c r="C3023" s="1" t="s">
        <v>5892</v>
      </c>
      <c r="D3023" s="2">
        <v>46185</v>
      </c>
      <c r="E3023" s="2">
        <v>46191</v>
      </c>
      <c r="F3023" s="1" t="s">
        <v>76</v>
      </c>
      <c r="G3023" s="1" t="s">
        <v>13</v>
      </c>
      <c r="H3023" s="1" t="s">
        <v>14</v>
      </c>
      <c r="I3023" s="7">
        <v>565.82000000000005</v>
      </c>
      <c r="J3023" s="1" t="s">
        <v>38</v>
      </c>
      <c r="K3023" s="1"/>
      <c r="L3023" s="1" t="s">
        <v>39</v>
      </c>
      <c r="M3023" s="1" t="str">
        <f>INDEX(MCC_Lookup!$B$2:$B$12,MATCH(G3023,MCC_Lookup!$A$2:$A$12,0))</f>
        <v>Software</v>
      </c>
      <c r="N3023" s="1" t="str">
        <f>IF(TRIM(H3023)="","BLANK",IF(PROPER(TRIM(H3023))=TRIM(M3023),"MATCH","MISMATCH"))</f>
        <v>MATCH</v>
      </c>
      <c r="O3023" s="5" t="str">
        <f>INDEX([1]Employee!$C$2:$C$276,MATCH(B3023,[1]Employee!$A$2:$A$276,0))</f>
        <v>Sales &amp; Marketing</v>
      </c>
    </row>
    <row r="3024" spans="1:15">
      <c r="A3024" s="1" t="s">
        <v>5893</v>
      </c>
      <c r="B3024" s="1" t="s">
        <v>179</v>
      </c>
      <c r="C3024" s="1" t="s">
        <v>5894</v>
      </c>
      <c r="D3024" s="2">
        <v>46189</v>
      </c>
      <c r="E3024" s="2">
        <v>46191</v>
      </c>
      <c r="F3024" s="1" t="s">
        <v>61</v>
      </c>
      <c r="G3024" s="1" t="s">
        <v>13</v>
      </c>
      <c r="H3024" s="1" t="s">
        <v>14</v>
      </c>
      <c r="I3024" s="7">
        <v>57</v>
      </c>
      <c r="J3024" s="1" t="s">
        <v>38</v>
      </c>
      <c r="K3024" s="1"/>
      <c r="L3024" s="1" t="s">
        <v>39</v>
      </c>
      <c r="M3024" s="1" t="str">
        <f>INDEX(MCC_Lookup!$B$2:$B$12,MATCH(G3024,MCC_Lookup!$A$2:$A$12,0))</f>
        <v>Software</v>
      </c>
      <c r="N3024" s="1" t="str">
        <f>IF(TRIM(H3024)="","BLANK",IF(PROPER(TRIM(H3024))=TRIM(M3024),"MATCH","MISMATCH"))</f>
        <v>MATCH</v>
      </c>
      <c r="O3024" s="5" t="str">
        <f>INDEX([1]Employee!$C$2:$C$276,MATCH(B3024,[1]Employee!$A$2:$A$276,0))</f>
        <v>Claims</v>
      </c>
    </row>
    <row r="3025" spans="1:15">
      <c r="A3025" s="1" t="s">
        <v>5895</v>
      </c>
      <c r="B3025" s="1" t="s">
        <v>2925</v>
      </c>
      <c r="C3025" s="1" t="s">
        <v>5896</v>
      </c>
      <c r="D3025" s="2">
        <v>46181</v>
      </c>
      <c r="E3025" s="2">
        <v>46191</v>
      </c>
      <c r="F3025" s="1" t="s">
        <v>173</v>
      </c>
      <c r="G3025" s="1" t="s">
        <v>2</v>
      </c>
      <c r="H3025" s="1" t="s">
        <v>19</v>
      </c>
      <c r="I3025" s="7">
        <v>43.02</v>
      </c>
      <c r="J3025" s="1" t="s">
        <v>38</v>
      </c>
      <c r="K3025" s="1"/>
      <c r="L3025" s="1" t="s">
        <v>39</v>
      </c>
      <c r="M3025" s="1" t="str">
        <f>INDEX(MCC_Lookup!$B$2:$B$12,MATCH(G3025,MCC_Lookup!$A$2:$A$12,0))</f>
        <v>Meals</v>
      </c>
      <c r="N3025" s="1" t="str">
        <f>IF(TRIM(H3025)="","BLANK",IF(PROPER(TRIM(H3025))=TRIM(M3025),"MATCH","MISMATCH"))</f>
        <v>MISMATCH</v>
      </c>
      <c r="O3025" s="5" t="str">
        <f>INDEX([1]Employee!$C$2:$C$276,MATCH(B3025,[1]Employee!$A$2:$A$276,0))</f>
        <v>Actuarial &amp; Risk</v>
      </c>
    </row>
    <row r="3026" spans="1:15">
      <c r="A3026" s="1" t="s">
        <v>5897</v>
      </c>
      <c r="B3026" s="1" t="s">
        <v>947</v>
      </c>
      <c r="C3026" s="1" t="s">
        <v>5898</v>
      </c>
      <c r="D3026" s="2">
        <v>46191</v>
      </c>
      <c r="E3026" s="2">
        <v>46191</v>
      </c>
      <c r="F3026" s="1" t="s">
        <v>109</v>
      </c>
      <c r="G3026" s="1" t="s">
        <v>18</v>
      </c>
      <c r="H3026" s="1" t="s">
        <v>19</v>
      </c>
      <c r="I3026" s="7">
        <v>37.880000000000003</v>
      </c>
      <c r="J3026" s="1" t="s">
        <v>38</v>
      </c>
      <c r="K3026" s="1"/>
      <c r="L3026" s="1" t="s">
        <v>39</v>
      </c>
      <c r="M3026" s="1" t="str">
        <f>INDEX(MCC_Lookup!$B$2:$B$12,MATCH(G3026,MCC_Lookup!$A$2:$A$12,0))</f>
        <v>Events</v>
      </c>
      <c r="N3026" s="1" t="str">
        <f>IF(TRIM(H3026)="","BLANK",IF(PROPER(TRIM(H3026))=TRIM(M3026),"MATCH","MISMATCH"))</f>
        <v>MATCH</v>
      </c>
      <c r="O3026" s="5" t="str">
        <f>INDEX([1]Employee!$C$2:$C$276,MATCH(B3026,[1]Employee!$A$2:$A$276,0))</f>
        <v>Sales &amp; Marketing</v>
      </c>
    </row>
    <row r="3027" spans="1:15">
      <c r="A3027" s="1" t="s">
        <v>5899</v>
      </c>
      <c r="B3027" s="1" t="s">
        <v>104</v>
      </c>
      <c r="C3027" s="1" t="s">
        <v>5900</v>
      </c>
      <c r="D3027" s="2">
        <v>46183</v>
      </c>
      <c r="E3027" s="2">
        <v>46191</v>
      </c>
      <c r="F3027" s="1" t="s">
        <v>83</v>
      </c>
      <c r="G3027" s="1" t="s">
        <v>2</v>
      </c>
      <c r="H3027" s="1" t="s">
        <v>3</v>
      </c>
      <c r="I3027" s="7">
        <v>16.920000000000002</v>
      </c>
      <c r="J3027" s="1" t="s">
        <v>38</v>
      </c>
      <c r="K3027" s="1"/>
      <c r="L3027" s="1" t="s">
        <v>39</v>
      </c>
      <c r="M3027" s="1" t="str">
        <f>INDEX(MCC_Lookup!$B$2:$B$12,MATCH(G3027,MCC_Lookup!$A$2:$A$12,0))</f>
        <v>Meals</v>
      </c>
      <c r="N3027" s="1" t="str">
        <f>IF(TRIM(H3027)="","BLANK",IF(PROPER(TRIM(H3027))=TRIM(M3027),"MATCH","MISMATCH"))</f>
        <v>MATCH</v>
      </c>
      <c r="O3027" s="5" t="str">
        <f>INDEX([1]Employee!$C$2:$C$276,MATCH(B3027,[1]Employee!$A$2:$A$276,0))</f>
        <v>Sales &amp; Marketing</v>
      </c>
    </row>
    <row r="3028" spans="1:15">
      <c r="A3028" s="1" t="s">
        <v>5901</v>
      </c>
      <c r="B3028" s="1" t="s">
        <v>499</v>
      </c>
      <c r="C3028" s="1"/>
      <c r="D3028" s="2">
        <v>46181</v>
      </c>
      <c r="E3028" s="2">
        <v>46191</v>
      </c>
      <c r="F3028" s="1" t="s">
        <v>259</v>
      </c>
      <c r="G3028" s="1" t="s">
        <v>20</v>
      </c>
      <c r="H3028" s="1" t="s">
        <v>19</v>
      </c>
      <c r="I3028" s="7">
        <v>547.29</v>
      </c>
      <c r="J3028" s="1" t="s">
        <v>111</v>
      </c>
      <c r="K3028" s="1" t="s">
        <v>229</v>
      </c>
      <c r="L3028" s="1" t="s">
        <v>39</v>
      </c>
      <c r="M3028" s="1" t="str">
        <f>INDEX(MCC_Lookup!$B$2:$B$12,MATCH(G3028,MCC_Lookup!$A$2:$A$12,0))</f>
        <v>Events</v>
      </c>
      <c r="N3028" s="1" t="str">
        <f>IF(TRIM(H3028)="","BLANK",IF(PROPER(TRIM(H3028))=TRIM(M3028),"MATCH","MISMATCH"))</f>
        <v>MATCH</v>
      </c>
      <c r="O3028" s="5" t="str">
        <f>INDEX([1]Employee!$C$2:$C$276,MATCH(B3028,[1]Employee!$A$2:$A$276,0))</f>
        <v>Sales &amp; Marketing</v>
      </c>
    </row>
    <row r="3029" spans="1:15">
      <c r="A3029" s="1" t="s">
        <v>5902</v>
      </c>
      <c r="B3029" s="1" t="s">
        <v>656</v>
      </c>
      <c r="C3029" s="1" t="s">
        <v>5903</v>
      </c>
      <c r="D3029" s="2">
        <v>46187</v>
      </c>
      <c r="E3029" s="2">
        <v>46192</v>
      </c>
      <c r="F3029" s="1" t="s">
        <v>61</v>
      </c>
      <c r="G3029" s="1" t="s">
        <v>13</v>
      </c>
      <c r="H3029" s="1" t="s">
        <v>419</v>
      </c>
      <c r="I3029" s="7">
        <v>71.72</v>
      </c>
      <c r="J3029" s="1" t="s">
        <v>38</v>
      </c>
      <c r="K3029" s="1"/>
      <c r="L3029" s="1" t="s">
        <v>39</v>
      </c>
      <c r="M3029" s="1" t="str">
        <f>INDEX(MCC_Lookup!$B$2:$B$12,MATCH(G3029,MCC_Lookup!$A$2:$A$12,0))</f>
        <v>Software</v>
      </c>
      <c r="N3029" s="1" t="str">
        <f>IF(TRIM(H3029)="","BLANK",IF(PROPER(TRIM(H3029))=TRIM(M3029),"MATCH","MISMATCH"))</f>
        <v>MATCH</v>
      </c>
      <c r="O3029" s="5" t="str">
        <f>INDEX([1]Employee!$C$2:$C$276,MATCH(B3029,[1]Employee!$A$2:$A$276,0))</f>
        <v>Claims</v>
      </c>
    </row>
    <row r="3030" spans="1:15">
      <c r="A3030" s="1" t="s">
        <v>5904</v>
      </c>
      <c r="B3030" s="1" t="s">
        <v>126</v>
      </c>
      <c r="C3030" s="1"/>
      <c r="D3030" s="2">
        <v>46189</v>
      </c>
      <c r="E3030" s="2">
        <v>46192</v>
      </c>
      <c r="F3030" s="1" t="s">
        <v>242</v>
      </c>
      <c r="G3030" s="1" t="s">
        <v>13</v>
      </c>
      <c r="H3030" s="1" t="s">
        <v>14</v>
      </c>
      <c r="I3030" s="7">
        <v>41.78</v>
      </c>
      <c r="J3030" s="1" t="s">
        <v>111</v>
      </c>
      <c r="K3030" s="1" t="s">
        <v>127</v>
      </c>
      <c r="L3030" s="1" t="s">
        <v>39</v>
      </c>
      <c r="M3030" s="1" t="str">
        <f>INDEX(MCC_Lookup!$B$2:$B$12,MATCH(G3030,MCC_Lookup!$A$2:$A$12,0))</f>
        <v>Software</v>
      </c>
      <c r="N3030" s="1" t="str">
        <f>IF(TRIM(H3030)="","BLANK",IF(PROPER(TRIM(H3030))=TRIM(M3030),"MATCH","MISMATCH"))</f>
        <v>MATCH</v>
      </c>
      <c r="O3030" s="5" t="str">
        <f>INDEX([1]Employee!$C$2:$C$276,MATCH(B3030,[1]Employee!$A$2:$A$276,0))</f>
        <v>Actuarial &amp; Risk</v>
      </c>
    </row>
    <row r="3031" spans="1:15">
      <c r="A3031" s="1" t="s">
        <v>5905</v>
      </c>
      <c r="B3031" s="1" t="s">
        <v>426</v>
      </c>
      <c r="C3031" s="1" t="s">
        <v>5906</v>
      </c>
      <c r="D3031" s="2">
        <v>46184</v>
      </c>
      <c r="E3031" s="2">
        <v>46192</v>
      </c>
      <c r="F3031" s="1" t="s">
        <v>120</v>
      </c>
      <c r="G3031" s="1" t="s">
        <v>12</v>
      </c>
      <c r="H3031" s="1" t="s">
        <v>11</v>
      </c>
      <c r="I3031" s="7">
        <v>323.88</v>
      </c>
      <c r="J3031" s="1" t="s">
        <v>38</v>
      </c>
      <c r="K3031" s="1"/>
      <c r="L3031" s="1" t="s">
        <v>39</v>
      </c>
      <c r="M3031" s="1" t="str">
        <f>INDEX(MCC_Lookup!$B$2:$B$12,MATCH(G3031,MCC_Lookup!$A$2:$A$12,0))</f>
        <v>Office Supplies</v>
      </c>
      <c r="N3031" s="1" t="str">
        <f>IF(TRIM(H3031)="","BLANK",IF(PROPER(TRIM(H3031))=TRIM(M3031),"MATCH","MISMATCH"))</f>
        <v>MATCH</v>
      </c>
      <c r="O3031" s="5" t="str">
        <f>INDEX([1]Employee!$C$2:$C$276,MATCH(B3031,[1]Employee!$A$2:$A$276,0))</f>
        <v>Sales &amp; Marketing</v>
      </c>
    </row>
    <row r="3032" spans="1:15">
      <c r="A3032" s="1" t="s">
        <v>5907</v>
      </c>
      <c r="B3032" s="1" t="s">
        <v>303</v>
      </c>
      <c r="C3032" s="1"/>
      <c r="D3032" s="2">
        <v>46184</v>
      </c>
      <c r="E3032" s="2">
        <v>46192</v>
      </c>
      <c r="F3032" s="1" t="s">
        <v>69</v>
      </c>
      <c r="G3032" s="1" t="s">
        <v>8</v>
      </c>
      <c r="H3032" s="1" t="s">
        <v>9</v>
      </c>
      <c r="I3032" s="7">
        <v>15.32</v>
      </c>
      <c r="J3032" s="1" t="s">
        <v>38</v>
      </c>
      <c r="K3032" s="1"/>
      <c r="L3032" s="1" t="s">
        <v>39</v>
      </c>
      <c r="M3032" s="1" t="str">
        <f>INDEX(MCC_Lookup!$B$2:$B$12,MATCH(G3032,MCC_Lookup!$A$2:$A$12,0))</f>
        <v>Transportation</v>
      </c>
      <c r="N3032" s="1" t="str">
        <f>IF(TRIM(H3032)="","BLANK",IF(PROPER(TRIM(H3032))=TRIM(M3032),"MATCH","MISMATCH"))</f>
        <v>MATCH</v>
      </c>
      <c r="O3032" s="5" t="str">
        <f>INDEX([1]Employee!$C$2:$C$276,MATCH(B3032,[1]Employee!$A$2:$A$276,0))</f>
        <v>Sales &amp; Marketing</v>
      </c>
    </row>
    <row r="3033" spans="1:15">
      <c r="A3033" s="1" t="s">
        <v>5908</v>
      </c>
      <c r="B3033" s="1" t="s">
        <v>2344</v>
      </c>
      <c r="C3033" s="1" t="s">
        <v>5909</v>
      </c>
      <c r="D3033" s="2">
        <v>46187</v>
      </c>
      <c r="E3033" s="2">
        <v>46192</v>
      </c>
      <c r="F3033" s="1" t="s">
        <v>37</v>
      </c>
      <c r="G3033" s="1" t="s">
        <v>4</v>
      </c>
      <c r="H3033" s="1" t="s">
        <v>5</v>
      </c>
      <c r="I3033" s="7">
        <v>353.78</v>
      </c>
      <c r="J3033" s="1" t="s">
        <v>38</v>
      </c>
      <c r="K3033" s="1"/>
      <c r="L3033" s="1" t="s">
        <v>39</v>
      </c>
      <c r="M3033" s="1" t="str">
        <f>INDEX(MCC_Lookup!$B$2:$B$12,MATCH(G3033,MCC_Lookup!$A$2:$A$12,0))</f>
        <v>Travel</v>
      </c>
      <c r="N3033" s="1" t="str">
        <f>IF(TRIM(H3033)="","BLANK",IF(PROPER(TRIM(H3033))=TRIM(M3033),"MATCH","MISMATCH"))</f>
        <v>MATCH</v>
      </c>
      <c r="O3033" s="5" t="str">
        <f>INDEX([1]Employee!$C$2:$C$276,MATCH(B3033,[1]Employee!$A$2:$A$276,0))</f>
        <v>Claims</v>
      </c>
    </row>
    <row r="3034" spans="1:15">
      <c r="A3034" s="1" t="s">
        <v>5910</v>
      </c>
      <c r="B3034" s="1" t="s">
        <v>593</v>
      </c>
      <c r="C3034" s="1" t="s">
        <v>5911</v>
      </c>
      <c r="D3034" s="2">
        <v>46184</v>
      </c>
      <c r="E3034" s="2">
        <v>46192</v>
      </c>
      <c r="F3034" s="1" t="s">
        <v>79</v>
      </c>
      <c r="G3034" s="1" t="s">
        <v>13</v>
      </c>
      <c r="H3034" s="1" t="s">
        <v>419</v>
      </c>
      <c r="I3034" s="7">
        <v>123.61</v>
      </c>
      <c r="J3034" s="1" t="s">
        <v>38</v>
      </c>
      <c r="K3034" s="1"/>
      <c r="L3034" s="1" t="s">
        <v>39</v>
      </c>
      <c r="M3034" s="1" t="str">
        <f>INDEX(MCC_Lookup!$B$2:$B$12,MATCH(G3034,MCC_Lookup!$A$2:$A$12,0))</f>
        <v>Software</v>
      </c>
      <c r="N3034" s="1" t="str">
        <f>IF(TRIM(H3034)="","BLANK",IF(PROPER(TRIM(H3034))=TRIM(M3034),"MATCH","MISMATCH"))</f>
        <v>MATCH</v>
      </c>
      <c r="O3034" s="5" t="str">
        <f>INDEX([1]Employee!$C$2:$C$276,MATCH(B3034,[1]Employee!$A$2:$A$276,0))</f>
        <v>Sales &amp; Marketing</v>
      </c>
    </row>
    <row r="3035" spans="1:15">
      <c r="A3035" s="1" t="s">
        <v>5912</v>
      </c>
      <c r="B3035" s="1" t="s">
        <v>352</v>
      </c>
      <c r="C3035" s="1" t="s">
        <v>5913</v>
      </c>
      <c r="D3035" s="2">
        <v>46192</v>
      </c>
      <c r="E3035" s="2">
        <v>46192</v>
      </c>
      <c r="F3035" s="1" t="s">
        <v>47</v>
      </c>
      <c r="G3035" s="1" t="s">
        <v>6</v>
      </c>
      <c r="H3035" s="1" t="s">
        <v>7</v>
      </c>
      <c r="I3035" s="7">
        <v>150.57</v>
      </c>
      <c r="J3035" s="1" t="s">
        <v>38</v>
      </c>
      <c r="K3035" s="1"/>
      <c r="L3035" s="1" t="s">
        <v>48</v>
      </c>
      <c r="M3035" s="1" t="str">
        <f>INDEX(MCC_Lookup!$B$2:$B$12,MATCH(G3035,MCC_Lookup!$A$2:$A$12,0))</f>
        <v>Lodging</v>
      </c>
      <c r="N3035" s="1" t="str">
        <f>IF(TRIM(H3035)="","BLANK",IF(PROPER(TRIM(H3035))=TRIM(M3035),"MATCH","MISMATCH"))</f>
        <v>MATCH</v>
      </c>
      <c r="O3035" s="5" t="str">
        <f>INDEX([1]Employee!$C$2:$C$276,MATCH(B3035,[1]Employee!$A$2:$A$276,0))</f>
        <v>Sales &amp; Marketing</v>
      </c>
    </row>
    <row r="3036" spans="1:15">
      <c r="A3036" s="1" t="s">
        <v>5914</v>
      </c>
      <c r="B3036" s="1" t="s">
        <v>373</v>
      </c>
      <c r="C3036" s="1" t="s">
        <v>5915</v>
      </c>
      <c r="D3036" s="2">
        <v>46182</v>
      </c>
      <c r="E3036" s="2">
        <v>46192</v>
      </c>
      <c r="F3036" s="1" t="s">
        <v>43</v>
      </c>
      <c r="G3036" s="1" t="s">
        <v>2</v>
      </c>
      <c r="H3036" s="1" t="s">
        <v>3</v>
      </c>
      <c r="I3036" s="7">
        <v>17.079999999999998</v>
      </c>
      <c r="J3036" s="1" t="s">
        <v>38</v>
      </c>
      <c r="K3036" s="1"/>
      <c r="L3036" s="1" t="s">
        <v>39</v>
      </c>
      <c r="M3036" s="1" t="str">
        <f>INDEX(MCC_Lookup!$B$2:$B$12,MATCH(G3036,MCC_Lookup!$A$2:$A$12,0))</f>
        <v>Meals</v>
      </c>
      <c r="N3036" s="1" t="str">
        <f>IF(TRIM(H3036)="","BLANK",IF(PROPER(TRIM(H3036))=TRIM(M3036),"MATCH","MISMATCH"))</f>
        <v>MATCH</v>
      </c>
      <c r="O3036" s="5" t="str">
        <f>INDEX([1]Employee!$C$2:$C$276,MATCH(B3036,[1]Employee!$A$2:$A$276,0))</f>
        <v>Sales &amp; Marketing</v>
      </c>
    </row>
    <row r="3037" spans="1:15">
      <c r="A3037" s="1" t="s">
        <v>5916</v>
      </c>
      <c r="B3037" s="1" t="s">
        <v>190</v>
      </c>
      <c r="C3037" s="1"/>
      <c r="D3037" s="2">
        <v>46192</v>
      </c>
      <c r="E3037" s="2">
        <v>46192</v>
      </c>
      <c r="F3037" s="1" t="s">
        <v>2059</v>
      </c>
      <c r="G3037" s="1" t="s">
        <v>13</v>
      </c>
      <c r="H3037" s="1" t="s">
        <v>14</v>
      </c>
      <c r="I3037" s="7">
        <v>142.28</v>
      </c>
      <c r="J3037" s="1" t="s">
        <v>38</v>
      </c>
      <c r="K3037" s="1"/>
      <c r="L3037" s="1" t="s">
        <v>39</v>
      </c>
      <c r="M3037" s="1" t="str">
        <f>INDEX(MCC_Lookup!$B$2:$B$12,MATCH(G3037,MCC_Lookup!$A$2:$A$12,0))</f>
        <v>Software</v>
      </c>
      <c r="N3037" s="1" t="str">
        <f>IF(TRIM(H3037)="","BLANK",IF(PROPER(TRIM(H3037))=TRIM(M3037),"MATCH","MISMATCH"))</f>
        <v>MATCH</v>
      </c>
      <c r="O3037" s="5" t="str">
        <f>INDEX([1]Employee!$C$2:$C$276,MATCH(B3037,[1]Employee!$A$2:$A$276,0))</f>
        <v>Sales &amp; Marketing</v>
      </c>
    </row>
    <row r="3038" spans="1:15">
      <c r="A3038" s="1" t="s">
        <v>5917</v>
      </c>
      <c r="B3038" s="1" t="s">
        <v>1061</v>
      </c>
      <c r="C3038" s="1" t="s">
        <v>5918</v>
      </c>
      <c r="D3038" s="2">
        <v>46190</v>
      </c>
      <c r="E3038" s="2">
        <v>46192</v>
      </c>
      <c r="F3038" s="1" t="s">
        <v>1362</v>
      </c>
      <c r="G3038" s="1" t="s">
        <v>6</v>
      </c>
      <c r="H3038" s="1" t="s">
        <v>5919</v>
      </c>
      <c r="I3038" s="7">
        <v>321.33</v>
      </c>
      <c r="J3038" s="1" t="s">
        <v>38</v>
      </c>
      <c r="K3038" s="1"/>
      <c r="L3038" s="1" t="s">
        <v>39</v>
      </c>
      <c r="M3038" s="1" t="str">
        <f>INDEX(MCC_Lookup!$B$2:$B$12,MATCH(G3038,MCC_Lookup!$A$2:$A$12,0))</f>
        <v>Lodging</v>
      </c>
      <c r="N3038" s="1" t="str">
        <f>IF(TRIM(H3038)="","BLANK",IF(PROPER(TRIM(H3038))=TRIM(M3038),"MATCH","MISMATCH"))</f>
        <v>MATCH</v>
      </c>
      <c r="O3038" s="5" t="str">
        <f>INDEX([1]Employee!$C$2:$C$276,MATCH(B3038,[1]Employee!$A$2:$A$276,0))</f>
        <v>Claims</v>
      </c>
    </row>
    <row r="3039" spans="1:15">
      <c r="A3039" s="1" t="s">
        <v>5920</v>
      </c>
      <c r="B3039" s="1" t="s">
        <v>314</v>
      </c>
      <c r="C3039" s="1" t="s">
        <v>5921</v>
      </c>
      <c r="D3039" s="2">
        <v>46189</v>
      </c>
      <c r="E3039" s="2">
        <v>46192</v>
      </c>
      <c r="F3039" s="1" t="s">
        <v>69</v>
      </c>
      <c r="G3039" s="1" t="s">
        <v>8</v>
      </c>
      <c r="H3039" s="1"/>
      <c r="I3039" s="7">
        <v>19.899999999999999</v>
      </c>
      <c r="J3039" s="1" t="s">
        <v>38</v>
      </c>
      <c r="K3039" s="1"/>
      <c r="L3039" s="1" t="s">
        <v>39</v>
      </c>
      <c r="M3039" s="1" t="str">
        <f>INDEX(MCC_Lookup!$B$2:$B$12,MATCH(G3039,MCC_Lookup!$A$2:$A$12,0))</f>
        <v>Transportation</v>
      </c>
      <c r="N3039" s="1" t="str">
        <f>IF(TRIM(H3039)="","BLANK",IF(PROPER(TRIM(H3039))=TRIM(M3039),"MATCH","MISMATCH"))</f>
        <v>BLANK</v>
      </c>
      <c r="O3039" s="5" t="str">
        <f>INDEX([1]Employee!$C$2:$C$276,MATCH(B3039,[1]Employee!$A$2:$A$276,0))</f>
        <v>Sales &amp; Marketing</v>
      </c>
    </row>
    <row r="3040" spans="1:15">
      <c r="A3040" s="1" t="s">
        <v>5922</v>
      </c>
      <c r="B3040" s="1" t="s">
        <v>182</v>
      </c>
      <c r="C3040" s="1" t="s">
        <v>5923</v>
      </c>
      <c r="D3040" s="2">
        <v>46190</v>
      </c>
      <c r="E3040" s="2">
        <v>46192</v>
      </c>
      <c r="F3040" s="1" t="s">
        <v>242</v>
      </c>
      <c r="G3040" s="1" t="s">
        <v>13</v>
      </c>
      <c r="H3040" s="1" t="s">
        <v>14</v>
      </c>
      <c r="I3040" s="7">
        <v>34.25</v>
      </c>
      <c r="J3040" s="1" t="s">
        <v>38</v>
      </c>
      <c r="K3040" s="1"/>
      <c r="L3040" s="1" t="s">
        <v>39</v>
      </c>
      <c r="M3040" s="1" t="str">
        <f>INDEX(MCC_Lookup!$B$2:$B$12,MATCH(G3040,MCC_Lookup!$A$2:$A$12,0))</f>
        <v>Software</v>
      </c>
      <c r="N3040" s="1" t="str">
        <f>IF(TRIM(H3040)="","BLANK",IF(PROPER(TRIM(H3040))=TRIM(M3040),"MATCH","MISMATCH"))</f>
        <v>MATCH</v>
      </c>
      <c r="O3040" s="5" t="str">
        <f>INDEX([1]Employee!$C$2:$C$276,MATCH(B3040,[1]Employee!$A$2:$A$276,0))</f>
        <v>Sales &amp; Marketing</v>
      </c>
    </row>
    <row r="3041" spans="1:15">
      <c r="A3041" s="1" t="s">
        <v>5924</v>
      </c>
      <c r="B3041" s="1" t="s">
        <v>261</v>
      </c>
      <c r="C3041" s="1" t="s">
        <v>5925</v>
      </c>
      <c r="D3041" s="2">
        <v>46185</v>
      </c>
      <c r="E3041" s="2">
        <v>46192</v>
      </c>
      <c r="F3041" s="1" t="s">
        <v>92</v>
      </c>
      <c r="G3041" s="1" t="s">
        <v>10</v>
      </c>
      <c r="H3041" s="1" t="s">
        <v>11</v>
      </c>
      <c r="I3041" s="7">
        <v>86.38</v>
      </c>
      <c r="J3041" s="1" t="s">
        <v>38</v>
      </c>
      <c r="K3041" s="1"/>
      <c r="L3041" s="1" t="s">
        <v>39</v>
      </c>
      <c r="M3041" s="1" t="str">
        <f>INDEX(MCC_Lookup!$B$2:$B$12,MATCH(G3041,MCC_Lookup!$A$2:$A$12,0))</f>
        <v>Office Supplies</v>
      </c>
      <c r="N3041" s="1" t="str">
        <f>IF(TRIM(H3041)="","BLANK",IF(PROPER(TRIM(H3041))=TRIM(M3041),"MATCH","MISMATCH"))</f>
        <v>MATCH</v>
      </c>
      <c r="O3041" s="5" t="str">
        <f>INDEX([1]Employee!$C$2:$C$276,MATCH(B3041,[1]Employee!$A$2:$A$276,0))</f>
        <v>Sales &amp; Marketing</v>
      </c>
    </row>
    <row r="3042" spans="1:15">
      <c r="A3042" s="1" t="s">
        <v>5926</v>
      </c>
      <c r="B3042" s="1" t="s">
        <v>846</v>
      </c>
      <c r="C3042" s="1" t="s">
        <v>5927</v>
      </c>
      <c r="D3042" s="2">
        <v>46188</v>
      </c>
      <c r="E3042" s="2">
        <v>46192</v>
      </c>
      <c r="F3042" s="1" t="s">
        <v>1068</v>
      </c>
      <c r="G3042" s="1" t="s">
        <v>20</v>
      </c>
      <c r="H3042" s="1" t="s">
        <v>19</v>
      </c>
      <c r="I3042" s="7">
        <v>618.32000000000005</v>
      </c>
      <c r="J3042" s="1" t="s">
        <v>38</v>
      </c>
      <c r="K3042" s="1"/>
      <c r="L3042" s="1" t="s">
        <v>39</v>
      </c>
      <c r="M3042" s="1" t="str">
        <f>INDEX(MCC_Lookup!$B$2:$B$12,MATCH(G3042,MCC_Lookup!$A$2:$A$12,0))</f>
        <v>Events</v>
      </c>
      <c r="N3042" s="1" t="str">
        <f>IF(TRIM(H3042)="","BLANK",IF(PROPER(TRIM(H3042))=TRIM(M3042),"MATCH","MISMATCH"))</f>
        <v>MATCH</v>
      </c>
      <c r="O3042" s="5" t="str">
        <f>INDEX([1]Employee!$C$2:$C$276,MATCH(B3042,[1]Employee!$A$2:$A$276,0))</f>
        <v>Sales &amp; Marketing</v>
      </c>
    </row>
    <row r="3043" spans="1:15">
      <c r="A3043" s="1" t="s">
        <v>5928</v>
      </c>
      <c r="B3043" s="1" t="s">
        <v>756</v>
      </c>
      <c r="C3043" s="1" t="s">
        <v>5929</v>
      </c>
      <c r="D3043" s="2">
        <v>46184</v>
      </c>
      <c r="E3043" s="2">
        <v>46192</v>
      </c>
      <c r="F3043" s="1" t="s">
        <v>83</v>
      </c>
      <c r="G3043" s="1" t="s">
        <v>2</v>
      </c>
      <c r="H3043" s="1" t="s">
        <v>154</v>
      </c>
      <c r="I3043" s="7">
        <v>19.010000000000002</v>
      </c>
      <c r="J3043" s="1" t="s">
        <v>38</v>
      </c>
      <c r="K3043" s="1"/>
      <c r="L3043" s="1" t="s">
        <v>39</v>
      </c>
      <c r="M3043" s="1" t="str">
        <f>INDEX(MCC_Lookup!$B$2:$B$12,MATCH(G3043,MCC_Lookup!$A$2:$A$12,0))</f>
        <v>Meals</v>
      </c>
      <c r="N3043" s="1" t="str">
        <f>IF(TRIM(H3043)="","BLANK",IF(PROPER(TRIM(H3043))=TRIM(M3043),"MATCH","MISMATCH"))</f>
        <v>MATCH</v>
      </c>
      <c r="O3043" s="5" t="str">
        <f>INDEX([1]Employee!$C$2:$C$276,MATCH(B3043,[1]Employee!$A$2:$A$276,0))</f>
        <v>Claims</v>
      </c>
    </row>
    <row r="3044" spans="1:15">
      <c r="A3044" s="1" t="s">
        <v>5930</v>
      </c>
      <c r="B3044" s="1" t="s">
        <v>623</v>
      </c>
      <c r="C3044" s="1" t="s">
        <v>5931</v>
      </c>
      <c r="D3044" s="2">
        <v>46185</v>
      </c>
      <c r="E3044" s="2">
        <v>46192</v>
      </c>
      <c r="F3044" s="1" t="s">
        <v>305</v>
      </c>
      <c r="G3044" s="1" t="s">
        <v>2</v>
      </c>
      <c r="H3044" s="1"/>
      <c r="I3044" s="7">
        <v>6.03</v>
      </c>
      <c r="J3044" s="1" t="s">
        <v>38</v>
      </c>
      <c r="K3044" s="1"/>
      <c r="L3044" s="1" t="s">
        <v>48</v>
      </c>
      <c r="M3044" s="1" t="str">
        <f>INDEX(MCC_Lookup!$B$2:$B$12,MATCH(G3044,MCC_Lookup!$A$2:$A$12,0))</f>
        <v>Meals</v>
      </c>
      <c r="N3044" s="1" t="str">
        <f>IF(TRIM(H3044)="","BLANK",IF(PROPER(TRIM(H3044))=TRIM(M3044),"MATCH","MISMATCH"))</f>
        <v>BLANK</v>
      </c>
      <c r="O3044" s="5" t="str">
        <f>INDEX([1]Employee!$C$2:$C$276,MATCH(B3044,[1]Employee!$A$2:$A$276,0))</f>
        <v>Underwriting</v>
      </c>
    </row>
    <row r="3045" spans="1:15">
      <c r="A3045" s="1" t="s">
        <v>5932</v>
      </c>
      <c r="B3045" s="1" t="s">
        <v>648</v>
      </c>
      <c r="C3045" s="1" t="s">
        <v>5933</v>
      </c>
      <c r="D3045" s="2">
        <v>46183</v>
      </c>
      <c r="E3045" s="2">
        <v>46192</v>
      </c>
      <c r="F3045" s="1" t="s">
        <v>120</v>
      </c>
      <c r="G3045" s="1" t="s">
        <v>12</v>
      </c>
      <c r="H3045" s="1" t="s">
        <v>11</v>
      </c>
      <c r="I3045" s="7">
        <v>366.66</v>
      </c>
      <c r="J3045" s="1" t="s">
        <v>38</v>
      </c>
      <c r="K3045" s="1"/>
      <c r="L3045" s="1" t="s">
        <v>39</v>
      </c>
      <c r="M3045" s="1" t="str">
        <f>INDEX(MCC_Lookup!$B$2:$B$12,MATCH(G3045,MCC_Lookup!$A$2:$A$12,0))</f>
        <v>Office Supplies</v>
      </c>
      <c r="N3045" s="1" t="str">
        <f>IF(TRIM(H3045)="","BLANK",IF(PROPER(TRIM(H3045))=TRIM(M3045),"MATCH","MISMATCH"))</f>
        <v>MATCH</v>
      </c>
      <c r="O3045" s="5" t="str">
        <f>INDEX([1]Employee!$C$2:$C$276,MATCH(B3045,[1]Employee!$A$2:$A$276,0))</f>
        <v>Sales &amp; Marketing</v>
      </c>
    </row>
    <row r="3046" spans="1:15">
      <c r="A3046" s="1" t="s">
        <v>5934</v>
      </c>
      <c r="B3046" s="1" t="s">
        <v>597</v>
      </c>
      <c r="C3046" s="1" t="s">
        <v>5935</v>
      </c>
      <c r="D3046" s="2">
        <v>46190</v>
      </c>
      <c r="E3046" s="2">
        <v>46192</v>
      </c>
      <c r="F3046" s="1" t="s">
        <v>259</v>
      </c>
      <c r="G3046" s="1" t="s">
        <v>20</v>
      </c>
      <c r="H3046" s="1" t="s">
        <v>19</v>
      </c>
      <c r="I3046" s="7">
        <v>549.32000000000005</v>
      </c>
      <c r="J3046" s="1" t="s">
        <v>38</v>
      </c>
      <c r="K3046" s="1"/>
      <c r="L3046" s="1" t="s">
        <v>39</v>
      </c>
      <c r="M3046" s="1" t="str">
        <f>INDEX(MCC_Lookup!$B$2:$B$12,MATCH(G3046,MCC_Lookup!$A$2:$A$12,0))</f>
        <v>Events</v>
      </c>
      <c r="N3046" s="1" t="str">
        <f>IF(TRIM(H3046)="","BLANK",IF(PROPER(TRIM(H3046))=TRIM(M3046),"MATCH","MISMATCH"))</f>
        <v>MATCH</v>
      </c>
      <c r="O3046" s="5" t="str">
        <f>INDEX([1]Employee!$C$2:$C$276,MATCH(B3046,[1]Employee!$A$2:$A$276,0))</f>
        <v>Sales &amp; Marketing</v>
      </c>
    </row>
    <row r="3047" spans="1:15">
      <c r="A3047" s="1" t="s">
        <v>5936</v>
      </c>
      <c r="B3047" s="1" t="s">
        <v>469</v>
      </c>
      <c r="C3047" s="1"/>
      <c r="D3047" s="2">
        <v>46182</v>
      </c>
      <c r="E3047" s="2">
        <v>46192</v>
      </c>
      <c r="F3047" s="1" t="s">
        <v>242</v>
      </c>
      <c r="G3047" s="1" t="s">
        <v>13</v>
      </c>
      <c r="H3047" s="1" t="s">
        <v>14</v>
      </c>
      <c r="I3047" s="7">
        <v>47.04</v>
      </c>
      <c r="J3047" s="1" t="s">
        <v>111</v>
      </c>
      <c r="K3047" s="1" t="s">
        <v>127</v>
      </c>
      <c r="L3047" s="1" t="s">
        <v>39</v>
      </c>
      <c r="M3047" s="1" t="str">
        <f>INDEX(MCC_Lookup!$B$2:$B$12,MATCH(G3047,MCC_Lookup!$A$2:$A$12,0))</f>
        <v>Software</v>
      </c>
      <c r="N3047" s="1" t="str">
        <f>IF(TRIM(H3047)="","BLANK",IF(PROPER(TRIM(H3047))=TRIM(M3047),"MATCH","MISMATCH"))</f>
        <v>MATCH</v>
      </c>
      <c r="O3047" s="5" t="str">
        <f>INDEX([1]Employee!$C$2:$C$276,MATCH(B3047,[1]Employee!$A$2:$A$276,0))</f>
        <v>Sales &amp; Marketing</v>
      </c>
    </row>
    <row r="3048" spans="1:15">
      <c r="A3048" s="1" t="s">
        <v>5937</v>
      </c>
      <c r="B3048" s="1" t="s">
        <v>322</v>
      </c>
      <c r="C3048" s="1" t="s">
        <v>5938</v>
      </c>
      <c r="D3048" s="2">
        <v>46183</v>
      </c>
      <c r="E3048" s="2">
        <v>46192</v>
      </c>
      <c r="F3048" s="1" t="s">
        <v>201</v>
      </c>
      <c r="G3048" s="1" t="s">
        <v>4</v>
      </c>
      <c r="H3048" s="1" t="s">
        <v>5</v>
      </c>
      <c r="I3048" s="7">
        <v>366.58</v>
      </c>
      <c r="J3048" s="1" t="s">
        <v>38</v>
      </c>
      <c r="K3048" s="1"/>
      <c r="L3048" s="1" t="s">
        <v>39</v>
      </c>
      <c r="M3048" s="1" t="str">
        <f>INDEX(MCC_Lookup!$B$2:$B$12,MATCH(G3048,MCC_Lookup!$A$2:$A$12,0))</f>
        <v>Travel</v>
      </c>
      <c r="N3048" s="1" t="str">
        <f>IF(TRIM(H3048)="","BLANK",IF(PROPER(TRIM(H3048))=TRIM(M3048),"MATCH","MISMATCH"))</f>
        <v>MATCH</v>
      </c>
      <c r="O3048" s="5" t="str">
        <f>INDEX([1]Employee!$C$2:$C$276,MATCH(B3048,[1]Employee!$A$2:$A$276,0))</f>
        <v>Customer Support</v>
      </c>
    </row>
    <row r="3049" spans="1:15">
      <c r="A3049" s="1" t="s">
        <v>5939</v>
      </c>
      <c r="B3049" s="1" t="s">
        <v>908</v>
      </c>
      <c r="C3049" s="1" t="s">
        <v>5940</v>
      </c>
      <c r="D3049" s="2">
        <v>46164</v>
      </c>
      <c r="E3049" s="2">
        <v>46193</v>
      </c>
      <c r="F3049" s="1" t="s">
        <v>65</v>
      </c>
      <c r="G3049" s="1" t="s">
        <v>18</v>
      </c>
      <c r="H3049" s="1" t="s">
        <v>332</v>
      </c>
      <c r="I3049" s="7">
        <v>383.98</v>
      </c>
      <c r="J3049" s="1" t="s">
        <v>38</v>
      </c>
      <c r="K3049" s="1"/>
      <c r="L3049" s="1" t="s">
        <v>39</v>
      </c>
      <c r="M3049" s="1" t="str">
        <f>INDEX(MCC_Lookup!$B$2:$B$12,MATCH(G3049,MCC_Lookup!$A$2:$A$12,0))</f>
        <v>Events</v>
      </c>
      <c r="N3049" s="1" t="str">
        <f>IF(TRIM(H3049)="","BLANK",IF(PROPER(TRIM(H3049))=TRIM(M3049),"MATCH","MISMATCH"))</f>
        <v>MATCH</v>
      </c>
      <c r="O3049" s="5" t="str">
        <f>INDEX([1]Employee!$C$2:$C$276,MATCH(B3049,[1]Employee!$A$2:$A$276,0))</f>
        <v>Claims</v>
      </c>
    </row>
    <row r="3050" spans="1:15">
      <c r="A3050" s="1" t="s">
        <v>5941</v>
      </c>
      <c r="B3050" s="1" t="s">
        <v>387</v>
      </c>
      <c r="C3050" s="1"/>
      <c r="D3050" s="2">
        <v>46096</v>
      </c>
      <c r="E3050" s="2">
        <v>46193</v>
      </c>
      <c r="F3050" s="1" t="s">
        <v>47</v>
      </c>
      <c r="G3050" s="1" t="s">
        <v>6</v>
      </c>
      <c r="H3050" s="1" t="s">
        <v>7</v>
      </c>
      <c r="I3050" s="7">
        <v>397.09</v>
      </c>
      <c r="J3050" s="1" t="s">
        <v>111</v>
      </c>
      <c r="K3050" s="1" t="s">
        <v>161</v>
      </c>
      <c r="L3050" s="1" t="s">
        <v>39</v>
      </c>
      <c r="M3050" s="1" t="str">
        <f>INDEX(MCC_Lookup!$B$2:$B$12,MATCH(G3050,MCC_Lookup!$A$2:$A$12,0))</f>
        <v>Lodging</v>
      </c>
      <c r="N3050" s="1" t="str">
        <f>IF(TRIM(H3050)="","BLANK",IF(PROPER(TRIM(H3050))=TRIM(M3050),"MATCH","MISMATCH"))</f>
        <v>MATCH</v>
      </c>
      <c r="O3050" s="5" t="str">
        <f>INDEX([1]Employee!$C$2:$C$276,MATCH(B3050,[1]Employee!$A$2:$A$276,0))</f>
        <v>IT &amp; Platform Engineering</v>
      </c>
    </row>
    <row r="3051" spans="1:15">
      <c r="A3051" s="1" t="s">
        <v>5942</v>
      </c>
      <c r="B3051" s="1" t="s">
        <v>738</v>
      </c>
      <c r="C3051" s="1" t="s">
        <v>5943</v>
      </c>
      <c r="D3051" s="2">
        <v>46151</v>
      </c>
      <c r="E3051" s="2">
        <v>46193</v>
      </c>
      <c r="F3051" s="1" t="s">
        <v>160</v>
      </c>
      <c r="G3051" s="1" t="s">
        <v>6</v>
      </c>
      <c r="H3051" s="1" t="s">
        <v>7</v>
      </c>
      <c r="I3051" s="7">
        <v>364.51</v>
      </c>
      <c r="J3051" s="1" t="s">
        <v>38</v>
      </c>
      <c r="K3051" s="1"/>
      <c r="L3051" s="1" t="s">
        <v>39</v>
      </c>
      <c r="M3051" s="1" t="str">
        <f>INDEX(MCC_Lookup!$B$2:$B$12,MATCH(G3051,MCC_Lookup!$A$2:$A$12,0))</f>
        <v>Lodging</v>
      </c>
      <c r="N3051" s="1" t="str">
        <f>IF(TRIM(H3051)="","BLANK",IF(PROPER(TRIM(H3051))=TRIM(M3051),"MATCH","MISMATCH"))</f>
        <v>MATCH</v>
      </c>
      <c r="O3051" s="5" t="str">
        <f>INDEX([1]Employee!$C$2:$C$276,MATCH(B3051,[1]Employee!$A$2:$A$276,0))</f>
        <v>Sales &amp; Marketing</v>
      </c>
    </row>
    <row r="3052" spans="1:15">
      <c r="A3052" s="1" t="s">
        <v>5944</v>
      </c>
      <c r="B3052" s="1" t="s">
        <v>67</v>
      </c>
      <c r="C3052" s="1" t="s">
        <v>5945</v>
      </c>
      <c r="D3052" s="2">
        <v>46147</v>
      </c>
      <c r="E3052" s="2">
        <v>46193</v>
      </c>
      <c r="F3052" s="1" t="s">
        <v>56</v>
      </c>
      <c r="G3052" s="1" t="s">
        <v>4</v>
      </c>
      <c r="H3052" s="1" t="s">
        <v>3</v>
      </c>
      <c r="I3052" s="7">
        <v>611.59</v>
      </c>
      <c r="J3052" s="1" t="s">
        <v>38</v>
      </c>
      <c r="K3052" s="1"/>
      <c r="L3052" s="1" t="s">
        <v>39</v>
      </c>
      <c r="M3052" s="1" t="str">
        <f>INDEX(MCC_Lookup!$B$2:$B$12,MATCH(G3052,MCC_Lookup!$A$2:$A$12,0))</f>
        <v>Travel</v>
      </c>
      <c r="N3052" s="1" t="str">
        <f>IF(TRIM(H3052)="","BLANK",IF(PROPER(TRIM(H3052))=TRIM(M3052),"MATCH","MISMATCH"))</f>
        <v>MISMATCH</v>
      </c>
      <c r="O3052" s="5" t="str">
        <f>INDEX([1]Employee!$C$2:$C$276,MATCH(B3052,[1]Employee!$A$2:$A$276,0))</f>
        <v>Sales &amp; Marketing</v>
      </c>
    </row>
    <row r="3053" spans="1:15">
      <c r="A3053" s="1" t="s">
        <v>5946</v>
      </c>
      <c r="B3053" s="1" t="s">
        <v>407</v>
      </c>
      <c r="C3053" s="1" t="s">
        <v>5947</v>
      </c>
      <c r="D3053" s="2">
        <v>46062</v>
      </c>
      <c r="E3053" s="2">
        <v>46193</v>
      </c>
      <c r="F3053" s="1" t="s">
        <v>106</v>
      </c>
      <c r="G3053" s="1" t="s">
        <v>13</v>
      </c>
      <c r="H3053" s="1" t="s">
        <v>14</v>
      </c>
      <c r="I3053" s="7">
        <v>108.56</v>
      </c>
      <c r="J3053" s="1" t="s">
        <v>38</v>
      </c>
      <c r="K3053" s="1"/>
      <c r="L3053" s="1" t="s">
        <v>39</v>
      </c>
      <c r="M3053" s="1" t="str">
        <f>INDEX(MCC_Lookup!$B$2:$B$12,MATCH(G3053,MCC_Lookup!$A$2:$A$12,0))</f>
        <v>Software</v>
      </c>
      <c r="N3053" s="1" t="str">
        <f>IF(TRIM(H3053)="","BLANK",IF(PROPER(TRIM(H3053))=TRIM(M3053),"MATCH","MISMATCH"))</f>
        <v>MATCH</v>
      </c>
      <c r="O3053" s="5" t="str">
        <f>INDEX([1]Employee!$C$2:$C$276,MATCH(B3053,[1]Employee!$A$2:$A$276,0))</f>
        <v>Executive &amp; Corporate</v>
      </c>
    </row>
    <row r="3054" spans="1:15">
      <c r="A3054" s="1" t="s">
        <v>5948</v>
      </c>
      <c r="B3054" s="1" t="s">
        <v>407</v>
      </c>
      <c r="C3054" s="1"/>
      <c r="D3054" s="2">
        <v>46183</v>
      </c>
      <c r="E3054" s="2">
        <v>46193</v>
      </c>
      <c r="F3054" s="1" t="s">
        <v>116</v>
      </c>
      <c r="G3054" s="1" t="s">
        <v>2</v>
      </c>
      <c r="H3054" s="1" t="s">
        <v>3</v>
      </c>
      <c r="I3054" s="7">
        <v>10.44</v>
      </c>
      <c r="J3054" s="1" t="s">
        <v>111</v>
      </c>
      <c r="K3054" s="1" t="s">
        <v>112</v>
      </c>
      <c r="L3054" s="1" t="s">
        <v>39</v>
      </c>
      <c r="M3054" s="1" t="str">
        <f>INDEX(MCC_Lookup!$B$2:$B$12,MATCH(G3054,MCC_Lookup!$A$2:$A$12,0))</f>
        <v>Meals</v>
      </c>
      <c r="N3054" s="1" t="str">
        <f>IF(TRIM(H3054)="","BLANK",IF(PROPER(TRIM(H3054))=TRIM(M3054),"MATCH","MISMATCH"))</f>
        <v>MATCH</v>
      </c>
      <c r="O3054" s="5" t="str">
        <f>INDEX([1]Employee!$C$2:$C$276,MATCH(B3054,[1]Employee!$A$2:$A$276,0))</f>
        <v>Executive &amp; Corporate</v>
      </c>
    </row>
    <row r="3055" spans="1:15">
      <c r="A3055" s="1" t="s">
        <v>5949</v>
      </c>
      <c r="B3055" s="1" t="s">
        <v>597</v>
      </c>
      <c r="C3055" s="1" t="s">
        <v>5950</v>
      </c>
      <c r="D3055" s="2">
        <v>46191</v>
      </c>
      <c r="E3055" s="2">
        <v>46193</v>
      </c>
      <c r="F3055" s="1" t="s">
        <v>116</v>
      </c>
      <c r="G3055" s="1" t="s">
        <v>2</v>
      </c>
      <c r="H3055" s="1" t="s">
        <v>3</v>
      </c>
      <c r="I3055" s="7">
        <v>19.68</v>
      </c>
      <c r="J3055" s="1" t="s">
        <v>38</v>
      </c>
      <c r="K3055" s="1"/>
      <c r="L3055" s="1" t="s">
        <v>39</v>
      </c>
      <c r="M3055" s="1" t="str">
        <f>INDEX(MCC_Lookup!$B$2:$B$12,MATCH(G3055,MCC_Lookup!$A$2:$A$12,0))</f>
        <v>Meals</v>
      </c>
      <c r="N3055" s="1" t="str">
        <f>IF(TRIM(H3055)="","BLANK",IF(PROPER(TRIM(H3055))=TRIM(M3055),"MATCH","MISMATCH"))</f>
        <v>MATCH</v>
      </c>
      <c r="O3055" s="5" t="str">
        <f>INDEX([1]Employee!$C$2:$C$276,MATCH(B3055,[1]Employee!$A$2:$A$276,0))</f>
        <v>Sales &amp; Marketing</v>
      </c>
    </row>
    <row r="3056" spans="1:15">
      <c r="A3056" s="1" t="s">
        <v>5951</v>
      </c>
      <c r="B3056" s="1" t="s">
        <v>182</v>
      </c>
      <c r="C3056" s="1" t="s">
        <v>5952</v>
      </c>
      <c r="D3056" s="2">
        <v>46191</v>
      </c>
      <c r="E3056" s="2">
        <v>46193</v>
      </c>
      <c r="F3056" s="1" t="s">
        <v>242</v>
      </c>
      <c r="G3056" s="1" t="s">
        <v>13</v>
      </c>
      <c r="H3056" s="1" t="s">
        <v>14</v>
      </c>
      <c r="I3056" s="7">
        <v>17.61</v>
      </c>
      <c r="J3056" s="1" t="s">
        <v>38</v>
      </c>
      <c r="K3056" s="1"/>
      <c r="L3056" s="1" t="s">
        <v>39</v>
      </c>
      <c r="M3056" s="1" t="str">
        <f>INDEX(MCC_Lookup!$B$2:$B$12,MATCH(G3056,MCC_Lookup!$A$2:$A$12,0))</f>
        <v>Software</v>
      </c>
      <c r="N3056" s="1" t="str">
        <f>IF(TRIM(H3056)="","BLANK",IF(PROPER(TRIM(H3056))=TRIM(M3056),"MATCH","MISMATCH"))</f>
        <v>MATCH</v>
      </c>
      <c r="O3056" s="5" t="str">
        <f>INDEX([1]Employee!$C$2:$C$276,MATCH(B3056,[1]Employee!$A$2:$A$276,0))</f>
        <v>Sales &amp; Marketing</v>
      </c>
    </row>
    <row r="3057" spans="1:15">
      <c r="A3057" s="1" t="s">
        <v>5953</v>
      </c>
      <c r="B3057" s="1" t="s">
        <v>152</v>
      </c>
      <c r="C3057" s="1" t="s">
        <v>5954</v>
      </c>
      <c r="D3057" s="2">
        <v>46185</v>
      </c>
      <c r="E3057" s="2">
        <v>46193</v>
      </c>
      <c r="F3057" s="1" t="s">
        <v>56</v>
      </c>
      <c r="G3057" s="1" t="s">
        <v>4</v>
      </c>
      <c r="H3057" s="1" t="s">
        <v>5</v>
      </c>
      <c r="I3057" s="7">
        <v>425.82</v>
      </c>
      <c r="J3057" s="1" t="s">
        <v>38</v>
      </c>
      <c r="K3057" s="1"/>
      <c r="L3057" s="1" t="s">
        <v>39</v>
      </c>
      <c r="M3057" s="1" t="str">
        <f>INDEX(MCC_Lookup!$B$2:$B$12,MATCH(G3057,MCC_Lookup!$A$2:$A$12,0))</f>
        <v>Travel</v>
      </c>
      <c r="N3057" s="1" t="str">
        <f>IF(TRIM(H3057)="","BLANK",IF(PROPER(TRIM(H3057))=TRIM(M3057),"MATCH","MISMATCH"))</f>
        <v>MATCH</v>
      </c>
      <c r="O3057" s="5" t="str">
        <f>INDEX([1]Employee!$C$2:$C$276,MATCH(B3057,[1]Employee!$A$2:$A$276,0))</f>
        <v>Sales &amp; Marketing</v>
      </c>
    </row>
    <row r="3058" spans="1:15">
      <c r="A3058" s="1" t="s">
        <v>5955</v>
      </c>
      <c r="B3058" s="1" t="s">
        <v>54</v>
      </c>
      <c r="C3058" s="1" t="s">
        <v>5956</v>
      </c>
      <c r="D3058" s="2">
        <v>46184</v>
      </c>
      <c r="E3058" s="2">
        <v>46193</v>
      </c>
      <c r="F3058" s="1" t="s">
        <v>92</v>
      </c>
      <c r="G3058" s="1" t="s">
        <v>10</v>
      </c>
      <c r="H3058" s="1" t="s">
        <v>11</v>
      </c>
      <c r="I3058" s="7">
        <v>54.91</v>
      </c>
      <c r="J3058" s="1" t="s">
        <v>38</v>
      </c>
      <c r="K3058" s="1"/>
      <c r="L3058" s="1" t="s">
        <v>39</v>
      </c>
      <c r="M3058" s="1" t="str">
        <f>INDEX(MCC_Lookup!$B$2:$B$12,MATCH(G3058,MCC_Lookup!$A$2:$A$12,0))</f>
        <v>Office Supplies</v>
      </c>
      <c r="N3058" s="1" t="str">
        <f>IF(TRIM(H3058)="","BLANK",IF(PROPER(TRIM(H3058))=TRIM(M3058),"MATCH","MISMATCH"))</f>
        <v>MATCH</v>
      </c>
      <c r="O3058" s="5" t="str">
        <f>INDEX([1]Employee!$C$2:$C$276,MATCH(B3058,[1]Employee!$A$2:$A$276,0))</f>
        <v>Sales &amp; Marketing</v>
      </c>
    </row>
    <row r="3059" spans="1:15">
      <c r="A3059" s="1" t="s">
        <v>5957</v>
      </c>
      <c r="B3059" s="1" t="s">
        <v>2564</v>
      </c>
      <c r="C3059" s="1" t="s">
        <v>5958</v>
      </c>
      <c r="D3059" s="2">
        <v>46161</v>
      </c>
      <c r="E3059" s="2">
        <v>46193</v>
      </c>
      <c r="F3059" s="1" t="s">
        <v>305</v>
      </c>
      <c r="G3059" s="1" t="s">
        <v>2</v>
      </c>
      <c r="H3059" s="1" t="s">
        <v>3</v>
      </c>
      <c r="I3059" s="7">
        <v>14.32</v>
      </c>
      <c r="J3059" s="1" t="s">
        <v>38</v>
      </c>
      <c r="K3059" s="1"/>
      <c r="L3059" s="1" t="s">
        <v>39</v>
      </c>
      <c r="M3059" s="1" t="str">
        <f>INDEX(MCC_Lookup!$B$2:$B$12,MATCH(G3059,MCC_Lookup!$A$2:$A$12,0))</f>
        <v>Meals</v>
      </c>
      <c r="N3059" s="1" t="str">
        <f>IF(TRIM(H3059)="","BLANK",IF(PROPER(TRIM(H3059))=TRIM(M3059),"MATCH","MISMATCH"))</f>
        <v>MATCH</v>
      </c>
      <c r="O3059" s="5" t="str">
        <f>INDEX([1]Employee!$C$2:$C$276,MATCH(B3059,[1]Employee!$A$2:$A$276,0))</f>
        <v>Underwriting</v>
      </c>
    </row>
    <row r="3060" spans="1:15">
      <c r="A3060" s="1" t="s">
        <v>5959</v>
      </c>
      <c r="B3060" s="1" t="s">
        <v>50</v>
      </c>
      <c r="C3060" s="1" t="s">
        <v>5960</v>
      </c>
      <c r="D3060" s="2">
        <v>46031</v>
      </c>
      <c r="E3060" s="2">
        <v>46193</v>
      </c>
      <c r="F3060" s="1" t="s">
        <v>79</v>
      </c>
      <c r="G3060" s="1" t="s">
        <v>13</v>
      </c>
      <c r="H3060" s="1" t="s">
        <v>14</v>
      </c>
      <c r="I3060" s="7">
        <v>128.87</v>
      </c>
      <c r="J3060" s="1" t="s">
        <v>38</v>
      </c>
      <c r="K3060" s="1"/>
      <c r="L3060" s="1" t="s">
        <v>39</v>
      </c>
      <c r="M3060" s="1" t="str">
        <f>INDEX(MCC_Lookup!$B$2:$B$12,MATCH(G3060,MCC_Lookup!$A$2:$A$12,0))</f>
        <v>Software</v>
      </c>
      <c r="N3060" s="1" t="str">
        <f>IF(TRIM(H3060)="","BLANK",IF(PROPER(TRIM(H3060))=TRIM(M3060),"MATCH","MISMATCH"))</f>
        <v>MATCH</v>
      </c>
      <c r="O3060" s="5" t="str">
        <f>INDEX([1]Employee!$C$2:$C$276,MATCH(B3060,[1]Employee!$A$2:$A$276,0))</f>
        <v>Sales &amp; Marketing</v>
      </c>
    </row>
    <row r="3061" spans="1:15">
      <c r="A3061" s="1" t="s">
        <v>5961</v>
      </c>
      <c r="B3061" s="1" t="s">
        <v>1642</v>
      </c>
      <c r="C3061" s="1" t="s">
        <v>5962</v>
      </c>
      <c r="D3061" s="2">
        <v>46190</v>
      </c>
      <c r="E3061" s="2">
        <v>46193</v>
      </c>
      <c r="F3061" s="1" t="s">
        <v>56</v>
      </c>
      <c r="G3061" s="1" t="s">
        <v>4</v>
      </c>
      <c r="H3061" s="1"/>
      <c r="I3061" s="7">
        <v>599.91999999999996</v>
      </c>
      <c r="J3061" s="1" t="s">
        <v>38</v>
      </c>
      <c r="K3061" s="1"/>
      <c r="L3061" s="1" t="s">
        <v>39</v>
      </c>
      <c r="M3061" s="1" t="str">
        <f>INDEX(MCC_Lookup!$B$2:$B$12,MATCH(G3061,MCC_Lookup!$A$2:$A$12,0))</f>
        <v>Travel</v>
      </c>
      <c r="N3061" s="1" t="str">
        <f>IF(TRIM(H3061)="","BLANK",IF(PROPER(TRIM(H3061))=TRIM(M3061),"MATCH","MISMATCH"))</f>
        <v>BLANK</v>
      </c>
      <c r="O3061" s="5" t="str">
        <f>INDEX([1]Employee!$C$2:$C$276,MATCH(B3061,[1]Employee!$A$2:$A$276,0))</f>
        <v>Underwriting</v>
      </c>
    </row>
    <row r="3062" spans="1:15">
      <c r="A3062" s="1" t="s">
        <v>5963</v>
      </c>
      <c r="B3062" s="1" t="s">
        <v>317</v>
      </c>
      <c r="C3062" s="1" t="s">
        <v>5964</v>
      </c>
      <c r="D3062" s="2">
        <v>46054</v>
      </c>
      <c r="E3062" s="2">
        <v>46193</v>
      </c>
      <c r="F3062" s="1" t="s">
        <v>56</v>
      </c>
      <c r="G3062" s="1" t="s">
        <v>4</v>
      </c>
      <c r="H3062" s="1" t="s">
        <v>9</v>
      </c>
      <c r="I3062" s="7">
        <v>528.74</v>
      </c>
      <c r="J3062" s="1" t="s">
        <v>38</v>
      </c>
      <c r="K3062" s="1"/>
      <c r="L3062" s="1" t="s">
        <v>39</v>
      </c>
      <c r="M3062" s="1" t="str">
        <f>INDEX(MCC_Lookup!$B$2:$B$12,MATCH(G3062,MCC_Lookup!$A$2:$A$12,0))</f>
        <v>Travel</v>
      </c>
      <c r="N3062" s="1" t="str">
        <f>IF(TRIM(H3062)="","BLANK",IF(PROPER(TRIM(H3062))=TRIM(M3062),"MATCH","MISMATCH"))</f>
        <v>MISMATCH</v>
      </c>
      <c r="O3062" s="5" t="str">
        <f>INDEX([1]Employee!$C$2:$C$276,MATCH(B3062,[1]Employee!$A$2:$A$276,0))</f>
        <v>Sales &amp; Marketing</v>
      </c>
    </row>
    <row r="3063" spans="1:15">
      <c r="A3063" s="1" t="s">
        <v>5965</v>
      </c>
      <c r="B3063" s="1" t="s">
        <v>194</v>
      </c>
      <c r="C3063" s="1" t="s">
        <v>5966</v>
      </c>
      <c r="D3063" s="2">
        <v>46169</v>
      </c>
      <c r="E3063" s="2">
        <v>46193</v>
      </c>
      <c r="F3063" s="1" t="s">
        <v>72</v>
      </c>
      <c r="G3063" s="1" t="s">
        <v>8</v>
      </c>
      <c r="H3063" s="1" t="s">
        <v>9</v>
      </c>
      <c r="I3063" s="7">
        <v>51.01</v>
      </c>
      <c r="J3063" s="1" t="s">
        <v>38</v>
      </c>
      <c r="K3063" s="1"/>
      <c r="L3063" s="1" t="s">
        <v>39</v>
      </c>
      <c r="M3063" s="1" t="str">
        <f>INDEX(MCC_Lookup!$B$2:$B$12,MATCH(G3063,MCC_Lookup!$A$2:$A$12,0))</f>
        <v>Transportation</v>
      </c>
      <c r="N3063" s="1" t="str">
        <f>IF(TRIM(H3063)="","BLANK",IF(PROPER(TRIM(H3063))=TRIM(M3063),"MATCH","MISMATCH"))</f>
        <v>MATCH</v>
      </c>
      <c r="O3063" s="5" t="str">
        <f>INDEX([1]Employee!$C$2:$C$276,MATCH(B3063,[1]Employee!$A$2:$A$276,0))</f>
        <v>Claims</v>
      </c>
    </row>
    <row r="3064" spans="1:15">
      <c r="A3064" s="1" t="s">
        <v>5967</v>
      </c>
      <c r="B3064" s="1" t="s">
        <v>888</v>
      </c>
      <c r="C3064" s="1" t="s">
        <v>5968</v>
      </c>
      <c r="D3064" s="2">
        <v>46185</v>
      </c>
      <c r="E3064" s="2">
        <v>46193</v>
      </c>
      <c r="F3064" s="1" t="s">
        <v>160</v>
      </c>
      <c r="G3064" s="1" t="s">
        <v>6</v>
      </c>
      <c r="H3064" s="1" t="s">
        <v>1476</v>
      </c>
      <c r="I3064" s="7">
        <v>224.38</v>
      </c>
      <c r="J3064" s="1" t="s">
        <v>38</v>
      </c>
      <c r="K3064" s="1"/>
      <c r="L3064" s="1" t="s">
        <v>39</v>
      </c>
      <c r="M3064" s="1" t="str">
        <f>INDEX(MCC_Lookup!$B$2:$B$12,MATCH(G3064,MCC_Lookup!$A$2:$A$12,0))</f>
        <v>Lodging</v>
      </c>
      <c r="N3064" s="1" t="str">
        <f>IF(TRIM(H3064)="","BLANK",IF(PROPER(TRIM(H3064))=TRIM(M3064),"MATCH","MISMATCH"))</f>
        <v>MATCH</v>
      </c>
      <c r="O3064" s="5" t="str">
        <f>INDEX([1]Employee!$C$2:$C$276,MATCH(B3064,[1]Employee!$A$2:$A$276,0))</f>
        <v>Claims</v>
      </c>
    </row>
    <row r="3065" spans="1:15">
      <c r="A3065" s="1" t="s">
        <v>5969</v>
      </c>
      <c r="B3065" s="1" t="s">
        <v>71</v>
      </c>
      <c r="C3065" s="1" t="s">
        <v>5970</v>
      </c>
      <c r="D3065" s="2">
        <v>46183</v>
      </c>
      <c r="E3065" s="2">
        <v>46193</v>
      </c>
      <c r="F3065" s="1" t="s">
        <v>259</v>
      </c>
      <c r="G3065" s="1" t="s">
        <v>20</v>
      </c>
      <c r="H3065" s="1" t="s">
        <v>19</v>
      </c>
      <c r="I3065" s="7">
        <v>446.55</v>
      </c>
      <c r="J3065" s="1" t="s">
        <v>38</v>
      </c>
      <c r="K3065" s="1"/>
      <c r="L3065" s="1" t="s">
        <v>39</v>
      </c>
      <c r="M3065" s="1" t="str">
        <f>INDEX(MCC_Lookup!$B$2:$B$12,MATCH(G3065,MCC_Lookup!$A$2:$A$12,0))</f>
        <v>Events</v>
      </c>
      <c r="N3065" s="1" t="str">
        <f>IF(TRIM(H3065)="","BLANK",IF(PROPER(TRIM(H3065))=TRIM(M3065),"MATCH","MISMATCH"))</f>
        <v>MATCH</v>
      </c>
      <c r="O3065" s="5" t="str">
        <f>INDEX([1]Employee!$C$2:$C$276,MATCH(B3065,[1]Employee!$A$2:$A$276,0))</f>
        <v>Sales &amp; Marketing</v>
      </c>
    </row>
    <row r="3066" spans="1:15">
      <c r="A3066" s="1" t="s">
        <v>5971</v>
      </c>
      <c r="B3066" s="1" t="s">
        <v>349</v>
      </c>
      <c r="C3066" s="1" t="s">
        <v>5972</v>
      </c>
      <c r="D3066" s="2">
        <v>46048</v>
      </c>
      <c r="E3066" s="2">
        <v>46193</v>
      </c>
      <c r="F3066" s="1" t="s">
        <v>160</v>
      </c>
      <c r="G3066" s="1" t="s">
        <v>6</v>
      </c>
      <c r="H3066" s="1" t="s">
        <v>7</v>
      </c>
      <c r="I3066" s="7">
        <v>430.94</v>
      </c>
      <c r="J3066" s="1" t="s">
        <v>38</v>
      </c>
      <c r="K3066" s="1"/>
      <c r="L3066" s="1" t="s">
        <v>39</v>
      </c>
      <c r="M3066" s="1" t="str">
        <f>INDEX(MCC_Lookup!$B$2:$B$12,MATCH(G3066,MCC_Lookup!$A$2:$A$12,0))</f>
        <v>Lodging</v>
      </c>
      <c r="N3066" s="1" t="str">
        <f>IF(TRIM(H3066)="","BLANK",IF(PROPER(TRIM(H3066))=TRIM(M3066),"MATCH","MISMATCH"))</f>
        <v>MATCH</v>
      </c>
      <c r="O3066" s="5" t="str">
        <f>INDEX([1]Employee!$C$2:$C$276,MATCH(B3066,[1]Employee!$A$2:$A$276,0))</f>
        <v>Sales &amp; Marketing</v>
      </c>
    </row>
    <row r="3067" spans="1:15">
      <c r="A3067" s="1" t="s">
        <v>5973</v>
      </c>
      <c r="B3067" s="1" t="s">
        <v>349</v>
      </c>
      <c r="C3067" s="1" t="s">
        <v>5974</v>
      </c>
      <c r="D3067" s="2">
        <v>46082</v>
      </c>
      <c r="E3067" s="2">
        <v>46193</v>
      </c>
      <c r="F3067" s="1" t="s">
        <v>106</v>
      </c>
      <c r="G3067" s="1" t="s">
        <v>13</v>
      </c>
      <c r="H3067" s="1" t="s">
        <v>14</v>
      </c>
      <c r="I3067" s="7">
        <v>222.04</v>
      </c>
      <c r="J3067" s="1" t="s">
        <v>38</v>
      </c>
      <c r="K3067" s="1"/>
      <c r="L3067" s="1" t="s">
        <v>39</v>
      </c>
      <c r="M3067" s="1" t="str">
        <f>INDEX(MCC_Lookup!$B$2:$B$12,MATCH(G3067,MCC_Lookup!$A$2:$A$12,0))</f>
        <v>Software</v>
      </c>
      <c r="N3067" s="1" t="str">
        <f>IF(TRIM(H3067)="","BLANK",IF(PROPER(TRIM(H3067))=TRIM(M3067),"MATCH","MISMATCH"))</f>
        <v>MATCH</v>
      </c>
      <c r="O3067" s="5" t="str">
        <f>INDEX([1]Employee!$C$2:$C$276,MATCH(B3067,[1]Employee!$A$2:$A$276,0))</f>
        <v>Sales &amp; Marketing</v>
      </c>
    </row>
    <row r="3068" spans="1:15">
      <c r="A3068" s="1" t="s">
        <v>5975</v>
      </c>
      <c r="B3068" s="1" t="s">
        <v>129</v>
      </c>
      <c r="C3068" s="1" t="s">
        <v>5976</v>
      </c>
      <c r="D3068" s="2">
        <v>46045</v>
      </c>
      <c r="E3068" s="2">
        <v>46193</v>
      </c>
      <c r="F3068" s="1" t="s">
        <v>233</v>
      </c>
      <c r="G3068" s="1" t="s">
        <v>2</v>
      </c>
      <c r="H3068" s="1" t="s">
        <v>3</v>
      </c>
      <c r="I3068" s="7">
        <v>17.8</v>
      </c>
      <c r="J3068" s="1" t="s">
        <v>38</v>
      </c>
      <c r="K3068" s="1"/>
      <c r="L3068" s="1" t="s">
        <v>39</v>
      </c>
      <c r="M3068" s="1" t="str">
        <f>INDEX(MCC_Lookup!$B$2:$B$12,MATCH(G3068,MCC_Lookup!$A$2:$A$12,0))</f>
        <v>Meals</v>
      </c>
      <c r="N3068" s="1" t="str">
        <f>IF(TRIM(H3068)="","BLANK",IF(PROPER(TRIM(H3068))=TRIM(M3068),"MATCH","MISMATCH"))</f>
        <v>MATCH</v>
      </c>
      <c r="O3068" s="5" t="str">
        <f>INDEX([1]Employee!$C$2:$C$276,MATCH(B3068,[1]Employee!$A$2:$A$276,0))</f>
        <v>Sales &amp; Marketing</v>
      </c>
    </row>
    <row r="3069" spans="1:15">
      <c r="A3069" s="1" t="s">
        <v>5977</v>
      </c>
      <c r="B3069" s="1" t="s">
        <v>661</v>
      </c>
      <c r="C3069" s="1" t="s">
        <v>5978</v>
      </c>
      <c r="D3069" s="2">
        <v>46189</v>
      </c>
      <c r="E3069" s="2">
        <v>46193</v>
      </c>
      <c r="F3069" s="1" t="s">
        <v>61</v>
      </c>
      <c r="G3069" s="1" t="s">
        <v>13</v>
      </c>
      <c r="H3069" s="1" t="s">
        <v>14</v>
      </c>
      <c r="I3069" s="7">
        <v>76.48</v>
      </c>
      <c r="J3069" s="1" t="s">
        <v>38</v>
      </c>
      <c r="K3069" s="1"/>
      <c r="L3069" s="1" t="s">
        <v>39</v>
      </c>
      <c r="M3069" s="1" t="str">
        <f>INDEX(MCC_Lookup!$B$2:$B$12,MATCH(G3069,MCC_Lookup!$A$2:$A$12,0))</f>
        <v>Software</v>
      </c>
      <c r="N3069" s="1" t="str">
        <f>IF(TRIM(H3069)="","BLANK",IF(PROPER(TRIM(H3069))=TRIM(M3069),"MATCH","MISMATCH"))</f>
        <v>MATCH</v>
      </c>
      <c r="O3069" s="5" t="str">
        <f>INDEX([1]Employee!$C$2:$C$276,MATCH(B3069,[1]Employee!$A$2:$A$276,0))</f>
        <v>Sales &amp; Marketing</v>
      </c>
    </row>
    <row r="3070" spans="1:15">
      <c r="A3070" s="1" t="s">
        <v>5979</v>
      </c>
      <c r="B3070" s="1" t="s">
        <v>1208</v>
      </c>
      <c r="C3070" s="1" t="s">
        <v>5980</v>
      </c>
      <c r="D3070" s="2">
        <v>46189</v>
      </c>
      <c r="E3070" s="2">
        <v>46193</v>
      </c>
      <c r="F3070" s="1" t="s">
        <v>347</v>
      </c>
      <c r="G3070" s="1" t="s">
        <v>8</v>
      </c>
      <c r="H3070" s="1"/>
      <c r="I3070" s="7">
        <v>33.21</v>
      </c>
      <c r="J3070" s="1" t="s">
        <v>38</v>
      </c>
      <c r="K3070" s="1"/>
      <c r="L3070" s="1" t="s">
        <v>39</v>
      </c>
      <c r="M3070" s="1" t="str">
        <f>INDEX(MCC_Lookup!$B$2:$B$12,MATCH(G3070,MCC_Lookup!$A$2:$A$12,0))</f>
        <v>Transportation</v>
      </c>
      <c r="N3070" s="1" t="str">
        <f>IF(TRIM(H3070)="","BLANK",IF(PROPER(TRIM(H3070))=TRIM(M3070),"MATCH","MISMATCH"))</f>
        <v>BLANK</v>
      </c>
      <c r="O3070" s="5" t="str">
        <f>INDEX([1]Employee!$C$2:$C$276,MATCH(B3070,[1]Employee!$A$2:$A$276,0))</f>
        <v>HR &amp; Events</v>
      </c>
    </row>
    <row r="3071" spans="1:15">
      <c r="A3071" s="1" t="s">
        <v>5981</v>
      </c>
      <c r="B3071" s="1" t="s">
        <v>593</v>
      </c>
      <c r="C3071" s="1"/>
      <c r="D3071" s="2">
        <v>46185</v>
      </c>
      <c r="E3071" s="2">
        <v>46193</v>
      </c>
      <c r="F3071" s="1" t="s">
        <v>106</v>
      </c>
      <c r="G3071" s="1" t="s">
        <v>13</v>
      </c>
      <c r="H3071" s="1" t="s">
        <v>470</v>
      </c>
      <c r="I3071" s="7">
        <v>204.92</v>
      </c>
      <c r="J3071" s="1" t="s">
        <v>38</v>
      </c>
      <c r="K3071" s="1"/>
      <c r="L3071" s="1" t="s">
        <v>39</v>
      </c>
      <c r="M3071" s="1" t="str">
        <f>INDEX(MCC_Lookup!$B$2:$B$12,MATCH(G3071,MCC_Lookup!$A$2:$A$12,0))</f>
        <v>Software</v>
      </c>
      <c r="N3071" s="1" t="str">
        <f>IF(TRIM(H3071)="","BLANK",IF(PROPER(TRIM(H3071))=TRIM(M3071),"MATCH","MISMATCH"))</f>
        <v>MATCH</v>
      </c>
      <c r="O3071" s="5" t="str">
        <f>INDEX([1]Employee!$C$2:$C$276,MATCH(B3071,[1]Employee!$A$2:$A$276,0))</f>
        <v>Sales &amp; Marketing</v>
      </c>
    </row>
    <row r="3072" spans="1:15">
      <c r="A3072" s="1" t="s">
        <v>5982</v>
      </c>
      <c r="B3072" s="1" t="s">
        <v>531</v>
      </c>
      <c r="C3072" s="1" t="s">
        <v>5983</v>
      </c>
      <c r="D3072" s="2">
        <v>46192</v>
      </c>
      <c r="E3072" s="2">
        <v>46193</v>
      </c>
      <c r="F3072" s="1" t="s">
        <v>347</v>
      </c>
      <c r="G3072" s="1" t="s">
        <v>8</v>
      </c>
      <c r="H3072" s="1" t="s">
        <v>9</v>
      </c>
      <c r="I3072" s="7">
        <v>28.7</v>
      </c>
      <c r="J3072" s="1" t="s">
        <v>38</v>
      </c>
      <c r="K3072" s="1"/>
      <c r="L3072" s="1" t="s">
        <v>39</v>
      </c>
      <c r="M3072" s="1" t="str">
        <f>INDEX(MCC_Lookup!$B$2:$B$12,MATCH(G3072,MCC_Lookup!$A$2:$A$12,0))</f>
        <v>Transportation</v>
      </c>
      <c r="N3072" s="1" t="str">
        <f>IF(TRIM(H3072)="","BLANK",IF(PROPER(TRIM(H3072))=TRIM(M3072),"MATCH","MISMATCH"))</f>
        <v>MATCH</v>
      </c>
      <c r="O3072" s="5" t="str">
        <f>INDEX([1]Employee!$C$2:$C$276,MATCH(B3072,[1]Employee!$A$2:$A$276,0))</f>
        <v>Sales &amp; Marketing</v>
      </c>
    </row>
    <row r="3073" spans="1:15">
      <c r="A3073" s="1" t="s">
        <v>5984</v>
      </c>
      <c r="B3073" s="1" t="s">
        <v>300</v>
      </c>
      <c r="C3073" s="1" t="s">
        <v>5985</v>
      </c>
      <c r="D3073" s="2">
        <v>46110</v>
      </c>
      <c r="E3073" s="2">
        <v>46193</v>
      </c>
      <c r="F3073" s="1" t="s">
        <v>47</v>
      </c>
      <c r="G3073" s="1" t="s">
        <v>6</v>
      </c>
      <c r="H3073" s="1" t="s">
        <v>7</v>
      </c>
      <c r="I3073" s="7">
        <v>407.34</v>
      </c>
      <c r="J3073" s="1" t="s">
        <v>38</v>
      </c>
      <c r="K3073" s="1"/>
      <c r="L3073" s="1" t="s">
        <v>39</v>
      </c>
      <c r="M3073" s="1" t="str">
        <f>INDEX(MCC_Lookup!$B$2:$B$12,MATCH(G3073,MCC_Lookup!$A$2:$A$12,0))</f>
        <v>Lodging</v>
      </c>
      <c r="N3073" s="1" t="str">
        <f>IF(TRIM(H3073)="","BLANK",IF(PROPER(TRIM(H3073))=TRIM(M3073),"MATCH","MISMATCH"))</f>
        <v>MATCH</v>
      </c>
      <c r="O3073" s="5" t="str">
        <f>INDEX([1]Employee!$C$2:$C$276,MATCH(B3073,[1]Employee!$A$2:$A$276,0))</f>
        <v>Sales &amp; Marketing</v>
      </c>
    </row>
    <row r="3074" spans="1:15">
      <c r="A3074" s="1" t="s">
        <v>5986</v>
      </c>
      <c r="B3074" s="1" t="s">
        <v>1509</v>
      </c>
      <c r="C3074" s="1" t="s">
        <v>5987</v>
      </c>
      <c r="D3074" s="2">
        <v>46198</v>
      </c>
      <c r="E3074" s="2">
        <v>46193</v>
      </c>
      <c r="F3074" s="1" t="s">
        <v>69</v>
      </c>
      <c r="G3074" s="1" t="s">
        <v>8</v>
      </c>
      <c r="H3074" s="1" t="s">
        <v>9</v>
      </c>
      <c r="I3074" s="7">
        <v>16.21</v>
      </c>
      <c r="J3074" s="1" t="s">
        <v>38</v>
      </c>
      <c r="K3074" s="1"/>
      <c r="L3074" s="1" t="s">
        <v>39</v>
      </c>
      <c r="M3074" s="1" t="str">
        <f>INDEX(MCC_Lookup!$B$2:$B$12,MATCH(G3074,MCC_Lookup!$A$2:$A$12,0))</f>
        <v>Transportation</v>
      </c>
      <c r="N3074" s="1" t="str">
        <f>IF(TRIM(H3074)="","BLANK",IF(PROPER(TRIM(H3074))=TRIM(M3074),"MATCH","MISMATCH"))</f>
        <v>MATCH</v>
      </c>
      <c r="O3074" s="5" t="str">
        <f>INDEX([1]Employee!$C$2:$C$276,MATCH(B3074,[1]Employee!$A$2:$A$276,0))</f>
        <v>Claims</v>
      </c>
    </row>
    <row r="3075" spans="1:15">
      <c r="A3075" s="1" t="s">
        <v>5988</v>
      </c>
      <c r="B3075" s="1" t="s">
        <v>915</v>
      </c>
      <c r="C3075" s="1" t="s">
        <v>5989</v>
      </c>
      <c r="D3075" s="2">
        <v>46184</v>
      </c>
      <c r="E3075" s="2">
        <v>46193</v>
      </c>
      <c r="F3075" s="1" t="s">
        <v>56</v>
      </c>
      <c r="G3075" s="1" t="s">
        <v>4</v>
      </c>
      <c r="H3075" s="1" t="s">
        <v>5</v>
      </c>
      <c r="I3075" s="7">
        <v>527.44000000000005</v>
      </c>
      <c r="J3075" s="1" t="s">
        <v>38</v>
      </c>
      <c r="K3075" s="1"/>
      <c r="L3075" s="1" t="s">
        <v>39</v>
      </c>
      <c r="M3075" s="1" t="str">
        <f>INDEX(MCC_Lookup!$B$2:$B$12,MATCH(G3075,MCC_Lookup!$A$2:$A$12,0))</f>
        <v>Travel</v>
      </c>
      <c r="N3075" s="1" t="str">
        <f>IF(TRIM(H3075)="","BLANK",IF(PROPER(TRIM(H3075))=TRIM(M3075),"MATCH","MISMATCH"))</f>
        <v>MATCH</v>
      </c>
      <c r="O3075" s="5" t="str">
        <f>INDEX([1]Employee!$C$2:$C$276,MATCH(B3075,[1]Employee!$A$2:$A$276,0))</f>
        <v>Sales &amp; Marketing</v>
      </c>
    </row>
    <row r="3076" spans="1:15">
      <c r="A3076" s="1" t="s">
        <v>5990</v>
      </c>
      <c r="B3076" s="1" t="s">
        <v>836</v>
      </c>
      <c r="C3076" s="1" t="s">
        <v>5991</v>
      </c>
      <c r="D3076" s="2">
        <v>46193</v>
      </c>
      <c r="E3076" s="2">
        <v>46193</v>
      </c>
      <c r="F3076" s="1" t="s">
        <v>95</v>
      </c>
      <c r="G3076" s="1" t="s">
        <v>6</v>
      </c>
      <c r="H3076" s="1"/>
      <c r="I3076" s="7">
        <v>192.21</v>
      </c>
      <c r="J3076" s="1" t="s">
        <v>38</v>
      </c>
      <c r="K3076" s="1"/>
      <c r="L3076" s="1" t="s">
        <v>39</v>
      </c>
      <c r="M3076" s="1" t="str">
        <f>INDEX(MCC_Lookup!$B$2:$B$12,MATCH(G3076,MCC_Lookup!$A$2:$A$12,0))</f>
        <v>Lodging</v>
      </c>
      <c r="N3076" s="1" t="str">
        <f>IF(TRIM(H3076)="","BLANK",IF(PROPER(TRIM(H3076))=TRIM(M3076),"MATCH","MISMATCH"))</f>
        <v>BLANK</v>
      </c>
      <c r="O3076" s="5" t="str">
        <f>INDEX([1]Employee!$C$2:$C$276,MATCH(B3076,[1]Employee!$A$2:$A$276,0))</f>
        <v>Sales &amp; Marketing</v>
      </c>
    </row>
    <row r="3077" spans="1:15">
      <c r="A3077" s="1" t="s">
        <v>5992</v>
      </c>
      <c r="B3077" s="1" t="s">
        <v>836</v>
      </c>
      <c r="C3077" s="1" t="s">
        <v>5993</v>
      </c>
      <c r="D3077" s="2">
        <v>46183</v>
      </c>
      <c r="E3077" s="2">
        <v>46193</v>
      </c>
      <c r="F3077" s="1" t="s">
        <v>116</v>
      </c>
      <c r="G3077" s="1" t="s">
        <v>2</v>
      </c>
      <c r="H3077" s="1" t="s">
        <v>3</v>
      </c>
      <c r="I3077" s="7">
        <v>16.399999999999999</v>
      </c>
      <c r="J3077" s="1" t="s">
        <v>38</v>
      </c>
      <c r="K3077" s="1"/>
      <c r="L3077" s="1" t="s">
        <v>39</v>
      </c>
      <c r="M3077" s="1" t="str">
        <f>INDEX(MCC_Lookup!$B$2:$B$12,MATCH(G3077,MCC_Lookup!$A$2:$A$12,0))</f>
        <v>Meals</v>
      </c>
      <c r="N3077" s="1" t="str">
        <f>IF(TRIM(H3077)="","BLANK",IF(PROPER(TRIM(H3077))=TRIM(M3077),"MATCH","MISMATCH"))</f>
        <v>MATCH</v>
      </c>
      <c r="O3077" s="5" t="str">
        <f>INDEX([1]Employee!$C$2:$C$276,MATCH(B3077,[1]Employee!$A$2:$A$276,0))</f>
        <v>Sales &amp; Marketing</v>
      </c>
    </row>
    <row r="3078" spans="1:15">
      <c r="A3078" s="1" t="s">
        <v>5994</v>
      </c>
      <c r="B3078" s="1" t="s">
        <v>836</v>
      </c>
      <c r="C3078" s="1" t="s">
        <v>5995</v>
      </c>
      <c r="D3078" s="2">
        <v>46190</v>
      </c>
      <c r="E3078" s="2">
        <v>46193</v>
      </c>
      <c r="F3078" s="1" t="s">
        <v>242</v>
      </c>
      <c r="G3078" s="1" t="s">
        <v>13</v>
      </c>
      <c r="H3078" s="1" t="s">
        <v>14</v>
      </c>
      <c r="I3078" s="7">
        <v>41.07</v>
      </c>
      <c r="J3078" s="1" t="s">
        <v>38</v>
      </c>
      <c r="K3078" s="1"/>
      <c r="L3078" s="1" t="s">
        <v>39</v>
      </c>
      <c r="M3078" s="1" t="str">
        <f>INDEX(MCC_Lookup!$B$2:$B$12,MATCH(G3078,MCC_Lookup!$A$2:$A$12,0))</f>
        <v>Software</v>
      </c>
      <c r="N3078" s="1" t="str">
        <f>IF(TRIM(H3078)="","BLANK",IF(PROPER(TRIM(H3078))=TRIM(M3078),"MATCH","MISMATCH"))</f>
        <v>MATCH</v>
      </c>
      <c r="O3078" s="5" t="str">
        <f>INDEX([1]Employee!$C$2:$C$276,MATCH(B3078,[1]Employee!$A$2:$A$276,0))</f>
        <v>Sales &amp; Marketing</v>
      </c>
    </row>
    <row r="3079" spans="1:15">
      <c r="A3079" s="1" t="s">
        <v>5996</v>
      </c>
      <c r="B3079" s="1" t="s">
        <v>792</v>
      </c>
      <c r="C3079" s="1" t="s">
        <v>5997</v>
      </c>
      <c r="D3079" s="2">
        <v>46093</v>
      </c>
      <c r="E3079" s="2">
        <v>46193</v>
      </c>
      <c r="F3079" s="1" t="s">
        <v>95</v>
      </c>
      <c r="G3079" s="1" t="s">
        <v>6</v>
      </c>
      <c r="H3079" s="1" t="s">
        <v>7</v>
      </c>
      <c r="I3079" s="7">
        <v>334.38</v>
      </c>
      <c r="J3079" s="1" t="s">
        <v>38</v>
      </c>
      <c r="K3079" s="1"/>
      <c r="L3079" s="1" t="s">
        <v>39</v>
      </c>
      <c r="M3079" s="1" t="str">
        <f>INDEX(MCC_Lookup!$B$2:$B$12,MATCH(G3079,MCC_Lookup!$A$2:$A$12,0))</f>
        <v>Lodging</v>
      </c>
      <c r="N3079" s="1" t="str">
        <f>IF(TRIM(H3079)="","BLANK",IF(PROPER(TRIM(H3079))=TRIM(M3079),"MATCH","MISMATCH"))</f>
        <v>MATCH</v>
      </c>
      <c r="O3079" s="5" t="str">
        <f>INDEX([1]Employee!$C$2:$C$276,MATCH(B3079,[1]Employee!$A$2:$A$276,0))</f>
        <v>Underwriting</v>
      </c>
    </row>
    <row r="3080" spans="1:15">
      <c r="A3080" s="1" t="s">
        <v>5998</v>
      </c>
      <c r="B3080" s="1" t="s">
        <v>328</v>
      </c>
      <c r="C3080" s="1" t="s">
        <v>5999</v>
      </c>
      <c r="D3080" s="2">
        <v>46183</v>
      </c>
      <c r="E3080" s="2">
        <v>46193</v>
      </c>
      <c r="F3080" s="1" t="s">
        <v>573</v>
      </c>
      <c r="G3080" s="1" t="s">
        <v>18</v>
      </c>
      <c r="H3080" s="1"/>
      <c r="I3080" s="7">
        <v>167.12</v>
      </c>
      <c r="J3080" s="1" t="s">
        <v>38</v>
      </c>
      <c r="K3080" s="1"/>
      <c r="L3080" s="1" t="s">
        <v>48</v>
      </c>
      <c r="M3080" s="1" t="str">
        <f>INDEX(MCC_Lookup!$B$2:$B$12,MATCH(G3080,MCC_Lookup!$A$2:$A$12,0))</f>
        <v>Events</v>
      </c>
      <c r="N3080" s="1" t="str">
        <f>IF(TRIM(H3080)="","BLANK",IF(PROPER(TRIM(H3080))=TRIM(M3080),"MATCH","MISMATCH"))</f>
        <v>BLANK</v>
      </c>
      <c r="O3080" s="5" t="str">
        <f>INDEX([1]Employee!$C$2:$C$276,MATCH(B3080,[1]Employee!$A$2:$A$276,0))</f>
        <v>Underwriting</v>
      </c>
    </row>
    <row r="3081" spans="1:15">
      <c r="A3081" s="1" t="s">
        <v>6000</v>
      </c>
      <c r="B3081" s="1" t="s">
        <v>924</v>
      </c>
      <c r="C3081" s="1" t="s">
        <v>6001</v>
      </c>
      <c r="D3081" s="2">
        <v>46191</v>
      </c>
      <c r="E3081" s="2">
        <v>46193</v>
      </c>
      <c r="F3081" s="1" t="s">
        <v>305</v>
      </c>
      <c r="G3081" s="1" t="s">
        <v>2</v>
      </c>
      <c r="H3081" s="1" t="s">
        <v>3</v>
      </c>
      <c r="I3081" s="7">
        <v>6.78</v>
      </c>
      <c r="J3081" s="1" t="s">
        <v>38</v>
      </c>
      <c r="K3081" s="1"/>
      <c r="L3081" s="1" t="s">
        <v>39</v>
      </c>
      <c r="M3081" s="1" t="str">
        <f>INDEX(MCC_Lookup!$B$2:$B$12,MATCH(G3081,MCC_Lookup!$A$2:$A$12,0))</f>
        <v>Meals</v>
      </c>
      <c r="N3081" s="1" t="str">
        <f>IF(TRIM(H3081)="","BLANK",IF(PROPER(TRIM(H3081))=TRIM(M3081),"MATCH","MISMATCH"))</f>
        <v>MATCH</v>
      </c>
      <c r="O3081" s="5" t="str">
        <f>INDEX([1]Employee!$C$2:$C$276,MATCH(B3081,[1]Employee!$A$2:$A$276,0))</f>
        <v>HR &amp; Events</v>
      </c>
    </row>
    <row r="3082" spans="1:15">
      <c r="A3082" s="1" t="s">
        <v>6002</v>
      </c>
      <c r="B3082" s="1" t="s">
        <v>339</v>
      </c>
      <c r="C3082" s="1" t="s">
        <v>6003</v>
      </c>
      <c r="D3082" s="2">
        <v>46185</v>
      </c>
      <c r="E3082" s="2">
        <v>46193</v>
      </c>
      <c r="F3082" s="1" t="s">
        <v>201</v>
      </c>
      <c r="G3082" s="1" t="s">
        <v>4</v>
      </c>
      <c r="H3082" s="1" t="s">
        <v>5</v>
      </c>
      <c r="I3082" s="7">
        <v>199.69</v>
      </c>
      <c r="J3082" s="1" t="s">
        <v>38</v>
      </c>
      <c r="K3082" s="1"/>
      <c r="L3082" s="1" t="s">
        <v>39</v>
      </c>
      <c r="M3082" s="1" t="str">
        <f>INDEX(MCC_Lookup!$B$2:$B$12,MATCH(G3082,MCC_Lookup!$A$2:$A$12,0))</f>
        <v>Travel</v>
      </c>
      <c r="N3082" s="1" t="str">
        <f>IF(TRIM(H3082)="","BLANK",IF(PROPER(TRIM(H3082))=TRIM(M3082),"MATCH","MISMATCH"))</f>
        <v>MATCH</v>
      </c>
      <c r="O3082" s="5" t="str">
        <f>INDEX([1]Employee!$C$2:$C$276,MATCH(B3082,[1]Employee!$A$2:$A$276,0))</f>
        <v>Underwriting</v>
      </c>
    </row>
    <row r="3083" spans="1:15">
      <c r="A3083" s="1" t="s">
        <v>6004</v>
      </c>
      <c r="B3083" s="1" t="s">
        <v>2333</v>
      </c>
      <c r="C3083" s="1" t="s">
        <v>6005</v>
      </c>
      <c r="D3083" s="2">
        <v>46078</v>
      </c>
      <c r="E3083" s="2">
        <v>46193</v>
      </c>
      <c r="F3083" s="1" t="s">
        <v>61</v>
      </c>
      <c r="G3083" s="1" t="s">
        <v>13</v>
      </c>
      <c r="H3083" s="1"/>
      <c r="I3083" s="7">
        <v>80.64</v>
      </c>
      <c r="J3083" s="1" t="s">
        <v>38</v>
      </c>
      <c r="K3083" s="1"/>
      <c r="L3083" s="1" t="s">
        <v>39</v>
      </c>
      <c r="M3083" s="1" t="str">
        <f>INDEX(MCC_Lookup!$B$2:$B$12,MATCH(G3083,MCC_Lookup!$A$2:$A$12,0))</f>
        <v>Software</v>
      </c>
      <c r="N3083" s="1" t="str">
        <f>IF(TRIM(H3083)="","BLANK",IF(PROPER(TRIM(H3083))=TRIM(M3083),"MATCH","MISMATCH"))</f>
        <v>BLANK</v>
      </c>
      <c r="O3083" s="5" t="str">
        <f>INDEX([1]Employee!$C$2:$C$276,MATCH(B3083,[1]Employee!$A$2:$A$276,0))</f>
        <v>HR &amp; Events</v>
      </c>
    </row>
    <row r="3084" spans="1:15">
      <c r="A3084" s="1" t="s">
        <v>6006</v>
      </c>
      <c r="B3084" s="1" t="s">
        <v>1814</v>
      </c>
      <c r="C3084" s="1" t="s">
        <v>6007</v>
      </c>
      <c r="D3084" s="2">
        <v>46023</v>
      </c>
      <c r="E3084" s="2">
        <v>46194</v>
      </c>
      <c r="F3084" s="1" t="s">
        <v>1507</v>
      </c>
      <c r="G3084" s="1" t="s">
        <v>10</v>
      </c>
      <c r="H3084" s="1" t="s">
        <v>11</v>
      </c>
      <c r="I3084" s="7">
        <v>31.81</v>
      </c>
      <c r="J3084" s="1" t="s">
        <v>38</v>
      </c>
      <c r="K3084" s="1"/>
      <c r="L3084" s="1" t="s">
        <v>39</v>
      </c>
      <c r="M3084" s="1" t="str">
        <f>INDEX(MCC_Lookup!$B$2:$B$12,MATCH(G3084,MCC_Lookup!$A$2:$A$12,0))</f>
        <v>Office Supplies</v>
      </c>
      <c r="N3084" s="1" t="str">
        <f>IF(TRIM(H3084)="","BLANK",IF(PROPER(TRIM(H3084))=TRIM(M3084),"MATCH","MISMATCH"))</f>
        <v>MATCH</v>
      </c>
      <c r="O3084" s="5" t="str">
        <f>INDEX([1]Employee!$C$2:$C$276,MATCH(B3084,[1]Employee!$A$2:$A$276,0))</f>
        <v>Underwriting</v>
      </c>
    </row>
    <row r="3085" spans="1:15">
      <c r="A3085" s="1" t="s">
        <v>6008</v>
      </c>
      <c r="B3085" s="1" t="s">
        <v>35</v>
      </c>
      <c r="C3085" s="1" t="s">
        <v>6009</v>
      </c>
      <c r="D3085" s="2">
        <v>46191</v>
      </c>
      <c r="E3085" s="2">
        <v>46194</v>
      </c>
      <c r="F3085" s="1" t="s">
        <v>259</v>
      </c>
      <c r="G3085" s="1" t="s">
        <v>20</v>
      </c>
      <c r="H3085" s="1" t="s">
        <v>19</v>
      </c>
      <c r="I3085" s="7">
        <v>257.06</v>
      </c>
      <c r="J3085" s="1" t="s">
        <v>38</v>
      </c>
      <c r="K3085" s="1"/>
      <c r="L3085" s="1" t="s">
        <v>48</v>
      </c>
      <c r="M3085" s="1" t="str">
        <f>INDEX(MCC_Lookup!$B$2:$B$12,MATCH(G3085,MCC_Lookup!$A$2:$A$12,0))</f>
        <v>Events</v>
      </c>
      <c r="N3085" s="1" t="str">
        <f>IF(TRIM(H3085)="","BLANK",IF(PROPER(TRIM(H3085))=TRIM(M3085),"MATCH","MISMATCH"))</f>
        <v>MATCH</v>
      </c>
      <c r="O3085" s="5" t="str">
        <f>INDEX([1]Employee!$C$2:$C$276,MATCH(B3085,[1]Employee!$A$2:$A$276,0))</f>
        <v>Sales &amp; Marketing</v>
      </c>
    </row>
    <row r="3086" spans="1:15">
      <c r="A3086" s="1" t="s">
        <v>6010</v>
      </c>
      <c r="B3086" s="1" t="s">
        <v>35</v>
      </c>
      <c r="C3086" s="1" t="s">
        <v>6011</v>
      </c>
      <c r="D3086" s="2">
        <v>46194</v>
      </c>
      <c r="E3086" s="2">
        <v>46194</v>
      </c>
      <c r="F3086" s="1" t="s">
        <v>109</v>
      </c>
      <c r="G3086" s="1" t="s">
        <v>18</v>
      </c>
      <c r="H3086" s="1" t="s">
        <v>19</v>
      </c>
      <c r="I3086" s="7">
        <v>115.47</v>
      </c>
      <c r="J3086" s="1" t="s">
        <v>38</v>
      </c>
      <c r="K3086" s="1"/>
      <c r="L3086" s="1" t="s">
        <v>39</v>
      </c>
      <c r="M3086" s="1" t="str">
        <f>INDEX(MCC_Lookup!$B$2:$B$12,MATCH(G3086,MCC_Lookup!$A$2:$A$12,0))</f>
        <v>Events</v>
      </c>
      <c r="N3086" s="1" t="str">
        <f>IF(TRIM(H3086)="","BLANK",IF(PROPER(TRIM(H3086))=TRIM(M3086),"MATCH","MISMATCH"))</f>
        <v>MATCH</v>
      </c>
      <c r="O3086" s="5" t="str">
        <f>INDEX([1]Employee!$C$2:$C$276,MATCH(B3086,[1]Employee!$A$2:$A$276,0))</f>
        <v>Sales &amp; Marketing</v>
      </c>
    </row>
    <row r="3087" spans="1:15">
      <c r="A3087" s="1" t="s">
        <v>6012</v>
      </c>
      <c r="B3087" s="1" t="s">
        <v>41</v>
      </c>
      <c r="C3087" s="1" t="s">
        <v>6013</v>
      </c>
      <c r="D3087" s="2">
        <v>46195</v>
      </c>
      <c r="E3087" s="2">
        <v>46194</v>
      </c>
      <c r="F3087" s="1" t="s">
        <v>61</v>
      </c>
      <c r="G3087" s="1" t="s">
        <v>13</v>
      </c>
      <c r="H3087" s="1" t="s">
        <v>14</v>
      </c>
      <c r="I3087" s="7">
        <v>74.900000000000006</v>
      </c>
      <c r="J3087" s="1" t="s">
        <v>38</v>
      </c>
      <c r="K3087" s="1"/>
      <c r="L3087" s="1" t="s">
        <v>39</v>
      </c>
      <c r="M3087" s="1" t="str">
        <f>INDEX(MCC_Lookup!$B$2:$B$12,MATCH(G3087,MCC_Lookup!$A$2:$A$12,0))</f>
        <v>Software</v>
      </c>
      <c r="N3087" s="1" t="str">
        <f>IF(TRIM(H3087)="","BLANK",IF(PROPER(TRIM(H3087))=TRIM(M3087),"MATCH","MISMATCH"))</f>
        <v>MATCH</v>
      </c>
      <c r="O3087" s="5" t="str">
        <f>INDEX([1]Employee!$C$2:$C$276,MATCH(B3087,[1]Employee!$A$2:$A$276,0))</f>
        <v>Sales &amp; Marketing</v>
      </c>
    </row>
    <row r="3088" spans="1:15">
      <c r="A3088" s="1" t="s">
        <v>6014</v>
      </c>
      <c r="B3088" s="1" t="s">
        <v>250</v>
      </c>
      <c r="C3088" s="1" t="s">
        <v>6015</v>
      </c>
      <c r="D3088" s="2">
        <v>46186</v>
      </c>
      <c r="E3088" s="2">
        <v>46194</v>
      </c>
      <c r="F3088" s="1" t="s">
        <v>116</v>
      </c>
      <c r="G3088" s="1" t="s">
        <v>2</v>
      </c>
      <c r="H3088" s="1" t="s">
        <v>3</v>
      </c>
      <c r="I3088" s="7">
        <v>11.91</v>
      </c>
      <c r="J3088" s="1" t="s">
        <v>38</v>
      </c>
      <c r="K3088" s="1"/>
      <c r="L3088" s="1" t="s">
        <v>48</v>
      </c>
      <c r="M3088" s="1" t="str">
        <f>INDEX(MCC_Lookup!$B$2:$B$12,MATCH(G3088,MCC_Lookup!$A$2:$A$12,0))</f>
        <v>Meals</v>
      </c>
      <c r="N3088" s="1" t="str">
        <f>IF(TRIM(H3088)="","BLANK",IF(PROPER(TRIM(H3088))=TRIM(M3088),"MATCH","MISMATCH"))</f>
        <v>MATCH</v>
      </c>
      <c r="O3088" s="5" t="str">
        <f>INDEX([1]Employee!$C$2:$C$276,MATCH(B3088,[1]Employee!$A$2:$A$276,0))</f>
        <v>Sales &amp; Marketing</v>
      </c>
    </row>
    <row r="3089" spans="1:15">
      <c r="A3089" s="1" t="s">
        <v>6016</v>
      </c>
      <c r="B3089" s="1" t="s">
        <v>836</v>
      </c>
      <c r="C3089" s="1" t="s">
        <v>6017</v>
      </c>
      <c r="D3089" s="2">
        <v>46190</v>
      </c>
      <c r="E3089" s="2">
        <v>46194</v>
      </c>
      <c r="F3089" s="1" t="s">
        <v>83</v>
      </c>
      <c r="G3089" s="1" t="s">
        <v>2</v>
      </c>
      <c r="H3089" s="1" t="s">
        <v>3</v>
      </c>
      <c r="I3089" s="7">
        <v>23.87</v>
      </c>
      <c r="J3089" s="1" t="s">
        <v>38</v>
      </c>
      <c r="K3089" s="1"/>
      <c r="L3089" s="1" t="s">
        <v>39</v>
      </c>
      <c r="M3089" s="1" t="str">
        <f>INDEX(MCC_Lookup!$B$2:$B$12,MATCH(G3089,MCC_Lookup!$A$2:$A$12,0))</f>
        <v>Meals</v>
      </c>
      <c r="N3089" s="1" t="str">
        <f>IF(TRIM(H3089)="","BLANK",IF(PROPER(TRIM(H3089))=TRIM(M3089),"MATCH","MISMATCH"))</f>
        <v>MATCH</v>
      </c>
      <c r="O3089" s="5" t="str">
        <f>INDEX([1]Employee!$C$2:$C$276,MATCH(B3089,[1]Employee!$A$2:$A$276,0))</f>
        <v>Sales &amp; Marketing</v>
      </c>
    </row>
    <row r="3090" spans="1:15">
      <c r="A3090" s="1" t="s">
        <v>6018</v>
      </c>
      <c r="B3090" s="1" t="s">
        <v>190</v>
      </c>
      <c r="C3090" s="1"/>
      <c r="D3090" s="2">
        <v>46111</v>
      </c>
      <c r="E3090" s="2">
        <v>46194</v>
      </c>
      <c r="F3090" s="1" t="s">
        <v>177</v>
      </c>
      <c r="G3090" s="1" t="s">
        <v>13</v>
      </c>
      <c r="H3090" s="1" t="s">
        <v>419</v>
      </c>
      <c r="I3090" s="7">
        <v>18.28</v>
      </c>
      <c r="J3090" s="1" t="s">
        <v>38</v>
      </c>
      <c r="K3090" s="1"/>
      <c r="L3090" s="1" t="s">
        <v>39</v>
      </c>
      <c r="M3090" s="1" t="str">
        <f>INDEX(MCC_Lookup!$B$2:$B$12,MATCH(G3090,MCC_Lookup!$A$2:$A$12,0))</f>
        <v>Software</v>
      </c>
      <c r="N3090" s="1" t="str">
        <f>IF(TRIM(H3090)="","BLANK",IF(PROPER(TRIM(H3090))=TRIM(M3090),"MATCH","MISMATCH"))</f>
        <v>MATCH</v>
      </c>
      <c r="O3090" s="5" t="str">
        <f>INDEX([1]Employee!$C$2:$C$276,MATCH(B3090,[1]Employee!$A$2:$A$276,0))</f>
        <v>Sales &amp; Marketing</v>
      </c>
    </row>
    <row r="3091" spans="1:15">
      <c r="A3091" s="1" t="s">
        <v>6019</v>
      </c>
      <c r="B3091" s="1" t="s">
        <v>190</v>
      </c>
      <c r="C3091" s="1" t="s">
        <v>6020</v>
      </c>
      <c r="D3091" s="2">
        <v>46189</v>
      </c>
      <c r="E3091" s="2">
        <v>46194</v>
      </c>
      <c r="F3091" s="1" t="s">
        <v>69</v>
      </c>
      <c r="G3091" s="1" t="s">
        <v>8</v>
      </c>
      <c r="H3091" s="1" t="s">
        <v>3164</v>
      </c>
      <c r="I3091" s="7">
        <v>15.08</v>
      </c>
      <c r="J3091" s="1" t="s">
        <v>38</v>
      </c>
      <c r="K3091" s="1"/>
      <c r="L3091" s="1" t="s">
        <v>39</v>
      </c>
      <c r="M3091" s="1" t="str">
        <f>INDEX(MCC_Lookup!$B$2:$B$12,MATCH(G3091,MCC_Lookup!$A$2:$A$12,0))</f>
        <v>Transportation</v>
      </c>
      <c r="N3091" s="1" t="str">
        <f>IF(TRIM(H3091)="","BLANK",IF(PROPER(TRIM(H3091))=TRIM(M3091),"MATCH","MISMATCH"))</f>
        <v>MATCH</v>
      </c>
      <c r="O3091" s="5" t="str">
        <f>INDEX([1]Employee!$C$2:$C$276,MATCH(B3091,[1]Employee!$A$2:$A$276,0))</f>
        <v>Sales &amp; Marketing</v>
      </c>
    </row>
    <row r="3092" spans="1:15">
      <c r="A3092" s="1" t="s">
        <v>6021</v>
      </c>
      <c r="B3092" s="1" t="s">
        <v>190</v>
      </c>
      <c r="C3092" s="1"/>
      <c r="D3092" s="2">
        <v>46185</v>
      </c>
      <c r="E3092" s="2">
        <v>46194</v>
      </c>
      <c r="F3092" s="1" t="s">
        <v>109</v>
      </c>
      <c r="G3092" s="1" t="s">
        <v>18</v>
      </c>
      <c r="H3092" s="1" t="s">
        <v>312</v>
      </c>
      <c r="I3092" s="7">
        <v>135.07</v>
      </c>
      <c r="J3092" s="1" t="s">
        <v>111</v>
      </c>
      <c r="K3092" s="1" t="s">
        <v>161</v>
      </c>
      <c r="L3092" s="1" t="s">
        <v>39</v>
      </c>
      <c r="M3092" s="1" t="str">
        <f>INDEX(MCC_Lookup!$B$2:$B$12,MATCH(G3092,MCC_Lookup!$A$2:$A$12,0))</f>
        <v>Events</v>
      </c>
      <c r="N3092" s="1" t="str">
        <f>IF(TRIM(H3092)="","BLANK",IF(PROPER(TRIM(H3092))=TRIM(M3092),"MATCH","MISMATCH"))</f>
        <v>MATCH</v>
      </c>
      <c r="O3092" s="5" t="str">
        <f>INDEX([1]Employee!$C$2:$C$276,MATCH(B3092,[1]Employee!$A$2:$A$276,0))</f>
        <v>Sales &amp; Marketing</v>
      </c>
    </row>
    <row r="3093" spans="1:15">
      <c r="A3093" s="1" t="s">
        <v>6022</v>
      </c>
      <c r="B3093" s="1" t="s">
        <v>81</v>
      </c>
      <c r="C3093" s="1" t="s">
        <v>6023</v>
      </c>
      <c r="D3093" s="2">
        <v>46058</v>
      </c>
      <c r="E3093" s="2">
        <v>46194</v>
      </c>
      <c r="F3093" s="1" t="s">
        <v>106</v>
      </c>
      <c r="G3093" s="1" t="s">
        <v>13</v>
      </c>
      <c r="H3093" s="1" t="s">
        <v>9</v>
      </c>
      <c r="I3093" s="7">
        <v>64.2</v>
      </c>
      <c r="J3093" s="1" t="s">
        <v>38</v>
      </c>
      <c r="K3093" s="1"/>
      <c r="L3093" s="1" t="s">
        <v>39</v>
      </c>
      <c r="M3093" s="1" t="str">
        <f>INDEX(MCC_Lookup!$B$2:$B$12,MATCH(G3093,MCC_Lookup!$A$2:$A$12,0))</f>
        <v>Software</v>
      </c>
      <c r="N3093" s="1" t="str">
        <f>IF(TRIM(H3093)="","BLANK",IF(PROPER(TRIM(H3093))=TRIM(M3093),"MATCH","MISMATCH"))</f>
        <v>MISMATCH</v>
      </c>
      <c r="O3093" s="5" t="str">
        <f>INDEX([1]Employee!$C$2:$C$276,MATCH(B3093,[1]Employee!$A$2:$A$276,0))</f>
        <v>Sales &amp; Marketing</v>
      </c>
    </row>
    <row r="3094" spans="1:15">
      <c r="A3094" s="1" t="s">
        <v>6024</v>
      </c>
      <c r="B3094" s="1" t="s">
        <v>81</v>
      </c>
      <c r="C3094" s="1" t="s">
        <v>6025</v>
      </c>
      <c r="D3094" s="2">
        <v>46047</v>
      </c>
      <c r="E3094" s="2">
        <v>46194</v>
      </c>
      <c r="F3094" s="1" t="s">
        <v>173</v>
      </c>
      <c r="G3094" s="1" t="s">
        <v>2</v>
      </c>
      <c r="H3094" s="1" t="s">
        <v>3</v>
      </c>
      <c r="I3094" s="7">
        <v>84.5</v>
      </c>
      <c r="J3094" s="1" t="s">
        <v>38</v>
      </c>
      <c r="K3094" s="1"/>
      <c r="L3094" s="1" t="s">
        <v>39</v>
      </c>
      <c r="M3094" s="1" t="str">
        <f>INDEX(MCC_Lookup!$B$2:$B$12,MATCH(G3094,MCC_Lookup!$A$2:$A$12,0))</f>
        <v>Meals</v>
      </c>
      <c r="N3094" s="1" t="str">
        <f>IF(TRIM(H3094)="","BLANK",IF(PROPER(TRIM(H3094))=TRIM(M3094),"MATCH","MISMATCH"))</f>
        <v>MATCH</v>
      </c>
      <c r="O3094" s="5" t="str">
        <f>INDEX([1]Employee!$C$2:$C$276,MATCH(B3094,[1]Employee!$A$2:$A$276,0))</f>
        <v>Sales &amp; Marketing</v>
      </c>
    </row>
    <row r="3095" spans="1:15">
      <c r="A3095" s="1" t="s">
        <v>6026</v>
      </c>
      <c r="B3095" s="1" t="s">
        <v>815</v>
      </c>
      <c r="C3095" s="1"/>
      <c r="D3095" s="2">
        <v>46168</v>
      </c>
      <c r="E3095" s="2">
        <v>46194</v>
      </c>
      <c r="F3095" s="1" t="s">
        <v>72</v>
      </c>
      <c r="G3095" s="1" t="s">
        <v>8</v>
      </c>
      <c r="H3095" s="1" t="s">
        <v>9</v>
      </c>
      <c r="I3095" s="7">
        <v>36.68</v>
      </c>
      <c r="J3095" s="1" t="s">
        <v>111</v>
      </c>
      <c r="K3095" s="1" t="s">
        <v>229</v>
      </c>
      <c r="L3095" s="1" t="s">
        <v>39</v>
      </c>
      <c r="M3095" s="1" t="str">
        <f>INDEX(MCC_Lookup!$B$2:$B$12,MATCH(G3095,MCC_Lookup!$A$2:$A$12,0))</f>
        <v>Transportation</v>
      </c>
      <c r="N3095" s="1" t="str">
        <f>IF(TRIM(H3095)="","BLANK",IF(PROPER(TRIM(H3095))=TRIM(M3095),"MATCH","MISMATCH"))</f>
        <v>MATCH</v>
      </c>
      <c r="O3095" s="5" t="str">
        <f>INDEX([1]Employee!$C$2:$C$276,MATCH(B3095,[1]Employee!$A$2:$A$276,0))</f>
        <v>Claims</v>
      </c>
    </row>
    <row r="3096" spans="1:15">
      <c r="A3096" s="1" t="s">
        <v>6027</v>
      </c>
      <c r="B3096" s="1" t="s">
        <v>475</v>
      </c>
      <c r="C3096" s="1" t="s">
        <v>6028</v>
      </c>
      <c r="D3096" s="2">
        <v>46044</v>
      </c>
      <c r="E3096" s="2">
        <v>46194</v>
      </c>
      <c r="F3096" s="1" t="s">
        <v>69</v>
      </c>
      <c r="G3096" s="1" t="s">
        <v>8</v>
      </c>
      <c r="H3096" s="1" t="s">
        <v>9</v>
      </c>
      <c r="I3096" s="7">
        <v>13.9</v>
      </c>
      <c r="J3096" s="1" t="s">
        <v>38</v>
      </c>
      <c r="K3096" s="1"/>
      <c r="L3096" s="1" t="s">
        <v>48</v>
      </c>
      <c r="M3096" s="1" t="str">
        <f>INDEX(MCC_Lookup!$B$2:$B$12,MATCH(G3096,MCC_Lookup!$A$2:$A$12,0))</f>
        <v>Transportation</v>
      </c>
      <c r="N3096" s="1" t="str">
        <f>IF(TRIM(H3096)="","BLANK",IF(PROPER(TRIM(H3096))=TRIM(M3096),"MATCH","MISMATCH"))</f>
        <v>MATCH</v>
      </c>
      <c r="O3096" s="5" t="str">
        <f>INDEX([1]Employee!$C$2:$C$276,MATCH(B3096,[1]Employee!$A$2:$A$276,0))</f>
        <v>Sales &amp; Marketing</v>
      </c>
    </row>
    <row r="3097" spans="1:15">
      <c r="A3097" s="1" t="s">
        <v>6029</v>
      </c>
      <c r="B3097" s="1" t="s">
        <v>3825</v>
      </c>
      <c r="C3097" s="1" t="s">
        <v>6030</v>
      </c>
      <c r="D3097" s="2">
        <v>46108</v>
      </c>
      <c r="E3097" s="2">
        <v>46194</v>
      </c>
      <c r="F3097" s="1" t="s">
        <v>116</v>
      </c>
      <c r="G3097" s="1" t="s">
        <v>2</v>
      </c>
      <c r="H3097" s="1" t="s">
        <v>3</v>
      </c>
      <c r="I3097" s="7">
        <v>10.97</v>
      </c>
      <c r="J3097" s="1" t="s">
        <v>38</v>
      </c>
      <c r="K3097" s="1"/>
      <c r="L3097" s="1" t="s">
        <v>39</v>
      </c>
      <c r="M3097" s="1" t="str">
        <f>INDEX(MCC_Lookup!$B$2:$B$12,MATCH(G3097,MCC_Lookup!$A$2:$A$12,0))</f>
        <v>Meals</v>
      </c>
      <c r="N3097" s="1" t="str">
        <f>IF(TRIM(H3097)="","BLANK",IF(PROPER(TRIM(H3097))=TRIM(M3097),"MATCH","MISMATCH"))</f>
        <v>MATCH</v>
      </c>
      <c r="O3097" s="5" t="str">
        <f>INDEX([1]Employee!$C$2:$C$276,MATCH(B3097,[1]Employee!$A$2:$A$276,0))</f>
        <v>Customer Support</v>
      </c>
    </row>
    <row r="3098" spans="1:15">
      <c r="A3098" s="1" t="s">
        <v>6031</v>
      </c>
      <c r="B3098" s="1" t="s">
        <v>3825</v>
      </c>
      <c r="C3098" s="1" t="s">
        <v>6032</v>
      </c>
      <c r="D3098" s="2">
        <v>46193</v>
      </c>
      <c r="E3098" s="2">
        <v>46194</v>
      </c>
      <c r="F3098" s="1" t="s">
        <v>259</v>
      </c>
      <c r="G3098" s="1" t="s">
        <v>20</v>
      </c>
      <c r="H3098" s="1" t="s">
        <v>19</v>
      </c>
      <c r="I3098" s="7">
        <v>137.4</v>
      </c>
      <c r="J3098" s="1" t="s">
        <v>38</v>
      </c>
      <c r="K3098" s="1"/>
      <c r="L3098" s="1" t="s">
        <v>39</v>
      </c>
      <c r="M3098" s="1" t="str">
        <f>INDEX(MCC_Lookup!$B$2:$B$12,MATCH(G3098,MCC_Lookup!$A$2:$A$12,0))</f>
        <v>Events</v>
      </c>
      <c r="N3098" s="1" t="str">
        <f>IF(TRIM(H3098)="","BLANK",IF(PROPER(TRIM(H3098))=TRIM(M3098),"MATCH","MISMATCH"))</f>
        <v>MATCH</v>
      </c>
      <c r="O3098" s="5" t="str">
        <f>INDEX([1]Employee!$C$2:$C$276,MATCH(B3098,[1]Employee!$A$2:$A$276,0))</f>
        <v>Customer Support</v>
      </c>
    </row>
    <row r="3099" spans="1:15">
      <c r="A3099" s="1" t="s">
        <v>6033</v>
      </c>
      <c r="B3099" s="1" t="s">
        <v>991</v>
      </c>
      <c r="C3099" s="1" t="s">
        <v>6034</v>
      </c>
      <c r="D3099" s="2">
        <v>46188</v>
      </c>
      <c r="E3099" s="2">
        <v>46194</v>
      </c>
      <c r="F3099" s="1" t="s">
        <v>173</v>
      </c>
      <c r="G3099" s="1" t="s">
        <v>2</v>
      </c>
      <c r="H3099" s="1" t="s">
        <v>3</v>
      </c>
      <c r="I3099" s="7">
        <v>82.86</v>
      </c>
      <c r="J3099" s="1" t="s">
        <v>38</v>
      </c>
      <c r="K3099" s="1"/>
      <c r="L3099" s="1" t="s">
        <v>39</v>
      </c>
      <c r="M3099" s="1" t="str">
        <f>INDEX(MCC_Lookup!$B$2:$B$12,MATCH(G3099,MCC_Lookup!$A$2:$A$12,0))</f>
        <v>Meals</v>
      </c>
      <c r="N3099" s="1" t="str">
        <f>IF(TRIM(H3099)="","BLANK",IF(PROPER(TRIM(H3099))=TRIM(M3099),"MATCH","MISMATCH"))</f>
        <v>MATCH</v>
      </c>
      <c r="O3099" s="5" t="str">
        <f>INDEX([1]Employee!$C$2:$C$276,MATCH(B3099,[1]Employee!$A$2:$A$276,0))</f>
        <v>Claims</v>
      </c>
    </row>
    <row r="3100" spans="1:15">
      <c r="A3100" s="1" t="s">
        <v>6035</v>
      </c>
      <c r="B3100" s="1" t="s">
        <v>1064</v>
      </c>
      <c r="C3100" s="1" t="s">
        <v>6036</v>
      </c>
      <c r="D3100" s="2">
        <v>46059</v>
      </c>
      <c r="E3100" s="2">
        <v>46194</v>
      </c>
      <c r="F3100" s="1" t="s">
        <v>120</v>
      </c>
      <c r="G3100" s="1" t="s">
        <v>12</v>
      </c>
      <c r="H3100" s="1" t="s">
        <v>11</v>
      </c>
      <c r="I3100" s="7">
        <v>400.08</v>
      </c>
      <c r="J3100" s="1" t="s">
        <v>38</v>
      </c>
      <c r="K3100" s="1"/>
      <c r="L3100" s="1" t="s">
        <v>39</v>
      </c>
      <c r="M3100" s="1" t="str">
        <f>INDEX(MCC_Lookup!$B$2:$B$12,MATCH(G3100,MCC_Lookup!$A$2:$A$12,0))</f>
        <v>Office Supplies</v>
      </c>
      <c r="N3100" s="1" t="str">
        <f>IF(TRIM(H3100)="","BLANK",IF(PROPER(TRIM(H3100))=TRIM(M3100),"MATCH","MISMATCH"))</f>
        <v>MATCH</v>
      </c>
      <c r="O3100" s="5" t="str">
        <f>INDEX([1]Employee!$C$2:$C$276,MATCH(B3100,[1]Employee!$A$2:$A$276,0))</f>
        <v>Actuarial &amp; Risk</v>
      </c>
    </row>
    <row r="3101" spans="1:15">
      <c r="A3101" s="1" t="s">
        <v>6037</v>
      </c>
      <c r="B3101" s="1" t="s">
        <v>379</v>
      </c>
      <c r="C3101" s="1" t="s">
        <v>6038</v>
      </c>
      <c r="D3101" s="2">
        <v>46185</v>
      </c>
      <c r="E3101" s="2">
        <v>46194</v>
      </c>
      <c r="F3101" s="1" t="s">
        <v>173</v>
      </c>
      <c r="G3101" s="1" t="s">
        <v>2</v>
      </c>
      <c r="H3101" s="1" t="s">
        <v>3</v>
      </c>
      <c r="I3101" s="7">
        <v>60.74</v>
      </c>
      <c r="J3101" s="1" t="s">
        <v>38</v>
      </c>
      <c r="K3101" s="1"/>
      <c r="L3101" s="1" t="s">
        <v>39</v>
      </c>
      <c r="M3101" s="1" t="str">
        <f>INDEX(MCC_Lookup!$B$2:$B$12,MATCH(G3101,MCC_Lookup!$A$2:$A$12,0))</f>
        <v>Meals</v>
      </c>
      <c r="N3101" s="1" t="str">
        <f>IF(TRIM(H3101)="","BLANK",IF(PROPER(TRIM(H3101))=TRIM(M3101),"MATCH","MISMATCH"))</f>
        <v>MATCH</v>
      </c>
      <c r="O3101" s="5" t="str">
        <f>INDEX([1]Employee!$C$2:$C$276,MATCH(B3101,[1]Employee!$A$2:$A$276,0))</f>
        <v>Sales &amp; Marketing</v>
      </c>
    </row>
    <row r="3102" spans="1:15">
      <c r="A3102" s="1" t="s">
        <v>6039</v>
      </c>
      <c r="B3102" s="1" t="s">
        <v>1753</v>
      </c>
      <c r="C3102" s="1" t="s">
        <v>6040</v>
      </c>
      <c r="D3102" s="2">
        <v>46087</v>
      </c>
      <c r="E3102" s="2">
        <v>46194</v>
      </c>
      <c r="F3102" s="1" t="s">
        <v>106</v>
      </c>
      <c r="G3102" s="1" t="s">
        <v>13</v>
      </c>
      <c r="H3102" s="1"/>
      <c r="I3102" s="7">
        <v>128.43</v>
      </c>
      <c r="J3102" s="1" t="s">
        <v>38</v>
      </c>
      <c r="K3102" s="1"/>
      <c r="L3102" s="1" t="s">
        <v>39</v>
      </c>
      <c r="M3102" s="1" t="str">
        <f>INDEX(MCC_Lookup!$B$2:$B$12,MATCH(G3102,MCC_Lookup!$A$2:$A$12,0))</f>
        <v>Software</v>
      </c>
      <c r="N3102" s="1" t="str">
        <f>IF(TRIM(H3102)="","BLANK",IF(PROPER(TRIM(H3102))=TRIM(M3102),"MATCH","MISMATCH"))</f>
        <v>BLANK</v>
      </c>
      <c r="O3102" s="5" t="str">
        <f>INDEX([1]Employee!$C$2:$C$276,MATCH(B3102,[1]Employee!$A$2:$A$276,0))</f>
        <v>IT &amp; Platform Engineering</v>
      </c>
    </row>
    <row r="3103" spans="1:15">
      <c r="A3103" s="1" t="s">
        <v>6041</v>
      </c>
      <c r="B3103" s="1" t="s">
        <v>738</v>
      </c>
      <c r="C3103" s="1" t="s">
        <v>6042</v>
      </c>
      <c r="D3103" s="2">
        <v>46130</v>
      </c>
      <c r="E3103" s="2">
        <v>46194</v>
      </c>
      <c r="F3103" s="1" t="s">
        <v>259</v>
      </c>
      <c r="G3103" s="1" t="s">
        <v>20</v>
      </c>
      <c r="H3103" s="1" t="s">
        <v>19</v>
      </c>
      <c r="I3103" s="7">
        <v>665.6</v>
      </c>
      <c r="J3103" s="1" t="s">
        <v>38</v>
      </c>
      <c r="K3103" s="1"/>
      <c r="L3103" s="1" t="s">
        <v>39</v>
      </c>
      <c r="M3103" s="1" t="str">
        <f>INDEX(MCC_Lookup!$B$2:$B$12,MATCH(G3103,MCC_Lookup!$A$2:$A$12,0))</f>
        <v>Events</v>
      </c>
      <c r="N3103" s="1" t="str">
        <f>IF(TRIM(H3103)="","BLANK",IF(PROPER(TRIM(H3103))=TRIM(M3103),"MATCH","MISMATCH"))</f>
        <v>MATCH</v>
      </c>
      <c r="O3103" s="5" t="str">
        <f>INDEX([1]Employee!$C$2:$C$276,MATCH(B3103,[1]Employee!$A$2:$A$276,0))</f>
        <v>Sales &amp; Marketing</v>
      </c>
    </row>
    <row r="3104" spans="1:15">
      <c r="A3104" s="1" t="s">
        <v>6043</v>
      </c>
      <c r="B3104" s="1" t="s">
        <v>1632</v>
      </c>
      <c r="C3104" s="1" t="s">
        <v>6044</v>
      </c>
      <c r="D3104" s="2">
        <v>46194</v>
      </c>
      <c r="E3104" s="2">
        <v>46194</v>
      </c>
      <c r="F3104" s="1" t="s">
        <v>83</v>
      </c>
      <c r="G3104" s="1" t="s">
        <v>2</v>
      </c>
      <c r="H3104" s="1" t="s">
        <v>3</v>
      </c>
      <c r="I3104" s="7">
        <v>21.83</v>
      </c>
      <c r="J3104" s="1" t="s">
        <v>38</v>
      </c>
      <c r="K3104" s="1"/>
      <c r="L3104" s="1" t="s">
        <v>48</v>
      </c>
      <c r="M3104" s="1" t="str">
        <f>INDEX(MCC_Lookup!$B$2:$B$12,MATCH(G3104,MCC_Lookup!$A$2:$A$12,0))</f>
        <v>Meals</v>
      </c>
      <c r="N3104" s="1" t="str">
        <f>IF(TRIM(H3104)="","BLANK",IF(PROPER(TRIM(H3104))=TRIM(M3104),"MATCH","MISMATCH"))</f>
        <v>MATCH</v>
      </c>
      <c r="O3104" s="5" t="str">
        <f>INDEX([1]Employee!$C$2:$C$276,MATCH(B3104,[1]Employee!$A$2:$A$276,0))</f>
        <v>HR &amp; Events</v>
      </c>
    </row>
    <row r="3105" spans="1:15">
      <c r="A3105" s="1" t="s">
        <v>6045</v>
      </c>
      <c r="B3105" s="1" t="s">
        <v>67</v>
      </c>
      <c r="C3105" s="1" t="s">
        <v>6046</v>
      </c>
      <c r="D3105" s="2">
        <v>46191</v>
      </c>
      <c r="E3105" s="2">
        <v>46194</v>
      </c>
      <c r="F3105" s="1" t="s">
        <v>4390</v>
      </c>
      <c r="G3105" s="1" t="s">
        <v>13</v>
      </c>
      <c r="H3105" s="1" t="s">
        <v>14</v>
      </c>
      <c r="I3105" s="7">
        <v>221.74</v>
      </c>
      <c r="J3105" s="1" t="s">
        <v>38</v>
      </c>
      <c r="K3105" s="1"/>
      <c r="L3105" s="1" t="s">
        <v>39</v>
      </c>
      <c r="M3105" s="1" t="str">
        <f>INDEX(MCC_Lookup!$B$2:$B$12,MATCH(G3105,MCC_Lookup!$A$2:$A$12,0))</f>
        <v>Software</v>
      </c>
      <c r="N3105" s="1" t="str">
        <f>IF(TRIM(H3105)="","BLANK",IF(PROPER(TRIM(H3105))=TRIM(M3105),"MATCH","MISMATCH"))</f>
        <v>MATCH</v>
      </c>
      <c r="O3105" s="5" t="str">
        <f>INDEX([1]Employee!$C$2:$C$276,MATCH(B3105,[1]Employee!$A$2:$A$276,0))</f>
        <v>Sales &amp; Marketing</v>
      </c>
    </row>
    <row r="3106" spans="1:15">
      <c r="A3106" s="1" t="s">
        <v>6047</v>
      </c>
      <c r="B3106" s="1" t="s">
        <v>240</v>
      </c>
      <c r="C3106" s="1" t="s">
        <v>6048</v>
      </c>
      <c r="D3106" s="2">
        <v>46036</v>
      </c>
      <c r="E3106" s="2">
        <v>46194</v>
      </c>
      <c r="F3106" s="1" t="s">
        <v>69</v>
      </c>
      <c r="G3106" s="1" t="s">
        <v>8</v>
      </c>
      <c r="H3106" s="1" t="s">
        <v>9</v>
      </c>
      <c r="I3106" s="7">
        <v>34.72</v>
      </c>
      <c r="J3106" s="1" t="s">
        <v>38</v>
      </c>
      <c r="K3106" s="1"/>
      <c r="L3106" s="1" t="s">
        <v>39</v>
      </c>
      <c r="M3106" s="1" t="str">
        <f>INDEX(MCC_Lookup!$B$2:$B$12,MATCH(G3106,MCC_Lookup!$A$2:$A$12,0))</f>
        <v>Transportation</v>
      </c>
      <c r="N3106" s="1" t="str">
        <f>IF(TRIM(H3106)="","BLANK",IF(PROPER(TRIM(H3106))=TRIM(M3106),"MATCH","MISMATCH"))</f>
        <v>MATCH</v>
      </c>
      <c r="O3106" s="5" t="str">
        <f>INDEX([1]Employee!$C$2:$C$276,MATCH(B3106,[1]Employee!$A$2:$A$276,0))</f>
        <v>Claims</v>
      </c>
    </row>
    <row r="3107" spans="1:15">
      <c r="A3107" s="1" t="s">
        <v>6049</v>
      </c>
      <c r="B3107" s="1" t="s">
        <v>247</v>
      </c>
      <c r="C3107" s="1"/>
      <c r="D3107" s="2">
        <v>46142</v>
      </c>
      <c r="E3107" s="2">
        <v>46194</v>
      </c>
      <c r="F3107" s="1" t="s">
        <v>92</v>
      </c>
      <c r="G3107" s="1" t="s">
        <v>10</v>
      </c>
      <c r="H3107" s="1" t="s">
        <v>11</v>
      </c>
      <c r="I3107" s="7">
        <v>116.9</v>
      </c>
      <c r="J3107" s="1" t="s">
        <v>111</v>
      </c>
      <c r="K3107" s="1" t="s">
        <v>229</v>
      </c>
      <c r="L3107" s="1" t="s">
        <v>39</v>
      </c>
      <c r="M3107" s="1" t="str">
        <f>INDEX(MCC_Lookup!$B$2:$B$12,MATCH(G3107,MCC_Lookup!$A$2:$A$12,0))</f>
        <v>Office Supplies</v>
      </c>
      <c r="N3107" s="1" t="str">
        <f>IF(TRIM(H3107)="","BLANK",IF(PROPER(TRIM(H3107))=TRIM(M3107),"MATCH","MISMATCH"))</f>
        <v>MATCH</v>
      </c>
      <c r="O3107" s="5" t="str">
        <f>INDEX([1]Employee!$C$2:$C$276,MATCH(B3107,[1]Employee!$A$2:$A$276,0))</f>
        <v>HR &amp; Events</v>
      </c>
    </row>
    <row r="3108" spans="1:15">
      <c r="A3108" s="1" t="s">
        <v>6050</v>
      </c>
      <c r="B3108" s="1" t="s">
        <v>890</v>
      </c>
      <c r="C3108" s="1"/>
      <c r="D3108" s="2">
        <v>46163</v>
      </c>
      <c r="E3108" s="2">
        <v>46194</v>
      </c>
      <c r="F3108" s="1" t="s">
        <v>124</v>
      </c>
      <c r="G3108" s="1" t="s">
        <v>17</v>
      </c>
      <c r="H3108" s="1" t="s">
        <v>16</v>
      </c>
      <c r="I3108" s="7">
        <v>213.27</v>
      </c>
      <c r="J3108" s="1" t="s">
        <v>38</v>
      </c>
      <c r="K3108" s="1"/>
      <c r="L3108" s="1" t="s">
        <v>39</v>
      </c>
      <c r="M3108" s="1" t="str">
        <f>INDEX(MCC_Lookup!$B$2:$B$12,MATCH(G3108,MCC_Lookup!$A$2:$A$12,0))</f>
        <v>Entertainment</v>
      </c>
      <c r="N3108" s="1" t="str">
        <f>IF(TRIM(H3108)="","BLANK",IF(PROPER(TRIM(H3108))=TRIM(M3108),"MATCH","MISMATCH"))</f>
        <v>MATCH</v>
      </c>
      <c r="O3108" s="5" t="str">
        <f>INDEX([1]Employee!$C$2:$C$276,MATCH(B3108,[1]Employee!$A$2:$A$276,0))</f>
        <v>Sales &amp; Marketing</v>
      </c>
    </row>
    <row r="3109" spans="1:15">
      <c r="A3109" s="1" t="s">
        <v>6051</v>
      </c>
      <c r="B3109" s="1" t="s">
        <v>50</v>
      </c>
      <c r="C3109" s="1" t="s">
        <v>6052</v>
      </c>
      <c r="D3109" s="2">
        <v>46194</v>
      </c>
      <c r="E3109" s="2">
        <v>46194</v>
      </c>
      <c r="F3109" s="1" t="s">
        <v>116</v>
      </c>
      <c r="G3109" s="1" t="s">
        <v>2</v>
      </c>
      <c r="H3109" s="1" t="s">
        <v>154</v>
      </c>
      <c r="I3109" s="7">
        <v>9.43</v>
      </c>
      <c r="J3109" s="1" t="s">
        <v>38</v>
      </c>
      <c r="K3109" s="1"/>
      <c r="L3109" s="1" t="s">
        <v>39</v>
      </c>
      <c r="M3109" s="1" t="str">
        <f>INDEX(MCC_Lookup!$B$2:$B$12,MATCH(G3109,MCC_Lookup!$A$2:$A$12,0))</f>
        <v>Meals</v>
      </c>
      <c r="N3109" s="1" t="str">
        <f>IF(TRIM(H3109)="","BLANK",IF(PROPER(TRIM(H3109))=TRIM(M3109),"MATCH","MISMATCH"))</f>
        <v>MATCH</v>
      </c>
      <c r="O3109" s="5" t="str">
        <f>INDEX([1]Employee!$C$2:$C$276,MATCH(B3109,[1]Employee!$A$2:$A$276,0))</f>
        <v>Sales &amp; Marketing</v>
      </c>
    </row>
    <row r="3110" spans="1:15">
      <c r="A3110" s="1" t="s">
        <v>6053</v>
      </c>
      <c r="B3110" s="1" t="s">
        <v>448</v>
      </c>
      <c r="C3110" s="1" t="s">
        <v>6054</v>
      </c>
      <c r="D3110" s="2">
        <v>46086</v>
      </c>
      <c r="E3110" s="2">
        <v>46194</v>
      </c>
      <c r="F3110" s="1" t="s">
        <v>92</v>
      </c>
      <c r="G3110" s="1" t="s">
        <v>10</v>
      </c>
      <c r="H3110" s="1" t="s">
        <v>11</v>
      </c>
      <c r="I3110" s="7">
        <v>13.73</v>
      </c>
      <c r="J3110" s="1" t="s">
        <v>38</v>
      </c>
      <c r="K3110" s="1"/>
      <c r="L3110" s="1" t="s">
        <v>48</v>
      </c>
      <c r="M3110" s="1" t="str">
        <f>INDEX(MCC_Lookup!$B$2:$B$12,MATCH(G3110,MCC_Lookup!$A$2:$A$12,0))</f>
        <v>Office Supplies</v>
      </c>
      <c r="N3110" s="1" t="str">
        <f>IF(TRIM(H3110)="","BLANK",IF(PROPER(TRIM(H3110))=TRIM(M3110),"MATCH","MISMATCH"))</f>
        <v>MATCH</v>
      </c>
      <c r="O3110" s="5" t="str">
        <f>INDEX([1]Employee!$C$2:$C$276,MATCH(B3110,[1]Employee!$A$2:$A$276,0))</f>
        <v>Sales &amp; Marketing</v>
      </c>
    </row>
    <row r="3111" spans="1:15">
      <c r="A3111" s="1" t="s">
        <v>6055</v>
      </c>
      <c r="B3111" s="1" t="s">
        <v>640</v>
      </c>
      <c r="C3111" s="1" t="s">
        <v>6056</v>
      </c>
      <c r="D3111" s="2">
        <v>46184</v>
      </c>
      <c r="E3111" s="2">
        <v>46194</v>
      </c>
      <c r="F3111" s="1" t="s">
        <v>43</v>
      </c>
      <c r="G3111" s="1" t="s">
        <v>2</v>
      </c>
      <c r="H3111" s="1" t="s">
        <v>3</v>
      </c>
      <c r="I3111" s="7">
        <v>13.76</v>
      </c>
      <c r="J3111" s="1" t="s">
        <v>38</v>
      </c>
      <c r="K3111" s="1"/>
      <c r="L3111" s="1" t="s">
        <v>39</v>
      </c>
      <c r="M3111" s="1" t="str">
        <f>INDEX(MCC_Lookup!$B$2:$B$12,MATCH(G3111,MCC_Lookup!$A$2:$A$12,0))</f>
        <v>Meals</v>
      </c>
      <c r="N3111" s="1" t="str">
        <f>IF(TRIM(H3111)="","BLANK",IF(PROPER(TRIM(H3111))=TRIM(M3111),"MATCH","MISMATCH"))</f>
        <v>MATCH</v>
      </c>
      <c r="O3111" s="5" t="str">
        <f>INDEX([1]Employee!$C$2:$C$276,MATCH(B3111,[1]Employee!$A$2:$A$276,0))</f>
        <v>Underwriting</v>
      </c>
    </row>
    <row r="3112" spans="1:15">
      <c r="A3112" s="1" t="s">
        <v>6057</v>
      </c>
      <c r="B3112" s="1" t="s">
        <v>673</v>
      </c>
      <c r="C3112" s="1"/>
      <c r="D3112" s="2">
        <v>46186</v>
      </c>
      <c r="E3112" s="2">
        <v>46194</v>
      </c>
      <c r="F3112" s="1" t="s">
        <v>305</v>
      </c>
      <c r="G3112" s="1" t="s">
        <v>2</v>
      </c>
      <c r="H3112" s="1" t="s">
        <v>3</v>
      </c>
      <c r="I3112" s="7">
        <v>14.22</v>
      </c>
      <c r="J3112" s="1" t="s">
        <v>38</v>
      </c>
      <c r="K3112" s="1"/>
      <c r="L3112" s="1" t="s">
        <v>39</v>
      </c>
      <c r="M3112" s="1" t="str">
        <f>INDEX(MCC_Lookup!$B$2:$B$12,MATCH(G3112,MCC_Lookup!$A$2:$A$12,0))</f>
        <v>Meals</v>
      </c>
      <c r="N3112" s="1" t="str">
        <f>IF(TRIM(H3112)="","BLANK",IF(PROPER(TRIM(H3112))=TRIM(M3112),"MATCH","MISMATCH"))</f>
        <v>MATCH</v>
      </c>
      <c r="O3112" s="5" t="str">
        <f>INDEX([1]Employee!$C$2:$C$276,MATCH(B3112,[1]Employee!$A$2:$A$276,0))</f>
        <v>HR &amp; Events</v>
      </c>
    </row>
    <row r="3113" spans="1:15">
      <c r="A3113" s="1" t="s">
        <v>6058</v>
      </c>
      <c r="B3113" s="1" t="s">
        <v>763</v>
      </c>
      <c r="C3113" s="1" t="s">
        <v>6059</v>
      </c>
      <c r="D3113" s="2">
        <v>46189</v>
      </c>
      <c r="E3113" s="2">
        <v>46194</v>
      </c>
      <c r="F3113" s="1" t="s">
        <v>56</v>
      </c>
      <c r="G3113" s="1" t="s">
        <v>4</v>
      </c>
      <c r="H3113" s="1" t="s">
        <v>5</v>
      </c>
      <c r="I3113" s="7">
        <v>596.30999999999995</v>
      </c>
      <c r="J3113" s="1" t="s">
        <v>38</v>
      </c>
      <c r="K3113" s="1"/>
      <c r="L3113" s="1" t="s">
        <v>39</v>
      </c>
      <c r="M3113" s="1" t="str">
        <f>INDEX(MCC_Lookup!$B$2:$B$12,MATCH(G3113,MCC_Lookup!$A$2:$A$12,0))</f>
        <v>Travel</v>
      </c>
      <c r="N3113" s="1" t="str">
        <f>IF(TRIM(H3113)="","BLANK",IF(PROPER(TRIM(H3113))=TRIM(M3113),"MATCH","MISMATCH"))</f>
        <v>MATCH</v>
      </c>
      <c r="O3113" s="5" t="str">
        <f>INDEX([1]Employee!$C$2:$C$276,MATCH(B3113,[1]Employee!$A$2:$A$276,0))</f>
        <v>Executive &amp; Corporate</v>
      </c>
    </row>
    <row r="3114" spans="1:15">
      <c r="A3114" s="1" t="s">
        <v>6060</v>
      </c>
      <c r="B3114" s="1" t="s">
        <v>407</v>
      </c>
      <c r="C3114" s="1" t="s">
        <v>6061</v>
      </c>
      <c r="D3114" s="2">
        <v>46186</v>
      </c>
      <c r="E3114" s="2">
        <v>46194</v>
      </c>
      <c r="F3114" s="1" t="s">
        <v>52</v>
      </c>
      <c r="G3114" s="1" t="s">
        <v>15</v>
      </c>
      <c r="H3114" s="1" t="s">
        <v>16</v>
      </c>
      <c r="I3114" s="7">
        <v>36.69</v>
      </c>
      <c r="J3114" s="1" t="s">
        <v>38</v>
      </c>
      <c r="K3114" s="1"/>
      <c r="L3114" s="1" t="s">
        <v>39</v>
      </c>
      <c r="M3114" s="1" t="str">
        <f>INDEX(MCC_Lookup!$B$2:$B$12,MATCH(G3114,MCC_Lookup!$A$2:$A$12,0))</f>
        <v>Entertainment</v>
      </c>
      <c r="N3114" s="1" t="str">
        <f>IF(TRIM(H3114)="","BLANK",IF(PROPER(TRIM(H3114))=TRIM(M3114),"MATCH","MISMATCH"))</f>
        <v>MATCH</v>
      </c>
      <c r="O3114" s="5" t="str">
        <f>INDEX([1]Employee!$C$2:$C$276,MATCH(B3114,[1]Employee!$A$2:$A$276,0))</f>
        <v>Executive &amp; Corporate</v>
      </c>
    </row>
    <row r="3115" spans="1:15">
      <c r="A3115" s="1" t="s">
        <v>6062</v>
      </c>
      <c r="B3115" s="1" t="s">
        <v>280</v>
      </c>
      <c r="C3115" s="1" t="s">
        <v>6063</v>
      </c>
      <c r="D3115" s="2">
        <v>46092</v>
      </c>
      <c r="E3115" s="2">
        <v>46194</v>
      </c>
      <c r="F3115" s="1" t="s">
        <v>201</v>
      </c>
      <c r="G3115" s="1" t="s">
        <v>4</v>
      </c>
      <c r="H3115" s="1" t="s">
        <v>5</v>
      </c>
      <c r="I3115" s="7">
        <v>594.48</v>
      </c>
      <c r="J3115" s="1" t="s">
        <v>38</v>
      </c>
      <c r="K3115" s="1"/>
      <c r="L3115" s="1" t="s">
        <v>39</v>
      </c>
      <c r="M3115" s="1" t="str">
        <f>INDEX(MCC_Lookup!$B$2:$B$12,MATCH(G3115,MCC_Lookup!$A$2:$A$12,0))</f>
        <v>Travel</v>
      </c>
      <c r="N3115" s="1" t="str">
        <f>IF(TRIM(H3115)="","BLANK",IF(PROPER(TRIM(H3115))=TRIM(M3115),"MATCH","MISMATCH"))</f>
        <v>MATCH</v>
      </c>
      <c r="O3115" s="5" t="str">
        <f>INDEX([1]Employee!$C$2:$C$276,MATCH(B3115,[1]Employee!$A$2:$A$276,0))</f>
        <v>Claims</v>
      </c>
    </row>
    <row r="3116" spans="1:15">
      <c r="A3116" s="1" t="s">
        <v>6064</v>
      </c>
      <c r="B3116" s="1" t="s">
        <v>339</v>
      </c>
      <c r="C3116" s="1"/>
      <c r="D3116" s="2">
        <v>46119</v>
      </c>
      <c r="E3116" s="2">
        <v>46194</v>
      </c>
      <c r="F3116" s="1" t="s">
        <v>160</v>
      </c>
      <c r="G3116" s="1" t="s">
        <v>6</v>
      </c>
      <c r="H3116" s="1" t="s">
        <v>7</v>
      </c>
      <c r="I3116" s="7">
        <v>438.37</v>
      </c>
      <c r="J3116" s="1" t="s">
        <v>38</v>
      </c>
      <c r="K3116" s="1"/>
      <c r="L3116" s="1" t="s">
        <v>39</v>
      </c>
      <c r="M3116" s="1" t="str">
        <f>INDEX(MCC_Lookup!$B$2:$B$12,MATCH(G3116,MCC_Lookup!$A$2:$A$12,0))</f>
        <v>Lodging</v>
      </c>
      <c r="N3116" s="1" t="str">
        <f>IF(TRIM(H3116)="","BLANK",IF(PROPER(TRIM(H3116))=TRIM(M3116),"MATCH","MISMATCH"))</f>
        <v>MATCH</v>
      </c>
      <c r="O3116" s="5" t="str">
        <f>INDEX([1]Employee!$C$2:$C$276,MATCH(B3116,[1]Employee!$A$2:$A$276,0))</f>
        <v>Underwriting</v>
      </c>
    </row>
    <row r="3117" spans="1:15">
      <c r="A3117" s="1" t="s">
        <v>6065</v>
      </c>
      <c r="B3117" s="1" t="s">
        <v>1147</v>
      </c>
      <c r="C3117" s="1" t="s">
        <v>6066</v>
      </c>
      <c r="D3117" s="2">
        <v>46188</v>
      </c>
      <c r="E3117" s="2">
        <v>46194</v>
      </c>
      <c r="F3117" s="1" t="s">
        <v>106</v>
      </c>
      <c r="G3117" s="1" t="s">
        <v>13</v>
      </c>
      <c r="H3117" s="1" t="s">
        <v>14</v>
      </c>
      <c r="I3117" s="7">
        <v>63.28</v>
      </c>
      <c r="J3117" s="1" t="s">
        <v>38</v>
      </c>
      <c r="K3117" s="1"/>
      <c r="L3117" s="1" t="s">
        <v>39</v>
      </c>
      <c r="M3117" s="1" t="str">
        <f>INDEX(MCC_Lookup!$B$2:$B$12,MATCH(G3117,MCC_Lookup!$A$2:$A$12,0))</f>
        <v>Software</v>
      </c>
      <c r="N3117" s="1" t="str">
        <f>IF(TRIM(H3117)="","BLANK",IF(PROPER(TRIM(H3117))=TRIM(M3117),"MATCH","MISMATCH"))</f>
        <v>MATCH</v>
      </c>
      <c r="O3117" s="5" t="str">
        <f>INDEX([1]Employee!$C$2:$C$276,MATCH(B3117,[1]Employee!$A$2:$A$276,0))</f>
        <v>Finance</v>
      </c>
    </row>
    <row r="3118" spans="1:15">
      <c r="A3118" s="1" t="s">
        <v>6067</v>
      </c>
      <c r="B3118" s="1" t="s">
        <v>156</v>
      </c>
      <c r="C3118" s="1" t="s">
        <v>6068</v>
      </c>
      <c r="D3118" s="2">
        <v>46190</v>
      </c>
      <c r="E3118" s="2">
        <v>46194</v>
      </c>
      <c r="F3118" s="1" t="s">
        <v>1953</v>
      </c>
      <c r="G3118" s="1" t="s">
        <v>8</v>
      </c>
      <c r="H3118" s="1" t="s">
        <v>9</v>
      </c>
      <c r="I3118" s="7">
        <v>21.16</v>
      </c>
      <c r="J3118" s="1" t="s">
        <v>38</v>
      </c>
      <c r="K3118" s="1"/>
      <c r="L3118" s="1" t="s">
        <v>48</v>
      </c>
      <c r="M3118" s="1" t="str">
        <f>INDEX(MCC_Lookup!$B$2:$B$12,MATCH(G3118,MCC_Lookup!$A$2:$A$12,0))</f>
        <v>Transportation</v>
      </c>
      <c r="N3118" s="1" t="str">
        <f>IF(TRIM(H3118)="","BLANK",IF(PROPER(TRIM(H3118))=TRIM(M3118),"MATCH","MISMATCH"))</f>
        <v>MATCH</v>
      </c>
      <c r="O3118" s="5" t="str">
        <f>INDEX([1]Employee!$C$2:$C$276,MATCH(B3118,[1]Employee!$A$2:$A$276,0))</f>
        <v>Sales &amp; Marketing</v>
      </c>
    </row>
    <row r="3119" spans="1:15">
      <c r="A3119" s="1" t="s">
        <v>6069</v>
      </c>
      <c r="B3119" s="1" t="s">
        <v>104</v>
      </c>
      <c r="C3119" s="1" t="s">
        <v>6070</v>
      </c>
      <c r="D3119" s="2">
        <v>46187</v>
      </c>
      <c r="E3119" s="2">
        <v>46194</v>
      </c>
      <c r="F3119" s="1" t="s">
        <v>79</v>
      </c>
      <c r="G3119" s="1" t="s">
        <v>13</v>
      </c>
      <c r="H3119" s="1" t="s">
        <v>14</v>
      </c>
      <c r="I3119" s="7">
        <v>218.85</v>
      </c>
      <c r="J3119" s="1" t="s">
        <v>38</v>
      </c>
      <c r="K3119" s="1"/>
      <c r="L3119" s="1" t="s">
        <v>48</v>
      </c>
      <c r="M3119" s="1" t="str">
        <f>INDEX(MCC_Lookup!$B$2:$B$12,MATCH(G3119,MCC_Lookup!$A$2:$A$12,0))</f>
        <v>Software</v>
      </c>
      <c r="N3119" s="1" t="str">
        <f>IF(TRIM(H3119)="","BLANK",IF(PROPER(TRIM(H3119))=TRIM(M3119),"MATCH","MISMATCH"))</f>
        <v>MATCH</v>
      </c>
      <c r="O3119" s="5" t="str">
        <f>INDEX([1]Employee!$C$2:$C$276,MATCH(B3119,[1]Employee!$A$2:$A$276,0))</f>
        <v>Sales &amp; Marketing</v>
      </c>
    </row>
    <row r="3120" spans="1:15">
      <c r="A3120" s="1" t="s">
        <v>6071</v>
      </c>
      <c r="B3120" s="1" t="s">
        <v>108</v>
      </c>
      <c r="C3120" s="1"/>
      <c r="D3120" s="2">
        <v>46193</v>
      </c>
      <c r="E3120" s="2">
        <v>46194</v>
      </c>
      <c r="F3120" s="1" t="s">
        <v>37</v>
      </c>
      <c r="G3120" s="1" t="s">
        <v>4</v>
      </c>
      <c r="H3120" s="1"/>
      <c r="I3120" s="7">
        <v>273.26</v>
      </c>
      <c r="J3120" s="1" t="s">
        <v>38</v>
      </c>
      <c r="K3120" s="1"/>
      <c r="L3120" s="1" t="s">
        <v>39</v>
      </c>
      <c r="M3120" s="1" t="str">
        <f>INDEX(MCC_Lookup!$B$2:$B$12,MATCH(G3120,MCC_Lookup!$A$2:$A$12,0))</f>
        <v>Travel</v>
      </c>
      <c r="N3120" s="1" t="str">
        <f>IF(TRIM(H3120)="","BLANK",IF(PROPER(TRIM(H3120))=TRIM(M3120),"MATCH","MISMATCH"))</f>
        <v>BLANK</v>
      </c>
      <c r="O3120" s="5" t="str">
        <f>INDEX([1]Employee!$C$2:$C$276,MATCH(B3120,[1]Employee!$A$2:$A$276,0))</f>
        <v>Sales &amp; Marketing</v>
      </c>
    </row>
    <row r="3121" spans="1:15">
      <c r="A3121" s="1" t="s">
        <v>6072</v>
      </c>
      <c r="B3121" s="1" t="s">
        <v>631</v>
      </c>
      <c r="C3121" s="1" t="s">
        <v>6073</v>
      </c>
      <c r="D3121" s="2">
        <v>46111</v>
      </c>
      <c r="E3121" s="2">
        <v>46194</v>
      </c>
      <c r="F3121" s="1" t="s">
        <v>305</v>
      </c>
      <c r="G3121" s="1" t="s">
        <v>2</v>
      </c>
      <c r="H3121" s="1" t="s">
        <v>3</v>
      </c>
      <c r="I3121" s="7">
        <v>8.48</v>
      </c>
      <c r="J3121" s="1" t="s">
        <v>38</v>
      </c>
      <c r="K3121" s="1"/>
      <c r="L3121" s="1" t="s">
        <v>39</v>
      </c>
      <c r="M3121" s="1" t="str">
        <f>INDEX(MCC_Lookup!$B$2:$B$12,MATCH(G3121,MCC_Lookup!$A$2:$A$12,0))</f>
        <v>Meals</v>
      </c>
      <c r="N3121" s="1" t="str">
        <f>IF(TRIM(H3121)="","BLANK",IF(PROPER(TRIM(H3121))=TRIM(M3121),"MATCH","MISMATCH"))</f>
        <v>MATCH</v>
      </c>
      <c r="O3121" s="5" t="str">
        <f>INDEX([1]Employee!$C$2:$C$276,MATCH(B3121,[1]Employee!$A$2:$A$276,0))</f>
        <v>Claims</v>
      </c>
    </row>
    <row r="3122" spans="1:15">
      <c r="A3122" s="1" t="s">
        <v>6074</v>
      </c>
      <c r="B3122" s="1" t="s">
        <v>149</v>
      </c>
      <c r="C3122" s="1" t="s">
        <v>6075</v>
      </c>
      <c r="D3122" s="2">
        <v>46192</v>
      </c>
      <c r="E3122" s="2">
        <v>46194</v>
      </c>
      <c r="F3122" s="1" t="s">
        <v>37</v>
      </c>
      <c r="G3122" s="1" t="s">
        <v>4</v>
      </c>
      <c r="H3122" s="1" t="s">
        <v>5</v>
      </c>
      <c r="I3122" s="7">
        <v>252.27</v>
      </c>
      <c r="J3122" s="1" t="s">
        <v>38</v>
      </c>
      <c r="K3122" s="1"/>
      <c r="L3122" s="1" t="s">
        <v>39</v>
      </c>
      <c r="M3122" s="1" t="str">
        <f>INDEX(MCC_Lookup!$B$2:$B$12,MATCH(G3122,MCC_Lookup!$A$2:$A$12,0))</f>
        <v>Travel</v>
      </c>
      <c r="N3122" s="1" t="str">
        <f>IF(TRIM(H3122)="","BLANK",IF(PROPER(TRIM(H3122))=TRIM(M3122),"MATCH","MISMATCH"))</f>
        <v>MATCH</v>
      </c>
      <c r="O3122" s="5" t="str">
        <f>INDEX([1]Employee!$C$2:$C$276,MATCH(B3122,[1]Employee!$A$2:$A$276,0))</f>
        <v>Sales &amp; Marketing</v>
      </c>
    </row>
    <row r="3123" spans="1:15">
      <c r="A3123" s="1" t="s">
        <v>6076</v>
      </c>
      <c r="B3123" s="1" t="s">
        <v>524</v>
      </c>
      <c r="C3123" s="1" t="s">
        <v>6077</v>
      </c>
      <c r="D3123" s="2">
        <v>46173</v>
      </c>
      <c r="E3123" s="2">
        <v>46194</v>
      </c>
      <c r="F3123" s="1" t="s">
        <v>52</v>
      </c>
      <c r="G3123" s="1" t="s">
        <v>15</v>
      </c>
      <c r="H3123" s="1" t="s">
        <v>16</v>
      </c>
      <c r="I3123" s="7">
        <v>22.78</v>
      </c>
      <c r="J3123" s="1" t="s">
        <v>38</v>
      </c>
      <c r="K3123" s="1"/>
      <c r="L3123" s="1" t="s">
        <v>39</v>
      </c>
      <c r="M3123" s="1" t="str">
        <f>INDEX(MCC_Lookup!$B$2:$B$12,MATCH(G3123,MCC_Lookup!$A$2:$A$12,0))</f>
        <v>Entertainment</v>
      </c>
      <c r="N3123" s="1" t="str">
        <f>IF(TRIM(H3123)="","BLANK",IF(PROPER(TRIM(H3123))=TRIM(M3123),"MATCH","MISMATCH"))</f>
        <v>MATCH</v>
      </c>
      <c r="O3123" s="5" t="str">
        <f>INDEX([1]Employee!$C$2:$C$276,MATCH(B3123,[1]Employee!$A$2:$A$276,0))</f>
        <v>Claims</v>
      </c>
    </row>
    <row r="3124" spans="1:15">
      <c r="A3124" s="1" t="s">
        <v>6078</v>
      </c>
      <c r="B3124" s="1" t="s">
        <v>908</v>
      </c>
      <c r="C3124" s="1" t="s">
        <v>6079</v>
      </c>
      <c r="D3124" s="2">
        <v>46189</v>
      </c>
      <c r="E3124" s="2">
        <v>46194</v>
      </c>
      <c r="F3124" s="1" t="s">
        <v>56</v>
      </c>
      <c r="G3124" s="1" t="s">
        <v>4</v>
      </c>
      <c r="H3124" s="1" t="s">
        <v>5</v>
      </c>
      <c r="I3124" s="7">
        <v>481.23</v>
      </c>
      <c r="J3124" s="1" t="s">
        <v>38</v>
      </c>
      <c r="K3124" s="1"/>
      <c r="L3124" s="1" t="s">
        <v>39</v>
      </c>
      <c r="M3124" s="1" t="str">
        <f>INDEX(MCC_Lookup!$B$2:$B$12,MATCH(G3124,MCC_Lookup!$A$2:$A$12,0))</f>
        <v>Travel</v>
      </c>
      <c r="N3124" s="1" t="str">
        <f>IF(TRIM(H3124)="","BLANK",IF(PROPER(TRIM(H3124))=TRIM(M3124),"MATCH","MISMATCH"))</f>
        <v>MATCH</v>
      </c>
      <c r="O3124" s="5" t="str">
        <f>INDEX([1]Employee!$C$2:$C$276,MATCH(B3124,[1]Employee!$A$2:$A$276,0))</f>
        <v>Claims</v>
      </c>
    </row>
    <row r="3125" spans="1:15">
      <c r="A3125" s="1" t="s">
        <v>6080</v>
      </c>
      <c r="B3125" s="1" t="s">
        <v>104</v>
      </c>
      <c r="C3125" s="1" t="s">
        <v>6081</v>
      </c>
      <c r="D3125" s="2">
        <v>46078</v>
      </c>
      <c r="E3125" s="2">
        <v>46195</v>
      </c>
      <c r="F3125" s="1" t="s">
        <v>109</v>
      </c>
      <c r="G3125" s="1" t="s">
        <v>18</v>
      </c>
      <c r="H3125" s="1" t="s">
        <v>19</v>
      </c>
      <c r="I3125" s="7">
        <v>173.5</v>
      </c>
      <c r="J3125" s="1" t="s">
        <v>38</v>
      </c>
      <c r="K3125" s="1"/>
      <c r="L3125" s="1" t="s">
        <v>39</v>
      </c>
      <c r="M3125" s="1" t="str">
        <f>INDEX(MCC_Lookup!$B$2:$B$12,MATCH(G3125,MCC_Lookup!$A$2:$A$12,0))</f>
        <v>Events</v>
      </c>
      <c r="N3125" s="1" t="str">
        <f>IF(TRIM(H3125)="","BLANK",IF(PROPER(TRIM(H3125))=TRIM(M3125),"MATCH","MISMATCH"))</f>
        <v>MATCH</v>
      </c>
      <c r="O3125" s="5" t="str">
        <f>INDEX([1]Employee!$C$2:$C$276,MATCH(B3125,[1]Employee!$A$2:$A$276,0))</f>
        <v>Sales &amp; Marketing</v>
      </c>
    </row>
    <row r="3126" spans="1:15">
      <c r="A3126" s="1" t="s">
        <v>6082</v>
      </c>
      <c r="B3126" s="1" t="s">
        <v>738</v>
      </c>
      <c r="C3126" s="1" t="s">
        <v>6083</v>
      </c>
      <c r="D3126" s="2">
        <v>46173</v>
      </c>
      <c r="E3126" s="2">
        <v>46195</v>
      </c>
      <c r="F3126" s="1" t="s">
        <v>6084</v>
      </c>
      <c r="G3126" s="1" t="s">
        <v>13</v>
      </c>
      <c r="H3126" s="1" t="s">
        <v>14</v>
      </c>
      <c r="I3126" s="7">
        <v>23.35</v>
      </c>
      <c r="J3126" s="1" t="s">
        <v>38</v>
      </c>
      <c r="K3126" s="1"/>
      <c r="L3126" s="1" t="s">
        <v>39</v>
      </c>
      <c r="M3126" s="1" t="str">
        <f>INDEX(MCC_Lookup!$B$2:$B$12,MATCH(G3126,MCC_Lookup!$A$2:$A$12,0))</f>
        <v>Software</v>
      </c>
      <c r="N3126" s="1" t="str">
        <f>IF(TRIM(H3126)="","BLANK",IF(PROPER(TRIM(H3126))=TRIM(M3126),"MATCH","MISMATCH"))</f>
        <v>MATCH</v>
      </c>
      <c r="O3126" s="5" t="str">
        <f>INDEX([1]Employee!$C$2:$C$276,MATCH(B3126,[1]Employee!$A$2:$A$276,0))</f>
        <v>Sales &amp; Marketing</v>
      </c>
    </row>
    <row r="3127" spans="1:15">
      <c r="A3127" s="1" t="s">
        <v>6085</v>
      </c>
      <c r="B3127" s="1" t="s">
        <v>423</v>
      </c>
      <c r="C3127" s="1" t="s">
        <v>6086</v>
      </c>
      <c r="D3127" s="2">
        <v>46122</v>
      </c>
      <c r="E3127" s="2">
        <v>46195</v>
      </c>
      <c r="F3127" s="1" t="s">
        <v>201</v>
      </c>
      <c r="G3127" s="1" t="s">
        <v>4</v>
      </c>
      <c r="H3127" s="1" t="s">
        <v>714</v>
      </c>
      <c r="I3127" s="7">
        <v>463.33</v>
      </c>
      <c r="J3127" s="1" t="s">
        <v>38</v>
      </c>
      <c r="K3127" s="1"/>
      <c r="L3127" s="1" t="s">
        <v>39</v>
      </c>
      <c r="M3127" s="1" t="str">
        <f>INDEX(MCC_Lookup!$B$2:$B$12,MATCH(G3127,MCC_Lookup!$A$2:$A$12,0))</f>
        <v>Travel</v>
      </c>
      <c r="N3127" s="1" t="str">
        <f>IF(TRIM(H3127)="","BLANK",IF(PROPER(TRIM(H3127))=TRIM(M3127),"MATCH","MISMATCH"))</f>
        <v>MATCH</v>
      </c>
      <c r="O3127" s="5" t="str">
        <f>INDEX([1]Employee!$C$2:$C$276,MATCH(B3127,[1]Employee!$A$2:$A$276,0))</f>
        <v>Underwriting</v>
      </c>
    </row>
    <row r="3128" spans="1:15">
      <c r="A3128" s="1" t="s">
        <v>6087</v>
      </c>
      <c r="B3128" s="1" t="s">
        <v>349</v>
      </c>
      <c r="C3128" s="1" t="s">
        <v>6088</v>
      </c>
      <c r="D3128" s="2">
        <v>46057</v>
      </c>
      <c r="E3128" s="2">
        <v>46195</v>
      </c>
      <c r="F3128" s="1" t="s">
        <v>173</v>
      </c>
      <c r="G3128" s="1" t="s">
        <v>2</v>
      </c>
      <c r="H3128" s="1" t="s">
        <v>3</v>
      </c>
      <c r="I3128" s="7">
        <v>65.349999999999994</v>
      </c>
      <c r="J3128" s="1" t="s">
        <v>38</v>
      </c>
      <c r="K3128" s="1"/>
      <c r="L3128" s="1" t="s">
        <v>39</v>
      </c>
      <c r="M3128" s="1" t="str">
        <f>INDEX(MCC_Lookup!$B$2:$B$12,MATCH(G3128,MCC_Lookup!$A$2:$A$12,0))</f>
        <v>Meals</v>
      </c>
      <c r="N3128" s="1" t="str">
        <f>IF(TRIM(H3128)="","BLANK",IF(PROPER(TRIM(H3128))=TRIM(M3128),"MATCH","MISMATCH"))</f>
        <v>MATCH</v>
      </c>
      <c r="O3128" s="5" t="str">
        <f>INDEX([1]Employee!$C$2:$C$276,MATCH(B3128,[1]Employee!$A$2:$A$276,0))</f>
        <v>Sales &amp; Marketing</v>
      </c>
    </row>
    <row r="3129" spans="1:15">
      <c r="A3129" s="1" t="s">
        <v>6089</v>
      </c>
      <c r="B3129" s="1" t="s">
        <v>2027</v>
      </c>
      <c r="C3129" s="1"/>
      <c r="D3129" s="2">
        <v>46193</v>
      </c>
      <c r="E3129" s="2">
        <v>46195</v>
      </c>
      <c r="F3129" s="1" t="s">
        <v>72</v>
      </c>
      <c r="G3129" s="1" t="s">
        <v>8</v>
      </c>
      <c r="H3129" s="1" t="s">
        <v>9</v>
      </c>
      <c r="I3129" s="7">
        <v>8.7200000000000006</v>
      </c>
      <c r="J3129" s="1" t="s">
        <v>111</v>
      </c>
      <c r="K3129" s="1" t="s">
        <v>229</v>
      </c>
      <c r="L3129" s="1" t="s">
        <v>39</v>
      </c>
      <c r="M3129" s="1" t="str">
        <f>INDEX(MCC_Lookup!$B$2:$B$12,MATCH(G3129,MCC_Lookup!$A$2:$A$12,0))</f>
        <v>Transportation</v>
      </c>
      <c r="N3129" s="1" t="str">
        <f>IF(TRIM(H3129)="","BLANK",IF(PROPER(TRIM(H3129))=TRIM(M3129),"MATCH","MISMATCH"))</f>
        <v>MATCH</v>
      </c>
      <c r="O3129" s="5" t="str">
        <f>INDEX([1]Employee!$C$2:$C$276,MATCH(B3129,[1]Employee!$A$2:$A$276,0))</f>
        <v>Customer Support</v>
      </c>
    </row>
    <row r="3130" spans="1:15">
      <c r="A3130" s="1" t="s">
        <v>6090</v>
      </c>
      <c r="B3130" s="1" t="s">
        <v>45</v>
      </c>
      <c r="C3130" s="1" t="s">
        <v>6091</v>
      </c>
      <c r="D3130" s="2">
        <v>46197</v>
      </c>
      <c r="E3130" s="2">
        <v>46195</v>
      </c>
      <c r="F3130" s="1" t="s">
        <v>61</v>
      </c>
      <c r="G3130" s="1" t="s">
        <v>13</v>
      </c>
      <c r="H3130" s="1" t="s">
        <v>14</v>
      </c>
      <c r="I3130" s="7">
        <v>74.17</v>
      </c>
      <c r="J3130" s="1" t="s">
        <v>38</v>
      </c>
      <c r="K3130" s="1"/>
      <c r="L3130" s="1" t="s">
        <v>39</v>
      </c>
      <c r="M3130" s="1" t="str">
        <f>INDEX(MCC_Lookup!$B$2:$B$12,MATCH(G3130,MCC_Lookup!$A$2:$A$12,0))</f>
        <v>Software</v>
      </c>
      <c r="N3130" s="1" t="str">
        <f>IF(TRIM(H3130)="","BLANK",IF(PROPER(TRIM(H3130))=TRIM(M3130),"MATCH","MISMATCH"))</f>
        <v>MATCH</v>
      </c>
      <c r="O3130" s="5" t="str">
        <f>INDEX([1]Employee!$C$2:$C$276,MATCH(B3130,[1]Employee!$A$2:$A$276,0))</f>
        <v>IT &amp; Platform Engineering</v>
      </c>
    </row>
    <row r="3131" spans="1:15">
      <c r="A3131" s="1" t="s">
        <v>6092</v>
      </c>
      <c r="B3131" s="1" t="s">
        <v>448</v>
      </c>
      <c r="C3131" s="1"/>
      <c r="D3131" s="2">
        <v>46192</v>
      </c>
      <c r="E3131" s="2">
        <v>46195</v>
      </c>
      <c r="F3131" s="1" t="s">
        <v>43</v>
      </c>
      <c r="G3131" s="1" t="s">
        <v>2</v>
      </c>
      <c r="H3131" s="1" t="s">
        <v>3</v>
      </c>
      <c r="I3131" s="7">
        <v>19.02</v>
      </c>
      <c r="J3131" s="1" t="s">
        <v>38</v>
      </c>
      <c r="K3131" s="1"/>
      <c r="L3131" s="1" t="s">
        <v>39</v>
      </c>
      <c r="M3131" s="1" t="str">
        <f>INDEX(MCC_Lookup!$B$2:$B$12,MATCH(G3131,MCC_Lookup!$A$2:$A$12,0))</f>
        <v>Meals</v>
      </c>
      <c r="N3131" s="1" t="str">
        <f>IF(TRIM(H3131)="","BLANK",IF(PROPER(TRIM(H3131))=TRIM(M3131),"MATCH","MISMATCH"))</f>
        <v>MATCH</v>
      </c>
      <c r="O3131" s="5" t="str">
        <f>INDEX([1]Employee!$C$2:$C$276,MATCH(B3131,[1]Employee!$A$2:$A$276,0))</f>
        <v>Sales &amp; Marketing</v>
      </c>
    </row>
    <row r="3132" spans="1:15">
      <c r="A3132" s="1" t="s">
        <v>6093</v>
      </c>
      <c r="B3132" s="1" t="s">
        <v>2925</v>
      </c>
      <c r="C3132" s="1"/>
      <c r="D3132" s="2">
        <v>46192</v>
      </c>
      <c r="E3132" s="2">
        <v>46195</v>
      </c>
      <c r="F3132" s="1" t="s">
        <v>242</v>
      </c>
      <c r="G3132" s="1" t="s">
        <v>13</v>
      </c>
      <c r="H3132" s="1" t="s">
        <v>14</v>
      </c>
      <c r="I3132" s="7">
        <v>39.94</v>
      </c>
      <c r="J3132" s="1" t="s">
        <v>38</v>
      </c>
      <c r="K3132" s="1"/>
      <c r="L3132" s="1" t="s">
        <v>39</v>
      </c>
      <c r="M3132" s="1" t="str">
        <f>INDEX(MCC_Lookup!$B$2:$B$12,MATCH(G3132,MCC_Lookup!$A$2:$A$12,0))</f>
        <v>Software</v>
      </c>
      <c r="N3132" s="1" t="str">
        <f>IF(TRIM(H3132)="","BLANK",IF(PROPER(TRIM(H3132))=TRIM(M3132),"MATCH","MISMATCH"))</f>
        <v>MATCH</v>
      </c>
      <c r="O3132" s="5" t="str">
        <f>INDEX([1]Employee!$C$2:$C$276,MATCH(B3132,[1]Employee!$A$2:$A$276,0))</f>
        <v>Actuarial &amp; Risk</v>
      </c>
    </row>
    <row r="3133" spans="1:15">
      <c r="A3133" s="1" t="s">
        <v>6094</v>
      </c>
      <c r="B3133" s="1" t="s">
        <v>588</v>
      </c>
      <c r="C3133" s="1" t="s">
        <v>6095</v>
      </c>
      <c r="D3133" s="2">
        <v>46194</v>
      </c>
      <c r="E3133" s="2">
        <v>46195</v>
      </c>
      <c r="F3133" s="1" t="s">
        <v>99</v>
      </c>
      <c r="G3133" s="1" t="s">
        <v>2</v>
      </c>
      <c r="H3133" s="1" t="s">
        <v>138</v>
      </c>
      <c r="I3133" s="7">
        <v>124.11</v>
      </c>
      <c r="J3133" s="1" t="s">
        <v>38</v>
      </c>
      <c r="K3133" s="1"/>
      <c r="L3133" s="1" t="s">
        <v>39</v>
      </c>
      <c r="M3133" s="1" t="str">
        <f>INDEX(MCC_Lookup!$B$2:$B$12,MATCH(G3133,MCC_Lookup!$A$2:$A$12,0))</f>
        <v>Meals</v>
      </c>
      <c r="N3133" s="1" t="str">
        <f>IF(TRIM(H3133)="","BLANK",IF(PROPER(TRIM(H3133))=TRIM(M3133),"MATCH","MISMATCH"))</f>
        <v>MATCH</v>
      </c>
      <c r="O3133" s="5" t="str">
        <f>INDEX([1]Employee!$C$2:$C$276,MATCH(B3133,[1]Employee!$A$2:$A$276,0))</f>
        <v>Claims</v>
      </c>
    </row>
    <row r="3134" spans="1:15">
      <c r="A3134" s="1" t="s">
        <v>6096</v>
      </c>
      <c r="B3134" s="1" t="s">
        <v>661</v>
      </c>
      <c r="C3134" s="1" t="s">
        <v>6097</v>
      </c>
      <c r="D3134" s="2">
        <v>46201</v>
      </c>
      <c r="E3134" s="2">
        <v>46195</v>
      </c>
      <c r="F3134" s="1" t="s">
        <v>95</v>
      </c>
      <c r="G3134" s="1" t="s">
        <v>6</v>
      </c>
      <c r="H3134" s="1" t="s">
        <v>228</v>
      </c>
      <c r="I3134" s="7">
        <v>208.35</v>
      </c>
      <c r="J3134" s="1" t="s">
        <v>38</v>
      </c>
      <c r="K3134" s="1"/>
      <c r="L3134" s="1" t="s">
        <v>39</v>
      </c>
      <c r="M3134" s="1" t="str">
        <f>INDEX(MCC_Lookup!$B$2:$B$12,MATCH(G3134,MCC_Lookup!$A$2:$A$12,0))</f>
        <v>Lodging</v>
      </c>
      <c r="N3134" s="1" t="str">
        <f>IF(TRIM(H3134)="","BLANK",IF(PROPER(TRIM(H3134))=TRIM(M3134),"MATCH","MISMATCH"))</f>
        <v>MATCH</v>
      </c>
      <c r="O3134" s="5" t="str">
        <f>INDEX([1]Employee!$C$2:$C$276,MATCH(B3134,[1]Employee!$A$2:$A$276,0))</f>
        <v>Sales &amp; Marketing</v>
      </c>
    </row>
    <row r="3135" spans="1:15">
      <c r="A3135" s="1" t="s">
        <v>6098</v>
      </c>
      <c r="B3135" s="1" t="s">
        <v>2046</v>
      </c>
      <c r="C3135" s="1" t="s">
        <v>6099</v>
      </c>
      <c r="D3135" s="2">
        <v>46133</v>
      </c>
      <c r="E3135" s="2">
        <v>46195</v>
      </c>
      <c r="F3135" s="1" t="s">
        <v>69</v>
      </c>
      <c r="G3135" s="1" t="s">
        <v>8</v>
      </c>
      <c r="H3135" s="1" t="s">
        <v>9</v>
      </c>
      <c r="I3135" s="7">
        <v>17.93</v>
      </c>
      <c r="J3135" s="1" t="s">
        <v>38</v>
      </c>
      <c r="K3135" s="1"/>
      <c r="L3135" s="1" t="s">
        <v>39</v>
      </c>
      <c r="M3135" s="1" t="str">
        <f>INDEX(MCC_Lookup!$B$2:$B$12,MATCH(G3135,MCC_Lookup!$A$2:$A$12,0))</f>
        <v>Transportation</v>
      </c>
      <c r="N3135" s="1" t="str">
        <f>IF(TRIM(H3135)="","BLANK",IF(PROPER(TRIM(H3135))=TRIM(M3135),"MATCH","MISMATCH"))</f>
        <v>MATCH</v>
      </c>
      <c r="O3135" s="5" t="str">
        <f>INDEX([1]Employee!$C$2:$C$276,MATCH(B3135,[1]Employee!$A$2:$A$276,0))</f>
        <v>Claims</v>
      </c>
    </row>
    <row r="3136" spans="1:15">
      <c r="A3136" s="1" t="s">
        <v>6100</v>
      </c>
      <c r="B3136" s="1" t="s">
        <v>550</v>
      </c>
      <c r="C3136" s="1" t="s">
        <v>6101</v>
      </c>
      <c r="D3136" s="2">
        <v>46186</v>
      </c>
      <c r="E3136" s="2">
        <v>46195</v>
      </c>
      <c r="F3136" s="1" t="s">
        <v>95</v>
      </c>
      <c r="G3136" s="1" t="s">
        <v>6</v>
      </c>
      <c r="H3136" s="1" t="s">
        <v>7</v>
      </c>
      <c r="I3136" s="7">
        <v>265.69</v>
      </c>
      <c r="J3136" s="1" t="s">
        <v>38</v>
      </c>
      <c r="K3136" s="1"/>
      <c r="L3136" s="1" t="s">
        <v>39</v>
      </c>
      <c r="M3136" s="1" t="str">
        <f>INDEX(MCC_Lookup!$B$2:$B$12,MATCH(G3136,MCC_Lookup!$A$2:$A$12,0))</f>
        <v>Lodging</v>
      </c>
      <c r="N3136" s="1" t="str">
        <f>IF(TRIM(H3136)="","BLANK",IF(PROPER(TRIM(H3136))=TRIM(M3136),"MATCH","MISMATCH"))</f>
        <v>MATCH</v>
      </c>
      <c r="O3136" s="5" t="str">
        <f>INDEX([1]Employee!$C$2:$C$276,MATCH(B3136,[1]Employee!$A$2:$A$276,0))</f>
        <v>Sales &amp; Marketing</v>
      </c>
    </row>
    <row r="3137" spans="1:15">
      <c r="A3137" s="1" t="s">
        <v>6102</v>
      </c>
      <c r="B3137" s="1" t="s">
        <v>550</v>
      </c>
      <c r="C3137" s="1" t="s">
        <v>6103</v>
      </c>
      <c r="D3137" s="2">
        <v>46187</v>
      </c>
      <c r="E3137" s="2">
        <v>46195</v>
      </c>
      <c r="F3137" s="1" t="s">
        <v>347</v>
      </c>
      <c r="G3137" s="1" t="s">
        <v>8</v>
      </c>
      <c r="H3137" s="1" t="s">
        <v>435</v>
      </c>
      <c r="I3137" s="7">
        <v>23.07</v>
      </c>
      <c r="J3137" s="1" t="s">
        <v>38</v>
      </c>
      <c r="K3137" s="1"/>
      <c r="L3137" s="1" t="s">
        <v>39</v>
      </c>
      <c r="M3137" s="1" t="str">
        <f>INDEX(MCC_Lookup!$B$2:$B$12,MATCH(G3137,MCC_Lookup!$A$2:$A$12,0))</f>
        <v>Transportation</v>
      </c>
      <c r="N3137" s="1" t="str">
        <f>IF(TRIM(H3137)="","BLANK",IF(PROPER(TRIM(H3137))=TRIM(M3137),"MATCH","MISMATCH"))</f>
        <v>MATCH</v>
      </c>
      <c r="O3137" s="5" t="str">
        <f>INDEX([1]Employee!$C$2:$C$276,MATCH(B3137,[1]Employee!$A$2:$A$276,0))</f>
        <v>Sales &amp; Marketing</v>
      </c>
    </row>
    <row r="3138" spans="1:15">
      <c r="A3138" s="1" t="s">
        <v>6104</v>
      </c>
      <c r="B3138" s="1" t="s">
        <v>524</v>
      </c>
      <c r="C3138" s="1" t="s">
        <v>6105</v>
      </c>
      <c r="D3138" s="2">
        <v>46067</v>
      </c>
      <c r="E3138" s="2">
        <v>46195</v>
      </c>
      <c r="F3138" s="1" t="s">
        <v>76</v>
      </c>
      <c r="G3138" s="1" t="s">
        <v>13</v>
      </c>
      <c r="H3138" s="1" t="s">
        <v>14</v>
      </c>
      <c r="I3138" s="7">
        <v>216.19</v>
      </c>
      <c r="J3138" s="1" t="s">
        <v>38</v>
      </c>
      <c r="K3138" s="1"/>
      <c r="L3138" s="1" t="s">
        <v>39</v>
      </c>
      <c r="M3138" s="1" t="str">
        <f>INDEX(MCC_Lookup!$B$2:$B$12,MATCH(G3138,MCC_Lookup!$A$2:$A$12,0))</f>
        <v>Software</v>
      </c>
      <c r="N3138" s="1" t="str">
        <f>IF(TRIM(H3138)="","BLANK",IF(PROPER(TRIM(H3138))=TRIM(M3138),"MATCH","MISMATCH"))</f>
        <v>MATCH</v>
      </c>
      <c r="O3138" s="5" t="str">
        <f>INDEX([1]Employee!$C$2:$C$276,MATCH(B3138,[1]Employee!$A$2:$A$276,0))</f>
        <v>Claims</v>
      </c>
    </row>
    <row r="3139" spans="1:15">
      <c r="A3139" s="1" t="s">
        <v>6106</v>
      </c>
      <c r="B3139" s="1" t="s">
        <v>947</v>
      </c>
      <c r="C3139" s="1" t="s">
        <v>6107</v>
      </c>
      <c r="D3139" s="2">
        <v>46076</v>
      </c>
      <c r="E3139" s="2">
        <v>46195</v>
      </c>
      <c r="F3139" s="1" t="s">
        <v>95</v>
      </c>
      <c r="G3139" s="1" t="s">
        <v>6</v>
      </c>
      <c r="H3139" s="1" t="s">
        <v>5</v>
      </c>
      <c r="I3139" s="7">
        <v>351.33</v>
      </c>
      <c r="J3139" s="1" t="s">
        <v>38</v>
      </c>
      <c r="K3139" s="1"/>
      <c r="L3139" s="1" t="s">
        <v>39</v>
      </c>
      <c r="M3139" s="1" t="str">
        <f>INDEX(MCC_Lookup!$B$2:$B$12,MATCH(G3139,MCC_Lookup!$A$2:$A$12,0))</f>
        <v>Lodging</v>
      </c>
      <c r="N3139" s="1" t="str">
        <f>IF(TRIM(H3139)="","BLANK",IF(PROPER(TRIM(H3139))=TRIM(M3139),"MATCH","MISMATCH"))</f>
        <v>MISMATCH</v>
      </c>
      <c r="O3139" s="5" t="str">
        <f>INDEX([1]Employee!$C$2:$C$276,MATCH(B3139,[1]Employee!$A$2:$A$276,0))</f>
        <v>Sales &amp; Marketing</v>
      </c>
    </row>
    <row r="3140" spans="1:15">
      <c r="A3140" s="1" t="s">
        <v>6108</v>
      </c>
      <c r="B3140" s="1" t="s">
        <v>1650</v>
      </c>
      <c r="C3140" s="1" t="s">
        <v>6109</v>
      </c>
      <c r="D3140" s="2">
        <v>46054</v>
      </c>
      <c r="E3140" s="2">
        <v>46195</v>
      </c>
      <c r="F3140" s="1" t="s">
        <v>347</v>
      </c>
      <c r="G3140" s="1" t="s">
        <v>8</v>
      </c>
      <c r="H3140" s="1" t="s">
        <v>9</v>
      </c>
      <c r="I3140" s="7">
        <v>57.5</v>
      </c>
      <c r="J3140" s="1" t="s">
        <v>38</v>
      </c>
      <c r="K3140" s="1"/>
      <c r="L3140" s="1" t="s">
        <v>39</v>
      </c>
      <c r="M3140" s="1" t="str">
        <f>INDEX(MCC_Lookup!$B$2:$B$12,MATCH(G3140,MCC_Lookup!$A$2:$A$12,0))</f>
        <v>Transportation</v>
      </c>
      <c r="N3140" s="1" t="str">
        <f>IF(TRIM(H3140)="","BLANK",IF(PROPER(TRIM(H3140))=TRIM(M3140),"MATCH","MISMATCH"))</f>
        <v>MATCH</v>
      </c>
      <c r="O3140" s="5" t="str">
        <f>INDEX([1]Employee!$C$2:$C$276,MATCH(B3140,[1]Employee!$A$2:$A$276,0))</f>
        <v>HR &amp; Events</v>
      </c>
    </row>
    <row r="3141" spans="1:15">
      <c r="A3141" s="1" t="s">
        <v>6110</v>
      </c>
      <c r="B3141" s="1" t="s">
        <v>1650</v>
      </c>
      <c r="C3141" s="1" t="s">
        <v>6111</v>
      </c>
      <c r="D3141" s="2">
        <v>46087</v>
      </c>
      <c r="E3141" s="2">
        <v>46195</v>
      </c>
      <c r="F3141" s="1" t="s">
        <v>160</v>
      </c>
      <c r="G3141" s="1" t="s">
        <v>6</v>
      </c>
      <c r="H3141" s="1" t="s">
        <v>7</v>
      </c>
      <c r="I3141" s="7">
        <v>350.93</v>
      </c>
      <c r="J3141" s="1" t="s">
        <v>38</v>
      </c>
      <c r="K3141" s="1"/>
      <c r="L3141" s="1" t="s">
        <v>39</v>
      </c>
      <c r="M3141" s="1" t="str">
        <f>INDEX(MCC_Lookup!$B$2:$B$12,MATCH(G3141,MCC_Lookup!$A$2:$A$12,0))</f>
        <v>Lodging</v>
      </c>
      <c r="N3141" s="1" t="str">
        <f>IF(TRIM(H3141)="","BLANK",IF(PROPER(TRIM(H3141))=TRIM(M3141),"MATCH","MISMATCH"))</f>
        <v>MATCH</v>
      </c>
      <c r="O3141" s="5" t="str">
        <f>INDEX([1]Employee!$C$2:$C$276,MATCH(B3141,[1]Employee!$A$2:$A$276,0))</f>
        <v>HR &amp; Events</v>
      </c>
    </row>
    <row r="3142" spans="1:15">
      <c r="A3142" s="1" t="s">
        <v>6112</v>
      </c>
      <c r="B3142" s="1" t="s">
        <v>352</v>
      </c>
      <c r="C3142" s="1" t="s">
        <v>6113</v>
      </c>
      <c r="D3142" s="2">
        <v>46058</v>
      </c>
      <c r="E3142" s="2">
        <v>46195</v>
      </c>
      <c r="F3142" s="1" t="s">
        <v>72</v>
      </c>
      <c r="G3142" s="1" t="s">
        <v>8</v>
      </c>
      <c r="H3142" s="1"/>
      <c r="I3142" s="7">
        <v>10.33</v>
      </c>
      <c r="J3142" s="1" t="s">
        <v>38</v>
      </c>
      <c r="K3142" s="1"/>
      <c r="L3142" s="1" t="s">
        <v>39</v>
      </c>
      <c r="M3142" s="1" t="str">
        <f>INDEX(MCC_Lookup!$B$2:$B$12,MATCH(G3142,MCC_Lookup!$A$2:$A$12,0))</f>
        <v>Transportation</v>
      </c>
      <c r="N3142" s="1" t="str">
        <f>IF(TRIM(H3142)="","BLANK",IF(PROPER(TRIM(H3142))=TRIM(M3142),"MATCH","MISMATCH"))</f>
        <v>BLANK</v>
      </c>
      <c r="O3142" s="5" t="str">
        <f>INDEX([1]Employee!$C$2:$C$276,MATCH(B3142,[1]Employee!$A$2:$A$276,0))</f>
        <v>Sales &amp; Marketing</v>
      </c>
    </row>
    <row r="3143" spans="1:15">
      <c r="A3143" s="1" t="s">
        <v>6114</v>
      </c>
      <c r="B3143" s="1" t="s">
        <v>54</v>
      </c>
      <c r="C3143" s="1" t="s">
        <v>6115</v>
      </c>
      <c r="D3143" s="2">
        <v>46201</v>
      </c>
      <c r="E3143" s="2">
        <v>46195</v>
      </c>
      <c r="F3143" s="1" t="s">
        <v>79</v>
      </c>
      <c r="G3143" s="1" t="s">
        <v>13</v>
      </c>
      <c r="H3143" s="1" t="s">
        <v>14</v>
      </c>
      <c r="I3143" s="7">
        <v>247.72</v>
      </c>
      <c r="J3143" s="1" t="s">
        <v>38</v>
      </c>
      <c r="K3143" s="1"/>
      <c r="L3143" s="1" t="s">
        <v>48</v>
      </c>
      <c r="M3143" s="1" t="str">
        <f>INDEX(MCC_Lookup!$B$2:$B$12,MATCH(G3143,MCC_Lookup!$A$2:$A$12,0))</f>
        <v>Software</v>
      </c>
      <c r="N3143" s="1" t="str">
        <f>IF(TRIM(H3143)="","BLANK",IF(PROPER(TRIM(H3143))=TRIM(M3143),"MATCH","MISMATCH"))</f>
        <v>MATCH</v>
      </c>
      <c r="O3143" s="5" t="str">
        <f>INDEX([1]Employee!$C$2:$C$276,MATCH(B3143,[1]Employee!$A$2:$A$276,0))</f>
        <v>Sales &amp; Marketing</v>
      </c>
    </row>
    <row r="3144" spans="1:15">
      <c r="A3144" s="1" t="s">
        <v>6116</v>
      </c>
      <c r="B3144" s="1" t="s">
        <v>1188</v>
      </c>
      <c r="C3144" s="1" t="s">
        <v>6117</v>
      </c>
      <c r="D3144" s="2">
        <v>46201</v>
      </c>
      <c r="E3144" s="2">
        <v>46195</v>
      </c>
      <c r="F3144" s="1" t="s">
        <v>201</v>
      </c>
      <c r="G3144" s="1" t="s">
        <v>4</v>
      </c>
      <c r="H3144" s="1" t="s">
        <v>5</v>
      </c>
      <c r="I3144" s="7">
        <v>472.69</v>
      </c>
      <c r="J3144" s="1" t="s">
        <v>38</v>
      </c>
      <c r="K3144" s="1"/>
      <c r="L3144" s="1" t="s">
        <v>39</v>
      </c>
      <c r="M3144" s="1" t="str">
        <f>INDEX(MCC_Lookup!$B$2:$B$12,MATCH(G3144,MCC_Lookup!$A$2:$A$12,0))</f>
        <v>Travel</v>
      </c>
      <c r="N3144" s="1" t="str">
        <f>IF(TRIM(H3144)="","BLANK",IF(PROPER(TRIM(H3144))=TRIM(M3144),"MATCH","MISMATCH"))</f>
        <v>MATCH</v>
      </c>
      <c r="O3144" s="5" t="str">
        <f>INDEX([1]Employee!$C$2:$C$276,MATCH(B3144,[1]Employee!$A$2:$A$276,0))</f>
        <v>Executive &amp; Corporate</v>
      </c>
    </row>
    <row r="3145" spans="1:15">
      <c r="A3145" s="1" t="s">
        <v>6118</v>
      </c>
      <c r="B3145" s="1" t="s">
        <v>915</v>
      </c>
      <c r="C3145" s="1" t="s">
        <v>6119</v>
      </c>
      <c r="D3145" s="2">
        <v>46187</v>
      </c>
      <c r="E3145" s="2">
        <v>46195</v>
      </c>
      <c r="F3145" s="1" t="s">
        <v>43</v>
      </c>
      <c r="G3145" s="1" t="s">
        <v>2</v>
      </c>
      <c r="H3145" s="1" t="s">
        <v>3</v>
      </c>
      <c r="I3145" s="7">
        <v>10.39</v>
      </c>
      <c r="J3145" s="1" t="s">
        <v>38</v>
      </c>
      <c r="K3145" s="1"/>
      <c r="L3145" s="1" t="s">
        <v>48</v>
      </c>
      <c r="M3145" s="1" t="str">
        <f>INDEX(MCC_Lookup!$B$2:$B$12,MATCH(G3145,MCC_Lookup!$A$2:$A$12,0))</f>
        <v>Meals</v>
      </c>
      <c r="N3145" s="1" t="str">
        <f>IF(TRIM(H3145)="","BLANK",IF(PROPER(TRIM(H3145))=TRIM(M3145),"MATCH","MISMATCH"))</f>
        <v>MATCH</v>
      </c>
      <c r="O3145" s="5" t="str">
        <f>INDEX([1]Employee!$C$2:$C$276,MATCH(B3145,[1]Employee!$A$2:$A$276,0))</f>
        <v>Sales &amp; Marketing</v>
      </c>
    </row>
    <row r="3146" spans="1:15">
      <c r="A3146" s="1" t="s">
        <v>6120</v>
      </c>
      <c r="B3146" s="1" t="s">
        <v>210</v>
      </c>
      <c r="C3146" s="1" t="s">
        <v>6121</v>
      </c>
      <c r="D3146" s="2">
        <v>46091</v>
      </c>
      <c r="E3146" s="2">
        <v>46195</v>
      </c>
      <c r="F3146" s="1" t="s">
        <v>37</v>
      </c>
      <c r="G3146" s="1" t="s">
        <v>4</v>
      </c>
      <c r="H3146" s="1" t="s">
        <v>5</v>
      </c>
      <c r="I3146" s="7">
        <v>337.73</v>
      </c>
      <c r="J3146" s="1" t="s">
        <v>38</v>
      </c>
      <c r="K3146" s="1"/>
      <c r="L3146" s="1" t="s">
        <v>39</v>
      </c>
      <c r="M3146" s="1" t="str">
        <f>INDEX(MCC_Lookup!$B$2:$B$12,MATCH(G3146,MCC_Lookup!$A$2:$A$12,0))</f>
        <v>Travel</v>
      </c>
      <c r="N3146" s="1" t="str">
        <f>IF(TRIM(H3146)="","BLANK",IF(PROPER(TRIM(H3146))=TRIM(M3146),"MATCH","MISMATCH"))</f>
        <v>MATCH</v>
      </c>
      <c r="O3146" s="5" t="str">
        <f>INDEX([1]Employee!$C$2:$C$276,MATCH(B3146,[1]Employee!$A$2:$A$276,0))</f>
        <v>Sales &amp; Marketing</v>
      </c>
    </row>
    <row r="3147" spans="1:15">
      <c r="A3147" s="1" t="s">
        <v>6122</v>
      </c>
      <c r="B3147" s="1" t="s">
        <v>890</v>
      </c>
      <c r="C3147" s="1" t="s">
        <v>6123</v>
      </c>
      <c r="D3147" s="2">
        <v>46194</v>
      </c>
      <c r="E3147" s="2">
        <v>46195</v>
      </c>
      <c r="F3147" s="1" t="s">
        <v>160</v>
      </c>
      <c r="G3147" s="1" t="s">
        <v>6</v>
      </c>
      <c r="H3147" s="1" t="s">
        <v>7</v>
      </c>
      <c r="I3147" s="7">
        <v>453.1</v>
      </c>
      <c r="J3147" s="1" t="s">
        <v>38</v>
      </c>
      <c r="K3147" s="1"/>
      <c r="L3147" s="1" t="s">
        <v>39</v>
      </c>
      <c r="M3147" s="1" t="str">
        <f>INDEX(MCC_Lookup!$B$2:$B$12,MATCH(G3147,MCC_Lookup!$A$2:$A$12,0))</f>
        <v>Lodging</v>
      </c>
      <c r="N3147" s="1" t="str">
        <f>IF(TRIM(H3147)="","BLANK",IF(PROPER(TRIM(H3147))=TRIM(M3147),"MATCH","MISMATCH"))</f>
        <v>MATCH</v>
      </c>
      <c r="O3147" s="5" t="str">
        <f>INDEX([1]Employee!$C$2:$C$276,MATCH(B3147,[1]Employee!$A$2:$A$276,0))</f>
        <v>Sales &amp; Marketing</v>
      </c>
    </row>
    <row r="3148" spans="1:15">
      <c r="A3148" s="1" t="s">
        <v>6124</v>
      </c>
      <c r="B3148" s="1" t="s">
        <v>292</v>
      </c>
      <c r="C3148" s="1" t="s">
        <v>6125</v>
      </c>
      <c r="D3148" s="2">
        <v>46186</v>
      </c>
      <c r="E3148" s="2">
        <v>46195</v>
      </c>
      <c r="F3148" s="1" t="s">
        <v>2418</v>
      </c>
      <c r="G3148" s="1" t="s">
        <v>2</v>
      </c>
      <c r="H3148" s="1" t="s">
        <v>3</v>
      </c>
      <c r="I3148" s="7">
        <v>26.94</v>
      </c>
      <c r="J3148" s="1" t="s">
        <v>38</v>
      </c>
      <c r="K3148" s="1"/>
      <c r="L3148" s="1" t="s">
        <v>39</v>
      </c>
      <c r="M3148" s="1" t="str">
        <f>INDEX(MCC_Lookup!$B$2:$B$12,MATCH(G3148,MCC_Lookup!$A$2:$A$12,0))</f>
        <v>Meals</v>
      </c>
      <c r="N3148" s="1" t="str">
        <f>IF(TRIM(H3148)="","BLANK",IF(PROPER(TRIM(H3148))=TRIM(M3148),"MATCH","MISMATCH"))</f>
        <v>MATCH</v>
      </c>
      <c r="O3148" s="5" t="str">
        <f>INDEX([1]Employee!$C$2:$C$276,MATCH(B3148,[1]Employee!$A$2:$A$276,0))</f>
        <v>Sales &amp; Marketing</v>
      </c>
    </row>
    <row r="3149" spans="1:15">
      <c r="A3149" s="1" t="s">
        <v>6126</v>
      </c>
      <c r="B3149" s="1" t="s">
        <v>74</v>
      </c>
      <c r="C3149" s="1"/>
      <c r="D3149" s="2">
        <v>46187</v>
      </c>
      <c r="E3149" s="2">
        <v>46195</v>
      </c>
      <c r="F3149" s="1" t="s">
        <v>201</v>
      </c>
      <c r="G3149" s="1" t="s">
        <v>4</v>
      </c>
      <c r="H3149" s="1" t="s">
        <v>57</v>
      </c>
      <c r="I3149" s="7">
        <v>636.96</v>
      </c>
      <c r="J3149" s="1" t="s">
        <v>38</v>
      </c>
      <c r="K3149" s="1"/>
      <c r="L3149" s="1" t="s">
        <v>39</v>
      </c>
      <c r="M3149" s="1" t="str">
        <f>INDEX(MCC_Lookup!$B$2:$B$12,MATCH(G3149,MCC_Lookup!$A$2:$A$12,0))</f>
        <v>Travel</v>
      </c>
      <c r="N3149" s="1" t="str">
        <f>IF(TRIM(H3149)="","BLANK",IF(PROPER(TRIM(H3149))=TRIM(M3149),"MATCH","MISMATCH"))</f>
        <v>MATCH</v>
      </c>
      <c r="O3149" s="5" t="str">
        <f>INDEX([1]Employee!$C$2:$C$276,MATCH(B3149,[1]Employee!$A$2:$A$276,0))</f>
        <v>Underwriting</v>
      </c>
    </row>
    <row r="3150" spans="1:15">
      <c r="A3150" s="1" t="s">
        <v>6127</v>
      </c>
      <c r="B3150" s="1" t="s">
        <v>810</v>
      </c>
      <c r="C3150" s="1"/>
      <c r="D3150" s="2">
        <v>46161</v>
      </c>
      <c r="E3150" s="2">
        <v>46195</v>
      </c>
      <c r="F3150" s="1" t="s">
        <v>37</v>
      </c>
      <c r="G3150" s="1" t="s">
        <v>4</v>
      </c>
      <c r="H3150" s="1" t="s">
        <v>5</v>
      </c>
      <c r="I3150" s="7">
        <v>380.06</v>
      </c>
      <c r="J3150" s="1" t="s">
        <v>111</v>
      </c>
      <c r="K3150" s="1" t="s">
        <v>112</v>
      </c>
      <c r="L3150" s="1" t="s">
        <v>39</v>
      </c>
      <c r="M3150" s="1" t="str">
        <f>INDEX(MCC_Lookup!$B$2:$B$12,MATCH(G3150,MCC_Lookup!$A$2:$A$12,0))</f>
        <v>Travel</v>
      </c>
      <c r="N3150" s="1" t="str">
        <f>IF(TRIM(H3150)="","BLANK",IF(PROPER(TRIM(H3150))=TRIM(M3150),"MATCH","MISMATCH"))</f>
        <v>MATCH</v>
      </c>
      <c r="O3150" s="5" t="str">
        <f>INDEX([1]Employee!$C$2:$C$276,MATCH(B3150,[1]Employee!$A$2:$A$276,0))</f>
        <v>Sales &amp; Marketing</v>
      </c>
    </row>
    <row r="3151" spans="1:15">
      <c r="A3151" s="1" t="s">
        <v>6128</v>
      </c>
      <c r="B3151" s="1" t="s">
        <v>461</v>
      </c>
      <c r="C3151" s="1"/>
      <c r="D3151" s="2">
        <v>46028</v>
      </c>
      <c r="E3151" s="2">
        <v>46195</v>
      </c>
      <c r="F3151" s="1" t="s">
        <v>83</v>
      </c>
      <c r="G3151" s="1" t="s">
        <v>2</v>
      </c>
      <c r="H3151" s="1" t="s">
        <v>154</v>
      </c>
      <c r="I3151" s="7">
        <v>9.5399999999999991</v>
      </c>
      <c r="J3151" s="1" t="s">
        <v>38</v>
      </c>
      <c r="K3151" s="1"/>
      <c r="L3151" s="1" t="s">
        <v>39</v>
      </c>
      <c r="M3151" s="1" t="str">
        <f>INDEX(MCC_Lookup!$B$2:$B$12,MATCH(G3151,MCC_Lookup!$A$2:$A$12,0))</f>
        <v>Meals</v>
      </c>
      <c r="N3151" s="1" t="str">
        <f>IF(TRIM(H3151)="","BLANK",IF(PROPER(TRIM(H3151))=TRIM(M3151),"MATCH","MISMATCH"))</f>
        <v>MATCH</v>
      </c>
      <c r="O3151" s="5" t="str">
        <f>INDEX([1]Employee!$C$2:$C$276,MATCH(B3151,[1]Employee!$A$2:$A$276,0))</f>
        <v>Finance</v>
      </c>
    </row>
    <row r="3152" spans="1:15">
      <c r="A3152" s="1" t="s">
        <v>6129</v>
      </c>
      <c r="B3152" s="1" t="s">
        <v>475</v>
      </c>
      <c r="C3152" s="1" t="s">
        <v>6130</v>
      </c>
      <c r="D3152" s="2">
        <v>46192</v>
      </c>
      <c r="E3152" s="2">
        <v>46195</v>
      </c>
      <c r="F3152" s="1" t="s">
        <v>116</v>
      </c>
      <c r="G3152" s="1" t="s">
        <v>2</v>
      </c>
      <c r="H3152" s="1" t="s">
        <v>3</v>
      </c>
      <c r="I3152" s="7">
        <v>14.61</v>
      </c>
      <c r="J3152" s="1" t="s">
        <v>38</v>
      </c>
      <c r="K3152" s="1"/>
      <c r="L3152" s="1" t="s">
        <v>39</v>
      </c>
      <c r="M3152" s="1" t="str">
        <f>INDEX(MCC_Lookup!$B$2:$B$12,MATCH(G3152,MCC_Lookup!$A$2:$A$12,0))</f>
        <v>Meals</v>
      </c>
      <c r="N3152" s="1" t="str">
        <f>IF(TRIM(H3152)="","BLANK",IF(PROPER(TRIM(H3152))=TRIM(M3152),"MATCH","MISMATCH"))</f>
        <v>MATCH</v>
      </c>
      <c r="O3152" s="5" t="str">
        <f>INDEX([1]Employee!$C$2:$C$276,MATCH(B3152,[1]Employee!$A$2:$A$276,0))</f>
        <v>Sales &amp; Marketing</v>
      </c>
    </row>
    <row r="3153" spans="1:15">
      <c r="A3153" s="1" t="s">
        <v>6131</v>
      </c>
      <c r="B3153" s="1" t="s">
        <v>1116</v>
      </c>
      <c r="C3153" s="1" t="s">
        <v>6132</v>
      </c>
      <c r="D3153" s="2">
        <v>46088</v>
      </c>
      <c r="E3153" s="2">
        <v>46195</v>
      </c>
      <c r="F3153" s="1" t="s">
        <v>305</v>
      </c>
      <c r="G3153" s="1" t="s">
        <v>2</v>
      </c>
      <c r="H3153" s="1" t="s">
        <v>154</v>
      </c>
      <c r="I3153" s="7">
        <v>6.35</v>
      </c>
      <c r="J3153" s="1" t="s">
        <v>38</v>
      </c>
      <c r="K3153" s="1"/>
      <c r="L3153" s="1" t="s">
        <v>39</v>
      </c>
      <c r="M3153" s="1" t="str">
        <f>INDEX(MCC_Lookup!$B$2:$B$12,MATCH(G3153,MCC_Lookup!$A$2:$A$12,0))</f>
        <v>Meals</v>
      </c>
      <c r="N3153" s="1" t="str">
        <f>IF(TRIM(H3153)="","BLANK",IF(PROPER(TRIM(H3153))=TRIM(M3153),"MATCH","MISMATCH"))</f>
        <v>MATCH</v>
      </c>
      <c r="O3153" s="5" t="str">
        <f>INDEX([1]Employee!$C$2:$C$276,MATCH(B3153,[1]Employee!$A$2:$A$276,0))</f>
        <v>Underwriting</v>
      </c>
    </row>
    <row r="3154" spans="1:15">
      <c r="A3154" s="1" t="s">
        <v>6133</v>
      </c>
      <c r="B3154" s="1" t="s">
        <v>379</v>
      </c>
      <c r="C3154" s="1" t="s">
        <v>6134</v>
      </c>
      <c r="D3154" s="2">
        <v>46186</v>
      </c>
      <c r="E3154" s="2">
        <v>46195</v>
      </c>
      <c r="F3154" s="1" t="s">
        <v>347</v>
      </c>
      <c r="G3154" s="1" t="s">
        <v>8</v>
      </c>
      <c r="H3154" s="1" t="s">
        <v>9</v>
      </c>
      <c r="I3154" s="7">
        <v>33.72</v>
      </c>
      <c r="J3154" s="1" t="s">
        <v>38</v>
      </c>
      <c r="K3154" s="1"/>
      <c r="L3154" s="1" t="s">
        <v>39</v>
      </c>
      <c r="M3154" s="1" t="str">
        <f>INDEX(MCC_Lookup!$B$2:$B$12,MATCH(G3154,MCC_Lookup!$A$2:$A$12,0))</f>
        <v>Transportation</v>
      </c>
      <c r="N3154" s="1" t="str">
        <f>IF(TRIM(H3154)="","BLANK",IF(PROPER(TRIM(H3154))=TRIM(M3154),"MATCH","MISMATCH"))</f>
        <v>MATCH</v>
      </c>
      <c r="O3154" s="5" t="str">
        <f>INDEX([1]Employee!$C$2:$C$276,MATCH(B3154,[1]Employee!$A$2:$A$276,0))</f>
        <v>Sales &amp; Marketing</v>
      </c>
    </row>
    <row r="3155" spans="1:15">
      <c r="A3155" s="1" t="s">
        <v>6135</v>
      </c>
      <c r="B3155" s="1" t="s">
        <v>969</v>
      </c>
      <c r="C3155" s="1"/>
      <c r="D3155" s="2">
        <v>46194</v>
      </c>
      <c r="E3155" s="2">
        <v>46195</v>
      </c>
      <c r="F3155" s="1" t="s">
        <v>37</v>
      </c>
      <c r="G3155" s="1" t="s">
        <v>4</v>
      </c>
      <c r="H3155" s="1" t="s">
        <v>5</v>
      </c>
      <c r="I3155" s="7">
        <v>477.8</v>
      </c>
      <c r="J3155" s="1" t="s">
        <v>38</v>
      </c>
      <c r="K3155" s="1"/>
      <c r="L3155" s="1" t="s">
        <v>39</v>
      </c>
      <c r="M3155" s="1" t="str">
        <f>INDEX(MCC_Lookup!$B$2:$B$12,MATCH(G3155,MCC_Lookup!$A$2:$A$12,0))</f>
        <v>Travel</v>
      </c>
      <c r="N3155" s="1" t="str">
        <f>IF(TRIM(H3155)="","BLANK",IF(PROPER(TRIM(H3155))=TRIM(M3155),"MATCH","MISMATCH"))</f>
        <v>MATCH</v>
      </c>
      <c r="O3155" s="5" t="str">
        <f>INDEX([1]Employee!$C$2:$C$276,MATCH(B3155,[1]Employee!$A$2:$A$276,0))</f>
        <v>HR &amp; Events</v>
      </c>
    </row>
    <row r="3156" spans="1:15">
      <c r="A3156" s="1" t="s">
        <v>6136</v>
      </c>
      <c r="B3156" s="1" t="s">
        <v>656</v>
      </c>
      <c r="C3156" s="1" t="s">
        <v>6137</v>
      </c>
      <c r="D3156" s="2">
        <v>46202</v>
      </c>
      <c r="E3156" s="2">
        <v>46195</v>
      </c>
      <c r="F3156" s="1" t="s">
        <v>69</v>
      </c>
      <c r="G3156" s="1" t="s">
        <v>8</v>
      </c>
      <c r="H3156" s="1" t="s">
        <v>9</v>
      </c>
      <c r="I3156" s="7">
        <v>52.92</v>
      </c>
      <c r="J3156" s="1" t="s">
        <v>38</v>
      </c>
      <c r="K3156" s="1"/>
      <c r="L3156" s="1" t="s">
        <v>39</v>
      </c>
      <c r="M3156" s="1" t="str">
        <f>INDEX(MCC_Lookup!$B$2:$B$12,MATCH(G3156,MCC_Lookup!$A$2:$A$12,0))</f>
        <v>Transportation</v>
      </c>
      <c r="N3156" s="1" t="str">
        <f>IF(TRIM(H3156)="","BLANK",IF(PROPER(TRIM(H3156))=TRIM(M3156),"MATCH","MISMATCH"))</f>
        <v>MATCH</v>
      </c>
      <c r="O3156" s="5" t="str">
        <f>INDEX([1]Employee!$C$2:$C$276,MATCH(B3156,[1]Employee!$A$2:$A$276,0))</f>
        <v>Claims</v>
      </c>
    </row>
    <row r="3157" spans="1:15">
      <c r="A3157" s="1" t="s">
        <v>6138</v>
      </c>
      <c r="B3157" s="1" t="s">
        <v>656</v>
      </c>
      <c r="C3157" s="1" t="s">
        <v>6139</v>
      </c>
      <c r="D3157" s="2">
        <v>46119</v>
      </c>
      <c r="E3157" s="2">
        <v>46195</v>
      </c>
      <c r="F3157" s="1" t="s">
        <v>65</v>
      </c>
      <c r="G3157" s="1" t="s">
        <v>18</v>
      </c>
      <c r="H3157" s="1" t="s">
        <v>19</v>
      </c>
      <c r="I3157" s="7">
        <v>175.35</v>
      </c>
      <c r="J3157" s="1" t="s">
        <v>38</v>
      </c>
      <c r="K3157" s="1"/>
      <c r="L3157" s="1" t="s">
        <v>39</v>
      </c>
      <c r="M3157" s="1" t="str">
        <f>INDEX(MCC_Lookup!$B$2:$B$12,MATCH(G3157,MCC_Lookup!$A$2:$A$12,0))</f>
        <v>Events</v>
      </c>
      <c r="N3157" s="1" t="str">
        <f>IF(TRIM(H3157)="","BLANK",IF(PROPER(TRIM(H3157))=TRIM(M3157),"MATCH","MISMATCH"))</f>
        <v>MATCH</v>
      </c>
      <c r="O3157" s="5" t="str">
        <f>INDEX([1]Employee!$C$2:$C$276,MATCH(B3157,[1]Employee!$A$2:$A$276,0))</f>
        <v>Claims</v>
      </c>
    </row>
    <row r="3158" spans="1:15">
      <c r="A3158" s="1" t="s">
        <v>6140</v>
      </c>
      <c r="B3158" s="1" t="s">
        <v>297</v>
      </c>
      <c r="C3158" s="1" t="s">
        <v>6141</v>
      </c>
      <c r="D3158" s="2">
        <v>46046</v>
      </c>
      <c r="E3158" s="2">
        <v>46195</v>
      </c>
      <c r="F3158" s="1" t="s">
        <v>173</v>
      </c>
      <c r="G3158" s="1" t="s">
        <v>2</v>
      </c>
      <c r="H3158" s="1" t="s">
        <v>3</v>
      </c>
      <c r="I3158" s="7">
        <v>70.760000000000005</v>
      </c>
      <c r="J3158" s="1" t="s">
        <v>38</v>
      </c>
      <c r="K3158" s="1"/>
      <c r="L3158" s="1" t="s">
        <v>39</v>
      </c>
      <c r="M3158" s="1" t="str">
        <f>INDEX(MCC_Lookup!$B$2:$B$12,MATCH(G3158,MCC_Lookup!$A$2:$A$12,0))</f>
        <v>Meals</v>
      </c>
      <c r="N3158" s="1" t="str">
        <f>IF(TRIM(H3158)="","BLANK",IF(PROPER(TRIM(H3158))=TRIM(M3158),"MATCH","MISMATCH"))</f>
        <v>MATCH</v>
      </c>
      <c r="O3158" s="5" t="str">
        <f>INDEX([1]Employee!$C$2:$C$276,MATCH(B3158,[1]Employee!$A$2:$A$276,0))</f>
        <v>Underwriting</v>
      </c>
    </row>
    <row r="3159" spans="1:15">
      <c r="A3159" s="1" t="s">
        <v>6142</v>
      </c>
      <c r="B3159" s="1" t="s">
        <v>185</v>
      </c>
      <c r="C3159" s="1" t="s">
        <v>6143</v>
      </c>
      <c r="D3159" s="2">
        <v>46185</v>
      </c>
      <c r="E3159" s="2">
        <v>46195</v>
      </c>
      <c r="F3159" s="1" t="s">
        <v>79</v>
      </c>
      <c r="G3159" s="1" t="s">
        <v>13</v>
      </c>
      <c r="H3159" s="1" t="s">
        <v>14</v>
      </c>
      <c r="I3159" s="7">
        <v>242.63</v>
      </c>
      <c r="J3159" s="1" t="s">
        <v>38</v>
      </c>
      <c r="K3159" s="1"/>
      <c r="L3159" s="1" t="s">
        <v>48</v>
      </c>
      <c r="M3159" s="1" t="str">
        <f>INDEX(MCC_Lookup!$B$2:$B$12,MATCH(G3159,MCC_Lookup!$A$2:$A$12,0))</f>
        <v>Software</v>
      </c>
      <c r="N3159" s="1" t="str">
        <f>IF(TRIM(H3159)="","BLANK",IF(PROPER(TRIM(H3159))=TRIM(M3159),"MATCH","MISMATCH"))</f>
        <v>MATCH</v>
      </c>
      <c r="O3159" s="5" t="str">
        <f>INDEX([1]Employee!$C$2:$C$276,MATCH(B3159,[1]Employee!$A$2:$A$276,0))</f>
        <v>Underwriting</v>
      </c>
    </row>
    <row r="3160" spans="1:15">
      <c r="A3160" s="1" t="s">
        <v>6144</v>
      </c>
      <c r="B3160" s="1" t="s">
        <v>1753</v>
      </c>
      <c r="C3160" s="1" t="s">
        <v>6145</v>
      </c>
      <c r="D3160" s="2">
        <v>46063</v>
      </c>
      <c r="E3160" s="2">
        <v>46195</v>
      </c>
      <c r="F3160" s="1" t="s">
        <v>56</v>
      </c>
      <c r="G3160" s="1" t="s">
        <v>4</v>
      </c>
      <c r="H3160" s="1" t="s">
        <v>5</v>
      </c>
      <c r="I3160" s="7">
        <v>400.93</v>
      </c>
      <c r="J3160" s="1" t="s">
        <v>38</v>
      </c>
      <c r="K3160" s="1"/>
      <c r="L3160" s="1" t="s">
        <v>39</v>
      </c>
      <c r="M3160" s="1" t="str">
        <f>INDEX(MCC_Lookup!$B$2:$B$12,MATCH(G3160,MCC_Lookup!$A$2:$A$12,0))</f>
        <v>Travel</v>
      </c>
      <c r="N3160" s="1" t="str">
        <f>IF(TRIM(H3160)="","BLANK",IF(PROPER(TRIM(H3160))=TRIM(M3160),"MATCH","MISMATCH"))</f>
        <v>MATCH</v>
      </c>
      <c r="O3160" s="5" t="str">
        <f>INDEX([1]Employee!$C$2:$C$276,MATCH(B3160,[1]Employee!$A$2:$A$276,0))</f>
        <v>IT &amp; Platform Engineering</v>
      </c>
    </row>
    <row r="3161" spans="1:15">
      <c r="A3161" s="1" t="s">
        <v>6146</v>
      </c>
      <c r="B3161" s="1" t="s">
        <v>637</v>
      </c>
      <c r="C3161" s="1" t="s">
        <v>6147</v>
      </c>
      <c r="D3161" s="2">
        <v>46192</v>
      </c>
      <c r="E3161" s="2">
        <v>46195</v>
      </c>
      <c r="F3161" s="1" t="s">
        <v>69</v>
      </c>
      <c r="G3161" s="1" t="s">
        <v>8</v>
      </c>
      <c r="H3161" s="1" t="s">
        <v>435</v>
      </c>
      <c r="I3161" s="7">
        <v>16.98</v>
      </c>
      <c r="J3161" s="1" t="s">
        <v>38</v>
      </c>
      <c r="K3161" s="1"/>
      <c r="L3161" s="1" t="s">
        <v>39</v>
      </c>
      <c r="M3161" s="1" t="str">
        <f>INDEX(MCC_Lookup!$B$2:$B$12,MATCH(G3161,MCC_Lookup!$A$2:$A$12,0))</f>
        <v>Transportation</v>
      </c>
      <c r="N3161" s="1" t="str">
        <f>IF(TRIM(H3161)="","BLANK",IF(PROPER(TRIM(H3161))=TRIM(M3161),"MATCH","MISMATCH"))</f>
        <v>MATCH</v>
      </c>
      <c r="O3161" s="5" t="str">
        <f>INDEX([1]Employee!$C$2:$C$276,MATCH(B3161,[1]Employee!$A$2:$A$276,0))</f>
        <v>Actuarial &amp; Risk</v>
      </c>
    </row>
    <row r="3162" spans="1:15">
      <c r="A3162" s="1" t="s">
        <v>6148</v>
      </c>
      <c r="B3162" s="1" t="s">
        <v>664</v>
      </c>
      <c r="C3162" s="1" t="s">
        <v>6149</v>
      </c>
      <c r="D3162" s="2">
        <v>46193</v>
      </c>
      <c r="E3162" s="2">
        <v>46195</v>
      </c>
      <c r="F3162" s="1" t="s">
        <v>106</v>
      </c>
      <c r="G3162" s="1" t="s">
        <v>13</v>
      </c>
      <c r="H3162" s="1" t="s">
        <v>14</v>
      </c>
      <c r="I3162" s="7">
        <v>108.69</v>
      </c>
      <c r="J3162" s="1" t="s">
        <v>38</v>
      </c>
      <c r="K3162" s="1"/>
      <c r="L3162" s="1" t="s">
        <v>39</v>
      </c>
      <c r="M3162" s="1" t="str">
        <f>INDEX(MCC_Lookup!$B$2:$B$12,MATCH(G3162,MCC_Lookup!$A$2:$A$12,0))</f>
        <v>Software</v>
      </c>
      <c r="N3162" s="1" t="str">
        <f>IF(TRIM(H3162)="","BLANK",IF(PROPER(TRIM(H3162))=TRIM(M3162),"MATCH","MISMATCH"))</f>
        <v>MATCH</v>
      </c>
      <c r="O3162" s="5" t="str">
        <f>INDEX([1]Employee!$C$2:$C$276,MATCH(B3162,[1]Employee!$A$2:$A$276,0))</f>
        <v>Actuarial &amp; Risk</v>
      </c>
    </row>
    <row r="3163" spans="1:15">
      <c r="A3163" s="1" t="s">
        <v>6150</v>
      </c>
      <c r="B3163" s="1" t="s">
        <v>836</v>
      </c>
      <c r="C3163" s="1" t="s">
        <v>6151</v>
      </c>
      <c r="D3163" s="2">
        <v>46162</v>
      </c>
      <c r="E3163" s="2">
        <v>46195</v>
      </c>
      <c r="F3163" s="1" t="s">
        <v>76</v>
      </c>
      <c r="G3163" s="1" t="s">
        <v>13</v>
      </c>
      <c r="H3163" s="1" t="s">
        <v>14</v>
      </c>
      <c r="I3163" s="7">
        <v>432.35</v>
      </c>
      <c r="J3163" s="1" t="s">
        <v>38</v>
      </c>
      <c r="K3163" s="1"/>
      <c r="L3163" s="1" t="s">
        <v>39</v>
      </c>
      <c r="M3163" s="1" t="str">
        <f>INDEX(MCC_Lookup!$B$2:$B$12,MATCH(G3163,MCC_Lookup!$A$2:$A$12,0))</f>
        <v>Software</v>
      </c>
      <c r="N3163" s="1" t="str">
        <f>IF(TRIM(H3163)="","BLANK",IF(PROPER(TRIM(H3163))=TRIM(M3163),"MATCH","MISMATCH"))</f>
        <v>MATCH</v>
      </c>
      <c r="O3163" s="5" t="str">
        <f>INDEX([1]Employee!$C$2:$C$276,MATCH(B3163,[1]Employee!$A$2:$A$276,0))</f>
        <v>Sales &amp; Marketing</v>
      </c>
    </row>
    <row r="3164" spans="1:15">
      <c r="A3164" s="1" t="s">
        <v>6152</v>
      </c>
      <c r="B3164" s="1" t="s">
        <v>868</v>
      </c>
      <c r="C3164" s="1" t="s">
        <v>6153</v>
      </c>
      <c r="D3164" s="2">
        <v>46129</v>
      </c>
      <c r="E3164" s="2">
        <v>46195</v>
      </c>
      <c r="F3164" s="1" t="s">
        <v>76</v>
      </c>
      <c r="G3164" s="1" t="s">
        <v>13</v>
      </c>
      <c r="H3164" s="1" t="s">
        <v>14</v>
      </c>
      <c r="I3164" s="7">
        <v>457.28</v>
      </c>
      <c r="J3164" s="1" t="s">
        <v>38</v>
      </c>
      <c r="K3164" s="1"/>
      <c r="L3164" s="1" t="s">
        <v>39</v>
      </c>
      <c r="M3164" s="1" t="str">
        <f>INDEX(MCC_Lookup!$B$2:$B$12,MATCH(G3164,MCC_Lookup!$A$2:$A$12,0))</f>
        <v>Software</v>
      </c>
      <c r="N3164" s="1" t="str">
        <f>IF(TRIM(H3164)="","BLANK",IF(PROPER(TRIM(H3164))=TRIM(M3164),"MATCH","MISMATCH"))</f>
        <v>MATCH</v>
      </c>
      <c r="O3164" s="5" t="str">
        <f>INDEX([1]Employee!$C$2:$C$276,MATCH(B3164,[1]Employee!$A$2:$A$276,0))</f>
        <v>Sales &amp; Marketing</v>
      </c>
    </row>
    <row r="3165" spans="1:15">
      <c r="A3165" s="1" t="s">
        <v>6154</v>
      </c>
      <c r="B3165" s="1" t="s">
        <v>440</v>
      </c>
      <c r="C3165" s="1" t="s">
        <v>6155</v>
      </c>
      <c r="D3165" s="2">
        <v>46185</v>
      </c>
      <c r="E3165" s="2">
        <v>46195</v>
      </c>
      <c r="F3165" s="1" t="s">
        <v>177</v>
      </c>
      <c r="G3165" s="1" t="s">
        <v>13</v>
      </c>
      <c r="H3165" s="1" t="s">
        <v>14</v>
      </c>
      <c r="I3165" s="7">
        <v>50.99</v>
      </c>
      <c r="J3165" s="1" t="s">
        <v>38</v>
      </c>
      <c r="K3165" s="1"/>
      <c r="L3165" s="1" t="s">
        <v>48</v>
      </c>
      <c r="M3165" s="1" t="str">
        <f>INDEX(MCC_Lookup!$B$2:$B$12,MATCH(G3165,MCC_Lookup!$A$2:$A$12,0))</f>
        <v>Software</v>
      </c>
      <c r="N3165" s="1" t="str">
        <f>IF(TRIM(H3165)="","BLANK",IF(PROPER(TRIM(H3165))=TRIM(M3165),"MATCH","MISMATCH"))</f>
        <v>MATCH</v>
      </c>
      <c r="O3165" s="5" t="str">
        <f>INDEX([1]Employee!$C$2:$C$276,MATCH(B3165,[1]Employee!$A$2:$A$276,0))</f>
        <v>Underwriting</v>
      </c>
    </row>
    <row r="3166" spans="1:15">
      <c r="A3166" s="1" t="s">
        <v>6156</v>
      </c>
      <c r="B3166" s="1" t="s">
        <v>487</v>
      </c>
      <c r="C3166" s="1" t="s">
        <v>6157</v>
      </c>
      <c r="D3166" s="2">
        <v>46191</v>
      </c>
      <c r="E3166" s="2">
        <v>46195</v>
      </c>
      <c r="F3166" s="1" t="s">
        <v>124</v>
      </c>
      <c r="G3166" s="1" t="s">
        <v>17</v>
      </c>
      <c r="H3166" s="1" t="s">
        <v>16</v>
      </c>
      <c r="I3166" s="7">
        <v>204.61</v>
      </c>
      <c r="J3166" s="1" t="s">
        <v>38</v>
      </c>
      <c r="K3166" s="1"/>
      <c r="L3166" s="1" t="s">
        <v>48</v>
      </c>
      <c r="M3166" s="1" t="str">
        <f>INDEX(MCC_Lookup!$B$2:$B$12,MATCH(G3166,MCC_Lookup!$A$2:$A$12,0))</f>
        <v>Entertainment</v>
      </c>
      <c r="N3166" s="1" t="str">
        <f>IF(TRIM(H3166)="","BLANK",IF(PROPER(TRIM(H3166))=TRIM(M3166),"MATCH","MISMATCH"))</f>
        <v>MATCH</v>
      </c>
      <c r="O3166" s="5" t="str">
        <f>INDEX([1]Employee!$C$2:$C$276,MATCH(B3166,[1]Employee!$A$2:$A$276,0))</f>
        <v>IT &amp; Platform Engineering</v>
      </c>
    </row>
    <row r="3167" spans="1:15">
      <c r="A3167" s="1" t="s">
        <v>6158</v>
      </c>
      <c r="B3167" s="1" t="s">
        <v>595</v>
      </c>
      <c r="C3167" s="1" t="s">
        <v>6159</v>
      </c>
      <c r="D3167" s="2">
        <v>46165</v>
      </c>
      <c r="E3167" s="2">
        <v>46195</v>
      </c>
      <c r="F3167" s="1" t="s">
        <v>116</v>
      </c>
      <c r="G3167" s="1" t="s">
        <v>2</v>
      </c>
      <c r="H3167" s="1" t="s">
        <v>3</v>
      </c>
      <c r="I3167" s="7">
        <v>18.05</v>
      </c>
      <c r="J3167" s="1" t="s">
        <v>38</v>
      </c>
      <c r="K3167" s="1"/>
      <c r="L3167" s="1" t="s">
        <v>39</v>
      </c>
      <c r="M3167" s="1" t="str">
        <f>INDEX(MCC_Lookup!$B$2:$B$12,MATCH(G3167,MCC_Lookup!$A$2:$A$12,0))</f>
        <v>Meals</v>
      </c>
      <c r="N3167" s="1" t="str">
        <f>IF(TRIM(H3167)="","BLANK",IF(PROPER(TRIM(H3167))=TRIM(M3167),"MATCH","MISMATCH"))</f>
        <v>MATCH</v>
      </c>
      <c r="O3167" s="5" t="str">
        <f>INDEX([1]Employee!$C$2:$C$276,MATCH(B3167,[1]Employee!$A$2:$A$276,0))</f>
        <v>Executive &amp; Corporate</v>
      </c>
    </row>
    <row r="3168" spans="1:15">
      <c r="A3168" s="1" t="s">
        <v>6160</v>
      </c>
      <c r="B3168" s="1" t="s">
        <v>595</v>
      </c>
      <c r="C3168" s="1" t="s">
        <v>6161</v>
      </c>
      <c r="D3168" s="2">
        <v>46187</v>
      </c>
      <c r="E3168" s="2">
        <v>46195</v>
      </c>
      <c r="F3168" s="1" t="s">
        <v>3009</v>
      </c>
      <c r="G3168" s="1" t="s">
        <v>4</v>
      </c>
      <c r="H3168" s="1" t="s">
        <v>5</v>
      </c>
      <c r="I3168" s="7">
        <v>615.78</v>
      </c>
      <c r="J3168" s="1" t="s">
        <v>38</v>
      </c>
      <c r="K3168" s="1"/>
      <c r="L3168" s="1" t="s">
        <v>39</v>
      </c>
      <c r="M3168" s="1" t="str">
        <f>INDEX(MCC_Lookup!$B$2:$B$12,MATCH(G3168,MCC_Lookup!$A$2:$A$12,0))</f>
        <v>Travel</v>
      </c>
      <c r="N3168" s="1" t="str">
        <f>IF(TRIM(H3168)="","BLANK",IF(PROPER(TRIM(H3168))=TRIM(M3168),"MATCH","MISMATCH"))</f>
        <v>MATCH</v>
      </c>
      <c r="O3168" s="5" t="str">
        <f>INDEX([1]Employee!$C$2:$C$276,MATCH(B3168,[1]Employee!$A$2:$A$276,0))</f>
        <v>Executive &amp; Corporate</v>
      </c>
    </row>
    <row r="3169" spans="1:15">
      <c r="A3169" s="1" t="s">
        <v>6162</v>
      </c>
      <c r="B3169" s="1" t="s">
        <v>94</v>
      </c>
      <c r="C3169" s="1"/>
      <c r="D3169" s="2">
        <v>46098</v>
      </c>
      <c r="E3169" s="2">
        <v>46195</v>
      </c>
      <c r="F3169" s="1" t="s">
        <v>72</v>
      </c>
      <c r="G3169" s="1" t="s">
        <v>8</v>
      </c>
      <c r="H3169" s="1" t="s">
        <v>9</v>
      </c>
      <c r="I3169" s="7">
        <v>48.19</v>
      </c>
      <c r="J3169" s="1" t="s">
        <v>111</v>
      </c>
      <c r="K3169" s="1" t="s">
        <v>161</v>
      </c>
      <c r="L3169" s="1" t="s">
        <v>39</v>
      </c>
      <c r="M3169" s="1" t="str">
        <f>INDEX(MCC_Lookup!$B$2:$B$12,MATCH(G3169,MCC_Lookup!$A$2:$A$12,0))</f>
        <v>Transportation</v>
      </c>
      <c r="N3169" s="1" t="str">
        <f>IF(TRIM(H3169)="","BLANK",IF(PROPER(TRIM(H3169))=TRIM(M3169),"MATCH","MISMATCH"))</f>
        <v>MATCH</v>
      </c>
      <c r="O3169" s="5" t="str">
        <f>INDEX([1]Employee!$C$2:$C$276,MATCH(B3169,[1]Employee!$A$2:$A$276,0))</f>
        <v>IT &amp; Platform Engineering</v>
      </c>
    </row>
    <row r="3170" spans="1:15">
      <c r="A3170" s="1" t="s">
        <v>6163</v>
      </c>
      <c r="B3170" s="1" t="s">
        <v>314</v>
      </c>
      <c r="C3170" s="1" t="s">
        <v>6164</v>
      </c>
      <c r="D3170" s="2">
        <v>46075</v>
      </c>
      <c r="E3170" s="2">
        <v>46195</v>
      </c>
      <c r="F3170" s="1" t="s">
        <v>76</v>
      </c>
      <c r="G3170" s="1" t="s">
        <v>13</v>
      </c>
      <c r="H3170" s="1" t="s">
        <v>192</v>
      </c>
      <c r="I3170" s="7">
        <v>180.76</v>
      </c>
      <c r="J3170" s="1" t="s">
        <v>38</v>
      </c>
      <c r="K3170" s="1"/>
      <c r="L3170" s="1" t="s">
        <v>39</v>
      </c>
      <c r="M3170" s="1" t="str">
        <f>INDEX(MCC_Lookup!$B$2:$B$12,MATCH(G3170,MCC_Lookup!$A$2:$A$12,0))</f>
        <v>Software</v>
      </c>
      <c r="N3170" s="1" t="str">
        <f>IF(TRIM(H3170)="","BLANK",IF(PROPER(TRIM(H3170))=TRIM(M3170),"MATCH","MISMATCH"))</f>
        <v>MATCH</v>
      </c>
      <c r="O3170" s="5" t="str">
        <f>INDEX([1]Employee!$C$2:$C$276,MATCH(B3170,[1]Employee!$A$2:$A$276,0))</f>
        <v>Sales &amp; Marketing</v>
      </c>
    </row>
    <row r="3171" spans="1:15">
      <c r="A3171" s="1" t="s">
        <v>6165</v>
      </c>
      <c r="B3171" s="1" t="s">
        <v>231</v>
      </c>
      <c r="C3171" s="1"/>
      <c r="D3171" s="2">
        <v>46185</v>
      </c>
      <c r="E3171" s="2">
        <v>46195</v>
      </c>
      <c r="F3171" s="1" t="s">
        <v>37</v>
      </c>
      <c r="G3171" s="1" t="s">
        <v>4</v>
      </c>
      <c r="H3171" s="1" t="s">
        <v>5</v>
      </c>
      <c r="I3171" s="7">
        <v>236.74</v>
      </c>
      <c r="J3171" s="1" t="s">
        <v>111</v>
      </c>
      <c r="K3171" s="1" t="s">
        <v>161</v>
      </c>
      <c r="L3171" s="1" t="s">
        <v>39</v>
      </c>
      <c r="M3171" s="1" t="str">
        <f>INDEX(MCC_Lookup!$B$2:$B$12,MATCH(G3171,MCC_Lookup!$A$2:$A$12,0))</f>
        <v>Travel</v>
      </c>
      <c r="N3171" s="1" t="str">
        <f>IF(TRIM(H3171)="","BLANK",IF(PROPER(TRIM(H3171))=TRIM(M3171),"MATCH","MISMATCH"))</f>
        <v>MATCH</v>
      </c>
      <c r="O3171" s="5" t="str">
        <f>INDEX([1]Employee!$C$2:$C$276,MATCH(B3171,[1]Employee!$A$2:$A$276,0))</f>
        <v>Finance</v>
      </c>
    </row>
    <row r="3172" spans="1:15">
      <c r="A3172" s="1" t="s">
        <v>6166</v>
      </c>
      <c r="B3172" s="1" t="s">
        <v>2333</v>
      </c>
      <c r="C3172" s="1"/>
      <c r="D3172" s="2">
        <v>46142</v>
      </c>
      <c r="E3172" s="2">
        <v>46195</v>
      </c>
      <c r="F3172" s="1" t="s">
        <v>305</v>
      </c>
      <c r="G3172" s="1" t="s">
        <v>2</v>
      </c>
      <c r="H3172" s="1" t="s">
        <v>3</v>
      </c>
      <c r="I3172" s="7">
        <v>17.45</v>
      </c>
      <c r="J3172" s="1" t="s">
        <v>38</v>
      </c>
      <c r="K3172" s="1"/>
      <c r="L3172" s="1" t="s">
        <v>39</v>
      </c>
      <c r="M3172" s="1" t="str">
        <f>INDEX(MCC_Lookup!$B$2:$B$12,MATCH(G3172,MCC_Lookup!$A$2:$A$12,0))</f>
        <v>Meals</v>
      </c>
      <c r="N3172" s="1" t="str">
        <f>IF(TRIM(H3172)="","BLANK",IF(PROPER(TRIM(H3172))=TRIM(M3172),"MATCH","MISMATCH"))</f>
        <v>MATCH</v>
      </c>
      <c r="O3172" s="5" t="str">
        <f>INDEX([1]Employee!$C$2:$C$276,MATCH(B3172,[1]Employee!$A$2:$A$276,0))</f>
        <v>HR &amp; Events</v>
      </c>
    </row>
    <row r="3173" spans="1:15">
      <c r="A3173" s="1" t="s">
        <v>6167</v>
      </c>
      <c r="B3173" s="1" t="s">
        <v>1552</v>
      </c>
      <c r="C3173" s="1"/>
      <c r="D3173" s="2">
        <v>46189</v>
      </c>
      <c r="E3173" s="2">
        <v>46195</v>
      </c>
      <c r="F3173" s="1" t="s">
        <v>65</v>
      </c>
      <c r="G3173" s="1" t="s">
        <v>18</v>
      </c>
      <c r="H3173" s="1" t="s">
        <v>19</v>
      </c>
      <c r="I3173" s="7">
        <v>525.42999999999995</v>
      </c>
      <c r="J3173" s="1" t="s">
        <v>111</v>
      </c>
      <c r="K3173" s="1" t="s">
        <v>161</v>
      </c>
      <c r="L3173" s="1" t="s">
        <v>39</v>
      </c>
      <c r="M3173" s="1" t="str">
        <f>INDEX(MCC_Lookup!$B$2:$B$12,MATCH(G3173,MCC_Lookup!$A$2:$A$12,0))</f>
        <v>Events</v>
      </c>
      <c r="N3173" s="1" t="str">
        <f>IF(TRIM(H3173)="","BLANK",IF(PROPER(TRIM(H3173))=TRIM(M3173),"MATCH","MISMATCH"))</f>
        <v>MATCH</v>
      </c>
      <c r="O3173" s="5" t="str">
        <f>INDEX([1]Employee!$C$2:$C$276,MATCH(B3173,[1]Employee!$A$2:$A$276,0))</f>
        <v>Underwriting</v>
      </c>
    </row>
    <row r="3174" spans="1:15">
      <c r="A3174" s="1" t="s">
        <v>6168</v>
      </c>
      <c r="B3174" s="1" t="s">
        <v>531</v>
      </c>
      <c r="C3174" s="1"/>
      <c r="D3174" s="2">
        <v>46075</v>
      </c>
      <c r="E3174" s="2">
        <v>46195</v>
      </c>
      <c r="F3174" s="1" t="s">
        <v>173</v>
      </c>
      <c r="G3174" s="1" t="s">
        <v>2</v>
      </c>
      <c r="H3174" s="1" t="s">
        <v>154</v>
      </c>
      <c r="I3174" s="7">
        <v>85.56</v>
      </c>
      <c r="J3174" s="1" t="s">
        <v>38</v>
      </c>
      <c r="K3174" s="1"/>
      <c r="L3174" s="1" t="s">
        <v>39</v>
      </c>
      <c r="M3174" s="1" t="str">
        <f>INDEX(MCC_Lookup!$B$2:$B$12,MATCH(G3174,MCC_Lookup!$A$2:$A$12,0))</f>
        <v>Meals</v>
      </c>
      <c r="N3174" s="1" t="str">
        <f>IF(TRIM(H3174)="","BLANK",IF(PROPER(TRIM(H3174))=TRIM(M3174),"MATCH","MISMATCH"))</f>
        <v>MATCH</v>
      </c>
      <c r="O3174" s="5" t="str">
        <f>INDEX([1]Employee!$C$2:$C$276,MATCH(B3174,[1]Employee!$A$2:$A$276,0))</f>
        <v>Sales &amp; Marketing</v>
      </c>
    </row>
    <row r="3175" spans="1:15">
      <c r="A3175" s="1" t="s">
        <v>6169</v>
      </c>
      <c r="B3175" s="1" t="s">
        <v>890</v>
      </c>
      <c r="C3175" s="1"/>
      <c r="D3175" s="2">
        <v>46172</v>
      </c>
      <c r="E3175" s="2">
        <v>46196</v>
      </c>
      <c r="F3175" s="1" t="s">
        <v>173</v>
      </c>
      <c r="G3175" s="1" t="s">
        <v>2</v>
      </c>
      <c r="H3175" s="1" t="s">
        <v>3</v>
      </c>
      <c r="I3175" s="7">
        <v>25.63</v>
      </c>
      <c r="J3175" s="1" t="s">
        <v>38</v>
      </c>
      <c r="K3175" s="1"/>
      <c r="L3175" s="1" t="s">
        <v>39</v>
      </c>
      <c r="M3175" s="1" t="str">
        <f>INDEX(MCC_Lookup!$B$2:$B$12,MATCH(G3175,MCC_Lookup!$A$2:$A$12,0))</f>
        <v>Meals</v>
      </c>
      <c r="N3175" s="1" t="str">
        <f>IF(TRIM(H3175)="","BLANK",IF(PROPER(TRIM(H3175))=TRIM(M3175),"MATCH","MISMATCH"))</f>
        <v>MATCH</v>
      </c>
      <c r="O3175" s="5" t="str">
        <f>INDEX([1]Employee!$C$2:$C$276,MATCH(B3175,[1]Employee!$A$2:$A$276,0))</f>
        <v>Sales &amp; Marketing</v>
      </c>
    </row>
    <row r="3176" spans="1:15">
      <c r="A3176" s="1" t="s">
        <v>6170</v>
      </c>
      <c r="B3176" s="1" t="s">
        <v>41</v>
      </c>
      <c r="C3176" s="1" t="s">
        <v>6171</v>
      </c>
      <c r="D3176" s="2">
        <v>46147</v>
      </c>
      <c r="E3176" s="2">
        <v>46196</v>
      </c>
      <c r="F3176" s="1" t="s">
        <v>259</v>
      </c>
      <c r="G3176" s="1" t="s">
        <v>20</v>
      </c>
      <c r="H3176" s="1" t="s">
        <v>19</v>
      </c>
      <c r="I3176" s="7">
        <v>143.12</v>
      </c>
      <c r="J3176" s="1" t="s">
        <v>38</v>
      </c>
      <c r="K3176" s="1"/>
      <c r="L3176" s="1" t="s">
        <v>39</v>
      </c>
      <c r="M3176" s="1" t="str">
        <f>INDEX(MCC_Lookup!$B$2:$B$12,MATCH(G3176,MCC_Lookup!$A$2:$A$12,0))</f>
        <v>Events</v>
      </c>
      <c r="N3176" s="1" t="str">
        <f>IF(TRIM(H3176)="","BLANK",IF(PROPER(TRIM(H3176))=TRIM(M3176),"MATCH","MISMATCH"))</f>
        <v>MATCH</v>
      </c>
      <c r="O3176" s="5" t="str">
        <f>INDEX([1]Employee!$C$2:$C$276,MATCH(B3176,[1]Employee!$A$2:$A$276,0))</f>
        <v>Sales &amp; Marketing</v>
      </c>
    </row>
    <row r="3177" spans="1:15">
      <c r="A3177" s="1" t="s">
        <v>6172</v>
      </c>
      <c r="B3177" s="1" t="s">
        <v>196</v>
      </c>
      <c r="C3177" s="1" t="s">
        <v>6173</v>
      </c>
      <c r="D3177" s="2">
        <v>46197</v>
      </c>
      <c r="E3177" s="2">
        <v>46196</v>
      </c>
      <c r="F3177" s="1" t="s">
        <v>259</v>
      </c>
      <c r="G3177" s="1" t="s">
        <v>20</v>
      </c>
      <c r="H3177" s="1" t="s">
        <v>19</v>
      </c>
      <c r="I3177" s="7">
        <v>407.75</v>
      </c>
      <c r="J3177" s="1" t="s">
        <v>38</v>
      </c>
      <c r="K3177" s="1"/>
      <c r="L3177" s="1" t="s">
        <v>39</v>
      </c>
      <c r="M3177" s="1" t="str">
        <f>INDEX(MCC_Lookup!$B$2:$B$12,MATCH(G3177,MCC_Lookup!$A$2:$A$12,0))</f>
        <v>Events</v>
      </c>
      <c r="N3177" s="1" t="str">
        <f>IF(TRIM(H3177)="","BLANK",IF(PROPER(TRIM(H3177))=TRIM(M3177),"MATCH","MISMATCH"))</f>
        <v>MATCH</v>
      </c>
      <c r="O3177" s="5" t="str">
        <f>INDEX([1]Employee!$C$2:$C$276,MATCH(B3177,[1]Employee!$A$2:$A$276,0))</f>
        <v>Sales &amp; Marketing</v>
      </c>
    </row>
    <row r="3178" spans="1:15">
      <c r="A3178" s="1" t="s">
        <v>6174</v>
      </c>
      <c r="B3178" s="1" t="s">
        <v>71</v>
      </c>
      <c r="C3178" s="1" t="s">
        <v>6175</v>
      </c>
      <c r="D3178" s="2">
        <v>46195</v>
      </c>
      <c r="E3178" s="2">
        <v>46196</v>
      </c>
      <c r="F3178" s="1" t="s">
        <v>106</v>
      </c>
      <c r="G3178" s="1" t="s">
        <v>13</v>
      </c>
      <c r="H3178" s="1" t="s">
        <v>14</v>
      </c>
      <c r="I3178" s="7">
        <v>212.55</v>
      </c>
      <c r="J3178" s="1" t="s">
        <v>38</v>
      </c>
      <c r="K3178" s="1"/>
      <c r="L3178" s="1" t="s">
        <v>39</v>
      </c>
      <c r="M3178" s="1" t="str">
        <f>INDEX(MCC_Lookup!$B$2:$B$12,MATCH(G3178,MCC_Lookup!$A$2:$A$12,0))</f>
        <v>Software</v>
      </c>
      <c r="N3178" s="1" t="str">
        <f>IF(TRIM(H3178)="","BLANK",IF(PROPER(TRIM(H3178))=TRIM(M3178),"MATCH","MISMATCH"))</f>
        <v>MATCH</v>
      </c>
      <c r="O3178" s="5" t="str">
        <f>INDEX([1]Employee!$C$2:$C$276,MATCH(B3178,[1]Employee!$A$2:$A$276,0))</f>
        <v>Sales &amp; Marketing</v>
      </c>
    </row>
    <row r="3179" spans="1:15">
      <c r="A3179" s="1" t="s">
        <v>6176</v>
      </c>
      <c r="B3179" s="1" t="s">
        <v>368</v>
      </c>
      <c r="C3179" s="1"/>
      <c r="D3179" s="2">
        <v>46034</v>
      </c>
      <c r="E3179" s="2">
        <v>46196</v>
      </c>
      <c r="F3179" s="1" t="s">
        <v>177</v>
      </c>
      <c r="G3179" s="1" t="s">
        <v>13</v>
      </c>
      <c r="H3179" s="1" t="s">
        <v>14</v>
      </c>
      <c r="I3179" s="7">
        <v>34.159999999999997</v>
      </c>
      <c r="J3179" s="1" t="s">
        <v>111</v>
      </c>
      <c r="K3179" s="1" t="s">
        <v>112</v>
      </c>
      <c r="L3179" s="1" t="s">
        <v>39</v>
      </c>
      <c r="M3179" s="1" t="str">
        <f>INDEX(MCC_Lookup!$B$2:$B$12,MATCH(G3179,MCC_Lookup!$A$2:$A$12,0))</f>
        <v>Software</v>
      </c>
      <c r="N3179" s="1" t="str">
        <f>IF(TRIM(H3179)="","BLANK",IF(PROPER(TRIM(H3179))=TRIM(M3179),"MATCH","MISMATCH"))</f>
        <v>MATCH</v>
      </c>
      <c r="O3179" s="5" t="str">
        <f>INDEX([1]Employee!$C$2:$C$276,MATCH(B3179,[1]Employee!$A$2:$A$276,0))</f>
        <v>Actuarial &amp; Risk</v>
      </c>
    </row>
    <row r="3180" spans="1:15">
      <c r="A3180" s="1" t="s">
        <v>6177</v>
      </c>
      <c r="B3180" s="1" t="s">
        <v>902</v>
      </c>
      <c r="C3180" s="1" t="s">
        <v>6178</v>
      </c>
      <c r="D3180" s="2">
        <v>46080</v>
      </c>
      <c r="E3180" s="2">
        <v>46196</v>
      </c>
      <c r="F3180" s="1" t="s">
        <v>124</v>
      </c>
      <c r="G3180" s="1" t="s">
        <v>17</v>
      </c>
      <c r="H3180" s="1" t="s">
        <v>16</v>
      </c>
      <c r="I3180" s="7">
        <v>89.07</v>
      </c>
      <c r="J3180" s="1" t="s">
        <v>38</v>
      </c>
      <c r="K3180" s="1"/>
      <c r="L3180" s="1" t="s">
        <v>39</v>
      </c>
      <c r="M3180" s="1" t="str">
        <f>INDEX(MCC_Lookup!$B$2:$B$12,MATCH(G3180,MCC_Lookup!$A$2:$A$12,0))</f>
        <v>Entertainment</v>
      </c>
      <c r="N3180" s="1" t="str">
        <f>IF(TRIM(H3180)="","BLANK",IF(PROPER(TRIM(H3180))=TRIM(M3180),"MATCH","MISMATCH"))</f>
        <v>MATCH</v>
      </c>
      <c r="O3180" s="5" t="str">
        <f>INDEX([1]Employee!$C$2:$C$276,MATCH(B3180,[1]Employee!$A$2:$A$276,0))</f>
        <v>HR &amp; Events</v>
      </c>
    </row>
    <row r="3181" spans="1:15">
      <c r="A3181" s="1" t="s">
        <v>6179</v>
      </c>
      <c r="B3181" s="1" t="s">
        <v>63</v>
      </c>
      <c r="C3181" s="1" t="s">
        <v>6180</v>
      </c>
      <c r="D3181" s="2">
        <v>46193</v>
      </c>
      <c r="E3181" s="2">
        <v>46196</v>
      </c>
      <c r="F3181" s="1" t="s">
        <v>173</v>
      </c>
      <c r="G3181" s="1" t="s">
        <v>2</v>
      </c>
      <c r="H3181" s="1" t="s">
        <v>3</v>
      </c>
      <c r="I3181" s="7">
        <v>43.56</v>
      </c>
      <c r="J3181" s="1" t="s">
        <v>38</v>
      </c>
      <c r="K3181" s="1"/>
      <c r="L3181" s="1" t="s">
        <v>39</v>
      </c>
      <c r="M3181" s="1" t="str">
        <f>INDEX(MCC_Lookup!$B$2:$B$12,MATCH(G3181,MCC_Lookup!$A$2:$A$12,0))</f>
        <v>Meals</v>
      </c>
      <c r="N3181" s="1" t="str">
        <f>IF(TRIM(H3181)="","BLANK",IF(PROPER(TRIM(H3181))=TRIM(M3181),"MATCH","MISMATCH"))</f>
        <v>MATCH</v>
      </c>
      <c r="O3181" s="5" t="str">
        <f>INDEX([1]Employee!$C$2:$C$276,MATCH(B3181,[1]Employee!$A$2:$A$276,0))</f>
        <v>Sales &amp; Marketing</v>
      </c>
    </row>
    <row r="3182" spans="1:15">
      <c r="A3182" s="1" t="s">
        <v>6181</v>
      </c>
      <c r="B3182" s="1" t="s">
        <v>966</v>
      </c>
      <c r="C3182" s="1" t="s">
        <v>6182</v>
      </c>
      <c r="D3182" s="2">
        <v>46188</v>
      </c>
      <c r="E3182" s="2">
        <v>46196</v>
      </c>
      <c r="F3182" s="1" t="s">
        <v>347</v>
      </c>
      <c r="G3182" s="1" t="s">
        <v>8</v>
      </c>
      <c r="H3182" s="1" t="s">
        <v>9</v>
      </c>
      <c r="I3182" s="7">
        <v>13.44</v>
      </c>
      <c r="J3182" s="1" t="s">
        <v>38</v>
      </c>
      <c r="K3182" s="1"/>
      <c r="L3182" s="1" t="s">
        <v>39</v>
      </c>
      <c r="M3182" s="1" t="str">
        <f>INDEX(MCC_Lookup!$B$2:$B$12,MATCH(G3182,MCC_Lookup!$A$2:$A$12,0))</f>
        <v>Transportation</v>
      </c>
      <c r="N3182" s="1" t="str">
        <f>IF(TRIM(H3182)="","BLANK",IF(PROPER(TRIM(H3182))=TRIM(M3182),"MATCH","MISMATCH"))</f>
        <v>MATCH</v>
      </c>
      <c r="O3182" s="5" t="str">
        <f>INDEX([1]Employee!$C$2:$C$276,MATCH(B3182,[1]Employee!$A$2:$A$276,0))</f>
        <v>Finance</v>
      </c>
    </row>
    <row r="3183" spans="1:15">
      <c r="A3183" s="1" t="s">
        <v>6183</v>
      </c>
      <c r="B3183" s="1" t="s">
        <v>469</v>
      </c>
      <c r="C3183" s="1"/>
      <c r="D3183" s="2">
        <v>46192</v>
      </c>
      <c r="E3183" s="2">
        <v>46196</v>
      </c>
      <c r="F3183" s="1" t="s">
        <v>4390</v>
      </c>
      <c r="G3183" s="1" t="s">
        <v>13</v>
      </c>
      <c r="H3183" s="1" t="s">
        <v>14</v>
      </c>
      <c r="I3183" s="7">
        <v>241.4</v>
      </c>
      <c r="J3183" s="1" t="s">
        <v>111</v>
      </c>
      <c r="K3183" s="1" t="s">
        <v>127</v>
      </c>
      <c r="L3183" s="1" t="s">
        <v>39</v>
      </c>
      <c r="M3183" s="1" t="str">
        <f>INDEX(MCC_Lookup!$B$2:$B$12,MATCH(G3183,MCC_Lookup!$A$2:$A$12,0))</f>
        <v>Software</v>
      </c>
      <c r="N3183" s="1" t="str">
        <f>IF(TRIM(H3183)="","BLANK",IF(PROPER(TRIM(H3183))=TRIM(M3183),"MATCH","MISMATCH"))</f>
        <v>MATCH</v>
      </c>
      <c r="O3183" s="5" t="str">
        <f>INDEX([1]Employee!$C$2:$C$276,MATCH(B3183,[1]Employee!$A$2:$A$276,0))</f>
        <v>Sales &amp; Marketing</v>
      </c>
    </row>
    <row r="3184" spans="1:15">
      <c r="A3184" s="1" t="s">
        <v>6184</v>
      </c>
      <c r="B3184" s="1" t="s">
        <v>667</v>
      </c>
      <c r="C3184" s="1" t="s">
        <v>6185</v>
      </c>
      <c r="D3184" s="2">
        <v>46192</v>
      </c>
      <c r="E3184" s="2">
        <v>46196</v>
      </c>
      <c r="F3184" s="1" t="s">
        <v>3009</v>
      </c>
      <c r="G3184" s="1" t="s">
        <v>4</v>
      </c>
      <c r="H3184" s="1" t="s">
        <v>5</v>
      </c>
      <c r="I3184" s="7">
        <v>609.25</v>
      </c>
      <c r="J3184" s="1" t="s">
        <v>38</v>
      </c>
      <c r="K3184" s="1"/>
      <c r="L3184" s="1" t="s">
        <v>39</v>
      </c>
      <c r="M3184" s="1" t="str">
        <f>INDEX(MCC_Lookup!$B$2:$B$12,MATCH(G3184,MCC_Lookup!$A$2:$A$12,0))</f>
        <v>Travel</v>
      </c>
      <c r="N3184" s="1" t="str">
        <f>IF(TRIM(H3184)="","BLANK",IF(PROPER(TRIM(H3184))=TRIM(M3184),"MATCH","MISMATCH"))</f>
        <v>MATCH</v>
      </c>
      <c r="O3184" s="5" t="str">
        <f>INDEX([1]Employee!$C$2:$C$276,MATCH(B3184,[1]Employee!$A$2:$A$276,0))</f>
        <v>Sales &amp; Marketing</v>
      </c>
    </row>
    <row r="3185" spans="1:15">
      <c r="A3185" s="1" t="s">
        <v>6186</v>
      </c>
      <c r="B3185" s="1" t="s">
        <v>597</v>
      </c>
      <c r="C3185" s="1" t="s">
        <v>6187</v>
      </c>
      <c r="D3185" s="2">
        <v>46193</v>
      </c>
      <c r="E3185" s="2">
        <v>46196</v>
      </c>
      <c r="F3185" s="1" t="s">
        <v>65</v>
      </c>
      <c r="G3185" s="1" t="s">
        <v>18</v>
      </c>
      <c r="H3185" s="1" t="s">
        <v>19</v>
      </c>
      <c r="I3185" s="7">
        <v>109.47</v>
      </c>
      <c r="J3185" s="1" t="s">
        <v>38</v>
      </c>
      <c r="K3185" s="1"/>
      <c r="L3185" s="1" t="s">
        <v>39</v>
      </c>
      <c r="M3185" s="1" t="str">
        <f>INDEX(MCC_Lookup!$B$2:$B$12,MATCH(G3185,MCC_Lookup!$A$2:$A$12,0))</f>
        <v>Events</v>
      </c>
      <c r="N3185" s="1" t="str">
        <f>IF(TRIM(H3185)="","BLANK",IF(PROPER(TRIM(H3185))=TRIM(M3185),"MATCH","MISMATCH"))</f>
        <v>MATCH</v>
      </c>
      <c r="O3185" s="5" t="str">
        <f>INDEX([1]Employee!$C$2:$C$276,MATCH(B3185,[1]Employee!$A$2:$A$276,0))</f>
        <v>Sales &amp; Marketing</v>
      </c>
    </row>
    <row r="3186" spans="1:15">
      <c r="A3186" s="1" t="s">
        <v>6188</v>
      </c>
      <c r="B3186" s="1" t="s">
        <v>303</v>
      </c>
      <c r="C3186" s="1"/>
      <c r="D3186" s="2">
        <v>46177</v>
      </c>
      <c r="E3186" s="2">
        <v>46196</v>
      </c>
      <c r="F3186" s="1" t="s">
        <v>79</v>
      </c>
      <c r="G3186" s="1" t="s">
        <v>13</v>
      </c>
      <c r="H3186" s="1" t="s">
        <v>14</v>
      </c>
      <c r="I3186" s="7">
        <v>104.53</v>
      </c>
      <c r="J3186" s="1" t="s">
        <v>111</v>
      </c>
      <c r="K3186" s="1" t="s">
        <v>161</v>
      </c>
      <c r="L3186" s="1" t="s">
        <v>39</v>
      </c>
      <c r="M3186" s="1" t="str">
        <f>INDEX(MCC_Lookup!$B$2:$B$12,MATCH(G3186,MCC_Lookup!$A$2:$A$12,0))</f>
        <v>Software</v>
      </c>
      <c r="N3186" s="1" t="str">
        <f>IF(TRIM(H3186)="","BLANK",IF(PROPER(TRIM(H3186))=TRIM(M3186),"MATCH","MISMATCH"))</f>
        <v>MATCH</v>
      </c>
      <c r="O3186" s="5" t="str">
        <f>INDEX([1]Employee!$C$2:$C$276,MATCH(B3186,[1]Employee!$A$2:$A$276,0))</f>
        <v>Sales &amp; Marketing</v>
      </c>
    </row>
    <row r="3187" spans="1:15">
      <c r="A3187" s="1" t="s">
        <v>6189</v>
      </c>
      <c r="B3187" s="1" t="s">
        <v>303</v>
      </c>
      <c r="C3187" s="1" t="s">
        <v>6190</v>
      </c>
      <c r="D3187" s="2">
        <v>46064</v>
      </c>
      <c r="E3187" s="2">
        <v>46196</v>
      </c>
      <c r="F3187" s="1" t="s">
        <v>173</v>
      </c>
      <c r="G3187" s="1" t="s">
        <v>2</v>
      </c>
      <c r="H3187" s="1" t="s">
        <v>3</v>
      </c>
      <c r="I3187" s="7">
        <v>26.01</v>
      </c>
      <c r="J3187" s="1" t="s">
        <v>38</v>
      </c>
      <c r="K3187" s="1"/>
      <c r="L3187" s="1" t="s">
        <v>39</v>
      </c>
      <c r="M3187" s="1" t="str">
        <f>INDEX(MCC_Lookup!$B$2:$B$12,MATCH(G3187,MCC_Lookup!$A$2:$A$12,0))</f>
        <v>Meals</v>
      </c>
      <c r="N3187" s="1" t="str">
        <f>IF(TRIM(H3187)="","BLANK",IF(PROPER(TRIM(H3187))=TRIM(M3187),"MATCH","MISMATCH"))</f>
        <v>MATCH</v>
      </c>
      <c r="O3187" s="5" t="str">
        <f>INDEX([1]Employee!$C$2:$C$276,MATCH(B3187,[1]Employee!$A$2:$A$276,0))</f>
        <v>Sales &amp; Marketing</v>
      </c>
    </row>
    <row r="3188" spans="1:15">
      <c r="A3188" s="1" t="s">
        <v>6191</v>
      </c>
      <c r="B3188" s="1" t="s">
        <v>2598</v>
      </c>
      <c r="C3188" s="1" t="s">
        <v>6192</v>
      </c>
      <c r="D3188" s="2">
        <v>46188</v>
      </c>
      <c r="E3188" s="2">
        <v>46196</v>
      </c>
      <c r="F3188" s="1" t="s">
        <v>65</v>
      </c>
      <c r="G3188" s="1" t="s">
        <v>18</v>
      </c>
      <c r="H3188" s="1" t="s">
        <v>19</v>
      </c>
      <c r="I3188" s="7">
        <v>487.29</v>
      </c>
      <c r="J3188" s="1" t="s">
        <v>38</v>
      </c>
      <c r="K3188" s="1"/>
      <c r="L3188" s="1" t="s">
        <v>48</v>
      </c>
      <c r="M3188" s="1" t="str">
        <f>INDEX(MCC_Lookup!$B$2:$B$12,MATCH(G3188,MCC_Lookup!$A$2:$A$12,0))</f>
        <v>Events</v>
      </c>
      <c r="N3188" s="1" t="str">
        <f>IF(TRIM(H3188)="","BLANK",IF(PROPER(TRIM(H3188))=TRIM(M3188),"MATCH","MISMATCH"))</f>
        <v>MATCH</v>
      </c>
      <c r="O3188" s="5" t="str">
        <f>INDEX([1]Employee!$C$2:$C$276,MATCH(B3188,[1]Employee!$A$2:$A$276,0))</f>
        <v>Underwriting</v>
      </c>
    </row>
    <row r="3189" spans="1:15">
      <c r="A3189" s="1" t="s">
        <v>6193</v>
      </c>
      <c r="B3189" s="1" t="s">
        <v>2598</v>
      </c>
      <c r="C3189" s="1" t="s">
        <v>6194</v>
      </c>
      <c r="D3189" s="2">
        <v>46201</v>
      </c>
      <c r="E3189" s="2">
        <v>46196</v>
      </c>
      <c r="F3189" s="1" t="s">
        <v>56</v>
      </c>
      <c r="G3189" s="1" t="s">
        <v>4</v>
      </c>
      <c r="H3189" s="1" t="s">
        <v>5</v>
      </c>
      <c r="I3189" s="7">
        <v>305.44</v>
      </c>
      <c r="J3189" s="1" t="s">
        <v>38</v>
      </c>
      <c r="K3189" s="1"/>
      <c r="L3189" s="1" t="s">
        <v>39</v>
      </c>
      <c r="M3189" s="1" t="str">
        <f>INDEX(MCC_Lookup!$B$2:$B$12,MATCH(G3189,MCC_Lookup!$A$2:$A$12,0))</f>
        <v>Travel</v>
      </c>
      <c r="N3189" s="1" t="str">
        <f>IF(TRIM(H3189)="","BLANK",IF(PROPER(TRIM(H3189))=TRIM(M3189),"MATCH","MISMATCH"))</f>
        <v>MATCH</v>
      </c>
      <c r="O3189" s="5" t="str">
        <f>INDEX([1]Employee!$C$2:$C$276,MATCH(B3189,[1]Employee!$A$2:$A$276,0))</f>
        <v>Underwriting</v>
      </c>
    </row>
    <row r="3190" spans="1:15">
      <c r="A3190" s="1" t="s">
        <v>6195</v>
      </c>
      <c r="B3190" s="1" t="s">
        <v>472</v>
      </c>
      <c r="C3190" s="1" t="s">
        <v>6196</v>
      </c>
      <c r="D3190" s="2">
        <v>46194</v>
      </c>
      <c r="E3190" s="2">
        <v>46196</v>
      </c>
      <c r="F3190" s="1" t="s">
        <v>305</v>
      </c>
      <c r="G3190" s="1" t="s">
        <v>2</v>
      </c>
      <c r="H3190" s="1" t="s">
        <v>3</v>
      </c>
      <c r="I3190" s="7">
        <v>7.61</v>
      </c>
      <c r="J3190" s="1" t="s">
        <v>38</v>
      </c>
      <c r="K3190" s="1"/>
      <c r="L3190" s="1" t="s">
        <v>39</v>
      </c>
      <c r="M3190" s="1" t="str">
        <f>INDEX(MCC_Lookup!$B$2:$B$12,MATCH(G3190,MCC_Lookup!$A$2:$A$12,0))</f>
        <v>Meals</v>
      </c>
      <c r="N3190" s="1" t="str">
        <f>IF(TRIM(H3190)="","BLANK",IF(PROPER(TRIM(H3190))=TRIM(M3190),"MATCH","MISMATCH"))</f>
        <v>MATCH</v>
      </c>
      <c r="O3190" s="5" t="str">
        <f>INDEX([1]Employee!$C$2:$C$276,MATCH(B3190,[1]Employee!$A$2:$A$276,0))</f>
        <v>Sales &amp; Marketing</v>
      </c>
    </row>
    <row r="3191" spans="1:15">
      <c r="A3191" s="1" t="s">
        <v>6197</v>
      </c>
      <c r="B3191" s="1" t="s">
        <v>104</v>
      </c>
      <c r="C3191" s="1"/>
      <c r="D3191" s="2">
        <v>46195</v>
      </c>
      <c r="E3191" s="2">
        <v>46196</v>
      </c>
      <c r="F3191" s="1" t="s">
        <v>347</v>
      </c>
      <c r="G3191" s="1" t="s">
        <v>8</v>
      </c>
      <c r="H3191" s="1" t="s">
        <v>9</v>
      </c>
      <c r="I3191" s="7">
        <v>50.52</v>
      </c>
      <c r="J3191" s="1" t="s">
        <v>111</v>
      </c>
      <c r="K3191" s="1" t="s">
        <v>112</v>
      </c>
      <c r="L3191" s="1" t="s">
        <v>39</v>
      </c>
      <c r="M3191" s="1" t="str">
        <f>INDEX(MCC_Lookup!$B$2:$B$12,MATCH(G3191,MCC_Lookup!$A$2:$A$12,0))</f>
        <v>Transportation</v>
      </c>
      <c r="N3191" s="1" t="str">
        <f>IF(TRIM(H3191)="","BLANK",IF(PROPER(TRIM(H3191))=TRIM(M3191),"MATCH","MISMATCH"))</f>
        <v>MATCH</v>
      </c>
      <c r="O3191" s="5" t="str">
        <f>INDEX([1]Employee!$C$2:$C$276,MATCH(B3191,[1]Employee!$A$2:$A$276,0))</f>
        <v>Sales &amp; Marketing</v>
      </c>
    </row>
    <row r="3192" spans="1:15">
      <c r="A3192" s="1" t="s">
        <v>6198</v>
      </c>
      <c r="B3192" s="1" t="s">
        <v>407</v>
      </c>
      <c r="C3192" s="1" t="s">
        <v>6199</v>
      </c>
      <c r="D3192" s="2">
        <v>46196</v>
      </c>
      <c r="E3192" s="2">
        <v>46196</v>
      </c>
      <c r="F3192" s="1" t="s">
        <v>177</v>
      </c>
      <c r="G3192" s="1" t="s">
        <v>13</v>
      </c>
      <c r="H3192" s="1" t="s">
        <v>14</v>
      </c>
      <c r="I3192" s="7">
        <v>68.239999999999995</v>
      </c>
      <c r="J3192" s="1" t="s">
        <v>38</v>
      </c>
      <c r="K3192" s="1"/>
      <c r="L3192" s="1" t="s">
        <v>39</v>
      </c>
      <c r="M3192" s="1" t="str">
        <f>INDEX(MCC_Lookup!$B$2:$B$12,MATCH(G3192,MCC_Lookup!$A$2:$A$12,0))</f>
        <v>Software</v>
      </c>
      <c r="N3192" s="1" t="str">
        <f>IF(TRIM(H3192)="","BLANK",IF(PROPER(TRIM(H3192))=TRIM(M3192),"MATCH","MISMATCH"))</f>
        <v>MATCH</v>
      </c>
      <c r="O3192" s="5" t="str">
        <f>INDEX([1]Employee!$C$2:$C$276,MATCH(B3192,[1]Employee!$A$2:$A$276,0))</f>
        <v>Executive &amp; Corporate</v>
      </c>
    </row>
    <row r="3193" spans="1:15">
      <c r="A3193" s="1" t="s">
        <v>6200</v>
      </c>
      <c r="B3193" s="1" t="s">
        <v>575</v>
      </c>
      <c r="C3193" s="1" t="s">
        <v>6201</v>
      </c>
      <c r="D3193" s="2">
        <v>46191</v>
      </c>
      <c r="E3193" s="2">
        <v>46196</v>
      </c>
      <c r="F3193" s="1" t="s">
        <v>173</v>
      </c>
      <c r="G3193" s="1" t="s">
        <v>2</v>
      </c>
      <c r="H3193" s="1" t="s">
        <v>3</v>
      </c>
      <c r="I3193" s="7">
        <v>38.85</v>
      </c>
      <c r="J3193" s="1" t="s">
        <v>38</v>
      </c>
      <c r="K3193" s="1"/>
      <c r="L3193" s="1" t="s">
        <v>39</v>
      </c>
      <c r="M3193" s="1" t="str">
        <f>INDEX(MCC_Lookup!$B$2:$B$12,MATCH(G3193,MCC_Lookup!$A$2:$A$12,0))</f>
        <v>Meals</v>
      </c>
      <c r="N3193" s="1" t="str">
        <f>IF(TRIM(H3193)="","BLANK",IF(PROPER(TRIM(H3193))=TRIM(M3193),"MATCH","MISMATCH"))</f>
        <v>MATCH</v>
      </c>
      <c r="O3193" s="5" t="str">
        <f>INDEX([1]Employee!$C$2:$C$276,MATCH(B3193,[1]Employee!$A$2:$A$276,0))</f>
        <v>Underwriting</v>
      </c>
    </row>
    <row r="3194" spans="1:15">
      <c r="A3194" s="1" t="s">
        <v>6202</v>
      </c>
      <c r="B3194" s="1" t="s">
        <v>227</v>
      </c>
      <c r="C3194" s="1" t="s">
        <v>6203</v>
      </c>
      <c r="D3194" s="2">
        <v>46147</v>
      </c>
      <c r="E3194" s="2">
        <v>46196</v>
      </c>
      <c r="F3194" s="1" t="s">
        <v>47</v>
      </c>
      <c r="G3194" s="1" t="s">
        <v>6</v>
      </c>
      <c r="H3194" s="1" t="s">
        <v>7</v>
      </c>
      <c r="I3194" s="7">
        <v>249.47</v>
      </c>
      <c r="J3194" s="1" t="s">
        <v>38</v>
      </c>
      <c r="K3194" s="1"/>
      <c r="L3194" s="1" t="s">
        <v>39</v>
      </c>
      <c r="M3194" s="1" t="str">
        <f>INDEX(MCC_Lookup!$B$2:$B$12,MATCH(G3194,MCC_Lookup!$A$2:$A$12,0))</f>
        <v>Lodging</v>
      </c>
      <c r="N3194" s="1" t="str">
        <f>IF(TRIM(H3194)="","BLANK",IF(PROPER(TRIM(H3194))=TRIM(M3194),"MATCH","MISMATCH"))</f>
        <v>MATCH</v>
      </c>
      <c r="O3194" s="5" t="str">
        <f>INDEX([1]Employee!$C$2:$C$276,MATCH(B3194,[1]Employee!$A$2:$A$276,0))</f>
        <v>Claims</v>
      </c>
    </row>
    <row r="3195" spans="1:15">
      <c r="A3195" s="1" t="s">
        <v>6204</v>
      </c>
      <c r="B3195" s="1" t="s">
        <v>227</v>
      </c>
      <c r="C3195" s="1"/>
      <c r="D3195" s="2">
        <v>46081</v>
      </c>
      <c r="E3195" s="2">
        <v>46196</v>
      </c>
      <c r="F3195" s="1" t="s">
        <v>61</v>
      </c>
      <c r="G3195" s="1" t="s">
        <v>13</v>
      </c>
      <c r="H3195" s="1"/>
      <c r="I3195" s="7">
        <v>65.489999999999995</v>
      </c>
      <c r="J3195" s="1" t="s">
        <v>111</v>
      </c>
      <c r="K3195" s="1" t="s">
        <v>161</v>
      </c>
      <c r="L3195" s="1" t="s">
        <v>39</v>
      </c>
      <c r="M3195" s="1" t="str">
        <f>INDEX(MCC_Lookup!$B$2:$B$12,MATCH(G3195,MCC_Lookup!$A$2:$A$12,0))</f>
        <v>Software</v>
      </c>
      <c r="N3195" s="1" t="str">
        <f>IF(TRIM(H3195)="","BLANK",IF(PROPER(TRIM(H3195))=TRIM(M3195),"MATCH","MISMATCH"))</f>
        <v>BLANK</v>
      </c>
      <c r="O3195" s="5" t="str">
        <f>INDEX([1]Employee!$C$2:$C$276,MATCH(B3195,[1]Employee!$A$2:$A$276,0))</f>
        <v>Claims</v>
      </c>
    </row>
    <row r="3196" spans="1:15">
      <c r="A3196" s="1" t="s">
        <v>6205</v>
      </c>
      <c r="B3196" s="1" t="s">
        <v>499</v>
      </c>
      <c r="C3196" s="1"/>
      <c r="D3196" s="2">
        <v>46052</v>
      </c>
      <c r="E3196" s="2">
        <v>46196</v>
      </c>
      <c r="F3196" s="1" t="s">
        <v>99</v>
      </c>
      <c r="G3196" s="1" t="s">
        <v>2</v>
      </c>
      <c r="H3196" s="1" t="s">
        <v>3</v>
      </c>
      <c r="I3196" s="7">
        <v>97.98</v>
      </c>
      <c r="J3196" s="1" t="s">
        <v>38</v>
      </c>
      <c r="K3196" s="1"/>
      <c r="L3196" s="1" t="s">
        <v>39</v>
      </c>
      <c r="M3196" s="1" t="str">
        <f>INDEX(MCC_Lookup!$B$2:$B$12,MATCH(G3196,MCC_Lookup!$A$2:$A$12,0))</f>
        <v>Meals</v>
      </c>
      <c r="N3196" s="1" t="str">
        <f>IF(TRIM(H3196)="","BLANK",IF(PROPER(TRIM(H3196))=TRIM(M3196),"MATCH","MISMATCH"))</f>
        <v>MATCH</v>
      </c>
      <c r="O3196" s="5" t="str">
        <f>INDEX([1]Employee!$C$2:$C$276,MATCH(B3196,[1]Employee!$A$2:$A$276,0))</f>
        <v>Sales &amp; Marketing</v>
      </c>
    </row>
    <row r="3197" spans="1:15">
      <c r="A3197" s="1" t="s">
        <v>6206</v>
      </c>
      <c r="B3197" s="1" t="s">
        <v>152</v>
      </c>
      <c r="C3197" s="1" t="s">
        <v>6207</v>
      </c>
      <c r="D3197" s="2">
        <v>46190</v>
      </c>
      <c r="E3197" s="2">
        <v>46196</v>
      </c>
      <c r="F3197" s="1" t="s">
        <v>69</v>
      </c>
      <c r="G3197" s="1" t="s">
        <v>8</v>
      </c>
      <c r="H3197" s="1" t="s">
        <v>9</v>
      </c>
      <c r="I3197" s="7">
        <v>40.229999999999997</v>
      </c>
      <c r="J3197" s="1" t="s">
        <v>38</v>
      </c>
      <c r="K3197" s="1"/>
      <c r="L3197" s="1" t="s">
        <v>48</v>
      </c>
      <c r="M3197" s="1" t="str">
        <f>INDEX(MCC_Lookup!$B$2:$B$12,MATCH(G3197,MCC_Lookup!$A$2:$A$12,0))</f>
        <v>Transportation</v>
      </c>
      <c r="N3197" s="1" t="str">
        <f>IF(TRIM(H3197)="","BLANK",IF(PROPER(TRIM(H3197))=TRIM(M3197),"MATCH","MISMATCH"))</f>
        <v>MATCH</v>
      </c>
      <c r="O3197" s="5" t="str">
        <f>INDEX([1]Employee!$C$2:$C$276,MATCH(B3197,[1]Employee!$A$2:$A$276,0))</f>
        <v>Sales &amp; Marketing</v>
      </c>
    </row>
    <row r="3198" spans="1:15">
      <c r="A3198" s="1" t="s">
        <v>6208</v>
      </c>
      <c r="B3198" s="1" t="s">
        <v>868</v>
      </c>
      <c r="C3198" s="1" t="s">
        <v>6209</v>
      </c>
      <c r="D3198" s="2">
        <v>46157</v>
      </c>
      <c r="E3198" s="2">
        <v>46196</v>
      </c>
      <c r="F3198" s="1" t="s">
        <v>242</v>
      </c>
      <c r="G3198" s="1" t="s">
        <v>13</v>
      </c>
      <c r="H3198" s="1" t="s">
        <v>9</v>
      </c>
      <c r="I3198" s="7">
        <v>48.57</v>
      </c>
      <c r="J3198" s="1" t="s">
        <v>38</v>
      </c>
      <c r="K3198" s="1"/>
      <c r="L3198" s="1" t="s">
        <v>39</v>
      </c>
      <c r="M3198" s="1" t="str">
        <f>INDEX(MCC_Lookup!$B$2:$B$12,MATCH(G3198,MCC_Lookup!$A$2:$A$12,0))</f>
        <v>Software</v>
      </c>
      <c r="N3198" s="1" t="str">
        <f>IF(TRIM(H3198)="","BLANK",IF(PROPER(TRIM(H3198))=TRIM(M3198),"MATCH","MISMATCH"))</f>
        <v>MISMATCH</v>
      </c>
      <c r="O3198" s="5" t="str">
        <f>INDEX([1]Employee!$C$2:$C$276,MATCH(B3198,[1]Employee!$A$2:$A$276,0))</f>
        <v>Sales &amp; Marketing</v>
      </c>
    </row>
    <row r="3199" spans="1:15">
      <c r="A3199" s="1" t="s">
        <v>6210</v>
      </c>
      <c r="B3199" s="1" t="s">
        <v>199</v>
      </c>
      <c r="C3199" s="1" t="s">
        <v>6211</v>
      </c>
      <c r="D3199" s="2">
        <v>46106</v>
      </c>
      <c r="E3199" s="2">
        <v>46196</v>
      </c>
      <c r="F3199" s="1" t="s">
        <v>52</v>
      </c>
      <c r="G3199" s="1" t="s">
        <v>15</v>
      </c>
      <c r="H3199" s="1" t="s">
        <v>16</v>
      </c>
      <c r="I3199" s="7">
        <v>52.12</v>
      </c>
      <c r="J3199" s="1" t="s">
        <v>38</v>
      </c>
      <c r="K3199" s="1"/>
      <c r="L3199" s="1" t="s">
        <v>39</v>
      </c>
      <c r="M3199" s="1" t="str">
        <f>INDEX(MCC_Lookup!$B$2:$B$12,MATCH(G3199,MCC_Lookup!$A$2:$A$12,0))</f>
        <v>Entertainment</v>
      </c>
      <c r="N3199" s="1" t="str">
        <f>IF(TRIM(H3199)="","BLANK",IF(PROPER(TRIM(H3199))=TRIM(M3199),"MATCH","MISMATCH"))</f>
        <v>MATCH</v>
      </c>
      <c r="O3199" s="5" t="str">
        <f>INDEX([1]Employee!$C$2:$C$276,MATCH(B3199,[1]Employee!$A$2:$A$276,0))</f>
        <v>Sales &amp; Marketing</v>
      </c>
    </row>
    <row r="3200" spans="1:15">
      <c r="A3200" s="1" t="s">
        <v>6212</v>
      </c>
      <c r="B3200" s="1" t="s">
        <v>843</v>
      </c>
      <c r="C3200" s="1"/>
      <c r="D3200" s="2">
        <v>46174</v>
      </c>
      <c r="E3200" s="2">
        <v>46196</v>
      </c>
      <c r="F3200" s="1" t="s">
        <v>92</v>
      </c>
      <c r="G3200" s="1" t="s">
        <v>10</v>
      </c>
      <c r="H3200" s="1" t="s">
        <v>131</v>
      </c>
      <c r="I3200" s="7">
        <v>160.47999999999999</v>
      </c>
      <c r="J3200" s="1" t="s">
        <v>38</v>
      </c>
      <c r="K3200" s="1"/>
      <c r="L3200" s="1" t="s">
        <v>39</v>
      </c>
      <c r="M3200" s="1" t="str">
        <f>INDEX(MCC_Lookup!$B$2:$B$12,MATCH(G3200,MCC_Lookup!$A$2:$A$12,0))</f>
        <v>Office Supplies</v>
      </c>
      <c r="N3200" s="1" t="str">
        <f>IF(TRIM(H3200)="","BLANK",IF(PROPER(TRIM(H3200))=TRIM(M3200),"MATCH","MISMATCH"))</f>
        <v>MATCH</v>
      </c>
      <c r="O3200" s="5" t="str">
        <f>INDEX([1]Employee!$C$2:$C$276,MATCH(B3200,[1]Employee!$A$2:$A$276,0))</f>
        <v>Customer Support</v>
      </c>
    </row>
    <row r="3201" spans="1:15">
      <c r="A3201" s="1" t="s">
        <v>6213</v>
      </c>
      <c r="B3201" s="1" t="s">
        <v>1150</v>
      </c>
      <c r="C3201" s="1" t="s">
        <v>6214</v>
      </c>
      <c r="D3201" s="2">
        <v>46193</v>
      </c>
      <c r="E3201" s="2">
        <v>46196</v>
      </c>
      <c r="F3201" s="1" t="s">
        <v>56</v>
      </c>
      <c r="G3201" s="1" t="s">
        <v>4</v>
      </c>
      <c r="H3201" s="1" t="s">
        <v>5</v>
      </c>
      <c r="I3201" s="7">
        <v>456</v>
      </c>
      <c r="J3201" s="1" t="s">
        <v>38</v>
      </c>
      <c r="K3201" s="1"/>
      <c r="L3201" s="1" t="s">
        <v>39</v>
      </c>
      <c r="M3201" s="1" t="str">
        <f>INDEX(MCC_Lookup!$B$2:$B$12,MATCH(G3201,MCC_Lookup!$A$2:$A$12,0))</f>
        <v>Travel</v>
      </c>
      <c r="N3201" s="1" t="str">
        <f>IF(TRIM(H3201)="","BLANK",IF(PROPER(TRIM(H3201))=TRIM(M3201),"MATCH","MISMATCH"))</f>
        <v>MATCH</v>
      </c>
      <c r="O3201" s="5" t="str">
        <f>INDEX([1]Employee!$C$2:$C$276,MATCH(B3201,[1]Employee!$A$2:$A$276,0))</f>
        <v>Finance</v>
      </c>
    </row>
    <row r="3202" spans="1:15">
      <c r="A3202" s="1" t="s">
        <v>6215</v>
      </c>
      <c r="B3202" s="1" t="s">
        <v>373</v>
      </c>
      <c r="C3202" s="1" t="s">
        <v>6216</v>
      </c>
      <c r="D3202" s="2">
        <v>46191</v>
      </c>
      <c r="E3202" s="2">
        <v>46196</v>
      </c>
      <c r="F3202" s="1" t="s">
        <v>52</v>
      </c>
      <c r="G3202" s="1" t="s">
        <v>15</v>
      </c>
      <c r="H3202" s="1" t="s">
        <v>16</v>
      </c>
      <c r="I3202" s="7">
        <v>52.52</v>
      </c>
      <c r="J3202" s="1" t="s">
        <v>38</v>
      </c>
      <c r="K3202" s="1"/>
      <c r="L3202" s="1" t="s">
        <v>48</v>
      </c>
      <c r="M3202" s="1" t="str">
        <f>INDEX(MCC_Lookup!$B$2:$B$12,MATCH(G3202,MCC_Lookup!$A$2:$A$12,0))</f>
        <v>Entertainment</v>
      </c>
      <c r="N3202" s="1" t="str">
        <f>IF(TRIM(H3202)="","BLANK",IF(PROPER(TRIM(H3202))=TRIM(M3202),"MATCH","MISMATCH"))</f>
        <v>MATCH</v>
      </c>
      <c r="O3202" s="5" t="str">
        <f>INDEX([1]Employee!$C$2:$C$276,MATCH(B3202,[1]Employee!$A$2:$A$276,0))</f>
        <v>Sales &amp; Marketing</v>
      </c>
    </row>
    <row r="3203" spans="1:15">
      <c r="A3203" s="1" t="s">
        <v>6217</v>
      </c>
      <c r="B3203" s="1" t="s">
        <v>373</v>
      </c>
      <c r="C3203" s="1"/>
      <c r="D3203" s="2">
        <v>46137</v>
      </c>
      <c r="E3203" s="2">
        <v>46196</v>
      </c>
      <c r="F3203" s="1" t="s">
        <v>201</v>
      </c>
      <c r="G3203" s="1" t="s">
        <v>4</v>
      </c>
      <c r="H3203" s="1" t="s">
        <v>5</v>
      </c>
      <c r="I3203" s="7">
        <v>397.5</v>
      </c>
      <c r="J3203" s="1" t="s">
        <v>38</v>
      </c>
      <c r="K3203" s="1"/>
      <c r="L3203" s="1" t="s">
        <v>39</v>
      </c>
      <c r="M3203" s="1" t="str">
        <f>INDEX(MCC_Lookup!$B$2:$B$12,MATCH(G3203,MCC_Lookup!$A$2:$A$12,0))</f>
        <v>Travel</v>
      </c>
      <c r="N3203" s="1" t="str">
        <f>IF(TRIM(H3203)="","BLANK",IF(PROPER(TRIM(H3203))=TRIM(M3203),"MATCH","MISMATCH"))</f>
        <v>MATCH</v>
      </c>
      <c r="O3203" s="5" t="str">
        <f>INDEX([1]Employee!$C$2:$C$276,MATCH(B3203,[1]Employee!$A$2:$A$276,0))</f>
        <v>Sales &amp; Marketing</v>
      </c>
    </row>
    <row r="3204" spans="1:15">
      <c r="A3204" s="1" t="s">
        <v>6218</v>
      </c>
      <c r="B3204" s="1" t="s">
        <v>277</v>
      </c>
      <c r="C3204" s="1"/>
      <c r="D3204" s="2">
        <v>46189</v>
      </c>
      <c r="E3204" s="2">
        <v>46196</v>
      </c>
      <c r="F3204" s="1" t="s">
        <v>69</v>
      </c>
      <c r="G3204" s="1" t="s">
        <v>8</v>
      </c>
      <c r="H3204" s="1" t="s">
        <v>343</v>
      </c>
      <c r="I3204" s="7">
        <v>44.4</v>
      </c>
      <c r="J3204" s="1" t="s">
        <v>38</v>
      </c>
      <c r="K3204" s="1"/>
      <c r="L3204" s="1" t="s">
        <v>48</v>
      </c>
      <c r="M3204" s="1" t="str">
        <f>INDEX(MCC_Lookup!$B$2:$B$12,MATCH(G3204,MCC_Lookup!$A$2:$A$12,0))</f>
        <v>Transportation</v>
      </c>
      <c r="N3204" s="1" t="str">
        <f>IF(TRIM(H3204)="","BLANK",IF(PROPER(TRIM(H3204))=TRIM(M3204),"MATCH","MISMATCH"))</f>
        <v>MATCH</v>
      </c>
      <c r="O3204" s="5" t="str">
        <f>INDEX([1]Employee!$C$2:$C$276,MATCH(B3204,[1]Employee!$A$2:$A$276,0))</f>
        <v>Claims</v>
      </c>
    </row>
    <row r="3205" spans="1:15">
      <c r="A3205" s="1" t="s">
        <v>6219</v>
      </c>
      <c r="B3205" s="1" t="s">
        <v>382</v>
      </c>
      <c r="C3205" s="1" t="s">
        <v>6220</v>
      </c>
      <c r="D3205" s="2">
        <v>46188</v>
      </c>
      <c r="E3205" s="2">
        <v>46196</v>
      </c>
      <c r="F3205" s="1" t="s">
        <v>116</v>
      </c>
      <c r="G3205" s="1" t="s">
        <v>2</v>
      </c>
      <c r="H3205" s="1" t="s">
        <v>3</v>
      </c>
      <c r="I3205" s="7">
        <v>21.2</v>
      </c>
      <c r="J3205" s="1" t="s">
        <v>38</v>
      </c>
      <c r="K3205" s="1"/>
      <c r="L3205" s="1" t="s">
        <v>39</v>
      </c>
      <c r="M3205" s="1" t="str">
        <f>INDEX(MCC_Lookup!$B$2:$B$12,MATCH(G3205,MCC_Lookup!$A$2:$A$12,0))</f>
        <v>Meals</v>
      </c>
      <c r="N3205" s="1" t="str">
        <f>IF(TRIM(H3205)="","BLANK",IF(PROPER(TRIM(H3205))=TRIM(M3205),"MATCH","MISMATCH"))</f>
        <v>MATCH</v>
      </c>
      <c r="O3205" s="5" t="str">
        <f>INDEX([1]Employee!$C$2:$C$276,MATCH(B3205,[1]Employee!$A$2:$A$276,0))</f>
        <v>Sales &amp; Marketing</v>
      </c>
    </row>
    <row r="3206" spans="1:15">
      <c r="A3206" s="1" t="s">
        <v>6221</v>
      </c>
      <c r="B3206" s="1" t="s">
        <v>664</v>
      </c>
      <c r="C3206" s="1"/>
      <c r="D3206" s="2">
        <v>46106</v>
      </c>
      <c r="E3206" s="2">
        <v>46196</v>
      </c>
      <c r="F3206" s="1" t="s">
        <v>37</v>
      </c>
      <c r="G3206" s="1" t="s">
        <v>4</v>
      </c>
      <c r="H3206" s="1" t="s">
        <v>5</v>
      </c>
      <c r="I3206" s="7">
        <v>416.08</v>
      </c>
      <c r="J3206" s="1" t="s">
        <v>38</v>
      </c>
      <c r="K3206" s="1"/>
      <c r="L3206" s="1" t="s">
        <v>39</v>
      </c>
      <c r="M3206" s="1" t="str">
        <f>INDEX(MCC_Lookup!$B$2:$B$12,MATCH(G3206,MCC_Lookup!$A$2:$A$12,0))</f>
        <v>Travel</v>
      </c>
      <c r="N3206" s="1" t="str">
        <f>IF(TRIM(H3206)="","BLANK",IF(PROPER(TRIM(H3206))=TRIM(M3206),"MATCH","MISMATCH"))</f>
        <v>MATCH</v>
      </c>
      <c r="O3206" s="5" t="str">
        <f>INDEX([1]Employee!$C$2:$C$276,MATCH(B3206,[1]Employee!$A$2:$A$276,0))</f>
        <v>Actuarial &amp; Risk</v>
      </c>
    </row>
    <row r="3207" spans="1:15">
      <c r="A3207" s="1" t="s">
        <v>6222</v>
      </c>
      <c r="B3207" s="1" t="s">
        <v>608</v>
      </c>
      <c r="C3207" s="1" t="s">
        <v>6223</v>
      </c>
      <c r="D3207" s="2">
        <v>46037</v>
      </c>
      <c r="E3207" s="2">
        <v>46196</v>
      </c>
      <c r="F3207" s="1" t="s">
        <v>106</v>
      </c>
      <c r="G3207" s="1" t="s">
        <v>13</v>
      </c>
      <c r="H3207" s="1" t="s">
        <v>14</v>
      </c>
      <c r="I3207" s="7">
        <v>139.22</v>
      </c>
      <c r="J3207" s="1" t="s">
        <v>38</v>
      </c>
      <c r="K3207" s="1"/>
      <c r="L3207" s="1" t="s">
        <v>39</v>
      </c>
      <c r="M3207" s="1" t="str">
        <f>INDEX(MCC_Lookup!$B$2:$B$12,MATCH(G3207,MCC_Lookup!$A$2:$A$12,0))</f>
        <v>Software</v>
      </c>
      <c r="N3207" s="1" t="str">
        <f>IF(TRIM(H3207)="","BLANK",IF(PROPER(TRIM(H3207))=TRIM(M3207),"MATCH","MISMATCH"))</f>
        <v>MATCH</v>
      </c>
      <c r="O3207" s="5" t="str">
        <f>INDEX([1]Employee!$C$2:$C$276,MATCH(B3207,[1]Employee!$A$2:$A$276,0))</f>
        <v>IT &amp; Platform Engineering</v>
      </c>
    </row>
    <row r="3208" spans="1:15">
      <c r="A3208" s="1" t="s">
        <v>6224</v>
      </c>
      <c r="B3208" s="1" t="s">
        <v>1175</v>
      </c>
      <c r="C3208" s="1"/>
      <c r="D3208" s="2">
        <v>46080</v>
      </c>
      <c r="E3208" s="2">
        <v>46196</v>
      </c>
      <c r="F3208" s="1" t="s">
        <v>305</v>
      </c>
      <c r="G3208" s="1" t="s">
        <v>2</v>
      </c>
      <c r="H3208" s="1" t="s">
        <v>3</v>
      </c>
      <c r="I3208" s="7">
        <v>13.86</v>
      </c>
      <c r="J3208" s="1" t="s">
        <v>111</v>
      </c>
      <c r="K3208" s="1" t="s">
        <v>112</v>
      </c>
      <c r="L3208" s="1" t="s">
        <v>39</v>
      </c>
      <c r="M3208" s="1" t="str">
        <f>INDEX(MCC_Lookup!$B$2:$B$12,MATCH(G3208,MCC_Lookup!$A$2:$A$12,0))</f>
        <v>Meals</v>
      </c>
      <c r="N3208" s="1" t="str">
        <f>IF(TRIM(H3208)="","BLANK",IF(PROPER(TRIM(H3208))=TRIM(M3208),"MATCH","MISMATCH"))</f>
        <v>MATCH</v>
      </c>
      <c r="O3208" s="5" t="str">
        <f>INDEX([1]Employee!$C$2:$C$276,MATCH(B3208,[1]Employee!$A$2:$A$276,0))</f>
        <v>Underwriting</v>
      </c>
    </row>
    <row r="3209" spans="1:15">
      <c r="A3209" s="1" t="s">
        <v>6225</v>
      </c>
      <c r="B3209" s="1" t="s">
        <v>969</v>
      </c>
      <c r="C3209" s="1" t="s">
        <v>6226</v>
      </c>
      <c r="D3209" s="2">
        <v>46077</v>
      </c>
      <c r="E3209" s="2">
        <v>46196</v>
      </c>
      <c r="F3209" s="1" t="s">
        <v>92</v>
      </c>
      <c r="G3209" s="1" t="s">
        <v>10</v>
      </c>
      <c r="H3209" s="1" t="s">
        <v>11</v>
      </c>
      <c r="I3209" s="7">
        <v>66.989999999999995</v>
      </c>
      <c r="J3209" s="1" t="s">
        <v>38</v>
      </c>
      <c r="K3209" s="1"/>
      <c r="L3209" s="1" t="s">
        <v>39</v>
      </c>
      <c r="M3209" s="1" t="str">
        <f>INDEX(MCC_Lookup!$B$2:$B$12,MATCH(G3209,MCC_Lookup!$A$2:$A$12,0))</f>
        <v>Office Supplies</v>
      </c>
      <c r="N3209" s="1" t="str">
        <f>IF(TRIM(H3209)="","BLANK",IF(PROPER(TRIM(H3209))=TRIM(M3209),"MATCH","MISMATCH"))</f>
        <v>MATCH</v>
      </c>
      <c r="O3209" s="5" t="str">
        <f>INDEX([1]Employee!$C$2:$C$276,MATCH(B3209,[1]Employee!$A$2:$A$276,0))</f>
        <v>HR &amp; Events</v>
      </c>
    </row>
    <row r="3210" spans="1:15">
      <c r="A3210" s="1" t="s">
        <v>6227</v>
      </c>
      <c r="B3210" s="1" t="s">
        <v>924</v>
      </c>
      <c r="C3210" s="1" t="s">
        <v>6228</v>
      </c>
      <c r="D3210" s="2">
        <v>46188</v>
      </c>
      <c r="E3210" s="2">
        <v>46196</v>
      </c>
      <c r="F3210" s="1" t="s">
        <v>52</v>
      </c>
      <c r="G3210" s="1" t="s">
        <v>15</v>
      </c>
      <c r="H3210" s="1" t="s">
        <v>6229</v>
      </c>
      <c r="I3210" s="7">
        <v>43.14</v>
      </c>
      <c r="J3210" s="1" t="s">
        <v>38</v>
      </c>
      <c r="K3210" s="1"/>
      <c r="L3210" s="1" t="s">
        <v>39</v>
      </c>
      <c r="M3210" s="1" t="str">
        <f>INDEX(MCC_Lookup!$B$2:$B$12,MATCH(G3210,MCC_Lookup!$A$2:$A$12,0))</f>
        <v>Entertainment</v>
      </c>
      <c r="N3210" s="1" t="str">
        <f>IF(TRIM(H3210)="","BLANK",IF(PROPER(TRIM(H3210))=TRIM(M3210),"MATCH","MISMATCH"))</f>
        <v>MATCH</v>
      </c>
      <c r="O3210" s="5" t="str">
        <f>INDEX([1]Employee!$C$2:$C$276,MATCH(B3210,[1]Employee!$A$2:$A$276,0))</f>
        <v>HR &amp; Events</v>
      </c>
    </row>
    <row r="3211" spans="1:15">
      <c r="A3211" s="1" t="s">
        <v>6230</v>
      </c>
      <c r="B3211" s="1" t="s">
        <v>190</v>
      </c>
      <c r="C3211" s="1" t="s">
        <v>6231</v>
      </c>
      <c r="D3211" s="2">
        <v>46190</v>
      </c>
      <c r="E3211" s="2">
        <v>46196</v>
      </c>
      <c r="F3211" s="1" t="s">
        <v>56</v>
      </c>
      <c r="G3211" s="1" t="s">
        <v>4</v>
      </c>
      <c r="H3211" s="1" t="s">
        <v>5</v>
      </c>
      <c r="I3211" s="7">
        <v>527.98</v>
      </c>
      <c r="J3211" s="1" t="s">
        <v>38</v>
      </c>
      <c r="K3211" s="1"/>
      <c r="L3211" s="1" t="s">
        <v>39</v>
      </c>
      <c r="M3211" s="1" t="str">
        <f>INDEX(MCC_Lookup!$B$2:$B$12,MATCH(G3211,MCC_Lookup!$A$2:$A$12,0))</f>
        <v>Travel</v>
      </c>
      <c r="N3211" s="1" t="str">
        <f>IF(TRIM(H3211)="","BLANK",IF(PROPER(TRIM(H3211))=TRIM(M3211),"MATCH","MISMATCH"))</f>
        <v>MATCH</v>
      </c>
      <c r="O3211" s="5" t="str">
        <f>INDEX([1]Employee!$C$2:$C$276,MATCH(B3211,[1]Employee!$A$2:$A$276,0))</f>
        <v>Sales &amp; Marketing</v>
      </c>
    </row>
    <row r="3212" spans="1:15">
      <c r="A3212" s="1" t="s">
        <v>6232</v>
      </c>
      <c r="B3212" s="1" t="s">
        <v>709</v>
      </c>
      <c r="C3212" s="1" t="s">
        <v>6233</v>
      </c>
      <c r="D3212" s="2">
        <v>46144</v>
      </c>
      <c r="E3212" s="2">
        <v>46196</v>
      </c>
      <c r="F3212" s="1" t="s">
        <v>99</v>
      </c>
      <c r="G3212" s="1" t="s">
        <v>2</v>
      </c>
      <c r="H3212" s="1" t="s">
        <v>3</v>
      </c>
      <c r="I3212" s="7">
        <v>124.77</v>
      </c>
      <c r="J3212" s="1" t="s">
        <v>38</v>
      </c>
      <c r="K3212" s="1"/>
      <c r="L3212" s="1" t="s">
        <v>39</v>
      </c>
      <c r="M3212" s="1" t="str">
        <f>INDEX(MCC_Lookup!$B$2:$B$12,MATCH(G3212,MCC_Lookup!$A$2:$A$12,0))</f>
        <v>Meals</v>
      </c>
      <c r="N3212" s="1" t="str">
        <f>IF(TRIM(H3212)="","BLANK",IF(PROPER(TRIM(H3212))=TRIM(M3212),"MATCH","MISMATCH"))</f>
        <v>MATCH</v>
      </c>
      <c r="O3212" s="5" t="str">
        <f>INDEX([1]Employee!$C$2:$C$276,MATCH(B3212,[1]Employee!$A$2:$A$276,0))</f>
        <v>Underwriting</v>
      </c>
    </row>
    <row r="3213" spans="1:15">
      <c r="A3213" s="1" t="s">
        <v>6234</v>
      </c>
      <c r="B3213" s="1" t="s">
        <v>280</v>
      </c>
      <c r="C3213" s="1" t="s">
        <v>6235</v>
      </c>
      <c r="D3213" s="2">
        <v>46192</v>
      </c>
      <c r="E3213" s="2">
        <v>46196</v>
      </c>
      <c r="F3213" s="1" t="s">
        <v>177</v>
      </c>
      <c r="G3213" s="1" t="s">
        <v>13</v>
      </c>
      <c r="H3213" s="1" t="s">
        <v>14</v>
      </c>
      <c r="I3213" s="7">
        <v>29.87</v>
      </c>
      <c r="J3213" s="1" t="s">
        <v>38</v>
      </c>
      <c r="K3213" s="1"/>
      <c r="L3213" s="1" t="s">
        <v>39</v>
      </c>
      <c r="M3213" s="1" t="str">
        <f>INDEX(MCC_Lookup!$B$2:$B$12,MATCH(G3213,MCC_Lookup!$A$2:$A$12,0))</f>
        <v>Software</v>
      </c>
      <c r="N3213" s="1" t="str">
        <f>IF(TRIM(H3213)="","BLANK",IF(PROPER(TRIM(H3213))=TRIM(M3213),"MATCH","MISMATCH"))</f>
        <v>MATCH</v>
      </c>
      <c r="O3213" s="5" t="str">
        <f>INDEX([1]Employee!$C$2:$C$276,MATCH(B3213,[1]Employee!$A$2:$A$276,0))</f>
        <v>Claims</v>
      </c>
    </row>
    <row r="3214" spans="1:15">
      <c r="A3214" s="1" t="s">
        <v>6236</v>
      </c>
      <c r="B3214" s="1" t="s">
        <v>1206</v>
      </c>
      <c r="C3214" s="1" t="s">
        <v>6237</v>
      </c>
      <c r="D3214" s="2">
        <v>46187</v>
      </c>
      <c r="E3214" s="2">
        <v>46196</v>
      </c>
      <c r="F3214" s="1" t="s">
        <v>116</v>
      </c>
      <c r="G3214" s="1" t="s">
        <v>2</v>
      </c>
      <c r="H3214" s="1" t="s">
        <v>794</v>
      </c>
      <c r="I3214" s="7">
        <v>16.420000000000002</v>
      </c>
      <c r="J3214" s="1" t="s">
        <v>38</v>
      </c>
      <c r="K3214" s="1"/>
      <c r="L3214" s="1" t="s">
        <v>39</v>
      </c>
      <c r="M3214" s="1" t="str">
        <f>INDEX(MCC_Lookup!$B$2:$B$12,MATCH(G3214,MCC_Lookup!$A$2:$A$12,0))</f>
        <v>Meals</v>
      </c>
      <c r="N3214" s="1" t="str">
        <f>IF(TRIM(H3214)="","BLANK",IF(PROPER(TRIM(H3214))=TRIM(M3214),"MATCH","MISMATCH"))</f>
        <v>MATCH</v>
      </c>
      <c r="O3214" s="5" t="str">
        <f>INDEX([1]Employee!$C$2:$C$276,MATCH(B3214,[1]Employee!$A$2:$A$276,0))</f>
        <v>Customer Support</v>
      </c>
    </row>
    <row r="3215" spans="1:15">
      <c r="A3215" s="1" t="s">
        <v>6238</v>
      </c>
      <c r="B3215" s="1" t="s">
        <v>1107</v>
      </c>
      <c r="C3215" s="1" t="s">
        <v>6239</v>
      </c>
      <c r="D3215" s="2">
        <v>46189</v>
      </c>
      <c r="E3215" s="2">
        <v>46196</v>
      </c>
      <c r="F3215" s="1" t="s">
        <v>173</v>
      </c>
      <c r="G3215" s="1" t="s">
        <v>2</v>
      </c>
      <c r="H3215" s="1" t="s">
        <v>3</v>
      </c>
      <c r="I3215" s="7">
        <v>88.85</v>
      </c>
      <c r="J3215" s="1" t="s">
        <v>38</v>
      </c>
      <c r="K3215" s="1"/>
      <c r="L3215" s="1" t="s">
        <v>39</v>
      </c>
      <c r="M3215" s="1" t="str">
        <f>INDEX(MCC_Lookup!$B$2:$B$12,MATCH(G3215,MCC_Lookup!$A$2:$A$12,0))</f>
        <v>Meals</v>
      </c>
      <c r="N3215" s="1" t="str">
        <f>IF(TRIM(H3215)="","BLANK",IF(PROPER(TRIM(H3215))=TRIM(M3215),"MATCH","MISMATCH"))</f>
        <v>MATCH</v>
      </c>
      <c r="O3215" s="5" t="str">
        <f>INDEX([1]Employee!$C$2:$C$276,MATCH(B3215,[1]Employee!$A$2:$A$276,0))</f>
        <v>Claims</v>
      </c>
    </row>
    <row r="3216" spans="1:15">
      <c r="A3216" s="1" t="s">
        <v>6240</v>
      </c>
      <c r="B3216" s="1" t="s">
        <v>87</v>
      </c>
      <c r="C3216" s="1" t="s">
        <v>6241</v>
      </c>
      <c r="D3216" s="2">
        <v>46190</v>
      </c>
      <c r="E3216" s="2">
        <v>46196</v>
      </c>
      <c r="F3216" s="1" t="s">
        <v>305</v>
      </c>
      <c r="G3216" s="1" t="s">
        <v>2</v>
      </c>
      <c r="H3216" s="1" t="s">
        <v>3</v>
      </c>
      <c r="I3216" s="7">
        <v>15.6</v>
      </c>
      <c r="J3216" s="1" t="s">
        <v>38</v>
      </c>
      <c r="K3216" s="1"/>
      <c r="L3216" s="1" t="s">
        <v>39</v>
      </c>
      <c r="M3216" s="1" t="str">
        <f>INDEX(MCC_Lookup!$B$2:$B$12,MATCH(G3216,MCC_Lookup!$A$2:$A$12,0))</f>
        <v>Meals</v>
      </c>
      <c r="N3216" s="1" t="str">
        <f>IF(TRIM(H3216)="","BLANK",IF(PROPER(TRIM(H3216))=TRIM(M3216),"MATCH","MISMATCH"))</f>
        <v>MATCH</v>
      </c>
      <c r="O3216" s="5" t="str">
        <f>INDEX([1]Employee!$C$2:$C$276,MATCH(B3216,[1]Employee!$A$2:$A$276,0))</f>
        <v>HR &amp; Events</v>
      </c>
    </row>
    <row r="3217" spans="1:15">
      <c r="A3217" s="1" t="s">
        <v>6242</v>
      </c>
      <c r="B3217" s="1" t="s">
        <v>677</v>
      </c>
      <c r="C3217" s="1" t="s">
        <v>6243</v>
      </c>
      <c r="D3217" s="2">
        <v>46170</v>
      </c>
      <c r="E3217" s="2">
        <v>46196</v>
      </c>
      <c r="F3217" s="1" t="s">
        <v>116</v>
      </c>
      <c r="G3217" s="1" t="s">
        <v>2</v>
      </c>
      <c r="H3217" s="1" t="s">
        <v>3</v>
      </c>
      <c r="I3217" s="7">
        <v>21.44</v>
      </c>
      <c r="J3217" s="1" t="s">
        <v>38</v>
      </c>
      <c r="K3217" s="1"/>
      <c r="L3217" s="1" t="s">
        <v>39</v>
      </c>
      <c r="M3217" s="1" t="str">
        <f>INDEX(MCC_Lookup!$B$2:$B$12,MATCH(G3217,MCC_Lookup!$A$2:$A$12,0))</f>
        <v>Meals</v>
      </c>
      <c r="N3217" s="1" t="str">
        <f>IF(TRIM(H3217)="","BLANK",IF(PROPER(TRIM(H3217))=TRIM(M3217),"MATCH","MISMATCH"))</f>
        <v>MATCH</v>
      </c>
      <c r="O3217" s="5" t="str">
        <f>INDEX([1]Employee!$C$2:$C$276,MATCH(B3217,[1]Employee!$A$2:$A$276,0))</f>
        <v>Sales &amp; Marketing</v>
      </c>
    </row>
    <row r="3218" spans="1:15">
      <c r="A3218" s="1" t="s">
        <v>6244</v>
      </c>
      <c r="B3218" s="1" t="s">
        <v>1147</v>
      </c>
      <c r="C3218" s="1" t="s">
        <v>6245</v>
      </c>
      <c r="D3218" s="2">
        <v>46181</v>
      </c>
      <c r="E3218" s="2">
        <v>46196</v>
      </c>
      <c r="F3218" s="1" t="s">
        <v>95</v>
      </c>
      <c r="G3218" s="1" t="s">
        <v>6</v>
      </c>
      <c r="H3218" s="1" t="s">
        <v>7</v>
      </c>
      <c r="I3218" s="7">
        <v>306.42</v>
      </c>
      <c r="J3218" s="1" t="s">
        <v>38</v>
      </c>
      <c r="K3218" s="1"/>
      <c r="L3218" s="1" t="s">
        <v>39</v>
      </c>
      <c r="M3218" s="1" t="str">
        <f>INDEX(MCC_Lookup!$B$2:$B$12,MATCH(G3218,MCC_Lookup!$A$2:$A$12,0))</f>
        <v>Lodging</v>
      </c>
      <c r="N3218" s="1" t="str">
        <f>IF(TRIM(H3218)="","BLANK",IF(PROPER(TRIM(H3218))=TRIM(M3218),"MATCH","MISMATCH"))</f>
        <v>MATCH</v>
      </c>
      <c r="O3218" s="5" t="str">
        <f>INDEX([1]Employee!$C$2:$C$276,MATCH(B3218,[1]Employee!$A$2:$A$276,0))</f>
        <v>Finance</v>
      </c>
    </row>
    <row r="3219" spans="1:15">
      <c r="A3219" s="1" t="s">
        <v>6246</v>
      </c>
      <c r="B3219" s="1" t="s">
        <v>623</v>
      </c>
      <c r="C3219" s="1" t="s">
        <v>6247</v>
      </c>
      <c r="D3219" s="2">
        <v>46192</v>
      </c>
      <c r="E3219" s="2">
        <v>46196</v>
      </c>
      <c r="F3219" s="1" t="s">
        <v>99</v>
      </c>
      <c r="G3219" s="1" t="s">
        <v>2</v>
      </c>
      <c r="H3219" s="1" t="s">
        <v>3</v>
      </c>
      <c r="I3219" s="7">
        <v>108.23</v>
      </c>
      <c r="J3219" s="1" t="s">
        <v>38</v>
      </c>
      <c r="K3219" s="1"/>
      <c r="L3219" s="1" t="s">
        <v>39</v>
      </c>
      <c r="M3219" s="1" t="str">
        <f>INDEX(MCC_Lookup!$B$2:$B$12,MATCH(G3219,MCC_Lookup!$A$2:$A$12,0))</f>
        <v>Meals</v>
      </c>
      <c r="N3219" s="1" t="str">
        <f>IF(TRIM(H3219)="","BLANK",IF(PROPER(TRIM(H3219))=TRIM(M3219),"MATCH","MISMATCH"))</f>
        <v>MATCH</v>
      </c>
      <c r="O3219" s="5" t="str">
        <f>INDEX([1]Employee!$C$2:$C$276,MATCH(B3219,[1]Employee!$A$2:$A$276,0))</f>
        <v>Underwriting</v>
      </c>
    </row>
    <row r="3220" spans="1:15">
      <c r="A3220" s="1" t="s">
        <v>6248</v>
      </c>
      <c r="B3220" s="1" t="s">
        <v>433</v>
      </c>
      <c r="C3220" s="1" t="s">
        <v>6249</v>
      </c>
      <c r="D3220" s="2">
        <v>46188</v>
      </c>
      <c r="E3220" s="2">
        <v>46196</v>
      </c>
      <c r="F3220" s="1" t="s">
        <v>92</v>
      </c>
      <c r="G3220" s="1" t="s">
        <v>10</v>
      </c>
      <c r="H3220" s="1" t="s">
        <v>11</v>
      </c>
      <c r="I3220" s="7">
        <v>84.74</v>
      </c>
      <c r="J3220" s="1" t="s">
        <v>38</v>
      </c>
      <c r="K3220" s="1"/>
      <c r="L3220" s="1" t="s">
        <v>39</v>
      </c>
      <c r="M3220" s="1" t="str">
        <f>INDEX(MCC_Lookup!$B$2:$B$12,MATCH(G3220,MCC_Lookup!$A$2:$A$12,0))</f>
        <v>Office Supplies</v>
      </c>
      <c r="N3220" s="1" t="str">
        <f>IF(TRIM(H3220)="","BLANK",IF(PROPER(TRIM(H3220))=TRIM(M3220),"MATCH","MISMATCH"))</f>
        <v>MATCH</v>
      </c>
      <c r="O3220" s="5" t="str">
        <f>INDEX([1]Employee!$C$2:$C$276,MATCH(B3220,[1]Employee!$A$2:$A$276,0))</f>
        <v>Sales &amp; Marketing</v>
      </c>
    </row>
    <row r="3221" spans="1:15">
      <c r="A3221" s="1" t="s">
        <v>6250</v>
      </c>
      <c r="B3221" s="1" t="s">
        <v>182</v>
      </c>
      <c r="C3221" s="1" t="s">
        <v>6251</v>
      </c>
      <c r="D3221" s="2">
        <v>46043</v>
      </c>
      <c r="E3221" s="2">
        <v>46196</v>
      </c>
      <c r="F3221" s="1" t="s">
        <v>347</v>
      </c>
      <c r="G3221" s="1" t="s">
        <v>8</v>
      </c>
      <c r="H3221" s="1" t="s">
        <v>9</v>
      </c>
      <c r="I3221" s="7">
        <v>59.59</v>
      </c>
      <c r="J3221" s="1" t="s">
        <v>38</v>
      </c>
      <c r="K3221" s="1"/>
      <c r="L3221" s="1" t="s">
        <v>39</v>
      </c>
      <c r="M3221" s="1" t="str">
        <f>INDEX(MCC_Lookup!$B$2:$B$12,MATCH(G3221,MCC_Lookup!$A$2:$A$12,0))</f>
        <v>Transportation</v>
      </c>
      <c r="N3221" s="1" t="str">
        <f>IF(TRIM(H3221)="","BLANK",IF(PROPER(TRIM(H3221))=TRIM(M3221),"MATCH","MISMATCH"))</f>
        <v>MATCH</v>
      </c>
      <c r="O3221" s="5" t="str">
        <f>INDEX([1]Employee!$C$2:$C$276,MATCH(B3221,[1]Employee!$A$2:$A$276,0))</f>
        <v>Sales &amp; Marketing</v>
      </c>
    </row>
    <row r="3222" spans="1:15">
      <c r="A3222" s="1" t="s">
        <v>6252</v>
      </c>
      <c r="B3222" s="1" t="s">
        <v>182</v>
      </c>
      <c r="C3222" s="1"/>
      <c r="D3222" s="2">
        <v>46130</v>
      </c>
      <c r="E3222" s="2">
        <v>46196</v>
      </c>
      <c r="F3222" s="1" t="s">
        <v>79</v>
      </c>
      <c r="G3222" s="1" t="s">
        <v>13</v>
      </c>
      <c r="H3222" s="1" t="s">
        <v>14</v>
      </c>
      <c r="I3222" s="7">
        <v>170.35</v>
      </c>
      <c r="J3222" s="1" t="s">
        <v>38</v>
      </c>
      <c r="K3222" s="1"/>
      <c r="L3222" s="1" t="s">
        <v>39</v>
      </c>
      <c r="M3222" s="1" t="str">
        <f>INDEX(MCC_Lookup!$B$2:$B$12,MATCH(G3222,MCC_Lookup!$A$2:$A$12,0))</f>
        <v>Software</v>
      </c>
      <c r="N3222" s="1" t="str">
        <f>IF(TRIM(H3222)="","BLANK",IF(PROPER(TRIM(H3222))=TRIM(M3222),"MATCH","MISMATCH"))</f>
        <v>MATCH</v>
      </c>
      <c r="O3222" s="5" t="str">
        <f>INDEX([1]Employee!$C$2:$C$276,MATCH(B3222,[1]Employee!$A$2:$A$276,0))</f>
        <v>Sales &amp; Marketing</v>
      </c>
    </row>
    <row r="3223" spans="1:15">
      <c r="A3223" s="1" t="s">
        <v>6253</v>
      </c>
      <c r="B3223" s="1" t="s">
        <v>1753</v>
      </c>
      <c r="C3223" s="1" t="s">
        <v>6254</v>
      </c>
      <c r="D3223" s="2">
        <v>46186</v>
      </c>
      <c r="E3223" s="2">
        <v>46196</v>
      </c>
      <c r="F3223" s="1" t="s">
        <v>259</v>
      </c>
      <c r="G3223" s="1" t="s">
        <v>20</v>
      </c>
      <c r="H3223" s="1" t="s">
        <v>19</v>
      </c>
      <c r="I3223" s="7">
        <v>269.77</v>
      </c>
      <c r="J3223" s="1" t="s">
        <v>38</v>
      </c>
      <c r="K3223" s="1"/>
      <c r="L3223" s="1" t="s">
        <v>48</v>
      </c>
      <c r="M3223" s="1" t="str">
        <f>INDEX(MCC_Lookup!$B$2:$B$12,MATCH(G3223,MCC_Lookup!$A$2:$A$12,0))</f>
        <v>Events</v>
      </c>
      <c r="N3223" s="1" t="str">
        <f>IF(TRIM(H3223)="","BLANK",IF(PROPER(TRIM(H3223))=TRIM(M3223),"MATCH","MISMATCH"))</f>
        <v>MATCH</v>
      </c>
      <c r="O3223" s="5" t="str">
        <f>INDEX([1]Employee!$C$2:$C$276,MATCH(B3223,[1]Employee!$A$2:$A$276,0))</f>
        <v>IT &amp; Platform Engineering</v>
      </c>
    </row>
    <row r="3224" spans="1:15">
      <c r="A3224" s="1" t="s">
        <v>6255</v>
      </c>
      <c r="B3224" s="1" t="s">
        <v>499</v>
      </c>
      <c r="C3224" s="1" t="s">
        <v>6256</v>
      </c>
      <c r="D3224" s="2">
        <v>46106</v>
      </c>
      <c r="E3224" s="2">
        <v>46197</v>
      </c>
      <c r="F3224" s="1" t="s">
        <v>120</v>
      </c>
      <c r="G3224" s="1" t="s">
        <v>12</v>
      </c>
      <c r="H3224" s="1" t="s">
        <v>11</v>
      </c>
      <c r="I3224" s="7">
        <v>38.729999999999997</v>
      </c>
      <c r="J3224" s="1" t="s">
        <v>38</v>
      </c>
      <c r="K3224" s="1"/>
      <c r="L3224" s="1" t="s">
        <v>39</v>
      </c>
      <c r="M3224" s="1" t="str">
        <f>INDEX(MCC_Lookup!$B$2:$B$12,MATCH(G3224,MCC_Lookup!$A$2:$A$12,0))</f>
        <v>Office Supplies</v>
      </c>
      <c r="N3224" s="1" t="str">
        <f>IF(TRIM(H3224)="","BLANK",IF(PROPER(TRIM(H3224))=TRIM(M3224),"MATCH","MISMATCH"))</f>
        <v>MATCH</v>
      </c>
      <c r="O3224" s="5" t="str">
        <f>INDEX([1]Employee!$C$2:$C$276,MATCH(B3224,[1]Employee!$A$2:$A$276,0))</f>
        <v>Sales &amp; Marketing</v>
      </c>
    </row>
    <row r="3225" spans="1:15">
      <c r="A3225" s="1" t="s">
        <v>6257</v>
      </c>
      <c r="B3225" s="1" t="s">
        <v>991</v>
      </c>
      <c r="C3225" s="1" t="s">
        <v>6258</v>
      </c>
      <c r="D3225" s="2">
        <v>46174</v>
      </c>
      <c r="E3225" s="2">
        <v>46197</v>
      </c>
      <c r="F3225" s="1" t="s">
        <v>95</v>
      </c>
      <c r="G3225" s="1" t="s">
        <v>6</v>
      </c>
      <c r="H3225" s="1" t="s">
        <v>7</v>
      </c>
      <c r="I3225" s="7">
        <v>348.65</v>
      </c>
      <c r="J3225" s="1" t="s">
        <v>38</v>
      </c>
      <c r="K3225" s="1"/>
      <c r="L3225" s="1" t="s">
        <v>39</v>
      </c>
      <c r="M3225" s="1" t="str">
        <f>INDEX(MCC_Lookup!$B$2:$B$12,MATCH(G3225,MCC_Lookup!$A$2:$A$12,0))</f>
        <v>Lodging</v>
      </c>
      <c r="N3225" s="1" t="str">
        <f>IF(TRIM(H3225)="","BLANK",IF(PROPER(TRIM(H3225))=TRIM(M3225),"MATCH","MISMATCH"))</f>
        <v>MATCH</v>
      </c>
      <c r="O3225" s="5" t="str">
        <f>INDEX([1]Employee!$C$2:$C$276,MATCH(B3225,[1]Employee!$A$2:$A$276,0))</f>
        <v>Claims</v>
      </c>
    </row>
    <row r="3226" spans="1:15">
      <c r="A3226" s="1" t="s">
        <v>6259</v>
      </c>
      <c r="B3226" s="1" t="s">
        <v>104</v>
      </c>
      <c r="C3226" s="1" t="s">
        <v>6260</v>
      </c>
      <c r="D3226" s="2">
        <v>46195</v>
      </c>
      <c r="E3226" s="2">
        <v>46197</v>
      </c>
      <c r="F3226" s="1" t="s">
        <v>160</v>
      </c>
      <c r="G3226" s="1" t="s">
        <v>6</v>
      </c>
      <c r="H3226" s="1" t="s">
        <v>7</v>
      </c>
      <c r="I3226" s="7">
        <v>285.20999999999998</v>
      </c>
      <c r="J3226" s="1" t="s">
        <v>38</v>
      </c>
      <c r="K3226" s="1"/>
      <c r="L3226" s="1" t="s">
        <v>39</v>
      </c>
      <c r="M3226" s="1" t="str">
        <f>INDEX(MCC_Lookup!$B$2:$B$12,MATCH(G3226,MCC_Lookup!$A$2:$A$12,0))</f>
        <v>Lodging</v>
      </c>
      <c r="N3226" s="1" t="str">
        <f>IF(TRIM(H3226)="","BLANK",IF(PROPER(TRIM(H3226))=TRIM(M3226),"MATCH","MISMATCH"))</f>
        <v>MATCH</v>
      </c>
      <c r="O3226" s="5" t="str">
        <f>INDEX([1]Employee!$C$2:$C$276,MATCH(B3226,[1]Employee!$A$2:$A$276,0))</f>
        <v>Sales &amp; Marketing</v>
      </c>
    </row>
    <row r="3227" spans="1:15">
      <c r="A3227" s="1" t="s">
        <v>6261</v>
      </c>
      <c r="B3227" s="1" t="s">
        <v>210</v>
      </c>
      <c r="C3227" s="1" t="s">
        <v>6262</v>
      </c>
      <c r="D3227" s="2">
        <v>46096</v>
      </c>
      <c r="E3227" s="2">
        <v>46197</v>
      </c>
      <c r="F3227" s="1" t="s">
        <v>120</v>
      </c>
      <c r="G3227" s="1" t="s">
        <v>12</v>
      </c>
      <c r="H3227" s="1" t="s">
        <v>11</v>
      </c>
      <c r="I3227" s="7">
        <v>268.02</v>
      </c>
      <c r="J3227" s="1" t="s">
        <v>38</v>
      </c>
      <c r="K3227" s="1"/>
      <c r="L3227" s="1" t="s">
        <v>39</v>
      </c>
      <c r="M3227" s="1" t="str">
        <f>INDEX(MCC_Lookup!$B$2:$B$12,MATCH(G3227,MCC_Lookup!$A$2:$A$12,0))</f>
        <v>Office Supplies</v>
      </c>
      <c r="N3227" s="1" t="str">
        <f>IF(TRIM(H3227)="","BLANK",IF(PROPER(TRIM(H3227))=TRIM(M3227),"MATCH","MISMATCH"))</f>
        <v>MATCH</v>
      </c>
      <c r="O3227" s="5" t="str">
        <f>INDEX([1]Employee!$C$2:$C$276,MATCH(B3227,[1]Employee!$A$2:$A$276,0))</f>
        <v>Sales &amp; Marketing</v>
      </c>
    </row>
    <row r="3228" spans="1:15">
      <c r="A3228" s="1" t="s">
        <v>6263</v>
      </c>
      <c r="B3228" s="1" t="s">
        <v>1180</v>
      </c>
      <c r="C3228" s="1" t="s">
        <v>6264</v>
      </c>
      <c r="D3228" s="2">
        <v>46151</v>
      </c>
      <c r="E3228" s="2">
        <v>46197</v>
      </c>
      <c r="F3228" s="1" t="s">
        <v>72</v>
      </c>
      <c r="G3228" s="1" t="s">
        <v>8</v>
      </c>
      <c r="H3228" s="1" t="s">
        <v>435</v>
      </c>
      <c r="I3228" s="7">
        <v>41.79</v>
      </c>
      <c r="J3228" s="1" t="s">
        <v>38</v>
      </c>
      <c r="K3228" s="1"/>
      <c r="L3228" s="1" t="s">
        <v>39</v>
      </c>
      <c r="M3228" s="1" t="str">
        <f>INDEX(MCC_Lookup!$B$2:$B$12,MATCH(G3228,MCC_Lookup!$A$2:$A$12,0))</f>
        <v>Transportation</v>
      </c>
      <c r="N3228" s="1" t="str">
        <f>IF(TRIM(H3228)="","BLANK",IF(PROPER(TRIM(H3228))=TRIM(M3228),"MATCH","MISMATCH"))</f>
        <v>MATCH</v>
      </c>
      <c r="O3228" s="5" t="str">
        <f>INDEX([1]Employee!$C$2:$C$276,MATCH(B3228,[1]Employee!$A$2:$A$276,0))</f>
        <v>IT &amp; Platform Engineering</v>
      </c>
    </row>
    <row r="3229" spans="1:15">
      <c r="A3229" s="1" t="s">
        <v>6265</v>
      </c>
      <c r="B3229" s="1" t="s">
        <v>832</v>
      </c>
      <c r="C3229" s="1"/>
      <c r="D3229" s="2">
        <v>46058</v>
      </c>
      <c r="E3229" s="2">
        <v>46197</v>
      </c>
      <c r="F3229" s="1" t="s">
        <v>109</v>
      </c>
      <c r="G3229" s="1" t="s">
        <v>18</v>
      </c>
      <c r="H3229" s="1" t="s">
        <v>19</v>
      </c>
      <c r="I3229" s="7">
        <v>139.83000000000001</v>
      </c>
      <c r="J3229" s="1" t="s">
        <v>111</v>
      </c>
      <c r="K3229" s="1" t="s">
        <v>112</v>
      </c>
      <c r="L3229" s="1" t="s">
        <v>39</v>
      </c>
      <c r="M3229" s="1" t="str">
        <f>INDEX(MCC_Lookup!$B$2:$B$12,MATCH(G3229,MCC_Lookup!$A$2:$A$12,0))</f>
        <v>Events</v>
      </c>
      <c r="N3229" s="1" t="str">
        <f>IF(TRIM(H3229)="","BLANK",IF(PROPER(TRIM(H3229))=TRIM(M3229),"MATCH","MISMATCH"))</f>
        <v>MATCH</v>
      </c>
      <c r="O3229" s="5" t="str">
        <f>INDEX([1]Employee!$C$2:$C$276,MATCH(B3229,[1]Employee!$A$2:$A$276,0))</f>
        <v>Sales &amp; Marketing</v>
      </c>
    </row>
    <row r="3230" spans="1:15">
      <c r="A3230" s="1" t="s">
        <v>6266</v>
      </c>
      <c r="B3230" s="1" t="s">
        <v>1201</v>
      </c>
      <c r="C3230" s="1"/>
      <c r="D3230" s="2">
        <v>46061</v>
      </c>
      <c r="E3230" s="2">
        <v>46197</v>
      </c>
      <c r="F3230" s="1" t="s">
        <v>109</v>
      </c>
      <c r="G3230" s="1" t="s">
        <v>18</v>
      </c>
      <c r="H3230" s="1" t="s">
        <v>19</v>
      </c>
      <c r="I3230" s="7">
        <v>135.37</v>
      </c>
      <c r="J3230" s="1" t="s">
        <v>38</v>
      </c>
      <c r="K3230" s="1"/>
      <c r="L3230" s="1" t="s">
        <v>39</v>
      </c>
      <c r="M3230" s="1" t="str">
        <f>INDEX(MCC_Lookup!$B$2:$B$12,MATCH(G3230,MCC_Lookup!$A$2:$A$12,0))</f>
        <v>Events</v>
      </c>
      <c r="N3230" s="1" t="str">
        <f>IF(TRIM(H3230)="","BLANK",IF(PROPER(TRIM(H3230))=TRIM(M3230),"MATCH","MISMATCH"))</f>
        <v>MATCH</v>
      </c>
      <c r="O3230" s="5" t="str">
        <f>INDEX([1]Employee!$C$2:$C$276,MATCH(B3230,[1]Employee!$A$2:$A$276,0))</f>
        <v>Actuarial &amp; Risk</v>
      </c>
    </row>
    <row r="3231" spans="1:15">
      <c r="A3231" s="1" t="s">
        <v>6267</v>
      </c>
      <c r="B3231" s="1" t="s">
        <v>277</v>
      </c>
      <c r="C3231" s="1" t="s">
        <v>6268</v>
      </c>
      <c r="D3231" s="2">
        <v>46158</v>
      </c>
      <c r="E3231" s="2">
        <v>46197</v>
      </c>
      <c r="F3231" s="1" t="s">
        <v>347</v>
      </c>
      <c r="G3231" s="1" t="s">
        <v>8</v>
      </c>
      <c r="H3231" s="1" t="s">
        <v>9</v>
      </c>
      <c r="I3231" s="7">
        <v>58.57</v>
      </c>
      <c r="J3231" s="1" t="s">
        <v>38</v>
      </c>
      <c r="K3231" s="1"/>
      <c r="L3231" s="1" t="s">
        <v>39</v>
      </c>
      <c r="M3231" s="1" t="str">
        <f>INDEX(MCC_Lookup!$B$2:$B$12,MATCH(G3231,MCC_Lookup!$A$2:$A$12,0))</f>
        <v>Transportation</v>
      </c>
      <c r="N3231" s="1" t="str">
        <f>IF(TRIM(H3231)="","BLANK",IF(PROPER(TRIM(H3231))=TRIM(M3231),"MATCH","MISMATCH"))</f>
        <v>MATCH</v>
      </c>
      <c r="O3231" s="5" t="str">
        <f>INDEX([1]Employee!$C$2:$C$276,MATCH(B3231,[1]Employee!$A$2:$A$276,0))</f>
        <v>Claims</v>
      </c>
    </row>
    <row r="3232" spans="1:15">
      <c r="A3232" s="1" t="s">
        <v>6269</v>
      </c>
      <c r="B3232" s="1" t="s">
        <v>81</v>
      </c>
      <c r="C3232" s="1" t="s">
        <v>6270</v>
      </c>
      <c r="D3232" s="2">
        <v>46168</v>
      </c>
      <c r="E3232" s="2">
        <v>46197</v>
      </c>
      <c r="F3232" s="1" t="s">
        <v>76</v>
      </c>
      <c r="G3232" s="1" t="s">
        <v>13</v>
      </c>
      <c r="H3232" s="1" t="s">
        <v>14</v>
      </c>
      <c r="I3232" s="7">
        <v>497.85</v>
      </c>
      <c r="J3232" s="1" t="s">
        <v>38</v>
      </c>
      <c r="K3232" s="1"/>
      <c r="L3232" s="1" t="s">
        <v>39</v>
      </c>
      <c r="M3232" s="1" t="str">
        <f>INDEX(MCC_Lookup!$B$2:$B$12,MATCH(G3232,MCC_Lookup!$A$2:$A$12,0))</f>
        <v>Software</v>
      </c>
      <c r="N3232" s="1" t="str">
        <f>IF(TRIM(H3232)="","BLANK",IF(PROPER(TRIM(H3232))=TRIM(M3232),"MATCH","MISMATCH"))</f>
        <v>MATCH</v>
      </c>
      <c r="O3232" s="5" t="str">
        <f>INDEX([1]Employee!$C$2:$C$276,MATCH(B3232,[1]Employee!$A$2:$A$276,0))</f>
        <v>Sales &amp; Marketing</v>
      </c>
    </row>
    <row r="3233" spans="1:15">
      <c r="A3233" s="1" t="s">
        <v>6271</v>
      </c>
      <c r="B3233" s="1" t="s">
        <v>35</v>
      </c>
      <c r="C3233" s="1" t="s">
        <v>6272</v>
      </c>
      <c r="D3233" s="2">
        <v>46192</v>
      </c>
      <c r="E3233" s="2">
        <v>46197</v>
      </c>
      <c r="F3233" s="1" t="s">
        <v>242</v>
      </c>
      <c r="G3233" s="1" t="s">
        <v>13</v>
      </c>
      <c r="H3233" s="1" t="s">
        <v>14</v>
      </c>
      <c r="I3233" s="7">
        <v>51.43</v>
      </c>
      <c r="J3233" s="1" t="s">
        <v>38</v>
      </c>
      <c r="K3233" s="1"/>
      <c r="L3233" s="1" t="s">
        <v>39</v>
      </c>
      <c r="M3233" s="1" t="str">
        <f>INDEX(MCC_Lookup!$B$2:$B$12,MATCH(G3233,MCC_Lookup!$A$2:$A$12,0))</f>
        <v>Software</v>
      </c>
      <c r="N3233" s="1" t="str">
        <f>IF(TRIM(H3233)="","BLANK",IF(PROPER(TRIM(H3233))=TRIM(M3233),"MATCH","MISMATCH"))</f>
        <v>MATCH</v>
      </c>
      <c r="O3233" s="5" t="str">
        <f>INDEX([1]Employee!$C$2:$C$276,MATCH(B3233,[1]Employee!$A$2:$A$276,0))</f>
        <v>Sales &amp; Marketing</v>
      </c>
    </row>
    <row r="3234" spans="1:15">
      <c r="A3234" s="1" t="s">
        <v>6273</v>
      </c>
      <c r="B3234" s="1" t="s">
        <v>35</v>
      </c>
      <c r="C3234" s="1" t="s">
        <v>6274</v>
      </c>
      <c r="D3234" s="2">
        <v>46193</v>
      </c>
      <c r="E3234" s="2">
        <v>46197</v>
      </c>
      <c r="F3234" s="1" t="s">
        <v>47</v>
      </c>
      <c r="G3234" s="1" t="s">
        <v>6</v>
      </c>
      <c r="H3234" s="1" t="s">
        <v>7</v>
      </c>
      <c r="I3234" s="7">
        <v>170.17</v>
      </c>
      <c r="J3234" s="1" t="s">
        <v>38</v>
      </c>
      <c r="K3234" s="1"/>
      <c r="L3234" s="1" t="s">
        <v>39</v>
      </c>
      <c r="M3234" s="1" t="str">
        <f>INDEX(MCC_Lookup!$B$2:$B$12,MATCH(G3234,MCC_Lookup!$A$2:$A$12,0))</f>
        <v>Lodging</v>
      </c>
      <c r="N3234" s="1" t="str">
        <f>IF(TRIM(H3234)="","BLANK",IF(PROPER(TRIM(H3234))=TRIM(M3234),"MATCH","MISMATCH"))</f>
        <v>MATCH</v>
      </c>
      <c r="O3234" s="5" t="str">
        <f>INDEX([1]Employee!$C$2:$C$276,MATCH(B3234,[1]Employee!$A$2:$A$276,0))</f>
        <v>Sales &amp; Marketing</v>
      </c>
    </row>
    <row r="3235" spans="1:15">
      <c r="A3235" s="1" t="s">
        <v>6275</v>
      </c>
      <c r="B3235" s="1" t="s">
        <v>352</v>
      </c>
      <c r="C3235" s="1" t="s">
        <v>6276</v>
      </c>
      <c r="D3235" s="2">
        <v>46197</v>
      </c>
      <c r="E3235" s="2">
        <v>46197</v>
      </c>
      <c r="F3235" s="1" t="s">
        <v>173</v>
      </c>
      <c r="G3235" s="1" t="s">
        <v>2</v>
      </c>
      <c r="H3235" s="1" t="s">
        <v>3</v>
      </c>
      <c r="I3235" s="7">
        <v>42.14</v>
      </c>
      <c r="J3235" s="1" t="s">
        <v>38</v>
      </c>
      <c r="K3235" s="1"/>
      <c r="L3235" s="1" t="s">
        <v>39</v>
      </c>
      <c r="M3235" s="1" t="str">
        <f>INDEX(MCC_Lookup!$B$2:$B$12,MATCH(G3235,MCC_Lookup!$A$2:$A$12,0))</f>
        <v>Meals</v>
      </c>
      <c r="N3235" s="1" t="str">
        <f>IF(TRIM(H3235)="","BLANK",IF(PROPER(TRIM(H3235))=TRIM(M3235),"MATCH","MISMATCH"))</f>
        <v>MATCH</v>
      </c>
      <c r="O3235" s="5" t="str">
        <f>INDEX([1]Employee!$C$2:$C$276,MATCH(B3235,[1]Employee!$A$2:$A$276,0))</f>
        <v>Sales &amp; Marketing</v>
      </c>
    </row>
    <row r="3236" spans="1:15">
      <c r="A3236" s="1" t="s">
        <v>6277</v>
      </c>
      <c r="B3236" s="1" t="s">
        <v>1252</v>
      </c>
      <c r="C3236" s="1" t="s">
        <v>6278</v>
      </c>
      <c r="D3236" s="2">
        <v>46099</v>
      </c>
      <c r="E3236" s="2">
        <v>46197</v>
      </c>
      <c r="F3236" s="1" t="s">
        <v>242</v>
      </c>
      <c r="G3236" s="1" t="s">
        <v>13</v>
      </c>
      <c r="H3236" s="1" t="s">
        <v>14</v>
      </c>
      <c r="I3236" s="7">
        <v>15.41</v>
      </c>
      <c r="J3236" s="1" t="s">
        <v>38</v>
      </c>
      <c r="K3236" s="1"/>
      <c r="L3236" s="1" t="s">
        <v>39</v>
      </c>
      <c r="M3236" s="1" t="str">
        <f>INDEX(MCC_Lookup!$B$2:$B$12,MATCH(G3236,MCC_Lookup!$A$2:$A$12,0))</f>
        <v>Software</v>
      </c>
      <c r="N3236" s="1" t="str">
        <f>IF(TRIM(H3236)="","BLANK",IF(PROPER(TRIM(H3236))=TRIM(M3236),"MATCH","MISMATCH"))</f>
        <v>MATCH</v>
      </c>
      <c r="O3236" s="5" t="str">
        <f>INDEX([1]Employee!$C$2:$C$276,MATCH(B3236,[1]Employee!$A$2:$A$276,0))</f>
        <v>Underwriting</v>
      </c>
    </row>
    <row r="3237" spans="1:15">
      <c r="A3237" s="1" t="s">
        <v>6279</v>
      </c>
      <c r="B3237" s="1" t="s">
        <v>423</v>
      </c>
      <c r="C3237" s="1" t="s">
        <v>6280</v>
      </c>
      <c r="D3237" s="2">
        <v>46189</v>
      </c>
      <c r="E3237" s="2">
        <v>46197</v>
      </c>
      <c r="F3237" s="1" t="s">
        <v>4390</v>
      </c>
      <c r="G3237" s="1" t="s">
        <v>13</v>
      </c>
      <c r="H3237" s="1" t="s">
        <v>14</v>
      </c>
      <c r="I3237" s="7">
        <v>188</v>
      </c>
      <c r="J3237" s="1" t="s">
        <v>38</v>
      </c>
      <c r="K3237" s="1"/>
      <c r="L3237" s="1" t="s">
        <v>39</v>
      </c>
      <c r="M3237" s="1" t="str">
        <f>INDEX(MCC_Lookup!$B$2:$B$12,MATCH(G3237,MCC_Lookup!$A$2:$A$12,0))</f>
        <v>Software</v>
      </c>
      <c r="N3237" s="1" t="str">
        <f>IF(TRIM(H3237)="","BLANK",IF(PROPER(TRIM(H3237))=TRIM(M3237),"MATCH","MISMATCH"))</f>
        <v>MATCH</v>
      </c>
      <c r="O3237" s="5" t="str">
        <f>INDEX([1]Employee!$C$2:$C$276,MATCH(B3237,[1]Employee!$A$2:$A$276,0))</f>
        <v>Underwriting</v>
      </c>
    </row>
    <row r="3238" spans="1:15">
      <c r="A3238" s="1" t="s">
        <v>6281</v>
      </c>
      <c r="B3238" s="1" t="s">
        <v>469</v>
      </c>
      <c r="C3238" s="1"/>
      <c r="D3238" s="2">
        <v>46195</v>
      </c>
      <c r="E3238" s="2">
        <v>46197</v>
      </c>
      <c r="F3238" s="1" t="s">
        <v>347</v>
      </c>
      <c r="G3238" s="1" t="s">
        <v>8</v>
      </c>
      <c r="H3238" s="1"/>
      <c r="I3238" s="7">
        <v>16.600000000000001</v>
      </c>
      <c r="J3238" s="1" t="s">
        <v>111</v>
      </c>
      <c r="K3238" s="1" t="s">
        <v>127</v>
      </c>
      <c r="L3238" s="1" t="s">
        <v>48</v>
      </c>
      <c r="M3238" s="1" t="str">
        <f>INDEX(MCC_Lookup!$B$2:$B$12,MATCH(G3238,MCC_Lookup!$A$2:$A$12,0))</f>
        <v>Transportation</v>
      </c>
      <c r="N3238" s="1" t="str">
        <f>IF(TRIM(H3238)="","BLANK",IF(PROPER(TRIM(H3238))=TRIM(M3238),"MATCH","MISMATCH"))</f>
        <v>BLANK</v>
      </c>
      <c r="O3238" s="5" t="str">
        <f>INDEX([1]Employee!$C$2:$C$276,MATCH(B3238,[1]Employee!$A$2:$A$276,0))</f>
        <v>Sales &amp; Marketing</v>
      </c>
    </row>
    <row r="3239" spans="1:15">
      <c r="A3239" s="1" t="s">
        <v>6282</v>
      </c>
      <c r="B3239" s="1" t="s">
        <v>267</v>
      </c>
      <c r="C3239" s="1" t="s">
        <v>6283</v>
      </c>
      <c r="D3239" s="2">
        <v>46126</v>
      </c>
      <c r="E3239" s="2">
        <v>46197</v>
      </c>
      <c r="F3239" s="1" t="s">
        <v>92</v>
      </c>
      <c r="G3239" s="1" t="s">
        <v>10</v>
      </c>
      <c r="H3239" s="1" t="s">
        <v>131</v>
      </c>
      <c r="I3239" s="7">
        <v>81.94</v>
      </c>
      <c r="J3239" s="1" t="s">
        <v>38</v>
      </c>
      <c r="K3239" s="1"/>
      <c r="L3239" s="1" t="s">
        <v>39</v>
      </c>
      <c r="M3239" s="1" t="str">
        <f>INDEX(MCC_Lookup!$B$2:$B$12,MATCH(G3239,MCC_Lookup!$A$2:$A$12,0))</f>
        <v>Office Supplies</v>
      </c>
      <c r="N3239" s="1" t="str">
        <f>IF(TRIM(H3239)="","BLANK",IF(PROPER(TRIM(H3239))=TRIM(M3239),"MATCH","MISMATCH"))</f>
        <v>MATCH</v>
      </c>
      <c r="O3239" s="5" t="str">
        <f>INDEX([1]Employee!$C$2:$C$276,MATCH(B3239,[1]Employee!$A$2:$A$276,0))</f>
        <v>Claims</v>
      </c>
    </row>
    <row r="3240" spans="1:15">
      <c r="A3240" s="1" t="s">
        <v>6284</v>
      </c>
      <c r="B3240" s="1" t="s">
        <v>1567</v>
      </c>
      <c r="C3240" s="1"/>
      <c r="D3240" s="2">
        <v>46031</v>
      </c>
      <c r="E3240" s="2">
        <v>46197</v>
      </c>
      <c r="F3240" s="1" t="s">
        <v>109</v>
      </c>
      <c r="G3240" s="1" t="s">
        <v>18</v>
      </c>
      <c r="H3240" s="1" t="s">
        <v>19</v>
      </c>
      <c r="I3240" s="7">
        <v>16.690000000000001</v>
      </c>
      <c r="J3240" s="1" t="s">
        <v>111</v>
      </c>
      <c r="K3240" s="1" t="s">
        <v>112</v>
      </c>
      <c r="L3240" s="1" t="s">
        <v>39</v>
      </c>
      <c r="M3240" s="1" t="str">
        <f>INDEX(MCC_Lookup!$B$2:$B$12,MATCH(G3240,MCC_Lookup!$A$2:$A$12,0))</f>
        <v>Events</v>
      </c>
      <c r="N3240" s="1" t="str">
        <f>IF(TRIM(H3240)="","BLANK",IF(PROPER(TRIM(H3240))=TRIM(M3240),"MATCH","MISMATCH"))</f>
        <v>MATCH</v>
      </c>
      <c r="O3240" s="5" t="str">
        <f>INDEX([1]Employee!$C$2:$C$276,MATCH(B3240,[1]Employee!$A$2:$A$276,0))</f>
        <v>Underwriting</v>
      </c>
    </row>
    <row r="3241" spans="1:15">
      <c r="A3241" s="1" t="s">
        <v>6285</v>
      </c>
      <c r="B3241" s="1" t="s">
        <v>382</v>
      </c>
      <c r="C3241" s="1" t="s">
        <v>6286</v>
      </c>
      <c r="D3241" s="2">
        <v>46059</v>
      </c>
      <c r="E3241" s="2">
        <v>46197</v>
      </c>
      <c r="F3241" s="1" t="s">
        <v>120</v>
      </c>
      <c r="G3241" s="1" t="s">
        <v>12</v>
      </c>
      <c r="H3241" s="1" t="s">
        <v>11</v>
      </c>
      <c r="I3241" s="7">
        <v>41.02</v>
      </c>
      <c r="J3241" s="1" t="s">
        <v>38</v>
      </c>
      <c r="K3241" s="1"/>
      <c r="L3241" s="1" t="s">
        <v>39</v>
      </c>
      <c r="M3241" s="1" t="str">
        <f>INDEX(MCC_Lookup!$B$2:$B$12,MATCH(G3241,MCC_Lookup!$A$2:$A$12,0))</f>
        <v>Office Supplies</v>
      </c>
      <c r="N3241" s="1" t="str">
        <f>IF(TRIM(H3241)="","BLANK",IF(PROPER(TRIM(H3241))=TRIM(M3241),"MATCH","MISMATCH"))</f>
        <v>MATCH</v>
      </c>
      <c r="O3241" s="5" t="str">
        <f>INDEX([1]Employee!$C$2:$C$276,MATCH(B3241,[1]Employee!$A$2:$A$276,0))</f>
        <v>Sales &amp; Marketing</v>
      </c>
    </row>
    <row r="3242" spans="1:15">
      <c r="A3242" s="1" t="s">
        <v>6287</v>
      </c>
      <c r="B3242" s="1" t="s">
        <v>379</v>
      </c>
      <c r="C3242" s="1"/>
      <c r="D3242" s="2">
        <v>46196</v>
      </c>
      <c r="E3242" s="2">
        <v>46197</v>
      </c>
      <c r="F3242" s="1" t="s">
        <v>177</v>
      </c>
      <c r="G3242" s="1" t="s">
        <v>13</v>
      </c>
      <c r="H3242" s="1"/>
      <c r="I3242" s="7">
        <v>33.26</v>
      </c>
      <c r="J3242" s="1" t="s">
        <v>111</v>
      </c>
      <c r="K3242" s="1" t="s">
        <v>229</v>
      </c>
      <c r="L3242" s="1" t="s">
        <v>39</v>
      </c>
      <c r="M3242" s="1" t="str">
        <f>INDEX(MCC_Lookup!$B$2:$B$12,MATCH(G3242,MCC_Lookup!$A$2:$A$12,0))</f>
        <v>Software</v>
      </c>
      <c r="N3242" s="1" t="str">
        <f>IF(TRIM(H3242)="","BLANK",IF(PROPER(TRIM(H3242))=TRIM(M3242),"MATCH","MISMATCH"))</f>
        <v>BLANK</v>
      </c>
      <c r="O3242" s="5" t="str">
        <f>INDEX([1]Employee!$C$2:$C$276,MATCH(B3242,[1]Employee!$A$2:$A$276,0))</f>
        <v>Sales &amp; Marketing</v>
      </c>
    </row>
    <row r="3243" spans="1:15">
      <c r="A3243" s="1" t="s">
        <v>6288</v>
      </c>
      <c r="B3243" s="1" t="s">
        <v>947</v>
      </c>
      <c r="C3243" s="1" t="s">
        <v>6289</v>
      </c>
      <c r="D3243" s="2">
        <v>46187</v>
      </c>
      <c r="E3243" s="2">
        <v>46197</v>
      </c>
      <c r="F3243" s="1" t="s">
        <v>242</v>
      </c>
      <c r="G3243" s="1" t="s">
        <v>13</v>
      </c>
      <c r="H3243" s="1" t="s">
        <v>14</v>
      </c>
      <c r="I3243" s="7">
        <v>29.88</v>
      </c>
      <c r="J3243" s="1" t="s">
        <v>38</v>
      </c>
      <c r="K3243" s="1"/>
      <c r="L3243" s="1" t="s">
        <v>39</v>
      </c>
      <c r="M3243" s="1" t="str">
        <f>INDEX(MCC_Lookup!$B$2:$B$12,MATCH(G3243,MCC_Lookup!$A$2:$A$12,0))</f>
        <v>Software</v>
      </c>
      <c r="N3243" s="1" t="str">
        <f>IF(TRIM(H3243)="","BLANK",IF(PROPER(TRIM(H3243))=TRIM(M3243),"MATCH","MISMATCH"))</f>
        <v>MATCH</v>
      </c>
      <c r="O3243" s="5" t="str">
        <f>INDEX([1]Employee!$C$2:$C$276,MATCH(B3243,[1]Employee!$A$2:$A$276,0))</f>
        <v>Sales &amp; Marketing</v>
      </c>
    </row>
    <row r="3244" spans="1:15">
      <c r="A3244" s="1" t="s">
        <v>6290</v>
      </c>
      <c r="B3244" s="1" t="s">
        <v>1119</v>
      </c>
      <c r="C3244" s="1" t="s">
        <v>6291</v>
      </c>
      <c r="D3244" s="2">
        <v>46190</v>
      </c>
      <c r="E3244" s="2">
        <v>46197</v>
      </c>
      <c r="F3244" s="1" t="s">
        <v>233</v>
      </c>
      <c r="G3244" s="1" t="s">
        <v>2</v>
      </c>
      <c r="H3244" s="1" t="s">
        <v>3</v>
      </c>
      <c r="I3244" s="7">
        <v>10.41</v>
      </c>
      <c r="J3244" s="1" t="s">
        <v>38</v>
      </c>
      <c r="K3244" s="1"/>
      <c r="L3244" s="1" t="s">
        <v>39</v>
      </c>
      <c r="M3244" s="1" t="str">
        <f>INDEX(MCC_Lookup!$B$2:$B$12,MATCH(G3244,MCC_Lookup!$A$2:$A$12,0))</f>
        <v>Meals</v>
      </c>
      <c r="N3244" s="1" t="str">
        <f>IF(TRIM(H3244)="","BLANK",IF(PROPER(TRIM(H3244))=TRIM(M3244),"MATCH","MISMATCH"))</f>
        <v>MATCH</v>
      </c>
      <c r="O3244" s="5" t="str">
        <f>INDEX([1]Employee!$C$2:$C$276,MATCH(B3244,[1]Employee!$A$2:$A$276,0))</f>
        <v>Customer Support</v>
      </c>
    </row>
    <row r="3245" spans="1:15">
      <c r="A3245" s="1" t="s">
        <v>6292</v>
      </c>
      <c r="B3245" s="1" t="s">
        <v>300</v>
      </c>
      <c r="C3245" s="1" t="s">
        <v>6293</v>
      </c>
      <c r="D3245" s="2">
        <v>46193</v>
      </c>
      <c r="E3245" s="2">
        <v>46197</v>
      </c>
      <c r="F3245" s="1" t="s">
        <v>242</v>
      </c>
      <c r="G3245" s="1" t="s">
        <v>13</v>
      </c>
      <c r="H3245" s="1" t="s">
        <v>14</v>
      </c>
      <c r="I3245" s="7">
        <v>41.17</v>
      </c>
      <c r="J3245" s="1" t="s">
        <v>38</v>
      </c>
      <c r="K3245" s="1"/>
      <c r="L3245" s="1" t="s">
        <v>39</v>
      </c>
      <c r="M3245" s="1" t="str">
        <f>INDEX(MCC_Lookup!$B$2:$B$12,MATCH(G3245,MCC_Lookup!$A$2:$A$12,0))</f>
        <v>Software</v>
      </c>
      <c r="N3245" s="1" t="str">
        <f>IF(TRIM(H3245)="","BLANK",IF(PROPER(TRIM(H3245))=TRIM(M3245),"MATCH","MISMATCH"))</f>
        <v>MATCH</v>
      </c>
      <c r="O3245" s="5" t="str">
        <f>INDEX([1]Employee!$C$2:$C$276,MATCH(B3245,[1]Employee!$A$2:$A$276,0))</f>
        <v>Sales &amp; Marketing</v>
      </c>
    </row>
    <row r="3246" spans="1:15">
      <c r="A3246" s="1" t="s">
        <v>6294</v>
      </c>
      <c r="B3246" s="1" t="s">
        <v>219</v>
      </c>
      <c r="C3246" s="1" t="s">
        <v>6295</v>
      </c>
      <c r="D3246" s="2">
        <v>46187</v>
      </c>
      <c r="E3246" s="2">
        <v>46197</v>
      </c>
      <c r="F3246" s="1" t="s">
        <v>99</v>
      </c>
      <c r="G3246" s="1" t="s">
        <v>2</v>
      </c>
      <c r="H3246" s="1" t="s">
        <v>3</v>
      </c>
      <c r="I3246" s="7">
        <v>114.86</v>
      </c>
      <c r="J3246" s="1" t="s">
        <v>38</v>
      </c>
      <c r="K3246" s="1"/>
      <c r="L3246" s="1" t="s">
        <v>39</v>
      </c>
      <c r="M3246" s="1" t="str">
        <f>INDEX(MCC_Lookup!$B$2:$B$12,MATCH(G3246,MCC_Lookup!$A$2:$A$12,0))</f>
        <v>Meals</v>
      </c>
      <c r="N3246" s="1" t="str">
        <f>IF(TRIM(H3246)="","BLANK",IF(PROPER(TRIM(H3246))=TRIM(M3246),"MATCH","MISMATCH"))</f>
        <v>MATCH</v>
      </c>
      <c r="O3246" s="5" t="str">
        <f>INDEX([1]Employee!$C$2:$C$276,MATCH(B3246,[1]Employee!$A$2:$A$276,0))</f>
        <v>Underwriting</v>
      </c>
    </row>
    <row r="3247" spans="1:15">
      <c r="A3247" s="1" t="s">
        <v>6296</v>
      </c>
      <c r="B3247" s="1" t="s">
        <v>475</v>
      </c>
      <c r="C3247" s="1" t="s">
        <v>6297</v>
      </c>
      <c r="D3247" s="2">
        <v>46193</v>
      </c>
      <c r="E3247" s="2">
        <v>46197</v>
      </c>
      <c r="F3247" s="1" t="s">
        <v>79</v>
      </c>
      <c r="G3247" s="1" t="s">
        <v>13</v>
      </c>
      <c r="H3247" s="1" t="s">
        <v>14</v>
      </c>
      <c r="I3247" s="7">
        <v>245.28</v>
      </c>
      <c r="J3247" s="1" t="s">
        <v>38</v>
      </c>
      <c r="K3247" s="1"/>
      <c r="L3247" s="1" t="s">
        <v>39</v>
      </c>
      <c r="M3247" s="1" t="str">
        <f>INDEX(MCC_Lookup!$B$2:$B$12,MATCH(G3247,MCC_Lookup!$A$2:$A$12,0))</f>
        <v>Software</v>
      </c>
      <c r="N3247" s="1" t="str">
        <f>IF(TRIM(H3247)="","BLANK",IF(PROPER(TRIM(H3247))=TRIM(M3247),"MATCH","MISMATCH"))</f>
        <v>MATCH</v>
      </c>
      <c r="O3247" s="5" t="str">
        <f>INDEX([1]Employee!$C$2:$C$276,MATCH(B3247,[1]Employee!$A$2:$A$276,0))</f>
        <v>Sales &amp; Marketing</v>
      </c>
    </row>
    <row r="3248" spans="1:15">
      <c r="A3248" s="1" t="s">
        <v>6298</v>
      </c>
      <c r="B3248" s="1" t="s">
        <v>475</v>
      </c>
      <c r="C3248" s="1"/>
      <c r="D3248" s="2">
        <v>46046</v>
      </c>
      <c r="E3248" s="2">
        <v>46197</v>
      </c>
      <c r="F3248" s="1" t="s">
        <v>160</v>
      </c>
      <c r="G3248" s="1" t="s">
        <v>6</v>
      </c>
      <c r="H3248" s="1" t="s">
        <v>7</v>
      </c>
      <c r="I3248" s="7">
        <v>364.48</v>
      </c>
      <c r="J3248" s="1" t="s">
        <v>38</v>
      </c>
      <c r="K3248" s="1"/>
      <c r="L3248" s="1" t="s">
        <v>39</v>
      </c>
      <c r="M3248" s="1" t="str">
        <f>INDEX(MCC_Lookup!$B$2:$B$12,MATCH(G3248,MCC_Lookup!$A$2:$A$12,0))</f>
        <v>Lodging</v>
      </c>
      <c r="N3248" s="1" t="str">
        <f>IF(TRIM(H3248)="","BLANK",IF(PROPER(TRIM(H3248))=TRIM(M3248),"MATCH","MISMATCH"))</f>
        <v>MATCH</v>
      </c>
      <c r="O3248" s="5" t="str">
        <f>INDEX([1]Employee!$C$2:$C$276,MATCH(B3248,[1]Employee!$A$2:$A$276,0))</f>
        <v>Sales &amp; Marketing</v>
      </c>
    </row>
    <row r="3249" spans="1:15">
      <c r="A3249" s="1" t="s">
        <v>6299</v>
      </c>
      <c r="B3249" s="1" t="s">
        <v>373</v>
      </c>
      <c r="C3249" s="1" t="s">
        <v>6300</v>
      </c>
      <c r="D3249" s="2">
        <v>46196</v>
      </c>
      <c r="E3249" s="2">
        <v>46197</v>
      </c>
      <c r="F3249" s="1" t="s">
        <v>52</v>
      </c>
      <c r="G3249" s="1" t="s">
        <v>15</v>
      </c>
      <c r="H3249" s="1" t="s">
        <v>690</v>
      </c>
      <c r="I3249" s="7">
        <v>47.97</v>
      </c>
      <c r="J3249" s="1" t="s">
        <v>38</v>
      </c>
      <c r="K3249" s="1"/>
      <c r="L3249" s="1" t="s">
        <v>39</v>
      </c>
      <c r="M3249" s="1" t="str">
        <f>INDEX(MCC_Lookup!$B$2:$B$12,MATCH(G3249,MCC_Lookup!$A$2:$A$12,0))</f>
        <v>Entertainment</v>
      </c>
      <c r="N3249" s="1" t="str">
        <f>IF(TRIM(H3249)="","BLANK",IF(PROPER(TRIM(H3249))=TRIM(M3249),"MATCH","MISMATCH"))</f>
        <v>MATCH</v>
      </c>
      <c r="O3249" s="5" t="str">
        <f>INDEX([1]Employee!$C$2:$C$276,MATCH(B3249,[1]Employee!$A$2:$A$276,0))</f>
        <v>Sales &amp; Marketing</v>
      </c>
    </row>
    <row r="3250" spans="1:15">
      <c r="A3250" s="1" t="s">
        <v>6301</v>
      </c>
      <c r="B3250" s="1" t="s">
        <v>756</v>
      </c>
      <c r="C3250" s="1" t="s">
        <v>6302</v>
      </c>
      <c r="D3250" s="2">
        <v>46026</v>
      </c>
      <c r="E3250" s="2">
        <v>46197</v>
      </c>
      <c r="F3250" s="1" t="s">
        <v>120</v>
      </c>
      <c r="G3250" s="1" t="s">
        <v>12</v>
      </c>
      <c r="H3250" s="1" t="s">
        <v>5</v>
      </c>
      <c r="I3250" s="7">
        <v>425.26</v>
      </c>
      <c r="J3250" s="1" t="s">
        <v>38</v>
      </c>
      <c r="K3250" s="1"/>
      <c r="L3250" s="1" t="s">
        <v>39</v>
      </c>
      <c r="M3250" s="1" t="str">
        <f>INDEX(MCC_Lookup!$B$2:$B$12,MATCH(G3250,MCC_Lookup!$A$2:$A$12,0))</f>
        <v>Office Supplies</v>
      </c>
      <c r="N3250" s="1" t="str">
        <f>IF(TRIM(H3250)="","BLANK",IF(PROPER(TRIM(H3250))=TRIM(M3250),"MATCH","MISMATCH"))</f>
        <v>MISMATCH</v>
      </c>
      <c r="O3250" s="5" t="str">
        <f>INDEX([1]Employee!$C$2:$C$276,MATCH(B3250,[1]Employee!$A$2:$A$276,0))</f>
        <v>Claims</v>
      </c>
    </row>
    <row r="3251" spans="1:15">
      <c r="A3251" s="1" t="s">
        <v>6303</v>
      </c>
      <c r="B3251" s="1" t="s">
        <v>240</v>
      </c>
      <c r="C3251" s="1"/>
      <c r="D3251" s="2">
        <v>46142</v>
      </c>
      <c r="E3251" s="2">
        <v>46197</v>
      </c>
      <c r="F3251" s="1" t="s">
        <v>72</v>
      </c>
      <c r="G3251" s="1" t="s">
        <v>8</v>
      </c>
      <c r="H3251" s="1" t="s">
        <v>9</v>
      </c>
      <c r="I3251" s="7">
        <v>39.729999999999997</v>
      </c>
      <c r="J3251" s="1" t="s">
        <v>38</v>
      </c>
      <c r="K3251" s="1"/>
      <c r="L3251" s="1" t="s">
        <v>39</v>
      </c>
      <c r="M3251" s="1" t="str">
        <f>INDEX(MCC_Lookup!$B$2:$B$12,MATCH(G3251,MCC_Lookup!$A$2:$A$12,0))</f>
        <v>Transportation</v>
      </c>
      <c r="N3251" s="1" t="str">
        <f>IF(TRIM(H3251)="","BLANK",IF(PROPER(TRIM(H3251))=TRIM(M3251),"MATCH","MISMATCH"))</f>
        <v>MATCH</v>
      </c>
      <c r="O3251" s="5" t="str">
        <f>INDEX([1]Employee!$C$2:$C$276,MATCH(B3251,[1]Employee!$A$2:$A$276,0))</f>
        <v>Claims</v>
      </c>
    </row>
    <row r="3252" spans="1:15">
      <c r="A3252" s="1" t="s">
        <v>6304</v>
      </c>
      <c r="B3252" s="1" t="s">
        <v>240</v>
      </c>
      <c r="C3252" s="1" t="s">
        <v>6305</v>
      </c>
      <c r="D3252" s="2">
        <v>46197</v>
      </c>
      <c r="E3252" s="2">
        <v>46197</v>
      </c>
      <c r="F3252" s="1" t="s">
        <v>106</v>
      </c>
      <c r="G3252" s="1" t="s">
        <v>13</v>
      </c>
      <c r="H3252" s="1" t="s">
        <v>14</v>
      </c>
      <c r="I3252" s="7">
        <v>74.86</v>
      </c>
      <c r="J3252" s="1" t="s">
        <v>38</v>
      </c>
      <c r="K3252" s="1"/>
      <c r="L3252" s="1" t="s">
        <v>39</v>
      </c>
      <c r="M3252" s="1" t="str">
        <f>INDEX(MCC_Lookup!$B$2:$B$12,MATCH(G3252,MCC_Lookup!$A$2:$A$12,0))</f>
        <v>Software</v>
      </c>
      <c r="N3252" s="1" t="str">
        <f>IF(TRIM(H3252)="","BLANK",IF(PROPER(TRIM(H3252))=TRIM(M3252),"MATCH","MISMATCH"))</f>
        <v>MATCH</v>
      </c>
      <c r="O3252" s="5" t="str">
        <f>INDEX([1]Employee!$C$2:$C$276,MATCH(B3252,[1]Employee!$A$2:$A$276,0))</f>
        <v>Claims</v>
      </c>
    </row>
    <row r="3253" spans="1:15">
      <c r="A3253" s="1" t="s">
        <v>6306</v>
      </c>
      <c r="B3253" s="1" t="s">
        <v>661</v>
      </c>
      <c r="C3253" s="1"/>
      <c r="D3253" s="2">
        <v>46187</v>
      </c>
      <c r="E3253" s="2">
        <v>46197</v>
      </c>
      <c r="F3253" s="1" t="s">
        <v>65</v>
      </c>
      <c r="G3253" s="1" t="s">
        <v>18</v>
      </c>
      <c r="H3253" s="1" t="s">
        <v>19</v>
      </c>
      <c r="I3253" s="7">
        <v>287.64</v>
      </c>
      <c r="J3253" s="1" t="s">
        <v>111</v>
      </c>
      <c r="K3253" s="1" t="s">
        <v>229</v>
      </c>
      <c r="L3253" s="1" t="s">
        <v>48</v>
      </c>
      <c r="M3253" s="1" t="str">
        <f>INDEX(MCC_Lookup!$B$2:$B$12,MATCH(G3253,MCC_Lookup!$A$2:$A$12,0))</f>
        <v>Events</v>
      </c>
      <c r="N3253" s="1" t="str">
        <f>IF(TRIM(H3253)="","BLANK",IF(PROPER(TRIM(H3253))=TRIM(M3253),"MATCH","MISMATCH"))</f>
        <v>MATCH</v>
      </c>
      <c r="O3253" s="5" t="str">
        <f>INDEX([1]Employee!$C$2:$C$276,MATCH(B3253,[1]Employee!$A$2:$A$276,0))</f>
        <v>Sales &amp; Marketing</v>
      </c>
    </row>
    <row r="3254" spans="1:15">
      <c r="A3254" s="1" t="s">
        <v>6307</v>
      </c>
      <c r="B3254" s="1" t="s">
        <v>87</v>
      </c>
      <c r="C3254" s="1"/>
      <c r="D3254" s="2">
        <v>46192</v>
      </c>
      <c r="E3254" s="2">
        <v>46197</v>
      </c>
      <c r="F3254" s="1" t="s">
        <v>259</v>
      </c>
      <c r="G3254" s="1" t="s">
        <v>20</v>
      </c>
      <c r="H3254" s="1" t="s">
        <v>19</v>
      </c>
      <c r="I3254" s="7">
        <v>191.53</v>
      </c>
      <c r="J3254" s="1" t="s">
        <v>38</v>
      </c>
      <c r="K3254" s="1"/>
      <c r="L3254" s="1" t="s">
        <v>39</v>
      </c>
      <c r="M3254" s="1" t="str">
        <f>INDEX(MCC_Lookup!$B$2:$B$12,MATCH(G3254,MCC_Lookup!$A$2:$A$12,0))</f>
        <v>Events</v>
      </c>
      <c r="N3254" s="1" t="str">
        <f>IF(TRIM(H3254)="","BLANK",IF(PROPER(TRIM(H3254))=TRIM(M3254),"MATCH","MISMATCH"))</f>
        <v>MATCH</v>
      </c>
      <c r="O3254" s="5" t="str">
        <f>INDEX([1]Employee!$C$2:$C$276,MATCH(B3254,[1]Employee!$A$2:$A$276,0))</f>
        <v>HR &amp; Events</v>
      </c>
    </row>
    <row r="3255" spans="1:15">
      <c r="A3255" s="1" t="s">
        <v>6308</v>
      </c>
      <c r="B3255" s="1" t="s">
        <v>643</v>
      </c>
      <c r="C3255" s="1"/>
      <c r="D3255" s="2">
        <v>46188</v>
      </c>
      <c r="E3255" s="2">
        <v>46197</v>
      </c>
      <c r="F3255" s="1" t="s">
        <v>120</v>
      </c>
      <c r="G3255" s="1" t="s">
        <v>12</v>
      </c>
      <c r="H3255" s="1" t="s">
        <v>11</v>
      </c>
      <c r="I3255" s="7">
        <v>114.01</v>
      </c>
      <c r="J3255" s="1" t="s">
        <v>38</v>
      </c>
      <c r="K3255" s="1"/>
      <c r="L3255" s="1" t="s">
        <v>39</v>
      </c>
      <c r="M3255" s="1" t="str">
        <f>INDEX(MCC_Lookup!$B$2:$B$12,MATCH(G3255,MCC_Lookup!$A$2:$A$12,0))</f>
        <v>Office Supplies</v>
      </c>
      <c r="N3255" s="1" t="str">
        <f>IF(TRIM(H3255)="","BLANK",IF(PROPER(TRIM(H3255))=TRIM(M3255),"MATCH","MISMATCH"))</f>
        <v>MATCH</v>
      </c>
      <c r="O3255" s="5" t="str">
        <f>INDEX([1]Employee!$C$2:$C$276,MATCH(B3255,[1]Employee!$A$2:$A$276,0))</f>
        <v>Sales &amp; Marketing</v>
      </c>
    </row>
    <row r="3256" spans="1:15">
      <c r="A3256" s="1" t="s">
        <v>6309</v>
      </c>
      <c r="B3256" s="1" t="s">
        <v>3511</v>
      </c>
      <c r="C3256" s="1" t="s">
        <v>6310</v>
      </c>
      <c r="D3256" s="2">
        <v>46186</v>
      </c>
      <c r="E3256" s="2">
        <v>46197</v>
      </c>
      <c r="F3256" s="1" t="s">
        <v>201</v>
      </c>
      <c r="G3256" s="1" t="s">
        <v>4</v>
      </c>
      <c r="H3256" s="1" t="s">
        <v>5</v>
      </c>
      <c r="I3256" s="7">
        <v>499.55</v>
      </c>
      <c r="J3256" s="1" t="s">
        <v>38</v>
      </c>
      <c r="K3256" s="1"/>
      <c r="L3256" s="1" t="s">
        <v>39</v>
      </c>
      <c r="M3256" s="1" t="str">
        <f>INDEX(MCC_Lookup!$B$2:$B$12,MATCH(G3256,MCC_Lookup!$A$2:$A$12,0))</f>
        <v>Travel</v>
      </c>
      <c r="N3256" s="1" t="str">
        <f>IF(TRIM(H3256)="","BLANK",IF(PROPER(TRIM(H3256))=TRIM(M3256),"MATCH","MISMATCH"))</f>
        <v>MATCH</v>
      </c>
      <c r="O3256" s="5" t="str">
        <f>INDEX([1]Employee!$C$2:$C$276,MATCH(B3256,[1]Employee!$A$2:$A$276,0))</f>
        <v>IT &amp; Platform Engineering</v>
      </c>
    </row>
    <row r="3257" spans="1:15">
      <c r="A3257" s="1" t="s">
        <v>6311</v>
      </c>
      <c r="B3257" s="1" t="s">
        <v>506</v>
      </c>
      <c r="C3257" s="1" t="s">
        <v>6312</v>
      </c>
      <c r="D3257" s="2">
        <v>46085</v>
      </c>
      <c r="E3257" s="2">
        <v>46197</v>
      </c>
      <c r="F3257" s="1" t="s">
        <v>79</v>
      </c>
      <c r="G3257" s="1" t="s">
        <v>13</v>
      </c>
      <c r="H3257" s="1" t="s">
        <v>14</v>
      </c>
      <c r="I3257" s="7">
        <v>95.26</v>
      </c>
      <c r="J3257" s="1" t="s">
        <v>38</v>
      </c>
      <c r="K3257" s="1"/>
      <c r="L3257" s="1" t="s">
        <v>39</v>
      </c>
      <c r="M3257" s="1" t="str">
        <f>INDEX(MCC_Lookup!$B$2:$B$12,MATCH(G3257,MCC_Lookup!$A$2:$A$12,0))</f>
        <v>Software</v>
      </c>
      <c r="N3257" s="1" t="str">
        <f>IF(TRIM(H3257)="","BLANK",IF(PROPER(TRIM(H3257))=TRIM(M3257),"MATCH","MISMATCH"))</f>
        <v>MATCH</v>
      </c>
      <c r="O3257" s="5" t="str">
        <f>INDEX([1]Employee!$C$2:$C$276,MATCH(B3257,[1]Employee!$A$2:$A$276,0))</f>
        <v>Executive &amp; Corporate</v>
      </c>
    </row>
    <row r="3258" spans="1:15">
      <c r="A3258" s="1" t="s">
        <v>6313</v>
      </c>
      <c r="B3258" s="1" t="s">
        <v>41</v>
      </c>
      <c r="C3258" s="1" t="s">
        <v>6314</v>
      </c>
      <c r="D3258" s="2">
        <v>46198</v>
      </c>
      <c r="E3258" s="2">
        <v>46198</v>
      </c>
      <c r="F3258" s="1" t="s">
        <v>4390</v>
      </c>
      <c r="G3258" s="1" t="s">
        <v>13</v>
      </c>
      <c r="H3258" s="1" t="s">
        <v>14</v>
      </c>
      <c r="I3258" s="7">
        <v>179.96</v>
      </c>
      <c r="J3258" s="1" t="s">
        <v>38</v>
      </c>
      <c r="K3258" s="1"/>
      <c r="L3258" s="1" t="s">
        <v>39</v>
      </c>
      <c r="M3258" s="1" t="str">
        <f>INDEX(MCC_Lookup!$B$2:$B$12,MATCH(G3258,MCC_Lookup!$A$2:$A$12,0))</f>
        <v>Software</v>
      </c>
      <c r="N3258" s="1" t="str">
        <f>IF(TRIM(H3258)="","BLANK",IF(PROPER(TRIM(H3258))=TRIM(M3258),"MATCH","MISMATCH"))</f>
        <v>MATCH</v>
      </c>
      <c r="O3258" s="5" t="str">
        <f>INDEX([1]Employee!$C$2:$C$276,MATCH(B3258,[1]Employee!$A$2:$A$276,0))</f>
        <v>Sales &amp; Marketing</v>
      </c>
    </row>
    <row r="3259" spans="1:15">
      <c r="A3259" s="1" t="s">
        <v>6315</v>
      </c>
      <c r="B3259" s="1" t="s">
        <v>41</v>
      </c>
      <c r="C3259" s="1" t="s">
        <v>6316</v>
      </c>
      <c r="D3259" s="2">
        <v>46133</v>
      </c>
      <c r="E3259" s="2">
        <v>46198</v>
      </c>
      <c r="F3259" s="1" t="s">
        <v>116</v>
      </c>
      <c r="G3259" s="1" t="s">
        <v>2</v>
      </c>
      <c r="H3259" s="1" t="s">
        <v>154</v>
      </c>
      <c r="I3259" s="7">
        <v>16.239999999999998</v>
      </c>
      <c r="J3259" s="1" t="s">
        <v>38</v>
      </c>
      <c r="K3259" s="1"/>
      <c r="L3259" s="1" t="s">
        <v>39</v>
      </c>
      <c r="M3259" s="1" t="str">
        <f>INDEX(MCC_Lookup!$B$2:$B$12,MATCH(G3259,MCC_Lookup!$A$2:$A$12,0))</f>
        <v>Meals</v>
      </c>
      <c r="N3259" s="1" t="str">
        <f>IF(TRIM(H3259)="","BLANK",IF(PROPER(TRIM(H3259))=TRIM(M3259),"MATCH","MISMATCH"))</f>
        <v>MATCH</v>
      </c>
      <c r="O3259" s="5" t="str">
        <f>INDEX([1]Employee!$C$2:$C$276,MATCH(B3259,[1]Employee!$A$2:$A$276,0))</f>
        <v>Sales &amp; Marketing</v>
      </c>
    </row>
    <row r="3260" spans="1:15">
      <c r="A3260" s="1" t="s">
        <v>6317</v>
      </c>
      <c r="B3260" s="1" t="s">
        <v>156</v>
      </c>
      <c r="C3260" s="1" t="s">
        <v>6318</v>
      </c>
      <c r="D3260" s="2">
        <v>46109</v>
      </c>
      <c r="E3260" s="2">
        <v>46198</v>
      </c>
      <c r="F3260" s="1" t="s">
        <v>56</v>
      </c>
      <c r="G3260" s="1" t="s">
        <v>4</v>
      </c>
      <c r="H3260" s="1" t="s">
        <v>5</v>
      </c>
      <c r="I3260" s="7">
        <v>624.92999999999995</v>
      </c>
      <c r="J3260" s="1" t="s">
        <v>38</v>
      </c>
      <c r="K3260" s="1"/>
      <c r="L3260" s="1" t="s">
        <v>39</v>
      </c>
      <c r="M3260" s="1" t="str">
        <f>INDEX(MCC_Lookup!$B$2:$B$12,MATCH(G3260,MCC_Lookup!$A$2:$A$12,0))</f>
        <v>Travel</v>
      </c>
      <c r="N3260" s="1" t="str">
        <f>IF(TRIM(H3260)="","BLANK",IF(PROPER(TRIM(H3260))=TRIM(M3260),"MATCH","MISMATCH"))</f>
        <v>MATCH</v>
      </c>
      <c r="O3260" s="5" t="str">
        <f>INDEX([1]Employee!$C$2:$C$276,MATCH(B3260,[1]Employee!$A$2:$A$276,0))</f>
        <v>Sales &amp; Marketing</v>
      </c>
    </row>
    <row r="3261" spans="1:15">
      <c r="A3261" s="1" t="s">
        <v>6319</v>
      </c>
      <c r="B3261" s="1" t="s">
        <v>149</v>
      </c>
      <c r="C3261" s="1" t="s">
        <v>6320</v>
      </c>
      <c r="D3261" s="2">
        <v>46195</v>
      </c>
      <c r="E3261" s="2">
        <v>46198</v>
      </c>
      <c r="F3261" s="1" t="s">
        <v>43</v>
      </c>
      <c r="G3261" s="1" t="s">
        <v>2</v>
      </c>
      <c r="H3261" s="1" t="s">
        <v>3</v>
      </c>
      <c r="I3261" s="7">
        <v>7.19</v>
      </c>
      <c r="J3261" s="1" t="s">
        <v>38</v>
      </c>
      <c r="K3261" s="1"/>
      <c r="L3261" s="1" t="s">
        <v>39</v>
      </c>
      <c r="M3261" s="1" t="str">
        <f>INDEX(MCC_Lookup!$B$2:$B$12,MATCH(G3261,MCC_Lookup!$A$2:$A$12,0))</f>
        <v>Meals</v>
      </c>
      <c r="N3261" s="1" t="str">
        <f>IF(TRIM(H3261)="","BLANK",IF(PROPER(TRIM(H3261))=TRIM(M3261),"MATCH","MISMATCH"))</f>
        <v>MATCH</v>
      </c>
      <c r="O3261" s="5" t="str">
        <f>INDEX([1]Employee!$C$2:$C$276,MATCH(B3261,[1]Employee!$A$2:$A$276,0))</f>
        <v>Sales &amp; Marketing</v>
      </c>
    </row>
    <row r="3262" spans="1:15">
      <c r="A3262" s="1" t="s">
        <v>6321</v>
      </c>
      <c r="B3262" s="1" t="s">
        <v>3511</v>
      </c>
      <c r="C3262" s="1" t="s">
        <v>6322</v>
      </c>
      <c r="D3262" s="2">
        <v>46045</v>
      </c>
      <c r="E3262" s="2">
        <v>46198</v>
      </c>
      <c r="F3262" s="1" t="s">
        <v>69</v>
      </c>
      <c r="G3262" s="1" t="s">
        <v>8</v>
      </c>
      <c r="H3262" s="1" t="s">
        <v>9</v>
      </c>
      <c r="I3262" s="7">
        <v>14.25</v>
      </c>
      <c r="J3262" s="1" t="s">
        <v>38</v>
      </c>
      <c r="K3262" s="1"/>
      <c r="L3262" s="1" t="s">
        <v>39</v>
      </c>
      <c r="M3262" s="1" t="str">
        <f>INDEX(MCC_Lookup!$B$2:$B$12,MATCH(G3262,MCC_Lookup!$A$2:$A$12,0))</f>
        <v>Transportation</v>
      </c>
      <c r="N3262" s="1" t="str">
        <f>IF(TRIM(H3262)="","BLANK",IF(PROPER(TRIM(H3262))=TRIM(M3262),"MATCH","MISMATCH"))</f>
        <v>MATCH</v>
      </c>
      <c r="O3262" s="5" t="str">
        <f>INDEX([1]Employee!$C$2:$C$276,MATCH(B3262,[1]Employee!$A$2:$A$276,0))</f>
        <v>IT &amp; Platform Engineering</v>
      </c>
    </row>
    <row r="3263" spans="1:15">
      <c r="A3263" s="1" t="s">
        <v>6323</v>
      </c>
      <c r="B3263" s="1" t="s">
        <v>1824</v>
      </c>
      <c r="C3263" s="1" t="s">
        <v>6324</v>
      </c>
      <c r="D3263" s="2">
        <v>46190</v>
      </c>
      <c r="E3263" s="2">
        <v>46198</v>
      </c>
      <c r="F3263" s="1" t="s">
        <v>43</v>
      </c>
      <c r="G3263" s="1" t="s">
        <v>2</v>
      </c>
      <c r="H3263" s="1" t="s">
        <v>3</v>
      </c>
      <c r="I3263" s="7">
        <v>14.8</v>
      </c>
      <c r="J3263" s="1" t="s">
        <v>38</v>
      </c>
      <c r="K3263" s="1"/>
      <c r="L3263" s="1" t="s">
        <v>39</v>
      </c>
      <c r="M3263" s="1" t="str">
        <f>INDEX(MCC_Lookup!$B$2:$B$12,MATCH(G3263,MCC_Lookup!$A$2:$A$12,0))</f>
        <v>Meals</v>
      </c>
      <c r="N3263" s="1" t="str">
        <f>IF(TRIM(H3263)="","BLANK",IF(PROPER(TRIM(H3263))=TRIM(M3263),"MATCH","MISMATCH"))</f>
        <v>MATCH</v>
      </c>
      <c r="O3263" s="5" t="str">
        <f>INDEX([1]Employee!$C$2:$C$276,MATCH(B3263,[1]Employee!$A$2:$A$276,0))</f>
        <v>Claims</v>
      </c>
    </row>
    <row r="3264" spans="1:15">
      <c r="A3264" s="1" t="s">
        <v>6325</v>
      </c>
      <c r="B3264" s="1" t="s">
        <v>303</v>
      </c>
      <c r="C3264" s="1"/>
      <c r="D3264" s="2">
        <v>46191</v>
      </c>
      <c r="E3264" s="2">
        <v>46198</v>
      </c>
      <c r="F3264" s="1" t="s">
        <v>83</v>
      </c>
      <c r="G3264" s="1" t="s">
        <v>2</v>
      </c>
      <c r="H3264" s="1" t="s">
        <v>154</v>
      </c>
      <c r="I3264" s="7">
        <v>23.6</v>
      </c>
      <c r="J3264" s="1" t="s">
        <v>111</v>
      </c>
      <c r="K3264" s="1" t="s">
        <v>161</v>
      </c>
      <c r="L3264" s="1" t="s">
        <v>39</v>
      </c>
      <c r="M3264" s="1" t="str">
        <f>INDEX(MCC_Lookup!$B$2:$B$12,MATCH(G3264,MCC_Lookup!$A$2:$A$12,0))</f>
        <v>Meals</v>
      </c>
      <c r="N3264" s="1" t="str">
        <f>IF(TRIM(H3264)="","BLANK",IF(PROPER(TRIM(H3264))=TRIM(M3264),"MATCH","MISMATCH"))</f>
        <v>MATCH</v>
      </c>
      <c r="O3264" s="5" t="str">
        <f>INDEX([1]Employee!$C$2:$C$276,MATCH(B3264,[1]Employee!$A$2:$A$276,0))</f>
        <v>Sales &amp; Marketing</v>
      </c>
    </row>
    <row r="3265" spans="1:15">
      <c r="A3265" s="1" t="s">
        <v>6326</v>
      </c>
      <c r="B3265" s="1" t="s">
        <v>531</v>
      </c>
      <c r="C3265" s="1" t="s">
        <v>6327</v>
      </c>
      <c r="D3265" s="2">
        <v>46114</v>
      </c>
      <c r="E3265" s="2">
        <v>46198</v>
      </c>
      <c r="F3265" s="1" t="s">
        <v>116</v>
      </c>
      <c r="G3265" s="1" t="s">
        <v>2</v>
      </c>
      <c r="H3265" s="1" t="s">
        <v>3</v>
      </c>
      <c r="I3265" s="7">
        <v>11.59</v>
      </c>
      <c r="J3265" s="1" t="s">
        <v>38</v>
      </c>
      <c r="K3265" s="1"/>
      <c r="L3265" s="1" t="s">
        <v>48</v>
      </c>
      <c r="M3265" s="1" t="str">
        <f>INDEX(MCC_Lookup!$B$2:$B$12,MATCH(G3265,MCC_Lookup!$A$2:$A$12,0))</f>
        <v>Meals</v>
      </c>
      <c r="N3265" s="1" t="str">
        <f>IF(TRIM(H3265)="","BLANK",IF(PROPER(TRIM(H3265))=TRIM(M3265),"MATCH","MISMATCH"))</f>
        <v>MATCH</v>
      </c>
      <c r="O3265" s="5" t="str">
        <f>INDEX([1]Employee!$C$2:$C$276,MATCH(B3265,[1]Employee!$A$2:$A$276,0))</f>
        <v>Sales &amp; Marketing</v>
      </c>
    </row>
    <row r="3266" spans="1:15">
      <c r="A3266" s="1" t="s">
        <v>6328</v>
      </c>
      <c r="B3266" s="1" t="s">
        <v>915</v>
      </c>
      <c r="C3266" s="1" t="s">
        <v>6329</v>
      </c>
      <c r="D3266" s="2">
        <v>46193</v>
      </c>
      <c r="E3266" s="2">
        <v>46198</v>
      </c>
      <c r="F3266" s="1" t="s">
        <v>259</v>
      </c>
      <c r="G3266" s="1" t="s">
        <v>20</v>
      </c>
      <c r="H3266" s="1" t="s">
        <v>19</v>
      </c>
      <c r="I3266" s="7">
        <v>169.33</v>
      </c>
      <c r="J3266" s="1" t="s">
        <v>38</v>
      </c>
      <c r="K3266" s="1"/>
      <c r="L3266" s="1" t="s">
        <v>39</v>
      </c>
      <c r="M3266" s="1" t="str">
        <f>INDEX(MCC_Lookup!$B$2:$B$12,MATCH(G3266,MCC_Lookup!$A$2:$A$12,0))</f>
        <v>Events</v>
      </c>
      <c r="N3266" s="1" t="str">
        <f>IF(TRIM(H3266)="","BLANK",IF(PROPER(TRIM(H3266))=TRIM(M3266),"MATCH","MISMATCH"))</f>
        <v>MATCH</v>
      </c>
      <c r="O3266" s="5" t="str">
        <f>INDEX([1]Employee!$C$2:$C$276,MATCH(B3266,[1]Employee!$A$2:$A$276,0))</f>
        <v>Sales &amp; Marketing</v>
      </c>
    </row>
    <row r="3267" spans="1:15">
      <c r="A3267" s="1" t="s">
        <v>6330</v>
      </c>
      <c r="B3267" s="1" t="s">
        <v>524</v>
      </c>
      <c r="C3267" s="1" t="s">
        <v>6331</v>
      </c>
      <c r="D3267" s="2">
        <v>46190</v>
      </c>
      <c r="E3267" s="2">
        <v>46198</v>
      </c>
      <c r="F3267" s="1" t="s">
        <v>56</v>
      </c>
      <c r="G3267" s="1" t="s">
        <v>4</v>
      </c>
      <c r="H3267" s="1" t="s">
        <v>5</v>
      </c>
      <c r="I3267" s="7">
        <v>234.1</v>
      </c>
      <c r="J3267" s="1" t="s">
        <v>38</v>
      </c>
      <c r="K3267" s="1"/>
      <c r="L3267" s="1" t="s">
        <v>39</v>
      </c>
      <c r="M3267" s="1" t="str">
        <f>INDEX(MCC_Lookup!$B$2:$B$12,MATCH(G3267,MCC_Lookup!$A$2:$A$12,0))</f>
        <v>Travel</v>
      </c>
      <c r="N3267" s="1" t="str">
        <f>IF(TRIM(H3267)="","BLANK",IF(PROPER(TRIM(H3267))=TRIM(M3267),"MATCH","MISMATCH"))</f>
        <v>MATCH</v>
      </c>
      <c r="O3267" s="5" t="str">
        <f>INDEX([1]Employee!$C$2:$C$276,MATCH(B3267,[1]Employee!$A$2:$A$276,0))</f>
        <v>Claims</v>
      </c>
    </row>
    <row r="3268" spans="1:15">
      <c r="A3268" s="1" t="s">
        <v>6332</v>
      </c>
      <c r="B3268" s="1" t="s">
        <v>63</v>
      </c>
      <c r="C3268" s="1" t="s">
        <v>6333</v>
      </c>
      <c r="D3268" s="2">
        <v>46056</v>
      </c>
      <c r="E3268" s="2">
        <v>46198</v>
      </c>
      <c r="F3268" s="1" t="s">
        <v>92</v>
      </c>
      <c r="G3268" s="1" t="s">
        <v>10</v>
      </c>
      <c r="H3268" s="1" t="s">
        <v>295</v>
      </c>
      <c r="I3268" s="7">
        <v>39.5</v>
      </c>
      <c r="J3268" s="1" t="s">
        <v>38</v>
      </c>
      <c r="K3268" s="1"/>
      <c r="L3268" s="1" t="s">
        <v>39</v>
      </c>
      <c r="M3268" s="1" t="str">
        <f>INDEX(MCC_Lookup!$B$2:$B$12,MATCH(G3268,MCC_Lookup!$A$2:$A$12,0))</f>
        <v>Office Supplies</v>
      </c>
      <c r="N3268" s="1" t="str">
        <f>IF(TRIM(H3268)="","BLANK",IF(PROPER(TRIM(H3268))=TRIM(M3268),"MATCH","MISMATCH"))</f>
        <v>MATCH</v>
      </c>
      <c r="O3268" s="5" t="str">
        <f>INDEX([1]Employee!$C$2:$C$276,MATCH(B3268,[1]Employee!$A$2:$A$276,0))</f>
        <v>Sales &amp; Marketing</v>
      </c>
    </row>
    <row r="3269" spans="1:15">
      <c r="A3269" s="1" t="s">
        <v>6334</v>
      </c>
      <c r="B3269" s="1" t="s">
        <v>63</v>
      </c>
      <c r="C3269" s="1" t="s">
        <v>6335</v>
      </c>
      <c r="D3269" s="2">
        <v>46189</v>
      </c>
      <c r="E3269" s="2">
        <v>46198</v>
      </c>
      <c r="F3269" s="1" t="s">
        <v>106</v>
      </c>
      <c r="G3269" s="1" t="s">
        <v>13</v>
      </c>
      <c r="H3269" s="1" t="s">
        <v>14</v>
      </c>
      <c r="I3269" s="7">
        <v>88.01</v>
      </c>
      <c r="J3269" s="1" t="s">
        <v>38</v>
      </c>
      <c r="K3269" s="1"/>
      <c r="L3269" s="1" t="s">
        <v>39</v>
      </c>
      <c r="M3269" s="1" t="str">
        <f>INDEX(MCC_Lookup!$B$2:$B$12,MATCH(G3269,MCC_Lookup!$A$2:$A$12,0))</f>
        <v>Software</v>
      </c>
      <c r="N3269" s="1" t="str">
        <f>IF(TRIM(H3269)="","BLANK",IF(PROPER(TRIM(H3269))=TRIM(M3269),"MATCH","MISMATCH"))</f>
        <v>MATCH</v>
      </c>
      <c r="O3269" s="5" t="str">
        <f>INDEX([1]Employee!$C$2:$C$276,MATCH(B3269,[1]Employee!$A$2:$A$276,0))</f>
        <v>Sales &amp; Marketing</v>
      </c>
    </row>
    <row r="3270" spans="1:15">
      <c r="A3270" s="1" t="s">
        <v>6336</v>
      </c>
      <c r="B3270" s="1" t="s">
        <v>469</v>
      </c>
      <c r="C3270" s="1"/>
      <c r="D3270" s="2">
        <v>46189</v>
      </c>
      <c r="E3270" s="2">
        <v>46198</v>
      </c>
      <c r="F3270" s="1" t="s">
        <v>109</v>
      </c>
      <c r="G3270" s="1" t="s">
        <v>18</v>
      </c>
      <c r="H3270" s="1" t="s">
        <v>19</v>
      </c>
      <c r="I3270" s="7">
        <v>73.180000000000007</v>
      </c>
      <c r="J3270" s="1" t="s">
        <v>111</v>
      </c>
      <c r="K3270" s="1" t="s">
        <v>127</v>
      </c>
      <c r="L3270" s="1" t="s">
        <v>39</v>
      </c>
      <c r="M3270" s="1" t="str">
        <f>INDEX(MCC_Lookup!$B$2:$B$12,MATCH(G3270,MCC_Lookup!$A$2:$A$12,0))</f>
        <v>Events</v>
      </c>
      <c r="N3270" s="1" t="str">
        <f>IF(TRIM(H3270)="","BLANK",IF(PROPER(TRIM(H3270))=TRIM(M3270),"MATCH","MISMATCH"))</f>
        <v>MATCH</v>
      </c>
      <c r="O3270" s="5" t="str">
        <f>INDEX([1]Employee!$C$2:$C$276,MATCH(B3270,[1]Employee!$A$2:$A$276,0))</f>
        <v>Sales &amp; Marketing</v>
      </c>
    </row>
    <row r="3271" spans="1:15">
      <c r="A3271" s="1" t="s">
        <v>6337</v>
      </c>
      <c r="B3271" s="1" t="s">
        <v>97</v>
      </c>
      <c r="C3271" s="1"/>
      <c r="D3271" s="2">
        <v>46109</v>
      </c>
      <c r="E3271" s="2">
        <v>46198</v>
      </c>
      <c r="F3271" s="1" t="s">
        <v>173</v>
      </c>
      <c r="G3271" s="1" t="s">
        <v>2</v>
      </c>
      <c r="H3271" s="1" t="s">
        <v>3</v>
      </c>
      <c r="I3271" s="7">
        <v>29.44</v>
      </c>
      <c r="J3271" s="1" t="s">
        <v>111</v>
      </c>
      <c r="K3271" s="1" t="s">
        <v>229</v>
      </c>
      <c r="L3271" s="1" t="s">
        <v>39</v>
      </c>
      <c r="M3271" s="1" t="str">
        <f>INDEX(MCC_Lookup!$B$2:$B$12,MATCH(G3271,MCC_Lookup!$A$2:$A$12,0))</f>
        <v>Meals</v>
      </c>
      <c r="N3271" s="1" t="str">
        <f>IF(TRIM(H3271)="","BLANK",IF(PROPER(TRIM(H3271))=TRIM(M3271),"MATCH","MISMATCH"))</f>
        <v>MATCH</v>
      </c>
      <c r="O3271" s="5" t="str">
        <f>INDEX([1]Employee!$C$2:$C$276,MATCH(B3271,[1]Employee!$A$2:$A$276,0))</f>
        <v>Sales &amp; Marketing</v>
      </c>
    </row>
    <row r="3272" spans="1:15">
      <c r="A3272" s="1" t="s">
        <v>6338</v>
      </c>
      <c r="B3272" s="1" t="s">
        <v>292</v>
      </c>
      <c r="C3272" s="1"/>
      <c r="D3272" s="2">
        <v>46194</v>
      </c>
      <c r="E3272" s="2">
        <v>46198</v>
      </c>
      <c r="F3272" s="1" t="s">
        <v>242</v>
      </c>
      <c r="G3272" s="1" t="s">
        <v>13</v>
      </c>
      <c r="H3272" s="1" t="s">
        <v>470</v>
      </c>
      <c r="I3272" s="7">
        <v>19.399999999999999</v>
      </c>
      <c r="J3272" s="1" t="s">
        <v>111</v>
      </c>
      <c r="K3272" s="1" t="s">
        <v>229</v>
      </c>
      <c r="L3272" s="1" t="s">
        <v>39</v>
      </c>
      <c r="M3272" s="1" t="str">
        <f>INDEX(MCC_Lookup!$B$2:$B$12,MATCH(G3272,MCC_Lookup!$A$2:$A$12,0))</f>
        <v>Software</v>
      </c>
      <c r="N3272" s="1" t="str">
        <f>IF(TRIM(H3272)="","BLANK",IF(PROPER(TRIM(H3272))=TRIM(M3272),"MATCH","MISMATCH"))</f>
        <v>MATCH</v>
      </c>
      <c r="O3272" s="5" t="str">
        <f>INDEX([1]Employee!$C$2:$C$276,MATCH(B3272,[1]Employee!$A$2:$A$276,0))</f>
        <v>Sales &amp; Marketing</v>
      </c>
    </row>
    <row r="3273" spans="1:15">
      <c r="A3273" s="1" t="s">
        <v>6339</v>
      </c>
      <c r="B3273" s="1" t="s">
        <v>196</v>
      </c>
      <c r="C3273" s="1"/>
      <c r="D3273" s="2">
        <v>46198</v>
      </c>
      <c r="E3273" s="2">
        <v>46198</v>
      </c>
      <c r="F3273" s="1" t="s">
        <v>76</v>
      </c>
      <c r="G3273" s="1" t="s">
        <v>13</v>
      </c>
      <c r="H3273" s="1" t="s">
        <v>14</v>
      </c>
      <c r="I3273" s="7">
        <v>399.54</v>
      </c>
      <c r="J3273" s="1" t="s">
        <v>38</v>
      </c>
      <c r="K3273" s="1"/>
      <c r="L3273" s="1" t="s">
        <v>48</v>
      </c>
      <c r="M3273" s="1" t="str">
        <f>INDEX(MCC_Lookup!$B$2:$B$12,MATCH(G3273,MCC_Lookup!$A$2:$A$12,0))</f>
        <v>Software</v>
      </c>
      <c r="N3273" s="1" t="str">
        <f>IF(TRIM(H3273)="","BLANK",IF(PROPER(TRIM(H3273))=TRIM(M3273),"MATCH","MISMATCH"))</f>
        <v>MATCH</v>
      </c>
      <c r="O3273" s="5" t="str">
        <f>INDEX([1]Employee!$C$2:$C$276,MATCH(B3273,[1]Employee!$A$2:$A$276,0))</f>
        <v>Sales &amp; Marketing</v>
      </c>
    </row>
    <row r="3274" spans="1:15">
      <c r="A3274" s="1" t="s">
        <v>6340</v>
      </c>
      <c r="B3274" s="1" t="s">
        <v>104</v>
      </c>
      <c r="C3274" s="1" t="s">
        <v>6341</v>
      </c>
      <c r="D3274" s="2">
        <v>46188</v>
      </c>
      <c r="E3274" s="2">
        <v>46198</v>
      </c>
      <c r="F3274" s="1" t="s">
        <v>120</v>
      </c>
      <c r="G3274" s="1" t="s">
        <v>12</v>
      </c>
      <c r="H3274" s="1" t="s">
        <v>11</v>
      </c>
      <c r="I3274" s="7">
        <v>63.89</v>
      </c>
      <c r="J3274" s="1" t="s">
        <v>38</v>
      </c>
      <c r="K3274" s="1"/>
      <c r="L3274" s="1" t="s">
        <v>39</v>
      </c>
      <c r="M3274" s="1" t="str">
        <f>INDEX(MCC_Lookup!$B$2:$B$12,MATCH(G3274,MCC_Lookup!$A$2:$A$12,0))</f>
        <v>Office Supplies</v>
      </c>
      <c r="N3274" s="1" t="str">
        <f>IF(TRIM(H3274)="","BLANK",IF(PROPER(TRIM(H3274))=TRIM(M3274),"MATCH","MISMATCH"))</f>
        <v>MATCH</v>
      </c>
      <c r="O3274" s="5" t="str">
        <f>INDEX([1]Employee!$C$2:$C$276,MATCH(B3274,[1]Employee!$A$2:$A$276,0))</f>
        <v>Sales &amp; Marketing</v>
      </c>
    </row>
    <row r="3275" spans="1:15">
      <c r="A3275" s="1" t="s">
        <v>6342</v>
      </c>
      <c r="B3275" s="1" t="s">
        <v>499</v>
      </c>
      <c r="C3275" s="1"/>
      <c r="D3275" s="2">
        <v>46067</v>
      </c>
      <c r="E3275" s="2">
        <v>46198</v>
      </c>
      <c r="F3275" s="1" t="s">
        <v>173</v>
      </c>
      <c r="G3275" s="1" t="s">
        <v>2</v>
      </c>
      <c r="H3275" s="1" t="s">
        <v>3</v>
      </c>
      <c r="I3275" s="7">
        <v>83.94</v>
      </c>
      <c r="J3275" s="1" t="s">
        <v>111</v>
      </c>
      <c r="K3275" s="1" t="s">
        <v>112</v>
      </c>
      <c r="L3275" s="1" t="s">
        <v>39</v>
      </c>
      <c r="M3275" s="1" t="str">
        <f>INDEX(MCC_Lookup!$B$2:$B$12,MATCH(G3275,MCC_Lookup!$A$2:$A$12,0))</f>
        <v>Meals</v>
      </c>
      <c r="N3275" s="1" t="str">
        <f>IF(TRIM(H3275)="","BLANK",IF(PROPER(TRIM(H3275))=TRIM(M3275),"MATCH","MISMATCH"))</f>
        <v>MATCH</v>
      </c>
      <c r="O3275" s="5" t="str">
        <f>INDEX([1]Employee!$C$2:$C$276,MATCH(B3275,[1]Employee!$A$2:$A$276,0))</f>
        <v>Sales &amp; Marketing</v>
      </c>
    </row>
    <row r="3276" spans="1:15">
      <c r="A3276" s="1" t="s">
        <v>6343</v>
      </c>
      <c r="B3276" s="1" t="s">
        <v>846</v>
      </c>
      <c r="C3276" s="1" t="s">
        <v>6344</v>
      </c>
      <c r="D3276" s="2">
        <v>46126</v>
      </c>
      <c r="E3276" s="2">
        <v>46198</v>
      </c>
      <c r="F3276" s="1" t="s">
        <v>61</v>
      </c>
      <c r="G3276" s="1" t="s">
        <v>13</v>
      </c>
      <c r="H3276" s="1" t="s">
        <v>14</v>
      </c>
      <c r="I3276" s="7">
        <v>49.26</v>
      </c>
      <c r="J3276" s="1" t="s">
        <v>38</v>
      </c>
      <c r="K3276" s="1"/>
      <c r="L3276" s="1" t="s">
        <v>39</v>
      </c>
      <c r="M3276" s="1" t="str">
        <f>INDEX(MCC_Lookup!$B$2:$B$12,MATCH(G3276,MCC_Lookup!$A$2:$A$12,0))</f>
        <v>Software</v>
      </c>
      <c r="N3276" s="1" t="str">
        <f>IF(TRIM(H3276)="","BLANK",IF(PROPER(TRIM(H3276))=TRIM(M3276),"MATCH","MISMATCH"))</f>
        <v>MATCH</v>
      </c>
      <c r="O3276" s="5" t="str">
        <f>INDEX([1]Employee!$C$2:$C$276,MATCH(B3276,[1]Employee!$A$2:$A$276,0))</f>
        <v>Sales &amp; Marketing</v>
      </c>
    </row>
    <row r="3277" spans="1:15">
      <c r="A3277" s="1" t="s">
        <v>6345</v>
      </c>
      <c r="B3277" s="1" t="s">
        <v>846</v>
      </c>
      <c r="C3277" s="1" t="s">
        <v>6346</v>
      </c>
      <c r="D3277" s="2">
        <v>46172</v>
      </c>
      <c r="E3277" s="2">
        <v>46198</v>
      </c>
      <c r="F3277" s="1" t="s">
        <v>120</v>
      </c>
      <c r="G3277" s="1" t="s">
        <v>12</v>
      </c>
      <c r="H3277" s="1" t="s">
        <v>295</v>
      </c>
      <c r="I3277" s="7">
        <v>395.5</v>
      </c>
      <c r="J3277" s="1" t="s">
        <v>38</v>
      </c>
      <c r="K3277" s="1"/>
      <c r="L3277" s="1" t="s">
        <v>39</v>
      </c>
      <c r="M3277" s="1" t="str">
        <f>INDEX(MCC_Lookup!$B$2:$B$12,MATCH(G3277,MCC_Lookup!$A$2:$A$12,0))</f>
        <v>Office Supplies</v>
      </c>
      <c r="N3277" s="1" t="str">
        <f>IF(TRIM(H3277)="","BLANK",IF(PROPER(TRIM(H3277))=TRIM(M3277),"MATCH","MISMATCH"))</f>
        <v>MATCH</v>
      </c>
      <c r="O3277" s="5" t="str">
        <f>INDEX([1]Employee!$C$2:$C$276,MATCH(B3277,[1]Employee!$A$2:$A$276,0))</f>
        <v>Sales &amp; Marketing</v>
      </c>
    </row>
    <row r="3278" spans="1:15">
      <c r="A3278" s="1" t="s">
        <v>6347</v>
      </c>
      <c r="B3278" s="1" t="s">
        <v>1650</v>
      </c>
      <c r="C3278" s="1" t="s">
        <v>6348</v>
      </c>
      <c r="D3278" s="2">
        <v>46058</v>
      </c>
      <c r="E3278" s="2">
        <v>46198</v>
      </c>
      <c r="F3278" s="1" t="s">
        <v>242</v>
      </c>
      <c r="G3278" s="1" t="s">
        <v>13</v>
      </c>
      <c r="H3278" s="1" t="s">
        <v>419</v>
      </c>
      <c r="I3278" s="7">
        <v>24.58</v>
      </c>
      <c r="J3278" s="1" t="s">
        <v>38</v>
      </c>
      <c r="K3278" s="1"/>
      <c r="L3278" s="1" t="s">
        <v>39</v>
      </c>
      <c r="M3278" s="1" t="str">
        <f>INDEX(MCC_Lookup!$B$2:$B$12,MATCH(G3278,MCC_Lookup!$A$2:$A$12,0))</f>
        <v>Software</v>
      </c>
      <c r="N3278" s="1" t="str">
        <f>IF(TRIM(H3278)="","BLANK",IF(PROPER(TRIM(H3278))=TRIM(M3278),"MATCH","MISMATCH"))</f>
        <v>MATCH</v>
      </c>
      <c r="O3278" s="5" t="str">
        <f>INDEX([1]Employee!$C$2:$C$276,MATCH(B3278,[1]Employee!$A$2:$A$276,0))</f>
        <v>HR &amp; Events</v>
      </c>
    </row>
    <row r="3279" spans="1:15">
      <c r="A3279" s="1" t="s">
        <v>6349</v>
      </c>
      <c r="B3279" s="1" t="s">
        <v>81</v>
      </c>
      <c r="C3279" s="1" t="s">
        <v>6350</v>
      </c>
      <c r="D3279" s="2">
        <v>46049</v>
      </c>
      <c r="E3279" s="2">
        <v>46198</v>
      </c>
      <c r="F3279" s="1" t="s">
        <v>116</v>
      </c>
      <c r="G3279" s="1" t="s">
        <v>2</v>
      </c>
      <c r="H3279" s="1" t="s">
        <v>154</v>
      </c>
      <c r="I3279" s="7">
        <v>16.22</v>
      </c>
      <c r="J3279" s="1" t="s">
        <v>38</v>
      </c>
      <c r="K3279" s="1"/>
      <c r="L3279" s="1" t="s">
        <v>39</v>
      </c>
      <c r="M3279" s="1" t="str">
        <f>INDEX(MCC_Lookup!$B$2:$B$12,MATCH(G3279,MCC_Lookup!$A$2:$A$12,0))</f>
        <v>Meals</v>
      </c>
      <c r="N3279" s="1" t="str">
        <f>IF(TRIM(H3279)="","BLANK",IF(PROPER(TRIM(H3279))=TRIM(M3279),"MATCH","MISMATCH"))</f>
        <v>MATCH</v>
      </c>
      <c r="O3279" s="5" t="str">
        <f>INDEX([1]Employee!$C$2:$C$276,MATCH(B3279,[1]Employee!$A$2:$A$276,0))</f>
        <v>Sales &amp; Marketing</v>
      </c>
    </row>
    <row r="3280" spans="1:15">
      <c r="A3280" s="1" t="s">
        <v>6351</v>
      </c>
      <c r="B3280" s="1" t="s">
        <v>1509</v>
      </c>
      <c r="C3280" s="1" t="s">
        <v>6352</v>
      </c>
      <c r="D3280" s="2">
        <v>46192</v>
      </c>
      <c r="E3280" s="2">
        <v>46198</v>
      </c>
      <c r="F3280" s="1" t="s">
        <v>37</v>
      </c>
      <c r="G3280" s="1" t="s">
        <v>4</v>
      </c>
      <c r="H3280" s="1" t="s">
        <v>14</v>
      </c>
      <c r="I3280" s="7">
        <v>450.87</v>
      </c>
      <c r="J3280" s="1" t="s">
        <v>38</v>
      </c>
      <c r="K3280" s="1"/>
      <c r="L3280" s="1" t="s">
        <v>48</v>
      </c>
      <c r="M3280" s="1" t="str">
        <f>INDEX(MCC_Lookup!$B$2:$B$12,MATCH(G3280,MCC_Lookup!$A$2:$A$12,0))</f>
        <v>Travel</v>
      </c>
      <c r="N3280" s="1" t="str">
        <f>IF(TRIM(H3280)="","BLANK",IF(PROPER(TRIM(H3280))=TRIM(M3280),"MATCH","MISMATCH"))</f>
        <v>MISMATCH</v>
      </c>
      <c r="O3280" s="5" t="str">
        <f>INDEX([1]Employee!$C$2:$C$276,MATCH(B3280,[1]Employee!$A$2:$A$276,0))</f>
        <v>Claims</v>
      </c>
    </row>
    <row r="3281" spans="1:15">
      <c r="A3281" s="1" t="s">
        <v>6353</v>
      </c>
      <c r="B3281" s="1" t="s">
        <v>792</v>
      </c>
      <c r="C3281" s="1" t="s">
        <v>6354</v>
      </c>
      <c r="D3281" s="2">
        <v>46194</v>
      </c>
      <c r="E3281" s="2">
        <v>46198</v>
      </c>
      <c r="F3281" s="1" t="s">
        <v>259</v>
      </c>
      <c r="G3281" s="1" t="s">
        <v>20</v>
      </c>
      <c r="H3281" s="1" t="s">
        <v>19</v>
      </c>
      <c r="I3281" s="7">
        <v>245.39</v>
      </c>
      <c r="J3281" s="1" t="s">
        <v>38</v>
      </c>
      <c r="K3281" s="1"/>
      <c r="L3281" s="1" t="s">
        <v>39</v>
      </c>
      <c r="M3281" s="1" t="str">
        <f>INDEX(MCC_Lookup!$B$2:$B$12,MATCH(G3281,MCC_Lookup!$A$2:$A$12,0))</f>
        <v>Events</v>
      </c>
      <c r="N3281" s="1" t="str">
        <f>IF(TRIM(H3281)="","BLANK",IF(PROPER(TRIM(H3281))=TRIM(M3281),"MATCH","MISMATCH"))</f>
        <v>MATCH</v>
      </c>
      <c r="O3281" s="5" t="str">
        <f>INDEX([1]Employee!$C$2:$C$276,MATCH(B3281,[1]Employee!$A$2:$A$276,0))</f>
        <v>Underwriting</v>
      </c>
    </row>
    <row r="3282" spans="1:15">
      <c r="A3282" s="1" t="s">
        <v>6355</v>
      </c>
      <c r="B3282" s="1" t="s">
        <v>506</v>
      </c>
      <c r="C3282" s="1" t="s">
        <v>6356</v>
      </c>
      <c r="D3282" s="2">
        <v>46111</v>
      </c>
      <c r="E3282" s="2">
        <v>46198</v>
      </c>
      <c r="F3282" s="1" t="s">
        <v>52</v>
      </c>
      <c r="G3282" s="1" t="s">
        <v>15</v>
      </c>
      <c r="H3282" s="1" t="s">
        <v>403</v>
      </c>
      <c r="I3282" s="7">
        <v>24.88</v>
      </c>
      <c r="J3282" s="1" t="s">
        <v>38</v>
      </c>
      <c r="K3282" s="1"/>
      <c r="L3282" s="1" t="s">
        <v>39</v>
      </c>
      <c r="M3282" s="1" t="str">
        <f>INDEX(MCC_Lookup!$B$2:$B$12,MATCH(G3282,MCC_Lookup!$A$2:$A$12,0))</f>
        <v>Entertainment</v>
      </c>
      <c r="N3282" s="1" t="str">
        <f>IF(TRIM(H3282)="","BLANK",IF(PROPER(TRIM(H3282))=TRIM(M3282),"MATCH","MISMATCH"))</f>
        <v>MATCH</v>
      </c>
      <c r="O3282" s="5" t="str">
        <f>INDEX([1]Employee!$C$2:$C$276,MATCH(B3282,[1]Employee!$A$2:$A$276,0))</f>
        <v>Executive &amp; Corporate</v>
      </c>
    </row>
    <row r="3283" spans="1:15">
      <c r="A3283" s="1" t="s">
        <v>6357</v>
      </c>
      <c r="B3283" s="1" t="s">
        <v>542</v>
      </c>
      <c r="C3283" s="1"/>
      <c r="D3283" s="2">
        <v>46198</v>
      </c>
      <c r="E3283" s="2">
        <v>46198</v>
      </c>
      <c r="F3283" s="1" t="s">
        <v>177</v>
      </c>
      <c r="G3283" s="1" t="s">
        <v>13</v>
      </c>
      <c r="H3283" s="1" t="s">
        <v>14</v>
      </c>
      <c r="I3283" s="7">
        <v>58.53</v>
      </c>
      <c r="J3283" s="1" t="s">
        <v>111</v>
      </c>
      <c r="K3283" s="1" t="s">
        <v>161</v>
      </c>
      <c r="L3283" s="1" t="s">
        <v>39</v>
      </c>
      <c r="M3283" s="1" t="str">
        <f>INDEX(MCC_Lookup!$B$2:$B$12,MATCH(G3283,MCC_Lookup!$A$2:$A$12,0))</f>
        <v>Software</v>
      </c>
      <c r="N3283" s="1" t="str">
        <f>IF(TRIM(H3283)="","BLANK",IF(PROPER(TRIM(H3283))=TRIM(M3283),"MATCH","MISMATCH"))</f>
        <v>MATCH</v>
      </c>
      <c r="O3283" s="5" t="str">
        <f>INDEX([1]Employee!$C$2:$C$276,MATCH(B3283,[1]Employee!$A$2:$A$276,0))</f>
        <v>Underwriting</v>
      </c>
    </row>
    <row r="3284" spans="1:15">
      <c r="A3284" s="1" t="s">
        <v>6358</v>
      </c>
      <c r="B3284" s="1" t="s">
        <v>373</v>
      </c>
      <c r="C3284" s="1" t="s">
        <v>6359</v>
      </c>
      <c r="D3284" s="2">
        <v>46116</v>
      </c>
      <c r="E3284" s="2">
        <v>46198</v>
      </c>
      <c r="F3284" s="1" t="s">
        <v>47</v>
      </c>
      <c r="G3284" s="1" t="s">
        <v>6</v>
      </c>
      <c r="H3284" s="1" t="s">
        <v>228</v>
      </c>
      <c r="I3284" s="7">
        <v>142.93</v>
      </c>
      <c r="J3284" s="1" t="s">
        <v>38</v>
      </c>
      <c r="K3284" s="1"/>
      <c r="L3284" s="1" t="s">
        <v>39</v>
      </c>
      <c r="M3284" s="1" t="str">
        <f>INDEX(MCC_Lookup!$B$2:$B$12,MATCH(G3284,MCC_Lookup!$A$2:$A$12,0))</f>
        <v>Lodging</v>
      </c>
      <c r="N3284" s="1" t="str">
        <f>IF(TRIM(H3284)="","BLANK",IF(PROPER(TRIM(H3284))=TRIM(M3284),"MATCH","MISMATCH"))</f>
        <v>MATCH</v>
      </c>
      <c r="O3284" s="5" t="str">
        <f>INDEX([1]Employee!$C$2:$C$276,MATCH(B3284,[1]Employee!$A$2:$A$276,0))</f>
        <v>Sales &amp; Marketing</v>
      </c>
    </row>
    <row r="3285" spans="1:15">
      <c r="A3285" s="1" t="s">
        <v>6360</v>
      </c>
      <c r="B3285" s="1" t="s">
        <v>883</v>
      </c>
      <c r="C3285" s="1"/>
      <c r="D3285" s="2">
        <v>46056</v>
      </c>
      <c r="E3285" s="2">
        <v>46198</v>
      </c>
      <c r="F3285" s="1" t="s">
        <v>201</v>
      </c>
      <c r="G3285" s="1" t="s">
        <v>4</v>
      </c>
      <c r="H3285" s="1" t="s">
        <v>5</v>
      </c>
      <c r="I3285" s="7">
        <v>562.66999999999996</v>
      </c>
      <c r="J3285" s="1" t="s">
        <v>111</v>
      </c>
      <c r="K3285" s="1" t="s">
        <v>112</v>
      </c>
      <c r="L3285" s="1" t="s">
        <v>39</v>
      </c>
      <c r="M3285" s="1" t="str">
        <f>INDEX(MCC_Lookup!$B$2:$B$12,MATCH(G3285,MCC_Lookup!$A$2:$A$12,0))</f>
        <v>Travel</v>
      </c>
      <c r="N3285" s="1" t="str">
        <f>IF(TRIM(H3285)="","BLANK",IF(PROPER(TRIM(H3285))=TRIM(M3285),"MATCH","MISMATCH"))</f>
        <v>MATCH</v>
      </c>
      <c r="O3285" s="5" t="str">
        <f>INDEX([1]Employee!$C$2:$C$276,MATCH(B3285,[1]Employee!$A$2:$A$276,0))</f>
        <v>Actuarial &amp; Risk</v>
      </c>
    </row>
    <row r="3286" spans="1:15">
      <c r="A3286" s="1" t="s">
        <v>6361</v>
      </c>
      <c r="B3286" s="1" t="s">
        <v>1302</v>
      </c>
      <c r="C3286" s="1" t="s">
        <v>6362</v>
      </c>
      <c r="D3286" s="2">
        <v>46037</v>
      </c>
      <c r="E3286" s="2">
        <v>46198</v>
      </c>
      <c r="F3286" s="1" t="s">
        <v>99</v>
      </c>
      <c r="G3286" s="1" t="s">
        <v>2</v>
      </c>
      <c r="H3286" s="1" t="s">
        <v>3</v>
      </c>
      <c r="I3286" s="7">
        <v>138.36000000000001</v>
      </c>
      <c r="J3286" s="1" t="s">
        <v>38</v>
      </c>
      <c r="K3286" s="1"/>
      <c r="L3286" s="1" t="s">
        <v>48</v>
      </c>
      <c r="M3286" s="1" t="str">
        <f>INDEX(MCC_Lookup!$B$2:$B$12,MATCH(G3286,MCC_Lookup!$A$2:$A$12,0))</f>
        <v>Meals</v>
      </c>
      <c r="N3286" s="1" t="str">
        <f>IF(TRIM(H3286)="","BLANK",IF(PROPER(TRIM(H3286))=TRIM(M3286),"MATCH","MISMATCH"))</f>
        <v>MATCH</v>
      </c>
      <c r="O3286" s="5" t="str">
        <f>INDEX([1]Employee!$C$2:$C$276,MATCH(B3286,[1]Employee!$A$2:$A$276,0))</f>
        <v>HR &amp; Events</v>
      </c>
    </row>
    <row r="3287" spans="1:15">
      <c r="A3287" s="1" t="s">
        <v>6363</v>
      </c>
      <c r="B3287" s="1" t="s">
        <v>382</v>
      </c>
      <c r="C3287" s="1" t="s">
        <v>6364</v>
      </c>
      <c r="D3287" s="2">
        <v>46025</v>
      </c>
      <c r="E3287" s="2">
        <v>46198</v>
      </c>
      <c r="F3287" s="1" t="s">
        <v>83</v>
      </c>
      <c r="G3287" s="1" t="s">
        <v>2</v>
      </c>
      <c r="H3287" s="1" t="s">
        <v>3</v>
      </c>
      <c r="I3287" s="7">
        <v>29.93</v>
      </c>
      <c r="J3287" s="1" t="s">
        <v>38</v>
      </c>
      <c r="K3287" s="1"/>
      <c r="L3287" s="1" t="s">
        <v>39</v>
      </c>
      <c r="M3287" s="1" t="str">
        <f>INDEX(MCC_Lookup!$B$2:$B$12,MATCH(G3287,MCC_Lookup!$A$2:$A$12,0))</f>
        <v>Meals</v>
      </c>
      <c r="N3287" s="1" t="str">
        <f>IF(TRIM(H3287)="","BLANK",IF(PROPER(TRIM(H3287))=TRIM(M3287),"MATCH","MISMATCH"))</f>
        <v>MATCH</v>
      </c>
      <c r="O3287" s="5" t="str">
        <f>INDEX([1]Employee!$C$2:$C$276,MATCH(B3287,[1]Employee!$A$2:$A$276,0))</f>
        <v>Sales &amp; Marketing</v>
      </c>
    </row>
    <row r="3288" spans="1:15">
      <c r="A3288" s="1" t="s">
        <v>6365</v>
      </c>
      <c r="B3288" s="1" t="s">
        <v>679</v>
      </c>
      <c r="C3288" s="1"/>
      <c r="D3288" s="2">
        <v>46161</v>
      </c>
      <c r="E3288" s="2">
        <v>46198</v>
      </c>
      <c r="F3288" s="1" t="s">
        <v>242</v>
      </c>
      <c r="G3288" s="1" t="s">
        <v>13</v>
      </c>
      <c r="H3288" s="1" t="s">
        <v>14</v>
      </c>
      <c r="I3288" s="7">
        <v>30.14</v>
      </c>
      <c r="J3288" s="1" t="s">
        <v>111</v>
      </c>
      <c r="K3288" s="1" t="s">
        <v>127</v>
      </c>
      <c r="L3288" s="1" t="s">
        <v>39</v>
      </c>
      <c r="M3288" s="1" t="str">
        <f>INDEX(MCC_Lookup!$B$2:$B$12,MATCH(G3288,MCC_Lookup!$A$2:$A$12,0))</f>
        <v>Software</v>
      </c>
      <c r="N3288" s="1" t="str">
        <f>IF(TRIM(H3288)="","BLANK",IF(PROPER(TRIM(H3288))=TRIM(M3288),"MATCH","MISMATCH"))</f>
        <v>MATCH</v>
      </c>
      <c r="O3288" s="5" t="str">
        <f>INDEX([1]Employee!$C$2:$C$276,MATCH(B3288,[1]Employee!$A$2:$A$276,0))</f>
        <v>Sales &amp; Marketing</v>
      </c>
    </row>
    <row r="3289" spans="1:15">
      <c r="A3289" s="1" t="s">
        <v>6366</v>
      </c>
      <c r="B3289" s="1" t="s">
        <v>924</v>
      </c>
      <c r="C3289" s="1" t="s">
        <v>6367</v>
      </c>
      <c r="D3289" s="2">
        <v>46198</v>
      </c>
      <c r="E3289" s="2">
        <v>46198</v>
      </c>
      <c r="F3289" s="1" t="s">
        <v>99</v>
      </c>
      <c r="G3289" s="1" t="s">
        <v>2</v>
      </c>
      <c r="H3289" s="1" t="s">
        <v>3</v>
      </c>
      <c r="I3289" s="7">
        <v>112.2</v>
      </c>
      <c r="J3289" s="1" t="s">
        <v>38</v>
      </c>
      <c r="K3289" s="1"/>
      <c r="L3289" s="1" t="s">
        <v>39</v>
      </c>
      <c r="M3289" s="1" t="str">
        <f>INDEX(MCC_Lookup!$B$2:$B$12,MATCH(G3289,MCC_Lookup!$A$2:$A$12,0))</f>
        <v>Meals</v>
      </c>
      <c r="N3289" s="1" t="str">
        <f>IF(TRIM(H3289)="","BLANK",IF(PROPER(TRIM(H3289))=TRIM(M3289),"MATCH","MISMATCH"))</f>
        <v>MATCH</v>
      </c>
      <c r="O3289" s="5" t="str">
        <f>INDEX([1]Employee!$C$2:$C$276,MATCH(B3289,[1]Employee!$A$2:$A$276,0))</f>
        <v>HR &amp; Events</v>
      </c>
    </row>
    <row r="3290" spans="1:15">
      <c r="A3290" s="1" t="s">
        <v>6368</v>
      </c>
      <c r="B3290" s="1" t="s">
        <v>413</v>
      </c>
      <c r="C3290" s="1" t="s">
        <v>6369</v>
      </c>
      <c r="D3290" s="2">
        <v>46200</v>
      </c>
      <c r="E3290" s="2">
        <v>46198</v>
      </c>
      <c r="F3290" s="1" t="s">
        <v>99</v>
      </c>
      <c r="G3290" s="1" t="s">
        <v>2</v>
      </c>
      <c r="H3290" s="1" t="s">
        <v>3</v>
      </c>
      <c r="I3290" s="7">
        <v>73.400000000000006</v>
      </c>
      <c r="J3290" s="1" t="s">
        <v>38</v>
      </c>
      <c r="K3290" s="1"/>
      <c r="L3290" s="1" t="s">
        <v>39</v>
      </c>
      <c r="M3290" s="1" t="str">
        <f>INDEX(MCC_Lookup!$B$2:$B$12,MATCH(G3290,MCC_Lookup!$A$2:$A$12,0))</f>
        <v>Meals</v>
      </c>
      <c r="N3290" s="1" t="str">
        <f>IF(TRIM(H3290)="","BLANK",IF(PROPER(TRIM(H3290))=TRIM(M3290),"MATCH","MISMATCH"))</f>
        <v>MATCH</v>
      </c>
      <c r="O3290" s="5" t="str">
        <f>INDEX([1]Employee!$C$2:$C$276,MATCH(B3290,[1]Employee!$A$2:$A$276,0))</f>
        <v>Claims</v>
      </c>
    </row>
    <row r="3291" spans="1:15">
      <c r="A3291" s="1" t="s">
        <v>6370</v>
      </c>
      <c r="B3291" s="1" t="s">
        <v>190</v>
      </c>
      <c r="C3291" s="1" t="s">
        <v>6371</v>
      </c>
      <c r="D3291" s="2">
        <v>46047</v>
      </c>
      <c r="E3291" s="2">
        <v>46198</v>
      </c>
      <c r="F3291" s="1" t="s">
        <v>342</v>
      </c>
      <c r="G3291" s="1" t="s">
        <v>8</v>
      </c>
      <c r="H3291" s="1" t="s">
        <v>9</v>
      </c>
      <c r="I3291" s="7">
        <v>35.86</v>
      </c>
      <c r="J3291" s="1" t="s">
        <v>38</v>
      </c>
      <c r="K3291" s="1"/>
      <c r="L3291" s="1" t="s">
        <v>48</v>
      </c>
      <c r="M3291" s="1" t="str">
        <f>INDEX(MCC_Lookup!$B$2:$B$12,MATCH(G3291,MCC_Lookup!$A$2:$A$12,0))</f>
        <v>Transportation</v>
      </c>
      <c r="N3291" s="1" t="str">
        <f>IF(TRIM(H3291)="","BLANK",IF(PROPER(TRIM(H3291))=TRIM(M3291),"MATCH","MISMATCH"))</f>
        <v>MATCH</v>
      </c>
      <c r="O3291" s="5" t="str">
        <f>INDEX([1]Employee!$C$2:$C$276,MATCH(B3291,[1]Employee!$A$2:$A$276,0))</f>
        <v>Sales &amp; Marketing</v>
      </c>
    </row>
    <row r="3292" spans="1:15">
      <c r="A3292" s="1" t="s">
        <v>6372</v>
      </c>
      <c r="B3292" s="1" t="s">
        <v>274</v>
      </c>
      <c r="C3292" s="1" t="s">
        <v>6373</v>
      </c>
      <c r="D3292" s="2">
        <v>46194</v>
      </c>
      <c r="E3292" s="2">
        <v>46199</v>
      </c>
      <c r="F3292" s="1" t="s">
        <v>95</v>
      </c>
      <c r="G3292" s="1" t="s">
        <v>6</v>
      </c>
      <c r="H3292" s="1" t="s">
        <v>7</v>
      </c>
      <c r="I3292" s="7">
        <v>208.18</v>
      </c>
      <c r="J3292" s="1" t="s">
        <v>38</v>
      </c>
      <c r="K3292" s="1"/>
      <c r="L3292" s="1" t="s">
        <v>39</v>
      </c>
      <c r="M3292" s="1" t="str">
        <f>INDEX(MCC_Lookup!$B$2:$B$12,MATCH(G3292,MCC_Lookup!$A$2:$A$12,0))</f>
        <v>Lodging</v>
      </c>
      <c r="N3292" s="1" t="str">
        <f>IF(TRIM(H3292)="","BLANK",IF(PROPER(TRIM(H3292))=TRIM(M3292),"MATCH","MISMATCH"))</f>
        <v>MATCH</v>
      </c>
      <c r="O3292" s="5" t="str">
        <f>INDEX([1]Employee!$C$2:$C$276,MATCH(B3292,[1]Employee!$A$2:$A$276,0))</f>
        <v>Finance</v>
      </c>
    </row>
    <row r="3293" spans="1:15">
      <c r="A3293" s="1" t="s">
        <v>6374</v>
      </c>
      <c r="B3293" s="1" t="s">
        <v>199</v>
      </c>
      <c r="C3293" s="1" t="s">
        <v>6375</v>
      </c>
      <c r="D3293" s="2">
        <v>46196</v>
      </c>
      <c r="E3293" s="2">
        <v>46199</v>
      </c>
      <c r="F3293" s="1" t="s">
        <v>305</v>
      </c>
      <c r="G3293" s="1" t="s">
        <v>2</v>
      </c>
      <c r="H3293" s="1" t="s">
        <v>3</v>
      </c>
      <c r="I3293" s="7">
        <v>11.28</v>
      </c>
      <c r="J3293" s="1" t="s">
        <v>38</v>
      </c>
      <c r="K3293" s="1"/>
      <c r="L3293" s="1" t="s">
        <v>39</v>
      </c>
      <c r="M3293" s="1" t="str">
        <f>INDEX(MCC_Lookup!$B$2:$B$12,MATCH(G3293,MCC_Lookup!$A$2:$A$12,0))</f>
        <v>Meals</v>
      </c>
      <c r="N3293" s="1" t="str">
        <f>IF(TRIM(H3293)="","BLANK",IF(PROPER(TRIM(H3293))=TRIM(M3293),"MATCH","MISMATCH"))</f>
        <v>MATCH</v>
      </c>
      <c r="O3293" s="5" t="str">
        <f>INDEX([1]Employee!$C$2:$C$276,MATCH(B3293,[1]Employee!$A$2:$A$276,0))</f>
        <v>Sales &amp; Marketing</v>
      </c>
    </row>
    <row r="3294" spans="1:15">
      <c r="A3294" s="1" t="s">
        <v>6376</v>
      </c>
      <c r="B3294" s="1" t="s">
        <v>199</v>
      </c>
      <c r="C3294" s="1" t="s">
        <v>6377</v>
      </c>
      <c r="D3294" s="2">
        <v>46127</v>
      </c>
      <c r="E3294" s="2">
        <v>46199</v>
      </c>
      <c r="F3294" s="1" t="s">
        <v>305</v>
      </c>
      <c r="G3294" s="1" t="s">
        <v>2</v>
      </c>
      <c r="H3294" s="1" t="s">
        <v>3</v>
      </c>
      <c r="I3294" s="7">
        <v>9.5</v>
      </c>
      <c r="J3294" s="1" t="s">
        <v>38</v>
      </c>
      <c r="K3294" s="1"/>
      <c r="L3294" s="1" t="s">
        <v>39</v>
      </c>
      <c r="M3294" s="1" t="str">
        <f>INDEX(MCC_Lookup!$B$2:$B$12,MATCH(G3294,MCC_Lookup!$A$2:$A$12,0))</f>
        <v>Meals</v>
      </c>
      <c r="N3294" s="1" t="str">
        <f>IF(TRIM(H3294)="","BLANK",IF(PROPER(TRIM(H3294))=TRIM(M3294),"MATCH","MISMATCH"))</f>
        <v>MATCH</v>
      </c>
      <c r="O3294" s="5" t="str">
        <f>INDEX([1]Employee!$C$2:$C$276,MATCH(B3294,[1]Employee!$A$2:$A$276,0))</f>
        <v>Sales &amp; Marketing</v>
      </c>
    </row>
    <row r="3295" spans="1:15">
      <c r="A3295" s="1" t="s">
        <v>6378</v>
      </c>
      <c r="B3295" s="1" t="s">
        <v>152</v>
      </c>
      <c r="C3295" s="1" t="s">
        <v>6379</v>
      </c>
      <c r="D3295" s="2">
        <v>46194</v>
      </c>
      <c r="E3295" s="2">
        <v>46199</v>
      </c>
      <c r="F3295" s="1" t="s">
        <v>47</v>
      </c>
      <c r="G3295" s="1" t="s">
        <v>6</v>
      </c>
      <c r="H3295" s="1" t="s">
        <v>7</v>
      </c>
      <c r="I3295" s="7">
        <v>376.96</v>
      </c>
      <c r="J3295" s="1" t="s">
        <v>38</v>
      </c>
      <c r="K3295" s="1"/>
      <c r="L3295" s="1" t="s">
        <v>39</v>
      </c>
      <c r="M3295" s="1" t="str">
        <f>INDEX(MCC_Lookup!$B$2:$B$12,MATCH(G3295,MCC_Lookup!$A$2:$A$12,0))</f>
        <v>Lodging</v>
      </c>
      <c r="N3295" s="1" t="str">
        <f>IF(TRIM(H3295)="","BLANK",IF(PROPER(TRIM(H3295))=TRIM(M3295),"MATCH","MISMATCH"))</f>
        <v>MATCH</v>
      </c>
      <c r="O3295" s="5" t="str">
        <f>INDEX([1]Employee!$C$2:$C$276,MATCH(B3295,[1]Employee!$A$2:$A$276,0))</f>
        <v>Sales &amp; Marketing</v>
      </c>
    </row>
    <row r="3296" spans="1:15">
      <c r="A3296" s="1" t="s">
        <v>6380</v>
      </c>
      <c r="B3296" s="1" t="s">
        <v>152</v>
      </c>
      <c r="C3296" s="1" t="s">
        <v>6381</v>
      </c>
      <c r="D3296" s="2">
        <v>46052</v>
      </c>
      <c r="E3296" s="2">
        <v>46199</v>
      </c>
      <c r="F3296" s="1" t="s">
        <v>69</v>
      </c>
      <c r="G3296" s="1" t="s">
        <v>8</v>
      </c>
      <c r="H3296" s="1" t="s">
        <v>9</v>
      </c>
      <c r="I3296" s="7">
        <v>25.29</v>
      </c>
      <c r="J3296" s="1" t="s">
        <v>38</v>
      </c>
      <c r="K3296" s="1"/>
      <c r="L3296" s="1" t="s">
        <v>39</v>
      </c>
      <c r="M3296" s="1" t="str">
        <f>INDEX(MCC_Lookup!$B$2:$B$12,MATCH(G3296,MCC_Lookup!$A$2:$A$12,0))</f>
        <v>Transportation</v>
      </c>
      <c r="N3296" s="1" t="str">
        <f>IF(TRIM(H3296)="","BLANK",IF(PROPER(TRIM(H3296))=TRIM(M3296),"MATCH","MISMATCH"))</f>
        <v>MATCH</v>
      </c>
      <c r="O3296" s="5" t="str">
        <f>INDEX([1]Employee!$C$2:$C$276,MATCH(B3296,[1]Employee!$A$2:$A$276,0))</f>
        <v>Sales &amp; Marketing</v>
      </c>
    </row>
    <row r="3297" spans="1:15">
      <c r="A3297" s="1" t="s">
        <v>6382</v>
      </c>
      <c r="B3297" s="1" t="s">
        <v>325</v>
      </c>
      <c r="C3297" s="1" t="s">
        <v>6383</v>
      </c>
      <c r="D3297" s="2">
        <v>46060</v>
      </c>
      <c r="E3297" s="2">
        <v>46199</v>
      </c>
      <c r="F3297" s="1" t="s">
        <v>177</v>
      </c>
      <c r="G3297" s="1" t="s">
        <v>13</v>
      </c>
      <c r="H3297" s="1" t="s">
        <v>14</v>
      </c>
      <c r="I3297" s="7">
        <v>58.02</v>
      </c>
      <c r="J3297" s="1" t="s">
        <v>38</v>
      </c>
      <c r="K3297" s="1"/>
      <c r="L3297" s="1" t="s">
        <v>39</v>
      </c>
      <c r="M3297" s="1" t="str">
        <f>INDEX(MCC_Lookup!$B$2:$B$12,MATCH(G3297,MCC_Lookup!$A$2:$A$12,0))</f>
        <v>Software</v>
      </c>
      <c r="N3297" s="1" t="str">
        <f>IF(TRIM(H3297)="","BLANK",IF(PROPER(TRIM(H3297))=TRIM(M3297),"MATCH","MISMATCH"))</f>
        <v>MATCH</v>
      </c>
      <c r="O3297" s="5" t="str">
        <f>INDEX([1]Employee!$C$2:$C$276,MATCH(B3297,[1]Employee!$A$2:$A$276,0))</f>
        <v>Sales &amp; Marketing</v>
      </c>
    </row>
    <row r="3298" spans="1:15">
      <c r="A3298" s="1" t="s">
        <v>6384</v>
      </c>
      <c r="B3298" s="1" t="s">
        <v>104</v>
      </c>
      <c r="C3298" s="1" t="s">
        <v>6385</v>
      </c>
      <c r="D3298" s="2">
        <v>46073</v>
      </c>
      <c r="E3298" s="2">
        <v>46199</v>
      </c>
      <c r="F3298" s="1" t="s">
        <v>56</v>
      </c>
      <c r="G3298" s="1" t="s">
        <v>4</v>
      </c>
      <c r="H3298" s="1" t="s">
        <v>5</v>
      </c>
      <c r="I3298" s="7">
        <v>592.54999999999995</v>
      </c>
      <c r="J3298" s="1" t="s">
        <v>38</v>
      </c>
      <c r="K3298" s="1"/>
      <c r="L3298" s="1" t="s">
        <v>48</v>
      </c>
      <c r="M3298" s="1" t="str">
        <f>INDEX(MCC_Lookup!$B$2:$B$12,MATCH(G3298,MCC_Lookup!$A$2:$A$12,0))</f>
        <v>Travel</v>
      </c>
      <c r="N3298" s="1" t="str">
        <f>IF(TRIM(H3298)="","BLANK",IF(PROPER(TRIM(H3298))=TRIM(M3298),"MATCH","MISMATCH"))</f>
        <v>MATCH</v>
      </c>
      <c r="O3298" s="5" t="str">
        <f>INDEX([1]Employee!$C$2:$C$276,MATCH(B3298,[1]Employee!$A$2:$A$276,0))</f>
        <v>Sales &amp; Marketing</v>
      </c>
    </row>
    <row r="3299" spans="1:15">
      <c r="A3299" s="1" t="s">
        <v>6386</v>
      </c>
      <c r="B3299" s="1" t="s">
        <v>303</v>
      </c>
      <c r="C3299" s="1" t="s">
        <v>6387</v>
      </c>
      <c r="D3299" s="2">
        <v>46201</v>
      </c>
      <c r="E3299" s="2">
        <v>46199</v>
      </c>
      <c r="F3299" s="1" t="s">
        <v>124</v>
      </c>
      <c r="G3299" s="1" t="s">
        <v>17</v>
      </c>
      <c r="H3299" s="1" t="s">
        <v>16</v>
      </c>
      <c r="I3299" s="7">
        <v>176.57</v>
      </c>
      <c r="J3299" s="1" t="s">
        <v>38</v>
      </c>
      <c r="K3299" s="1"/>
      <c r="L3299" s="1" t="s">
        <v>39</v>
      </c>
      <c r="M3299" s="1" t="str">
        <f>INDEX(MCC_Lookup!$B$2:$B$12,MATCH(G3299,MCC_Lookup!$A$2:$A$12,0))</f>
        <v>Entertainment</v>
      </c>
      <c r="N3299" s="1" t="str">
        <f>IF(TRIM(H3299)="","BLANK",IF(PROPER(TRIM(H3299))=TRIM(M3299),"MATCH","MISMATCH"))</f>
        <v>MATCH</v>
      </c>
      <c r="O3299" s="5" t="str">
        <f>INDEX([1]Employee!$C$2:$C$276,MATCH(B3299,[1]Employee!$A$2:$A$276,0))</f>
        <v>Sales &amp; Marketing</v>
      </c>
    </row>
    <row r="3300" spans="1:15">
      <c r="A3300" s="1" t="s">
        <v>6388</v>
      </c>
      <c r="B3300" s="1" t="s">
        <v>185</v>
      </c>
      <c r="C3300" s="1" t="s">
        <v>6389</v>
      </c>
      <c r="D3300" s="2">
        <v>46197</v>
      </c>
      <c r="E3300" s="2">
        <v>46199</v>
      </c>
      <c r="F3300" s="1" t="s">
        <v>61</v>
      </c>
      <c r="G3300" s="1" t="s">
        <v>13</v>
      </c>
      <c r="H3300" s="1" t="s">
        <v>14</v>
      </c>
      <c r="I3300" s="7">
        <v>83.37</v>
      </c>
      <c r="J3300" s="1" t="s">
        <v>38</v>
      </c>
      <c r="K3300" s="1"/>
      <c r="L3300" s="1" t="s">
        <v>39</v>
      </c>
      <c r="M3300" s="1" t="str">
        <f>INDEX(MCC_Lookup!$B$2:$B$12,MATCH(G3300,MCC_Lookup!$A$2:$A$12,0))</f>
        <v>Software</v>
      </c>
      <c r="N3300" s="1" t="str">
        <f>IF(TRIM(H3300)="","BLANK",IF(PROPER(TRIM(H3300))=TRIM(M3300),"MATCH","MISMATCH"))</f>
        <v>MATCH</v>
      </c>
      <c r="O3300" s="5" t="str">
        <f>INDEX([1]Employee!$C$2:$C$276,MATCH(B3300,[1]Employee!$A$2:$A$276,0))</f>
        <v>Underwriting</v>
      </c>
    </row>
    <row r="3301" spans="1:15">
      <c r="A3301" s="1" t="s">
        <v>6390</v>
      </c>
      <c r="B3301" s="1" t="s">
        <v>810</v>
      </c>
      <c r="C3301" s="1" t="s">
        <v>6391</v>
      </c>
      <c r="D3301" s="2">
        <v>46145</v>
      </c>
      <c r="E3301" s="2">
        <v>46199</v>
      </c>
      <c r="F3301" s="1" t="s">
        <v>65</v>
      </c>
      <c r="G3301" s="1" t="s">
        <v>18</v>
      </c>
      <c r="H3301" s="1" t="s">
        <v>19</v>
      </c>
      <c r="I3301" s="7">
        <v>184.82</v>
      </c>
      <c r="J3301" s="1" t="s">
        <v>38</v>
      </c>
      <c r="K3301" s="1"/>
      <c r="L3301" s="1" t="s">
        <v>39</v>
      </c>
      <c r="M3301" s="1" t="str">
        <f>INDEX(MCC_Lookup!$B$2:$B$12,MATCH(G3301,MCC_Lookup!$A$2:$A$12,0))</f>
        <v>Events</v>
      </c>
      <c r="N3301" s="1" t="str">
        <f>IF(TRIM(H3301)="","BLANK",IF(PROPER(TRIM(H3301))=TRIM(M3301),"MATCH","MISMATCH"))</f>
        <v>MATCH</v>
      </c>
      <c r="O3301" s="5" t="str">
        <f>INDEX([1]Employee!$C$2:$C$276,MATCH(B3301,[1]Employee!$A$2:$A$276,0))</f>
        <v>Sales &amp; Marketing</v>
      </c>
    </row>
    <row r="3302" spans="1:15">
      <c r="A3302" s="1" t="s">
        <v>6392</v>
      </c>
      <c r="B3302" s="1" t="s">
        <v>122</v>
      </c>
      <c r="C3302" s="1" t="s">
        <v>6393</v>
      </c>
      <c r="D3302" s="2">
        <v>46064</v>
      </c>
      <c r="E3302" s="2">
        <v>46199</v>
      </c>
      <c r="F3302" s="1" t="s">
        <v>76</v>
      </c>
      <c r="G3302" s="1" t="s">
        <v>13</v>
      </c>
      <c r="H3302" s="1" t="s">
        <v>14</v>
      </c>
      <c r="I3302" s="7">
        <v>157.74</v>
      </c>
      <c r="J3302" s="1" t="s">
        <v>38</v>
      </c>
      <c r="K3302" s="1"/>
      <c r="L3302" s="1" t="s">
        <v>39</v>
      </c>
      <c r="M3302" s="1" t="str">
        <f>INDEX(MCC_Lookup!$B$2:$B$12,MATCH(G3302,MCC_Lookup!$A$2:$A$12,0))</f>
        <v>Software</v>
      </c>
      <c r="N3302" s="1" t="str">
        <f>IF(TRIM(H3302)="","BLANK",IF(PROPER(TRIM(H3302))=TRIM(M3302),"MATCH","MISMATCH"))</f>
        <v>MATCH</v>
      </c>
      <c r="O3302" s="5" t="str">
        <f>INDEX([1]Employee!$C$2:$C$276,MATCH(B3302,[1]Employee!$A$2:$A$276,0))</f>
        <v>Sales &amp; Marketing</v>
      </c>
    </row>
    <row r="3303" spans="1:15">
      <c r="A3303" s="1" t="s">
        <v>6394</v>
      </c>
      <c r="B3303" s="1" t="s">
        <v>81</v>
      </c>
      <c r="C3303" s="1" t="s">
        <v>6395</v>
      </c>
      <c r="D3303" s="2">
        <v>46192</v>
      </c>
      <c r="E3303" s="2">
        <v>46199</v>
      </c>
      <c r="F3303" s="1" t="s">
        <v>177</v>
      </c>
      <c r="G3303" s="1" t="s">
        <v>13</v>
      </c>
      <c r="H3303" s="1" t="s">
        <v>14</v>
      </c>
      <c r="I3303" s="7">
        <v>68.3</v>
      </c>
      <c r="J3303" s="1" t="s">
        <v>38</v>
      </c>
      <c r="K3303" s="1"/>
      <c r="L3303" s="1" t="s">
        <v>39</v>
      </c>
      <c r="M3303" s="1" t="str">
        <f>INDEX(MCC_Lookup!$B$2:$B$12,MATCH(G3303,MCC_Lookup!$A$2:$A$12,0))</f>
        <v>Software</v>
      </c>
      <c r="N3303" s="1" t="str">
        <f>IF(TRIM(H3303)="","BLANK",IF(PROPER(TRIM(H3303))=TRIM(M3303),"MATCH","MISMATCH"))</f>
        <v>MATCH</v>
      </c>
      <c r="O3303" s="5" t="str">
        <f>INDEX([1]Employee!$C$2:$C$276,MATCH(B3303,[1]Employee!$A$2:$A$276,0))</f>
        <v>Sales &amp; Marketing</v>
      </c>
    </row>
    <row r="3304" spans="1:15">
      <c r="A3304" s="1" t="s">
        <v>6396</v>
      </c>
      <c r="B3304" s="1" t="s">
        <v>129</v>
      </c>
      <c r="C3304" s="1" t="s">
        <v>6397</v>
      </c>
      <c r="D3304" s="2">
        <v>46120</v>
      </c>
      <c r="E3304" s="2">
        <v>46199</v>
      </c>
      <c r="F3304" s="1" t="s">
        <v>37</v>
      </c>
      <c r="G3304" s="1" t="s">
        <v>4</v>
      </c>
      <c r="H3304" s="1" t="s">
        <v>5</v>
      </c>
      <c r="I3304" s="7">
        <v>333.1</v>
      </c>
      <c r="J3304" s="1" t="s">
        <v>38</v>
      </c>
      <c r="K3304" s="1"/>
      <c r="L3304" s="1" t="s">
        <v>39</v>
      </c>
      <c r="M3304" s="1" t="str">
        <f>INDEX(MCC_Lookup!$B$2:$B$12,MATCH(G3304,MCC_Lookup!$A$2:$A$12,0))</f>
        <v>Travel</v>
      </c>
      <c r="N3304" s="1" t="str">
        <f>IF(TRIM(H3304)="","BLANK",IF(PROPER(TRIM(H3304))=TRIM(M3304),"MATCH","MISMATCH"))</f>
        <v>MATCH</v>
      </c>
      <c r="O3304" s="5" t="str">
        <f>INDEX([1]Employee!$C$2:$C$276,MATCH(B3304,[1]Employee!$A$2:$A$276,0))</f>
        <v>Sales &amp; Marketing</v>
      </c>
    </row>
    <row r="3305" spans="1:15">
      <c r="A3305" s="1" t="s">
        <v>6398</v>
      </c>
      <c r="B3305" s="1" t="s">
        <v>129</v>
      </c>
      <c r="C3305" s="1" t="s">
        <v>6399</v>
      </c>
      <c r="D3305" s="2">
        <v>46132</v>
      </c>
      <c r="E3305" s="2">
        <v>46199</v>
      </c>
      <c r="F3305" s="1" t="s">
        <v>242</v>
      </c>
      <c r="G3305" s="1" t="s">
        <v>13</v>
      </c>
      <c r="H3305" s="1" t="s">
        <v>14</v>
      </c>
      <c r="I3305" s="7">
        <v>58.26</v>
      </c>
      <c r="J3305" s="1" t="s">
        <v>38</v>
      </c>
      <c r="K3305" s="1"/>
      <c r="L3305" s="1" t="s">
        <v>39</v>
      </c>
      <c r="M3305" s="1" t="str">
        <f>INDEX(MCC_Lookup!$B$2:$B$12,MATCH(G3305,MCC_Lookup!$A$2:$A$12,0))</f>
        <v>Software</v>
      </c>
      <c r="N3305" s="1" t="str">
        <f>IF(TRIM(H3305)="","BLANK",IF(PROPER(TRIM(H3305))=TRIM(M3305),"MATCH","MISMATCH"))</f>
        <v>MATCH</v>
      </c>
      <c r="O3305" s="5" t="str">
        <f>INDEX([1]Employee!$C$2:$C$276,MATCH(B3305,[1]Employee!$A$2:$A$276,0))</f>
        <v>Sales &amp; Marketing</v>
      </c>
    </row>
    <row r="3306" spans="1:15">
      <c r="A3306" s="1" t="s">
        <v>6400</v>
      </c>
      <c r="B3306" s="1" t="s">
        <v>182</v>
      </c>
      <c r="C3306" s="1" t="s">
        <v>6401</v>
      </c>
      <c r="D3306" s="2">
        <v>46181</v>
      </c>
      <c r="E3306" s="2">
        <v>46199</v>
      </c>
      <c r="F3306" s="1" t="s">
        <v>43</v>
      </c>
      <c r="G3306" s="1" t="s">
        <v>2</v>
      </c>
      <c r="H3306" s="1" t="s">
        <v>3</v>
      </c>
      <c r="I3306" s="7">
        <v>23.94</v>
      </c>
      <c r="J3306" s="1" t="s">
        <v>38</v>
      </c>
      <c r="K3306" s="1"/>
      <c r="L3306" s="1" t="s">
        <v>39</v>
      </c>
      <c r="M3306" s="1" t="str">
        <f>INDEX(MCC_Lookup!$B$2:$B$12,MATCH(G3306,MCC_Lookup!$A$2:$A$12,0))</f>
        <v>Meals</v>
      </c>
      <c r="N3306" s="1" t="str">
        <f>IF(TRIM(H3306)="","BLANK",IF(PROPER(TRIM(H3306))=TRIM(M3306),"MATCH","MISMATCH"))</f>
        <v>MATCH</v>
      </c>
      <c r="O3306" s="5" t="str">
        <f>INDEX([1]Employee!$C$2:$C$276,MATCH(B3306,[1]Employee!$A$2:$A$276,0))</f>
        <v>Sales &amp; Marketing</v>
      </c>
    </row>
    <row r="3307" spans="1:15">
      <c r="A3307" s="1" t="s">
        <v>6402</v>
      </c>
      <c r="B3307" s="1" t="s">
        <v>651</v>
      </c>
      <c r="C3307" s="1"/>
      <c r="D3307" s="2">
        <v>46064</v>
      </c>
      <c r="E3307" s="2">
        <v>46199</v>
      </c>
      <c r="F3307" s="1" t="s">
        <v>305</v>
      </c>
      <c r="G3307" s="1" t="s">
        <v>2</v>
      </c>
      <c r="H3307" s="1" t="s">
        <v>3</v>
      </c>
      <c r="I3307" s="7">
        <v>8.5500000000000007</v>
      </c>
      <c r="J3307" s="1" t="s">
        <v>38</v>
      </c>
      <c r="K3307" s="1"/>
      <c r="L3307" s="1" t="s">
        <v>39</v>
      </c>
      <c r="M3307" s="1" t="str">
        <f>INDEX(MCC_Lookup!$B$2:$B$12,MATCH(G3307,MCC_Lookup!$A$2:$A$12,0))</f>
        <v>Meals</v>
      </c>
      <c r="N3307" s="1" t="str">
        <f>IF(TRIM(H3307)="","BLANK",IF(PROPER(TRIM(H3307))=TRIM(M3307),"MATCH","MISMATCH"))</f>
        <v>MATCH</v>
      </c>
      <c r="O3307" s="5" t="str">
        <f>INDEX([1]Employee!$C$2:$C$276,MATCH(B3307,[1]Employee!$A$2:$A$276,0))</f>
        <v>IT &amp; Platform Engineering</v>
      </c>
    </row>
    <row r="3308" spans="1:15">
      <c r="A3308" s="1" t="s">
        <v>6403</v>
      </c>
      <c r="B3308" s="1" t="s">
        <v>63</v>
      </c>
      <c r="C3308" s="1" t="s">
        <v>6404</v>
      </c>
      <c r="D3308" s="2">
        <v>46199</v>
      </c>
      <c r="E3308" s="2">
        <v>46199</v>
      </c>
      <c r="F3308" s="1" t="s">
        <v>83</v>
      </c>
      <c r="G3308" s="1" t="s">
        <v>2</v>
      </c>
      <c r="H3308" s="1" t="s">
        <v>3</v>
      </c>
      <c r="I3308" s="7">
        <v>17.84</v>
      </c>
      <c r="J3308" s="1" t="s">
        <v>38</v>
      </c>
      <c r="K3308" s="1"/>
      <c r="L3308" s="1" t="s">
        <v>39</v>
      </c>
      <c r="M3308" s="1" t="str">
        <f>INDEX(MCC_Lookup!$B$2:$B$12,MATCH(G3308,MCC_Lookup!$A$2:$A$12,0))</f>
        <v>Meals</v>
      </c>
      <c r="N3308" s="1" t="str">
        <f>IF(TRIM(H3308)="","BLANK",IF(PROPER(TRIM(H3308))=TRIM(M3308),"MATCH","MISMATCH"))</f>
        <v>MATCH</v>
      </c>
      <c r="O3308" s="5" t="str">
        <f>INDEX([1]Employee!$C$2:$C$276,MATCH(B3308,[1]Employee!$A$2:$A$276,0))</f>
        <v>Sales &amp; Marketing</v>
      </c>
    </row>
    <row r="3309" spans="1:15">
      <c r="A3309" s="1" t="s">
        <v>6405</v>
      </c>
      <c r="B3309" s="1" t="s">
        <v>499</v>
      </c>
      <c r="C3309" s="1" t="s">
        <v>6406</v>
      </c>
      <c r="D3309" s="2">
        <v>46092</v>
      </c>
      <c r="E3309" s="2">
        <v>46199</v>
      </c>
      <c r="F3309" s="1" t="s">
        <v>116</v>
      </c>
      <c r="G3309" s="1" t="s">
        <v>2</v>
      </c>
      <c r="H3309" s="1" t="s">
        <v>3</v>
      </c>
      <c r="I3309" s="7">
        <v>12.56</v>
      </c>
      <c r="J3309" s="1" t="s">
        <v>38</v>
      </c>
      <c r="K3309" s="1"/>
      <c r="L3309" s="1" t="s">
        <v>39</v>
      </c>
      <c r="M3309" s="1" t="str">
        <f>INDEX(MCC_Lookup!$B$2:$B$12,MATCH(G3309,MCC_Lookup!$A$2:$A$12,0))</f>
        <v>Meals</v>
      </c>
      <c r="N3309" s="1" t="str">
        <f>IF(TRIM(H3309)="","BLANK",IF(PROPER(TRIM(H3309))=TRIM(M3309),"MATCH","MISMATCH"))</f>
        <v>MATCH</v>
      </c>
      <c r="O3309" s="5" t="str">
        <f>INDEX([1]Employee!$C$2:$C$276,MATCH(B3309,[1]Employee!$A$2:$A$276,0))</f>
        <v>Sales &amp; Marketing</v>
      </c>
    </row>
    <row r="3310" spans="1:15">
      <c r="A3310" s="1" t="s">
        <v>6407</v>
      </c>
      <c r="B3310" s="1" t="s">
        <v>499</v>
      </c>
      <c r="C3310" s="1"/>
      <c r="D3310" s="2">
        <v>46175</v>
      </c>
      <c r="E3310" s="2">
        <v>46199</v>
      </c>
      <c r="F3310" s="1" t="s">
        <v>37</v>
      </c>
      <c r="G3310" s="1" t="s">
        <v>4</v>
      </c>
      <c r="H3310" s="1" t="s">
        <v>5</v>
      </c>
      <c r="I3310" s="7">
        <v>313.68</v>
      </c>
      <c r="J3310" s="1" t="s">
        <v>111</v>
      </c>
      <c r="K3310" s="1" t="s">
        <v>229</v>
      </c>
      <c r="L3310" s="1" t="s">
        <v>39</v>
      </c>
      <c r="M3310" s="1" t="str">
        <f>INDEX(MCC_Lookup!$B$2:$B$12,MATCH(G3310,MCC_Lookup!$A$2:$A$12,0))</f>
        <v>Travel</v>
      </c>
      <c r="N3310" s="1" t="str">
        <f>IF(TRIM(H3310)="","BLANK",IF(PROPER(TRIM(H3310))=TRIM(M3310),"MATCH","MISMATCH"))</f>
        <v>MATCH</v>
      </c>
      <c r="O3310" s="5" t="str">
        <f>INDEX([1]Employee!$C$2:$C$276,MATCH(B3310,[1]Employee!$A$2:$A$276,0))</f>
        <v>Sales &amp; Marketing</v>
      </c>
    </row>
    <row r="3311" spans="1:15">
      <c r="A3311" s="1" t="s">
        <v>6408</v>
      </c>
      <c r="B3311" s="1" t="s">
        <v>149</v>
      </c>
      <c r="C3311" s="1" t="s">
        <v>6409</v>
      </c>
      <c r="D3311" s="2">
        <v>46140</v>
      </c>
      <c r="E3311" s="2">
        <v>46199</v>
      </c>
      <c r="F3311" s="1" t="s">
        <v>305</v>
      </c>
      <c r="G3311" s="1" t="s">
        <v>2</v>
      </c>
      <c r="H3311" s="1" t="s">
        <v>3</v>
      </c>
      <c r="I3311" s="7">
        <v>14.15</v>
      </c>
      <c r="J3311" s="1" t="s">
        <v>38</v>
      </c>
      <c r="K3311" s="1"/>
      <c r="L3311" s="1" t="s">
        <v>39</v>
      </c>
      <c r="M3311" s="1" t="str">
        <f>INDEX(MCC_Lookup!$B$2:$B$12,MATCH(G3311,MCC_Lookup!$A$2:$A$12,0))</f>
        <v>Meals</v>
      </c>
      <c r="N3311" s="1" t="str">
        <f>IF(TRIM(H3311)="","BLANK",IF(PROPER(TRIM(H3311))=TRIM(M3311),"MATCH","MISMATCH"))</f>
        <v>MATCH</v>
      </c>
      <c r="O3311" s="5" t="str">
        <f>INDEX([1]Employee!$C$2:$C$276,MATCH(B3311,[1]Employee!$A$2:$A$276,0))</f>
        <v>Sales &amp; Marketing</v>
      </c>
    </row>
    <row r="3312" spans="1:15">
      <c r="A3312" s="1" t="s">
        <v>6410</v>
      </c>
      <c r="B3312" s="1" t="s">
        <v>118</v>
      </c>
      <c r="C3312" s="1" t="s">
        <v>6411</v>
      </c>
      <c r="D3312" s="2">
        <v>46122</v>
      </c>
      <c r="E3312" s="2">
        <v>46199</v>
      </c>
      <c r="F3312" s="1" t="s">
        <v>72</v>
      </c>
      <c r="G3312" s="1" t="s">
        <v>8</v>
      </c>
      <c r="H3312" s="1"/>
      <c r="I3312" s="7">
        <v>20.89</v>
      </c>
      <c r="J3312" s="1" t="s">
        <v>38</v>
      </c>
      <c r="K3312" s="1"/>
      <c r="L3312" s="1" t="s">
        <v>39</v>
      </c>
      <c r="M3312" s="1" t="str">
        <f>INDEX(MCC_Lookup!$B$2:$B$12,MATCH(G3312,MCC_Lookup!$A$2:$A$12,0))</f>
        <v>Transportation</v>
      </c>
      <c r="N3312" s="1" t="str">
        <f>IF(TRIM(H3312)="","BLANK",IF(PROPER(TRIM(H3312))=TRIM(M3312),"MATCH","MISMATCH"))</f>
        <v>BLANK</v>
      </c>
      <c r="O3312" s="5" t="str">
        <f>INDEX([1]Employee!$C$2:$C$276,MATCH(B3312,[1]Employee!$A$2:$A$276,0))</f>
        <v>Underwriting</v>
      </c>
    </row>
    <row r="3313" spans="1:15">
      <c r="A3313" s="1" t="s">
        <v>6412</v>
      </c>
      <c r="B3313" s="1" t="s">
        <v>661</v>
      </c>
      <c r="C3313" s="1" t="s">
        <v>6413</v>
      </c>
      <c r="D3313" s="2">
        <v>46189</v>
      </c>
      <c r="E3313" s="2">
        <v>46199</v>
      </c>
      <c r="F3313" s="1" t="s">
        <v>160</v>
      </c>
      <c r="G3313" s="1" t="s">
        <v>6</v>
      </c>
      <c r="H3313" s="1" t="s">
        <v>726</v>
      </c>
      <c r="I3313" s="7">
        <v>292.77999999999997</v>
      </c>
      <c r="J3313" s="1" t="s">
        <v>38</v>
      </c>
      <c r="K3313" s="1"/>
      <c r="L3313" s="1" t="s">
        <v>39</v>
      </c>
      <c r="M3313" s="1" t="str">
        <f>INDEX(MCC_Lookup!$B$2:$B$12,MATCH(G3313,MCC_Lookup!$A$2:$A$12,0))</f>
        <v>Lodging</v>
      </c>
      <c r="N3313" s="1" t="str">
        <f>IF(TRIM(H3313)="","BLANK",IF(PROPER(TRIM(H3313))=TRIM(M3313),"MATCH","MISMATCH"))</f>
        <v>MATCH</v>
      </c>
      <c r="O3313" s="5" t="str">
        <f>INDEX([1]Employee!$C$2:$C$276,MATCH(B3313,[1]Employee!$A$2:$A$276,0))</f>
        <v>Sales &amp; Marketing</v>
      </c>
    </row>
    <row r="3314" spans="1:15">
      <c r="A3314" s="1" t="s">
        <v>6414</v>
      </c>
      <c r="B3314" s="1" t="s">
        <v>219</v>
      </c>
      <c r="C3314" s="1" t="s">
        <v>6415</v>
      </c>
      <c r="D3314" s="2">
        <v>46159</v>
      </c>
      <c r="E3314" s="2">
        <v>46199</v>
      </c>
      <c r="F3314" s="1" t="s">
        <v>347</v>
      </c>
      <c r="G3314" s="1" t="s">
        <v>8</v>
      </c>
      <c r="H3314" s="1" t="s">
        <v>19</v>
      </c>
      <c r="I3314" s="7">
        <v>38.14</v>
      </c>
      <c r="J3314" s="1" t="s">
        <v>38</v>
      </c>
      <c r="K3314" s="1"/>
      <c r="L3314" s="1" t="s">
        <v>39</v>
      </c>
      <c r="M3314" s="1" t="str">
        <f>INDEX(MCC_Lookup!$B$2:$B$12,MATCH(G3314,MCC_Lookup!$A$2:$A$12,0))</f>
        <v>Transportation</v>
      </c>
      <c r="N3314" s="1" t="str">
        <f>IF(TRIM(H3314)="","BLANK",IF(PROPER(TRIM(H3314))=TRIM(M3314),"MATCH","MISMATCH"))</f>
        <v>MISMATCH</v>
      </c>
      <c r="O3314" s="5" t="str">
        <f>INDEX([1]Employee!$C$2:$C$276,MATCH(B3314,[1]Employee!$A$2:$A$276,0))</f>
        <v>Underwriting</v>
      </c>
    </row>
    <row r="3315" spans="1:15">
      <c r="A3315" s="1" t="s">
        <v>6416</v>
      </c>
      <c r="B3315" s="1" t="s">
        <v>71</v>
      </c>
      <c r="C3315" s="1"/>
      <c r="D3315" s="2">
        <v>46104</v>
      </c>
      <c r="E3315" s="2">
        <v>46199</v>
      </c>
      <c r="F3315" s="1" t="s">
        <v>61</v>
      </c>
      <c r="G3315" s="1" t="s">
        <v>13</v>
      </c>
      <c r="H3315" s="1" t="s">
        <v>14</v>
      </c>
      <c r="I3315" s="7">
        <v>68.33</v>
      </c>
      <c r="J3315" s="1" t="s">
        <v>38</v>
      </c>
      <c r="K3315" s="1"/>
      <c r="L3315" s="1" t="s">
        <v>39</v>
      </c>
      <c r="M3315" s="1" t="str">
        <f>INDEX(MCC_Lookup!$B$2:$B$12,MATCH(G3315,MCC_Lookup!$A$2:$A$12,0))</f>
        <v>Software</v>
      </c>
      <c r="N3315" s="1" t="str">
        <f>IF(TRIM(H3315)="","BLANK",IF(PROPER(TRIM(H3315))=TRIM(M3315),"MATCH","MISMATCH"))</f>
        <v>MATCH</v>
      </c>
      <c r="O3315" s="5" t="str">
        <f>INDEX([1]Employee!$C$2:$C$276,MATCH(B3315,[1]Employee!$A$2:$A$276,0))</f>
        <v>Sales &amp; Marketing</v>
      </c>
    </row>
    <row r="3316" spans="1:15">
      <c r="A3316" s="1" t="s">
        <v>6417</v>
      </c>
      <c r="B3316" s="1" t="s">
        <v>593</v>
      </c>
      <c r="C3316" s="1" t="s">
        <v>6418</v>
      </c>
      <c r="D3316" s="2">
        <v>46192</v>
      </c>
      <c r="E3316" s="2">
        <v>46199</v>
      </c>
      <c r="F3316" s="1" t="s">
        <v>56</v>
      </c>
      <c r="G3316" s="1" t="s">
        <v>4</v>
      </c>
      <c r="H3316" s="1" t="s">
        <v>5</v>
      </c>
      <c r="I3316" s="7">
        <v>605.24</v>
      </c>
      <c r="J3316" s="1" t="s">
        <v>38</v>
      </c>
      <c r="K3316" s="1"/>
      <c r="L3316" s="1" t="s">
        <v>39</v>
      </c>
      <c r="M3316" s="1" t="str">
        <f>INDEX(MCC_Lookup!$B$2:$B$12,MATCH(G3316,MCC_Lookup!$A$2:$A$12,0))</f>
        <v>Travel</v>
      </c>
      <c r="N3316" s="1" t="str">
        <f>IF(TRIM(H3316)="","BLANK",IF(PROPER(TRIM(H3316))=TRIM(M3316),"MATCH","MISMATCH"))</f>
        <v>MATCH</v>
      </c>
      <c r="O3316" s="5" t="str">
        <f>INDEX([1]Employee!$C$2:$C$276,MATCH(B3316,[1]Employee!$A$2:$A$276,0))</f>
        <v>Sales &amp; Marketing</v>
      </c>
    </row>
    <row r="3317" spans="1:15">
      <c r="A3317" s="1" t="s">
        <v>6419</v>
      </c>
      <c r="B3317" s="1" t="s">
        <v>640</v>
      </c>
      <c r="C3317" s="1" t="s">
        <v>6420</v>
      </c>
      <c r="D3317" s="2">
        <v>46183</v>
      </c>
      <c r="E3317" s="2">
        <v>46199</v>
      </c>
      <c r="F3317" s="1" t="s">
        <v>106</v>
      </c>
      <c r="G3317" s="1" t="s">
        <v>13</v>
      </c>
      <c r="H3317" s="1"/>
      <c r="I3317" s="7">
        <v>64.84</v>
      </c>
      <c r="J3317" s="1" t="s">
        <v>38</v>
      </c>
      <c r="K3317" s="1"/>
      <c r="L3317" s="1" t="s">
        <v>39</v>
      </c>
      <c r="M3317" s="1" t="str">
        <f>INDEX(MCC_Lookup!$B$2:$B$12,MATCH(G3317,MCC_Lookup!$A$2:$A$12,0))</f>
        <v>Software</v>
      </c>
      <c r="N3317" s="1" t="str">
        <f>IF(TRIM(H3317)="","BLANK",IF(PROPER(TRIM(H3317))=TRIM(M3317),"MATCH","MISMATCH"))</f>
        <v>BLANK</v>
      </c>
      <c r="O3317" s="5" t="str">
        <f>INDEX([1]Employee!$C$2:$C$276,MATCH(B3317,[1]Employee!$A$2:$A$276,0))</f>
        <v>Underwriting</v>
      </c>
    </row>
    <row r="3318" spans="1:15">
      <c r="A3318" s="1" t="s">
        <v>6421</v>
      </c>
      <c r="B3318" s="1" t="s">
        <v>1504</v>
      </c>
      <c r="C3318" s="1" t="s">
        <v>6422</v>
      </c>
      <c r="D3318" s="2">
        <v>46065</v>
      </c>
      <c r="E3318" s="2">
        <v>46199</v>
      </c>
      <c r="F3318" s="1" t="s">
        <v>177</v>
      </c>
      <c r="G3318" s="1" t="s">
        <v>13</v>
      </c>
      <c r="H3318" s="1" t="s">
        <v>14</v>
      </c>
      <c r="I3318" s="7">
        <v>18.8</v>
      </c>
      <c r="J3318" s="1" t="s">
        <v>38</v>
      </c>
      <c r="K3318" s="1"/>
      <c r="L3318" s="1" t="s">
        <v>39</v>
      </c>
      <c r="M3318" s="1" t="str">
        <f>INDEX(MCC_Lookup!$B$2:$B$12,MATCH(G3318,MCC_Lookup!$A$2:$A$12,0))</f>
        <v>Software</v>
      </c>
      <c r="N3318" s="1" t="str">
        <f>IF(TRIM(H3318)="","BLANK",IF(PROPER(TRIM(H3318))=TRIM(M3318),"MATCH","MISMATCH"))</f>
        <v>MATCH</v>
      </c>
      <c r="O3318" s="5" t="str">
        <f>INDEX([1]Employee!$C$2:$C$276,MATCH(B3318,[1]Employee!$A$2:$A$276,0))</f>
        <v>Sales &amp; Marketing</v>
      </c>
    </row>
    <row r="3319" spans="1:15">
      <c r="A3319" s="1" t="s">
        <v>6423</v>
      </c>
      <c r="B3319" s="1" t="s">
        <v>550</v>
      </c>
      <c r="C3319" s="1"/>
      <c r="D3319" s="2">
        <v>46023</v>
      </c>
      <c r="E3319" s="2">
        <v>46199</v>
      </c>
      <c r="F3319" s="1" t="s">
        <v>37</v>
      </c>
      <c r="G3319" s="1" t="s">
        <v>4</v>
      </c>
      <c r="H3319" s="1" t="s">
        <v>5</v>
      </c>
      <c r="I3319" s="7">
        <v>166.53</v>
      </c>
      <c r="J3319" s="1" t="s">
        <v>38</v>
      </c>
      <c r="K3319" s="1"/>
      <c r="L3319" s="1" t="s">
        <v>39</v>
      </c>
      <c r="M3319" s="1" t="str">
        <f>INDEX(MCC_Lookup!$B$2:$B$12,MATCH(G3319,MCC_Lookup!$A$2:$A$12,0))</f>
        <v>Travel</v>
      </c>
      <c r="N3319" s="1" t="str">
        <f>IF(TRIM(H3319)="","BLANK",IF(PROPER(TRIM(H3319))=TRIM(M3319),"MATCH","MISMATCH"))</f>
        <v>MATCH</v>
      </c>
      <c r="O3319" s="5" t="str">
        <f>INDEX([1]Employee!$C$2:$C$276,MATCH(B3319,[1]Employee!$A$2:$A$276,0))</f>
        <v>Sales &amp; Marketing</v>
      </c>
    </row>
    <row r="3320" spans="1:15">
      <c r="A3320" s="1" t="s">
        <v>6424</v>
      </c>
      <c r="B3320" s="1" t="s">
        <v>550</v>
      </c>
      <c r="C3320" s="1" t="s">
        <v>6425</v>
      </c>
      <c r="D3320" s="2">
        <v>46194</v>
      </c>
      <c r="E3320" s="2">
        <v>46199</v>
      </c>
      <c r="F3320" s="1" t="s">
        <v>69</v>
      </c>
      <c r="G3320" s="1" t="s">
        <v>8</v>
      </c>
      <c r="H3320" s="1" t="s">
        <v>9</v>
      </c>
      <c r="I3320" s="7">
        <v>42.88</v>
      </c>
      <c r="J3320" s="1" t="s">
        <v>38</v>
      </c>
      <c r="K3320" s="1"/>
      <c r="L3320" s="1" t="s">
        <v>39</v>
      </c>
      <c r="M3320" s="1" t="str">
        <f>INDEX(MCC_Lookup!$B$2:$B$12,MATCH(G3320,MCC_Lookup!$A$2:$A$12,0))</f>
        <v>Transportation</v>
      </c>
      <c r="N3320" s="1" t="str">
        <f>IF(TRIM(H3320)="","BLANK",IF(PROPER(TRIM(H3320))=TRIM(M3320),"MATCH","MISMATCH"))</f>
        <v>MATCH</v>
      </c>
      <c r="O3320" s="5" t="str">
        <f>INDEX([1]Employee!$C$2:$C$276,MATCH(B3320,[1]Employee!$A$2:$A$276,0))</f>
        <v>Sales &amp; Marketing</v>
      </c>
    </row>
    <row r="3321" spans="1:15">
      <c r="A3321" s="1" t="s">
        <v>6426</v>
      </c>
      <c r="B3321" s="1" t="s">
        <v>1509</v>
      </c>
      <c r="C3321" s="1" t="s">
        <v>6427</v>
      </c>
      <c r="D3321" s="2">
        <v>46194</v>
      </c>
      <c r="E3321" s="2">
        <v>46199</v>
      </c>
      <c r="F3321" s="1" t="s">
        <v>173</v>
      </c>
      <c r="G3321" s="1" t="s">
        <v>2</v>
      </c>
      <c r="H3321" s="1" t="s">
        <v>3</v>
      </c>
      <c r="I3321" s="7">
        <v>88.18</v>
      </c>
      <c r="J3321" s="1" t="s">
        <v>38</v>
      </c>
      <c r="K3321" s="1"/>
      <c r="L3321" s="1" t="s">
        <v>39</v>
      </c>
      <c r="M3321" s="1" t="str">
        <f>INDEX(MCC_Lookup!$B$2:$B$12,MATCH(G3321,MCC_Lookup!$A$2:$A$12,0))</f>
        <v>Meals</v>
      </c>
      <c r="N3321" s="1" t="str">
        <f>IF(TRIM(H3321)="","BLANK",IF(PROPER(TRIM(H3321))=TRIM(M3321),"MATCH","MISMATCH"))</f>
        <v>MATCH</v>
      </c>
      <c r="O3321" s="5" t="str">
        <f>INDEX([1]Employee!$C$2:$C$276,MATCH(B3321,[1]Employee!$A$2:$A$276,0))</f>
        <v>Claims</v>
      </c>
    </row>
    <row r="3322" spans="1:15">
      <c r="A3322" s="1" t="s">
        <v>6428</v>
      </c>
      <c r="B3322" s="1" t="s">
        <v>97</v>
      </c>
      <c r="C3322" s="1"/>
      <c r="D3322" s="2">
        <v>46193</v>
      </c>
      <c r="E3322" s="2">
        <v>46199</v>
      </c>
      <c r="F3322" s="1" t="s">
        <v>52</v>
      </c>
      <c r="G3322" s="1" t="s">
        <v>15</v>
      </c>
      <c r="H3322" s="1" t="s">
        <v>16</v>
      </c>
      <c r="I3322" s="7">
        <v>49.71</v>
      </c>
      <c r="J3322" s="1" t="s">
        <v>38</v>
      </c>
      <c r="K3322" s="1"/>
      <c r="L3322" s="1" t="s">
        <v>39</v>
      </c>
      <c r="M3322" s="1" t="str">
        <f>INDEX(MCC_Lookup!$B$2:$B$12,MATCH(G3322,MCC_Lookup!$A$2:$A$12,0))</f>
        <v>Entertainment</v>
      </c>
      <c r="N3322" s="1" t="str">
        <f>IF(TRIM(H3322)="","BLANK",IF(PROPER(TRIM(H3322))=TRIM(M3322),"MATCH","MISMATCH"))</f>
        <v>MATCH</v>
      </c>
      <c r="O3322" s="5" t="str">
        <f>INDEX([1]Employee!$C$2:$C$276,MATCH(B3322,[1]Employee!$A$2:$A$276,0))</f>
        <v>Sales &amp; Marketing</v>
      </c>
    </row>
    <row r="3323" spans="1:15">
      <c r="A3323" s="1" t="s">
        <v>6429</v>
      </c>
      <c r="B3323" s="1" t="s">
        <v>216</v>
      </c>
      <c r="C3323" s="1" t="s">
        <v>6430</v>
      </c>
      <c r="D3323" s="2">
        <v>46133</v>
      </c>
      <c r="E3323" s="2">
        <v>46199</v>
      </c>
      <c r="F3323" s="1" t="s">
        <v>61</v>
      </c>
      <c r="G3323" s="1" t="s">
        <v>13</v>
      </c>
      <c r="H3323" s="1" t="s">
        <v>14</v>
      </c>
      <c r="I3323" s="7">
        <v>88.59</v>
      </c>
      <c r="J3323" s="1" t="s">
        <v>38</v>
      </c>
      <c r="K3323" s="1"/>
      <c r="L3323" s="1" t="s">
        <v>39</v>
      </c>
      <c r="M3323" s="1" t="str">
        <f>INDEX(MCC_Lookup!$B$2:$B$12,MATCH(G3323,MCC_Lookup!$A$2:$A$12,0))</f>
        <v>Software</v>
      </c>
      <c r="N3323" s="1" t="str">
        <f>IF(TRIM(H3323)="","BLANK",IF(PROPER(TRIM(H3323))=TRIM(M3323),"MATCH","MISMATCH"))</f>
        <v>MATCH</v>
      </c>
      <c r="O3323" s="5" t="str">
        <f>INDEX([1]Employee!$C$2:$C$276,MATCH(B3323,[1]Employee!$A$2:$A$276,0))</f>
        <v>Sales &amp; Marketing</v>
      </c>
    </row>
    <row r="3324" spans="1:15">
      <c r="A3324" s="1" t="s">
        <v>6431</v>
      </c>
      <c r="B3324" s="1" t="s">
        <v>216</v>
      </c>
      <c r="C3324" s="1" t="s">
        <v>6432</v>
      </c>
      <c r="D3324" s="2">
        <v>46189</v>
      </c>
      <c r="E3324" s="2">
        <v>46199</v>
      </c>
      <c r="F3324" s="1" t="s">
        <v>65</v>
      </c>
      <c r="G3324" s="1" t="s">
        <v>18</v>
      </c>
      <c r="H3324" s="1" t="s">
        <v>19</v>
      </c>
      <c r="I3324" s="7">
        <v>477.49</v>
      </c>
      <c r="J3324" s="1" t="s">
        <v>38</v>
      </c>
      <c r="K3324" s="1"/>
      <c r="L3324" s="1" t="s">
        <v>39</v>
      </c>
      <c r="M3324" s="1" t="str">
        <f>INDEX(MCC_Lookup!$B$2:$B$12,MATCH(G3324,MCC_Lookup!$A$2:$A$12,0))</f>
        <v>Events</v>
      </c>
      <c r="N3324" s="1" t="str">
        <f>IF(TRIM(H3324)="","BLANK",IF(PROPER(TRIM(H3324))=TRIM(M3324),"MATCH","MISMATCH"))</f>
        <v>MATCH</v>
      </c>
      <c r="O3324" s="5" t="str">
        <f>INDEX([1]Employee!$C$2:$C$276,MATCH(B3324,[1]Employee!$A$2:$A$276,0))</f>
        <v>Sales &amp; Marketing</v>
      </c>
    </row>
    <row r="3325" spans="1:15">
      <c r="A3325" s="1" t="s">
        <v>6433</v>
      </c>
      <c r="B3325" s="1" t="s">
        <v>1061</v>
      </c>
      <c r="C3325" s="1" t="s">
        <v>6434</v>
      </c>
      <c r="D3325" s="2">
        <v>46192</v>
      </c>
      <c r="E3325" s="2">
        <v>46199</v>
      </c>
      <c r="F3325" s="1" t="s">
        <v>43</v>
      </c>
      <c r="G3325" s="1" t="s">
        <v>2</v>
      </c>
      <c r="H3325" s="1" t="s">
        <v>3</v>
      </c>
      <c r="I3325" s="7">
        <v>23.22</v>
      </c>
      <c r="J3325" s="1" t="s">
        <v>38</v>
      </c>
      <c r="K3325" s="1"/>
      <c r="L3325" s="1" t="s">
        <v>48</v>
      </c>
      <c r="M3325" s="1" t="str">
        <f>INDEX(MCC_Lookup!$B$2:$B$12,MATCH(G3325,MCC_Lookup!$A$2:$A$12,0))</f>
        <v>Meals</v>
      </c>
      <c r="N3325" s="1" t="str">
        <f>IF(TRIM(H3325)="","BLANK",IF(PROPER(TRIM(H3325))=TRIM(M3325),"MATCH","MISMATCH"))</f>
        <v>MATCH</v>
      </c>
      <c r="O3325" s="5" t="str">
        <f>INDEX([1]Employee!$C$2:$C$276,MATCH(B3325,[1]Employee!$A$2:$A$276,0))</f>
        <v>Claims</v>
      </c>
    </row>
    <row r="3326" spans="1:15">
      <c r="A3326" s="1" t="s">
        <v>6435</v>
      </c>
      <c r="B3326" s="1" t="s">
        <v>761</v>
      </c>
      <c r="C3326" s="1" t="s">
        <v>6436</v>
      </c>
      <c r="D3326" s="2">
        <v>46133</v>
      </c>
      <c r="E3326" s="2">
        <v>46199</v>
      </c>
      <c r="F3326" s="1" t="s">
        <v>95</v>
      </c>
      <c r="G3326" s="1" t="s">
        <v>6</v>
      </c>
      <c r="H3326" s="1" t="s">
        <v>7</v>
      </c>
      <c r="I3326" s="7">
        <v>256.35000000000002</v>
      </c>
      <c r="J3326" s="1" t="s">
        <v>38</v>
      </c>
      <c r="K3326" s="1"/>
      <c r="L3326" s="1" t="s">
        <v>39</v>
      </c>
      <c r="M3326" s="1" t="str">
        <f>INDEX(MCC_Lookup!$B$2:$B$12,MATCH(G3326,MCC_Lookup!$A$2:$A$12,0))</f>
        <v>Lodging</v>
      </c>
      <c r="N3326" s="1" t="str">
        <f>IF(TRIM(H3326)="","BLANK",IF(PROPER(TRIM(H3326))=TRIM(M3326),"MATCH","MISMATCH"))</f>
        <v>MATCH</v>
      </c>
      <c r="O3326" s="5" t="str">
        <f>INDEX([1]Employee!$C$2:$C$276,MATCH(B3326,[1]Employee!$A$2:$A$276,0))</f>
        <v>Finance</v>
      </c>
    </row>
    <row r="3327" spans="1:15">
      <c r="A3327" s="1" t="s">
        <v>6437</v>
      </c>
      <c r="B3327" s="1" t="s">
        <v>352</v>
      </c>
      <c r="C3327" s="1" t="s">
        <v>6438</v>
      </c>
      <c r="D3327" s="2">
        <v>46192</v>
      </c>
      <c r="E3327" s="2">
        <v>46199</v>
      </c>
      <c r="F3327" s="1" t="s">
        <v>173</v>
      </c>
      <c r="G3327" s="1" t="s">
        <v>2</v>
      </c>
      <c r="H3327" s="1" t="s">
        <v>3</v>
      </c>
      <c r="I3327" s="7">
        <v>35.840000000000003</v>
      </c>
      <c r="J3327" s="1" t="s">
        <v>38</v>
      </c>
      <c r="K3327" s="1"/>
      <c r="L3327" s="1" t="s">
        <v>39</v>
      </c>
      <c r="M3327" s="1" t="str">
        <f>INDEX(MCC_Lookup!$B$2:$B$12,MATCH(G3327,MCC_Lookup!$A$2:$A$12,0))</f>
        <v>Meals</v>
      </c>
      <c r="N3327" s="1" t="str">
        <f>IF(TRIM(H3327)="","BLANK",IF(PROPER(TRIM(H3327))=TRIM(M3327),"MATCH","MISMATCH"))</f>
        <v>MATCH</v>
      </c>
      <c r="O3327" s="5" t="str">
        <f>INDEX([1]Employee!$C$2:$C$276,MATCH(B3327,[1]Employee!$A$2:$A$276,0))</f>
        <v>Sales &amp; Marketing</v>
      </c>
    </row>
    <row r="3328" spans="1:15">
      <c r="A3328" s="1" t="s">
        <v>6439</v>
      </c>
      <c r="B3328" s="1" t="s">
        <v>571</v>
      </c>
      <c r="C3328" s="1" t="s">
        <v>6440</v>
      </c>
      <c r="D3328" s="2">
        <v>46095</v>
      </c>
      <c r="E3328" s="2">
        <v>46199</v>
      </c>
      <c r="F3328" s="1" t="s">
        <v>95</v>
      </c>
      <c r="G3328" s="1" t="s">
        <v>6</v>
      </c>
      <c r="H3328" s="1" t="s">
        <v>726</v>
      </c>
      <c r="I3328" s="7">
        <v>315.95999999999998</v>
      </c>
      <c r="J3328" s="1" t="s">
        <v>38</v>
      </c>
      <c r="K3328" s="1"/>
      <c r="L3328" s="1" t="s">
        <v>39</v>
      </c>
      <c r="M3328" s="1" t="str">
        <f>INDEX(MCC_Lookup!$B$2:$B$12,MATCH(G3328,MCC_Lookup!$A$2:$A$12,0))</f>
        <v>Lodging</v>
      </c>
      <c r="N3328" s="1" t="str">
        <f>IF(TRIM(H3328)="","BLANK",IF(PROPER(TRIM(H3328))=TRIM(M3328),"MATCH","MISMATCH"))</f>
        <v>MATCH</v>
      </c>
      <c r="O3328" s="5" t="str">
        <f>INDEX([1]Employee!$C$2:$C$276,MATCH(B3328,[1]Employee!$A$2:$A$276,0))</f>
        <v>Finance</v>
      </c>
    </row>
    <row r="3329" spans="1:15">
      <c r="A3329" s="1" t="s">
        <v>6441</v>
      </c>
      <c r="B3329" s="1" t="s">
        <v>317</v>
      </c>
      <c r="C3329" s="1" t="s">
        <v>6442</v>
      </c>
      <c r="D3329" s="2">
        <v>46143</v>
      </c>
      <c r="E3329" s="2">
        <v>46199</v>
      </c>
      <c r="F3329" s="1" t="s">
        <v>43</v>
      </c>
      <c r="G3329" s="1" t="s">
        <v>2</v>
      </c>
      <c r="H3329" s="1" t="s">
        <v>3</v>
      </c>
      <c r="I3329" s="7">
        <v>23.56</v>
      </c>
      <c r="J3329" s="1" t="s">
        <v>38</v>
      </c>
      <c r="K3329" s="1"/>
      <c r="L3329" s="1" t="s">
        <v>39</v>
      </c>
      <c r="M3329" s="1" t="str">
        <f>INDEX(MCC_Lookup!$B$2:$B$12,MATCH(G3329,MCC_Lookup!$A$2:$A$12,0))</f>
        <v>Meals</v>
      </c>
      <c r="N3329" s="1" t="str">
        <f>IF(TRIM(H3329)="","BLANK",IF(PROPER(TRIM(H3329))=TRIM(M3329),"MATCH","MISMATCH"))</f>
        <v>MATCH</v>
      </c>
      <c r="O3329" s="5" t="str">
        <f>INDEX([1]Employee!$C$2:$C$276,MATCH(B3329,[1]Employee!$A$2:$A$276,0))</f>
        <v>Sales &amp; Marketing</v>
      </c>
    </row>
    <row r="3330" spans="1:15">
      <c r="A3330" s="1" t="s">
        <v>6443</v>
      </c>
      <c r="B3330" s="1" t="s">
        <v>59</v>
      </c>
      <c r="C3330" s="1" t="s">
        <v>6444</v>
      </c>
      <c r="D3330" s="2">
        <v>46128</v>
      </c>
      <c r="E3330" s="2">
        <v>46199</v>
      </c>
      <c r="F3330" s="1" t="s">
        <v>109</v>
      </c>
      <c r="G3330" s="1" t="s">
        <v>18</v>
      </c>
      <c r="H3330" s="1" t="s">
        <v>517</v>
      </c>
      <c r="I3330" s="7">
        <v>38.57</v>
      </c>
      <c r="J3330" s="1" t="s">
        <v>38</v>
      </c>
      <c r="K3330" s="1"/>
      <c r="L3330" s="1" t="s">
        <v>39</v>
      </c>
      <c r="M3330" s="1" t="str">
        <f>INDEX(MCC_Lookup!$B$2:$B$12,MATCH(G3330,MCC_Lookup!$A$2:$A$12,0))</f>
        <v>Events</v>
      </c>
      <c r="N3330" s="1" t="str">
        <f>IF(TRIM(H3330)="","BLANK",IF(PROPER(TRIM(H3330))=TRIM(M3330),"MATCH","MISMATCH"))</f>
        <v>MATCH</v>
      </c>
      <c r="O3330" s="5" t="str">
        <f>INDEX([1]Employee!$C$2:$C$276,MATCH(B3330,[1]Employee!$A$2:$A$276,0))</f>
        <v>Sales &amp; Marketing</v>
      </c>
    </row>
    <row r="3331" spans="1:15">
      <c r="A3331" s="1" t="s">
        <v>6445</v>
      </c>
      <c r="B3331" s="1" t="s">
        <v>540</v>
      </c>
      <c r="C3331" s="1" t="s">
        <v>6446</v>
      </c>
      <c r="D3331" s="2">
        <v>46083</v>
      </c>
      <c r="E3331" s="2">
        <v>46199</v>
      </c>
      <c r="F3331" s="1" t="s">
        <v>56</v>
      </c>
      <c r="G3331" s="1" t="s">
        <v>4</v>
      </c>
      <c r="H3331" s="1" t="s">
        <v>5</v>
      </c>
      <c r="I3331" s="7">
        <v>521.19000000000005</v>
      </c>
      <c r="J3331" s="1" t="s">
        <v>38</v>
      </c>
      <c r="K3331" s="1"/>
      <c r="L3331" s="1" t="s">
        <v>39</v>
      </c>
      <c r="M3331" s="1" t="str">
        <f>INDEX(MCC_Lookup!$B$2:$B$12,MATCH(G3331,MCC_Lookup!$A$2:$A$12,0))</f>
        <v>Travel</v>
      </c>
      <c r="N3331" s="1" t="str">
        <f>IF(TRIM(H3331)="","BLANK",IF(PROPER(TRIM(H3331))=TRIM(M3331),"MATCH","MISMATCH"))</f>
        <v>MATCH</v>
      </c>
      <c r="O3331" s="5" t="str">
        <f>INDEX([1]Employee!$C$2:$C$276,MATCH(B3331,[1]Employee!$A$2:$A$276,0))</f>
        <v>Underwriting</v>
      </c>
    </row>
    <row r="3332" spans="1:15">
      <c r="A3332" s="1" t="s">
        <v>6447</v>
      </c>
      <c r="B3332" s="1" t="s">
        <v>469</v>
      </c>
      <c r="C3332" s="1"/>
      <c r="D3332" s="2">
        <v>46189</v>
      </c>
      <c r="E3332" s="2">
        <v>46199</v>
      </c>
      <c r="F3332" s="1" t="s">
        <v>116</v>
      </c>
      <c r="G3332" s="1" t="s">
        <v>2</v>
      </c>
      <c r="H3332" s="1" t="s">
        <v>3</v>
      </c>
      <c r="I3332" s="7">
        <v>15.5</v>
      </c>
      <c r="J3332" s="1" t="s">
        <v>111</v>
      </c>
      <c r="K3332" s="1" t="s">
        <v>127</v>
      </c>
      <c r="L3332" s="1" t="s">
        <v>39</v>
      </c>
      <c r="M3332" s="1" t="str">
        <f>INDEX(MCC_Lookup!$B$2:$B$12,MATCH(G3332,MCC_Lookup!$A$2:$A$12,0))</f>
        <v>Meals</v>
      </c>
      <c r="N3332" s="1" t="str">
        <f>IF(TRIM(H3332)="","BLANK",IF(PROPER(TRIM(H3332))=TRIM(M3332),"MATCH","MISMATCH"))</f>
        <v>MATCH</v>
      </c>
      <c r="O3332" s="5" t="str">
        <f>INDEX([1]Employee!$C$2:$C$276,MATCH(B3332,[1]Employee!$A$2:$A$276,0))</f>
        <v>Sales &amp; Marketing</v>
      </c>
    </row>
    <row r="3333" spans="1:15">
      <c r="A3333" s="1" t="s">
        <v>6448</v>
      </c>
      <c r="B3333" s="1" t="s">
        <v>496</v>
      </c>
      <c r="C3333" s="1" t="s">
        <v>6449</v>
      </c>
      <c r="D3333" s="2">
        <v>46081</v>
      </c>
      <c r="E3333" s="2">
        <v>46199</v>
      </c>
      <c r="F3333" s="1" t="s">
        <v>242</v>
      </c>
      <c r="G3333" s="1" t="s">
        <v>13</v>
      </c>
      <c r="H3333" s="1" t="s">
        <v>14</v>
      </c>
      <c r="I3333" s="7">
        <v>20.53</v>
      </c>
      <c r="J3333" s="1" t="s">
        <v>38</v>
      </c>
      <c r="K3333" s="1"/>
      <c r="L3333" s="1" t="s">
        <v>39</v>
      </c>
      <c r="M3333" s="1" t="str">
        <f>INDEX(MCC_Lookup!$B$2:$B$12,MATCH(G3333,MCC_Lookup!$A$2:$A$12,0))</f>
        <v>Software</v>
      </c>
      <c r="N3333" s="1" t="str">
        <f>IF(TRIM(H3333)="","BLANK",IF(PROPER(TRIM(H3333))=TRIM(M3333),"MATCH","MISMATCH"))</f>
        <v>MATCH</v>
      </c>
      <c r="O3333" s="5" t="str">
        <f>INDEX([1]Employee!$C$2:$C$276,MATCH(B3333,[1]Employee!$A$2:$A$276,0))</f>
        <v>Actuarial &amp; Risk</v>
      </c>
    </row>
    <row r="3334" spans="1:15">
      <c r="A3334" s="1" t="s">
        <v>6450</v>
      </c>
      <c r="B3334" s="1" t="s">
        <v>297</v>
      </c>
      <c r="C3334" s="1" t="s">
        <v>6451</v>
      </c>
      <c r="D3334" s="2">
        <v>46090</v>
      </c>
      <c r="E3334" s="2">
        <v>46199</v>
      </c>
      <c r="F3334" s="1" t="s">
        <v>61</v>
      </c>
      <c r="G3334" s="1" t="s">
        <v>13</v>
      </c>
      <c r="H3334" s="1" t="s">
        <v>7</v>
      </c>
      <c r="I3334" s="7">
        <v>75.98</v>
      </c>
      <c r="J3334" s="1" t="s">
        <v>38</v>
      </c>
      <c r="K3334" s="1"/>
      <c r="L3334" s="1" t="s">
        <v>39</v>
      </c>
      <c r="M3334" s="1" t="str">
        <f>INDEX(MCC_Lookup!$B$2:$B$12,MATCH(G3334,MCC_Lookup!$A$2:$A$12,0))</f>
        <v>Software</v>
      </c>
      <c r="N3334" s="1" t="str">
        <f>IF(TRIM(H3334)="","BLANK",IF(PROPER(TRIM(H3334))=TRIM(M3334),"MATCH","MISMATCH"))</f>
        <v>MISMATCH</v>
      </c>
      <c r="O3334" s="5" t="str">
        <f>INDEX([1]Employee!$C$2:$C$276,MATCH(B3334,[1]Employee!$A$2:$A$276,0))</f>
        <v>Underwriting</v>
      </c>
    </row>
    <row r="3335" spans="1:15">
      <c r="A3335" s="1" t="s">
        <v>6452</v>
      </c>
      <c r="B3335" s="1" t="s">
        <v>247</v>
      </c>
      <c r="C3335" s="1" t="s">
        <v>6453</v>
      </c>
      <c r="D3335" s="2">
        <v>46059</v>
      </c>
      <c r="E3335" s="2">
        <v>46199</v>
      </c>
      <c r="F3335" s="1" t="s">
        <v>120</v>
      </c>
      <c r="G3335" s="1" t="s">
        <v>12</v>
      </c>
      <c r="H3335" s="1" t="s">
        <v>295</v>
      </c>
      <c r="I3335" s="7">
        <v>14.65</v>
      </c>
      <c r="J3335" s="1" t="s">
        <v>38</v>
      </c>
      <c r="K3335" s="1"/>
      <c r="L3335" s="1" t="s">
        <v>39</v>
      </c>
      <c r="M3335" s="1" t="str">
        <f>INDEX(MCC_Lookup!$B$2:$B$12,MATCH(G3335,MCC_Lookup!$A$2:$A$12,0))</f>
        <v>Office Supplies</v>
      </c>
      <c r="N3335" s="1" t="str">
        <f>IF(TRIM(H3335)="","BLANK",IF(PROPER(TRIM(H3335))=TRIM(M3335),"MATCH","MISMATCH"))</f>
        <v>MATCH</v>
      </c>
      <c r="O3335" s="5" t="str">
        <f>INDEX([1]Employee!$C$2:$C$276,MATCH(B3335,[1]Employee!$A$2:$A$276,0))</f>
        <v>HR &amp; Events</v>
      </c>
    </row>
    <row r="3336" spans="1:15">
      <c r="A3336" s="1" t="s">
        <v>6454</v>
      </c>
      <c r="B3336" s="1" t="s">
        <v>595</v>
      </c>
      <c r="C3336" s="1" t="s">
        <v>6455</v>
      </c>
      <c r="D3336" s="2">
        <v>46193</v>
      </c>
      <c r="E3336" s="2">
        <v>46199</v>
      </c>
      <c r="F3336" s="1" t="s">
        <v>347</v>
      </c>
      <c r="G3336" s="1" t="s">
        <v>8</v>
      </c>
      <c r="H3336" s="1" t="s">
        <v>435</v>
      </c>
      <c r="I3336" s="7">
        <v>50.36</v>
      </c>
      <c r="J3336" s="1" t="s">
        <v>38</v>
      </c>
      <c r="K3336" s="1"/>
      <c r="L3336" s="1" t="s">
        <v>39</v>
      </c>
      <c r="M3336" s="1" t="str">
        <f>INDEX(MCC_Lookup!$B$2:$B$12,MATCH(G3336,MCC_Lookup!$A$2:$A$12,0))</f>
        <v>Transportation</v>
      </c>
      <c r="N3336" s="1" t="str">
        <f>IF(TRIM(H3336)="","BLANK",IF(PROPER(TRIM(H3336))=TRIM(M3336),"MATCH","MISMATCH"))</f>
        <v>MATCH</v>
      </c>
      <c r="O3336" s="5" t="str">
        <f>INDEX([1]Employee!$C$2:$C$276,MATCH(B3336,[1]Employee!$A$2:$A$276,0))</f>
        <v>Executive &amp; Corporate</v>
      </c>
    </row>
    <row r="3337" spans="1:15">
      <c r="A3337" s="1" t="s">
        <v>6456</v>
      </c>
      <c r="B3337" s="1" t="s">
        <v>94</v>
      </c>
      <c r="C3337" s="1" t="s">
        <v>6457</v>
      </c>
      <c r="D3337" s="2">
        <v>46102</v>
      </c>
      <c r="E3337" s="2">
        <v>46199</v>
      </c>
      <c r="F3337" s="1" t="s">
        <v>1793</v>
      </c>
      <c r="G3337" s="1" t="s">
        <v>12</v>
      </c>
      <c r="H3337" s="1" t="s">
        <v>11</v>
      </c>
      <c r="I3337" s="7">
        <v>356.81</v>
      </c>
      <c r="J3337" s="1" t="s">
        <v>38</v>
      </c>
      <c r="K3337" s="1"/>
      <c r="L3337" s="1" t="s">
        <v>39</v>
      </c>
      <c r="M3337" s="1" t="str">
        <f>INDEX(MCC_Lookup!$B$2:$B$12,MATCH(G3337,MCC_Lookup!$A$2:$A$12,0))</f>
        <v>Office Supplies</v>
      </c>
      <c r="N3337" s="1" t="str">
        <f>IF(TRIM(H3337)="","BLANK",IF(PROPER(TRIM(H3337))=TRIM(M3337),"MATCH","MISMATCH"))</f>
        <v>MATCH</v>
      </c>
      <c r="O3337" s="5" t="str">
        <f>INDEX([1]Employee!$C$2:$C$276,MATCH(B3337,[1]Employee!$A$2:$A$276,0))</f>
        <v>IT &amp; Platform Engineering</v>
      </c>
    </row>
    <row r="3338" spans="1:15">
      <c r="A3338" s="1" t="s">
        <v>6458</v>
      </c>
      <c r="B3338" s="1" t="s">
        <v>772</v>
      </c>
      <c r="C3338" s="1" t="s">
        <v>6459</v>
      </c>
      <c r="D3338" s="2">
        <v>46168</v>
      </c>
      <c r="E3338" s="2">
        <v>46200</v>
      </c>
      <c r="F3338" s="1" t="s">
        <v>72</v>
      </c>
      <c r="G3338" s="1" t="s">
        <v>8</v>
      </c>
      <c r="H3338" s="1" t="s">
        <v>9</v>
      </c>
      <c r="I3338" s="7">
        <v>16.64</v>
      </c>
      <c r="J3338" s="1" t="s">
        <v>38</v>
      </c>
      <c r="K3338" s="1"/>
      <c r="L3338" s="1" t="s">
        <v>39</v>
      </c>
      <c r="M3338" s="1" t="str">
        <f>INDEX(MCC_Lookup!$B$2:$B$12,MATCH(G3338,MCC_Lookup!$A$2:$A$12,0))</f>
        <v>Transportation</v>
      </c>
      <c r="N3338" s="1" t="str">
        <f>IF(TRIM(H3338)="","BLANK",IF(PROPER(TRIM(H3338))=TRIM(M3338),"MATCH","MISMATCH"))</f>
        <v>MATCH</v>
      </c>
      <c r="O3338" s="5" t="str">
        <f>INDEX([1]Employee!$C$2:$C$276,MATCH(B3338,[1]Employee!$A$2:$A$276,0))</f>
        <v>Underwriting</v>
      </c>
    </row>
    <row r="3339" spans="1:15">
      <c r="A3339" s="1" t="s">
        <v>6460</v>
      </c>
      <c r="B3339" s="1" t="s">
        <v>349</v>
      </c>
      <c r="C3339" s="1" t="s">
        <v>6461</v>
      </c>
      <c r="D3339" s="2">
        <v>46150</v>
      </c>
      <c r="E3339" s="2">
        <v>46200</v>
      </c>
      <c r="F3339" s="1" t="s">
        <v>201</v>
      </c>
      <c r="G3339" s="1" t="s">
        <v>4</v>
      </c>
      <c r="H3339" s="1" t="s">
        <v>5</v>
      </c>
      <c r="I3339" s="7">
        <v>356.86</v>
      </c>
      <c r="J3339" s="1" t="s">
        <v>38</v>
      </c>
      <c r="K3339" s="1"/>
      <c r="L3339" s="1" t="s">
        <v>39</v>
      </c>
      <c r="M3339" s="1" t="str">
        <f>INDEX(MCC_Lookup!$B$2:$B$12,MATCH(G3339,MCC_Lookup!$A$2:$A$12,0))</f>
        <v>Travel</v>
      </c>
      <c r="N3339" s="1" t="str">
        <f>IF(TRIM(H3339)="","BLANK",IF(PROPER(TRIM(H3339))=TRIM(M3339),"MATCH","MISMATCH"))</f>
        <v>MATCH</v>
      </c>
      <c r="O3339" s="5" t="str">
        <f>INDEX([1]Employee!$C$2:$C$276,MATCH(B3339,[1]Employee!$A$2:$A$276,0))</f>
        <v>Sales &amp; Marketing</v>
      </c>
    </row>
    <row r="3340" spans="1:15">
      <c r="A3340" s="1" t="s">
        <v>6462</v>
      </c>
      <c r="B3340" s="1" t="s">
        <v>253</v>
      </c>
      <c r="C3340" s="1" t="s">
        <v>6463</v>
      </c>
      <c r="D3340" s="2">
        <v>46173</v>
      </c>
      <c r="E3340" s="2">
        <v>46200</v>
      </c>
      <c r="F3340" s="1" t="s">
        <v>124</v>
      </c>
      <c r="G3340" s="1" t="s">
        <v>17</v>
      </c>
      <c r="H3340" s="1" t="s">
        <v>16</v>
      </c>
      <c r="I3340" s="7">
        <v>169.83</v>
      </c>
      <c r="J3340" s="1" t="s">
        <v>38</v>
      </c>
      <c r="K3340" s="1"/>
      <c r="L3340" s="1" t="s">
        <v>39</v>
      </c>
      <c r="M3340" s="1" t="str">
        <f>INDEX(MCC_Lookup!$B$2:$B$12,MATCH(G3340,MCC_Lookup!$A$2:$A$12,0))</f>
        <v>Entertainment</v>
      </c>
      <c r="N3340" s="1" t="str">
        <f>IF(TRIM(H3340)="","BLANK",IF(PROPER(TRIM(H3340))=TRIM(M3340),"MATCH","MISMATCH"))</f>
        <v>MATCH</v>
      </c>
      <c r="O3340" s="5" t="str">
        <f>INDEX([1]Employee!$C$2:$C$276,MATCH(B3340,[1]Employee!$A$2:$A$276,0))</f>
        <v>Claims</v>
      </c>
    </row>
    <row r="3341" spans="1:15">
      <c r="A3341" s="1" t="s">
        <v>6464</v>
      </c>
      <c r="B3341" s="1" t="s">
        <v>608</v>
      </c>
      <c r="C3341" s="1" t="s">
        <v>6465</v>
      </c>
      <c r="D3341" s="2">
        <v>46069</v>
      </c>
      <c r="E3341" s="2">
        <v>46200</v>
      </c>
      <c r="F3341" s="1" t="s">
        <v>61</v>
      </c>
      <c r="G3341" s="1" t="s">
        <v>13</v>
      </c>
      <c r="H3341" s="1" t="s">
        <v>419</v>
      </c>
      <c r="I3341" s="7">
        <v>74.97</v>
      </c>
      <c r="J3341" s="1" t="s">
        <v>38</v>
      </c>
      <c r="K3341" s="1"/>
      <c r="L3341" s="1" t="s">
        <v>39</v>
      </c>
      <c r="M3341" s="1" t="str">
        <f>INDEX(MCC_Lookup!$B$2:$B$12,MATCH(G3341,MCC_Lookup!$A$2:$A$12,0))</f>
        <v>Software</v>
      </c>
      <c r="N3341" s="1" t="str">
        <f>IF(TRIM(H3341)="","BLANK",IF(PROPER(TRIM(H3341))=TRIM(M3341),"MATCH","MISMATCH"))</f>
        <v>MATCH</v>
      </c>
      <c r="O3341" s="5" t="str">
        <f>INDEX([1]Employee!$C$2:$C$276,MATCH(B3341,[1]Employee!$A$2:$A$276,0))</f>
        <v>IT &amp; Platform Engineering</v>
      </c>
    </row>
    <row r="3342" spans="1:15">
      <c r="A3342" s="1" t="s">
        <v>6466</v>
      </c>
      <c r="B3342" s="1" t="s">
        <v>364</v>
      </c>
      <c r="C3342" s="1" t="s">
        <v>6467</v>
      </c>
      <c r="D3342" s="2">
        <v>46107</v>
      </c>
      <c r="E3342" s="2">
        <v>46200</v>
      </c>
      <c r="F3342" s="1" t="s">
        <v>56</v>
      </c>
      <c r="G3342" s="1" t="s">
        <v>4</v>
      </c>
      <c r="H3342" s="1" t="s">
        <v>5</v>
      </c>
      <c r="I3342" s="7">
        <v>394.83</v>
      </c>
      <c r="J3342" s="1" t="s">
        <v>38</v>
      </c>
      <c r="K3342" s="1"/>
      <c r="L3342" s="1" t="s">
        <v>39</v>
      </c>
      <c r="M3342" s="1" t="str">
        <f>INDEX(MCC_Lookup!$B$2:$B$12,MATCH(G3342,MCC_Lookup!$A$2:$A$12,0))</f>
        <v>Travel</v>
      </c>
      <c r="N3342" s="1" t="str">
        <f>IF(TRIM(H3342)="","BLANK",IF(PROPER(TRIM(H3342))=TRIM(M3342),"MATCH","MISMATCH"))</f>
        <v>MATCH</v>
      </c>
      <c r="O3342" s="5" t="str">
        <f>INDEX([1]Employee!$C$2:$C$276,MATCH(B3342,[1]Employee!$A$2:$A$276,0))</f>
        <v>Sales &amp; Marketing</v>
      </c>
    </row>
    <row r="3343" spans="1:15">
      <c r="A3343" s="1" t="s">
        <v>6468</v>
      </c>
      <c r="B3343" s="1" t="s">
        <v>280</v>
      </c>
      <c r="C3343" s="1" t="s">
        <v>6469</v>
      </c>
      <c r="D3343" s="2">
        <v>46200</v>
      </c>
      <c r="E3343" s="2">
        <v>46200</v>
      </c>
      <c r="F3343" s="1" t="s">
        <v>120</v>
      </c>
      <c r="G3343" s="1" t="s">
        <v>12</v>
      </c>
      <c r="H3343" s="1" t="s">
        <v>11</v>
      </c>
      <c r="I3343" s="7">
        <v>373.17</v>
      </c>
      <c r="J3343" s="1" t="s">
        <v>38</v>
      </c>
      <c r="K3343" s="1"/>
      <c r="L3343" s="1" t="s">
        <v>39</v>
      </c>
      <c r="M3343" s="1" t="str">
        <f>INDEX(MCC_Lookup!$B$2:$B$12,MATCH(G3343,MCC_Lookup!$A$2:$A$12,0))</f>
        <v>Office Supplies</v>
      </c>
      <c r="N3343" s="1" t="str">
        <f>IF(TRIM(H3343)="","BLANK",IF(PROPER(TRIM(H3343))=TRIM(M3343),"MATCH","MISMATCH"))</f>
        <v>MATCH</v>
      </c>
      <c r="O3343" s="5" t="str">
        <f>INDEX([1]Employee!$C$2:$C$276,MATCH(B3343,[1]Employee!$A$2:$A$276,0))</f>
        <v>Claims</v>
      </c>
    </row>
    <row r="3344" spans="1:15">
      <c r="A3344" s="1" t="s">
        <v>6470</v>
      </c>
      <c r="B3344" s="1" t="s">
        <v>280</v>
      </c>
      <c r="C3344" s="1"/>
      <c r="D3344" s="2">
        <v>46064</v>
      </c>
      <c r="E3344" s="2">
        <v>46200</v>
      </c>
      <c r="F3344" s="1" t="s">
        <v>177</v>
      </c>
      <c r="G3344" s="1" t="s">
        <v>13</v>
      </c>
      <c r="H3344" s="1" t="s">
        <v>14</v>
      </c>
      <c r="I3344" s="7">
        <v>66.95</v>
      </c>
      <c r="J3344" s="1" t="s">
        <v>38</v>
      </c>
      <c r="K3344" s="1"/>
      <c r="L3344" s="1" t="s">
        <v>39</v>
      </c>
      <c r="M3344" s="1" t="str">
        <f>INDEX(MCC_Lookup!$B$2:$B$12,MATCH(G3344,MCC_Lookup!$A$2:$A$12,0))</f>
        <v>Software</v>
      </c>
      <c r="N3344" s="1" t="str">
        <f>IF(TRIM(H3344)="","BLANK",IF(PROPER(TRIM(H3344))=TRIM(M3344),"MATCH","MISMATCH"))</f>
        <v>MATCH</v>
      </c>
      <c r="O3344" s="5" t="str">
        <f>INDEX([1]Employee!$C$2:$C$276,MATCH(B3344,[1]Employee!$A$2:$A$276,0))</f>
        <v>Claims</v>
      </c>
    </row>
    <row r="3345" spans="1:15">
      <c r="A3345" s="1" t="s">
        <v>6471</v>
      </c>
      <c r="B3345" s="1" t="s">
        <v>656</v>
      </c>
      <c r="C3345" s="1" t="s">
        <v>6472</v>
      </c>
      <c r="D3345" s="2">
        <v>46190</v>
      </c>
      <c r="E3345" s="2">
        <v>46200</v>
      </c>
      <c r="F3345" s="1" t="s">
        <v>124</v>
      </c>
      <c r="G3345" s="1" t="s">
        <v>17</v>
      </c>
      <c r="H3345" s="1" t="s">
        <v>16</v>
      </c>
      <c r="I3345" s="7">
        <v>201.82</v>
      </c>
      <c r="J3345" s="1" t="s">
        <v>38</v>
      </c>
      <c r="K3345" s="1"/>
      <c r="L3345" s="1" t="s">
        <v>39</v>
      </c>
      <c r="M3345" s="1" t="str">
        <f>INDEX(MCC_Lookup!$B$2:$B$12,MATCH(G3345,MCC_Lookup!$A$2:$A$12,0))</f>
        <v>Entertainment</v>
      </c>
      <c r="N3345" s="1" t="str">
        <f>IF(TRIM(H3345)="","BLANK",IF(PROPER(TRIM(H3345))=TRIM(M3345),"MATCH","MISMATCH"))</f>
        <v>MATCH</v>
      </c>
      <c r="O3345" s="5" t="str">
        <f>INDEX([1]Employee!$C$2:$C$276,MATCH(B3345,[1]Employee!$A$2:$A$276,0))</f>
        <v>Claims</v>
      </c>
    </row>
    <row r="3346" spans="1:15">
      <c r="A3346" s="1" t="s">
        <v>6473</v>
      </c>
      <c r="B3346" s="1" t="s">
        <v>1061</v>
      </c>
      <c r="C3346" s="1" t="s">
        <v>6474</v>
      </c>
      <c r="D3346" s="2">
        <v>46200</v>
      </c>
      <c r="E3346" s="2">
        <v>46200</v>
      </c>
      <c r="F3346" s="1" t="s">
        <v>95</v>
      </c>
      <c r="G3346" s="1" t="s">
        <v>6</v>
      </c>
      <c r="H3346" s="1" t="s">
        <v>7</v>
      </c>
      <c r="I3346" s="7">
        <v>278.51</v>
      </c>
      <c r="J3346" s="1" t="s">
        <v>38</v>
      </c>
      <c r="K3346" s="1"/>
      <c r="L3346" s="1" t="s">
        <v>39</v>
      </c>
      <c r="M3346" s="1" t="str">
        <f>INDEX(MCC_Lookup!$B$2:$B$12,MATCH(G3346,MCC_Lookup!$A$2:$A$12,0))</f>
        <v>Lodging</v>
      </c>
      <c r="N3346" s="1" t="str">
        <f>IF(TRIM(H3346)="","BLANK",IF(PROPER(TRIM(H3346))=TRIM(M3346),"MATCH","MISMATCH"))</f>
        <v>MATCH</v>
      </c>
      <c r="O3346" s="5" t="str">
        <f>INDEX([1]Employee!$C$2:$C$276,MATCH(B3346,[1]Employee!$A$2:$A$276,0))</f>
        <v>Claims</v>
      </c>
    </row>
    <row r="3347" spans="1:15">
      <c r="A3347" s="1" t="s">
        <v>6475</v>
      </c>
      <c r="B3347" s="1" t="s">
        <v>763</v>
      </c>
      <c r="C3347" s="1"/>
      <c r="D3347" s="2">
        <v>46031</v>
      </c>
      <c r="E3347" s="2">
        <v>46200</v>
      </c>
      <c r="F3347" s="1" t="s">
        <v>177</v>
      </c>
      <c r="G3347" s="1" t="s">
        <v>13</v>
      </c>
      <c r="H3347" s="1" t="s">
        <v>14</v>
      </c>
      <c r="I3347" s="7">
        <v>68.599999999999994</v>
      </c>
      <c r="J3347" s="1" t="s">
        <v>111</v>
      </c>
      <c r="K3347" s="1" t="s">
        <v>161</v>
      </c>
      <c r="L3347" s="1" t="s">
        <v>39</v>
      </c>
      <c r="M3347" s="1" t="str">
        <f>INDEX(MCC_Lookup!$B$2:$B$12,MATCH(G3347,MCC_Lookup!$A$2:$A$12,0))</f>
        <v>Software</v>
      </c>
      <c r="N3347" s="1" t="str">
        <f>IF(TRIM(H3347)="","BLANK",IF(PROPER(TRIM(H3347))=TRIM(M3347),"MATCH","MISMATCH"))</f>
        <v>MATCH</v>
      </c>
      <c r="O3347" s="5" t="str">
        <f>INDEX([1]Employee!$C$2:$C$276,MATCH(B3347,[1]Employee!$A$2:$A$276,0))</f>
        <v>Executive &amp; Corporate</v>
      </c>
    </row>
    <row r="3348" spans="1:15">
      <c r="A3348" s="1" t="s">
        <v>6476</v>
      </c>
      <c r="B3348" s="1" t="s">
        <v>763</v>
      </c>
      <c r="C3348" s="1" t="s">
        <v>6477</v>
      </c>
      <c r="D3348" s="2">
        <v>46090</v>
      </c>
      <c r="E3348" s="2">
        <v>46200</v>
      </c>
      <c r="F3348" s="1" t="s">
        <v>69</v>
      </c>
      <c r="G3348" s="1" t="s">
        <v>8</v>
      </c>
      <c r="H3348" s="1" t="s">
        <v>9</v>
      </c>
      <c r="I3348" s="7">
        <v>46.94</v>
      </c>
      <c r="J3348" s="1" t="s">
        <v>38</v>
      </c>
      <c r="K3348" s="1"/>
      <c r="L3348" s="1" t="s">
        <v>39</v>
      </c>
      <c r="M3348" s="1" t="str">
        <f>INDEX(MCC_Lookup!$B$2:$B$12,MATCH(G3348,MCC_Lookup!$A$2:$A$12,0))</f>
        <v>Transportation</v>
      </c>
      <c r="N3348" s="1" t="str">
        <f>IF(TRIM(H3348)="","BLANK",IF(PROPER(TRIM(H3348))=TRIM(M3348),"MATCH","MISMATCH"))</f>
        <v>MATCH</v>
      </c>
      <c r="O3348" s="5" t="str">
        <f>INDEX([1]Employee!$C$2:$C$276,MATCH(B3348,[1]Employee!$A$2:$A$276,0))</f>
        <v>Executive &amp; Corporate</v>
      </c>
    </row>
    <row r="3349" spans="1:15">
      <c r="A3349" s="1" t="s">
        <v>6478</v>
      </c>
      <c r="B3349" s="1" t="s">
        <v>216</v>
      </c>
      <c r="C3349" s="1" t="s">
        <v>6479</v>
      </c>
      <c r="D3349" s="2">
        <v>46191</v>
      </c>
      <c r="E3349" s="2">
        <v>46200</v>
      </c>
      <c r="F3349" s="1" t="s">
        <v>56</v>
      </c>
      <c r="G3349" s="1" t="s">
        <v>4</v>
      </c>
      <c r="H3349" s="1" t="s">
        <v>5</v>
      </c>
      <c r="I3349" s="7">
        <v>341.35</v>
      </c>
      <c r="J3349" s="1" t="s">
        <v>38</v>
      </c>
      <c r="K3349" s="1"/>
      <c r="L3349" s="1" t="s">
        <v>39</v>
      </c>
      <c r="M3349" s="1" t="str">
        <f>INDEX(MCC_Lookup!$B$2:$B$12,MATCH(G3349,MCC_Lookup!$A$2:$A$12,0))</f>
        <v>Travel</v>
      </c>
      <c r="N3349" s="1" t="str">
        <f>IF(TRIM(H3349)="","BLANK",IF(PROPER(TRIM(H3349))=TRIM(M3349),"MATCH","MISMATCH"))</f>
        <v>MATCH</v>
      </c>
      <c r="O3349" s="5" t="str">
        <f>INDEX([1]Employee!$C$2:$C$276,MATCH(B3349,[1]Employee!$A$2:$A$276,0))</f>
        <v>Sales &amp; Marketing</v>
      </c>
    </row>
    <row r="3350" spans="1:15">
      <c r="A3350" s="1" t="s">
        <v>6480</v>
      </c>
      <c r="B3350" s="1" t="s">
        <v>571</v>
      </c>
      <c r="C3350" s="1" t="s">
        <v>6481</v>
      </c>
      <c r="D3350" s="2">
        <v>46190</v>
      </c>
      <c r="E3350" s="2">
        <v>46200</v>
      </c>
      <c r="F3350" s="1" t="s">
        <v>65</v>
      </c>
      <c r="G3350" s="1" t="s">
        <v>18</v>
      </c>
      <c r="H3350" s="1"/>
      <c r="I3350" s="7">
        <v>554.48</v>
      </c>
      <c r="J3350" s="1" t="s">
        <v>38</v>
      </c>
      <c r="K3350" s="1"/>
      <c r="L3350" s="1" t="s">
        <v>39</v>
      </c>
      <c r="M3350" s="1" t="str">
        <f>INDEX(MCC_Lookup!$B$2:$B$12,MATCH(G3350,MCC_Lookup!$A$2:$A$12,0))</f>
        <v>Events</v>
      </c>
      <c r="N3350" s="1" t="str">
        <f>IF(TRIM(H3350)="","BLANK",IF(PROPER(TRIM(H3350))=TRIM(M3350),"MATCH","MISMATCH"))</f>
        <v>BLANK</v>
      </c>
      <c r="O3350" s="5" t="str">
        <f>INDEX([1]Employee!$C$2:$C$276,MATCH(B3350,[1]Employee!$A$2:$A$276,0))</f>
        <v>Finance</v>
      </c>
    </row>
    <row r="3351" spans="1:15">
      <c r="A3351" s="1" t="s">
        <v>6482</v>
      </c>
      <c r="B3351" s="1" t="s">
        <v>97</v>
      </c>
      <c r="C3351" s="1" t="s">
        <v>6483</v>
      </c>
      <c r="D3351" s="2">
        <v>46129</v>
      </c>
      <c r="E3351" s="2">
        <v>46200</v>
      </c>
      <c r="F3351" s="1" t="s">
        <v>65</v>
      </c>
      <c r="G3351" s="1" t="s">
        <v>18</v>
      </c>
      <c r="H3351" s="1" t="s">
        <v>5</v>
      </c>
      <c r="I3351" s="7">
        <v>159.25</v>
      </c>
      <c r="J3351" s="1" t="s">
        <v>38</v>
      </c>
      <c r="K3351" s="1"/>
      <c r="L3351" s="1" t="s">
        <v>39</v>
      </c>
      <c r="M3351" s="1" t="str">
        <f>INDEX(MCC_Lookup!$B$2:$B$12,MATCH(G3351,MCC_Lookup!$A$2:$A$12,0))</f>
        <v>Events</v>
      </c>
      <c r="N3351" s="1" t="str">
        <f>IF(TRIM(H3351)="","BLANK",IF(PROPER(TRIM(H3351))=TRIM(M3351),"MATCH","MISMATCH"))</f>
        <v>MISMATCH</v>
      </c>
      <c r="O3351" s="5" t="str">
        <f>INDEX([1]Employee!$C$2:$C$276,MATCH(B3351,[1]Employee!$A$2:$A$276,0))</f>
        <v>Sales &amp; Marketing</v>
      </c>
    </row>
    <row r="3352" spans="1:15">
      <c r="A3352" s="1" t="s">
        <v>6484</v>
      </c>
      <c r="B3352" s="1" t="s">
        <v>97</v>
      </c>
      <c r="C3352" s="1" t="s">
        <v>6485</v>
      </c>
      <c r="D3352" s="2">
        <v>46023</v>
      </c>
      <c r="E3352" s="2">
        <v>46200</v>
      </c>
      <c r="F3352" s="1" t="s">
        <v>83</v>
      </c>
      <c r="G3352" s="1" t="s">
        <v>2</v>
      </c>
      <c r="H3352" s="1" t="s">
        <v>5</v>
      </c>
      <c r="I3352" s="7">
        <v>15.66</v>
      </c>
      <c r="J3352" s="1" t="s">
        <v>38</v>
      </c>
      <c r="K3352" s="1"/>
      <c r="L3352" s="1" t="s">
        <v>39</v>
      </c>
      <c r="M3352" s="1" t="str">
        <f>INDEX(MCC_Lookup!$B$2:$B$12,MATCH(G3352,MCC_Lookup!$A$2:$A$12,0))</f>
        <v>Meals</v>
      </c>
      <c r="N3352" s="1" t="str">
        <f>IF(TRIM(H3352)="","BLANK",IF(PROPER(TRIM(H3352))=TRIM(M3352),"MATCH","MISMATCH"))</f>
        <v>MISMATCH</v>
      </c>
      <c r="O3352" s="5" t="str">
        <f>INDEX([1]Employee!$C$2:$C$276,MATCH(B3352,[1]Employee!$A$2:$A$276,0))</f>
        <v>Sales &amp; Marketing</v>
      </c>
    </row>
    <row r="3353" spans="1:15">
      <c r="A3353" s="1" t="s">
        <v>6486</v>
      </c>
      <c r="B3353" s="1" t="s">
        <v>97</v>
      </c>
      <c r="C3353" s="1" t="s">
        <v>6487</v>
      </c>
      <c r="D3353" s="2">
        <v>46199</v>
      </c>
      <c r="E3353" s="2">
        <v>46200</v>
      </c>
      <c r="F3353" s="1" t="s">
        <v>160</v>
      </c>
      <c r="G3353" s="1" t="s">
        <v>6</v>
      </c>
      <c r="H3353" s="1" t="s">
        <v>14</v>
      </c>
      <c r="I3353" s="7">
        <v>279.25</v>
      </c>
      <c r="J3353" s="1" t="s">
        <v>38</v>
      </c>
      <c r="K3353" s="1"/>
      <c r="L3353" s="1" t="s">
        <v>39</v>
      </c>
      <c r="M3353" s="1" t="str">
        <f>INDEX(MCC_Lookup!$B$2:$B$12,MATCH(G3353,MCC_Lookup!$A$2:$A$12,0))</f>
        <v>Lodging</v>
      </c>
      <c r="N3353" s="1" t="str">
        <f>IF(TRIM(H3353)="","BLANK",IF(PROPER(TRIM(H3353))=TRIM(M3353),"MATCH","MISMATCH"))</f>
        <v>MISMATCH</v>
      </c>
      <c r="O3353" s="5" t="str">
        <f>INDEX([1]Employee!$C$2:$C$276,MATCH(B3353,[1]Employee!$A$2:$A$276,0))</f>
        <v>Sales &amp; Marketing</v>
      </c>
    </row>
    <row r="3354" spans="1:15">
      <c r="A3354" s="1" t="s">
        <v>6488</v>
      </c>
      <c r="B3354" s="1" t="s">
        <v>667</v>
      </c>
      <c r="C3354" s="1" t="s">
        <v>6489</v>
      </c>
      <c r="D3354" s="2">
        <v>46200</v>
      </c>
      <c r="E3354" s="2">
        <v>46200</v>
      </c>
      <c r="F3354" s="1" t="s">
        <v>95</v>
      </c>
      <c r="G3354" s="1" t="s">
        <v>6</v>
      </c>
      <c r="H3354" s="1" t="s">
        <v>228</v>
      </c>
      <c r="I3354" s="7">
        <v>291.24</v>
      </c>
      <c r="J3354" s="1" t="s">
        <v>38</v>
      </c>
      <c r="K3354" s="1"/>
      <c r="L3354" s="1" t="s">
        <v>39</v>
      </c>
      <c r="M3354" s="1" t="str">
        <f>INDEX(MCC_Lookup!$B$2:$B$12,MATCH(G3354,MCC_Lookup!$A$2:$A$12,0))</f>
        <v>Lodging</v>
      </c>
      <c r="N3354" s="1" t="str">
        <f>IF(TRIM(H3354)="","BLANK",IF(PROPER(TRIM(H3354))=TRIM(M3354),"MATCH","MISMATCH"))</f>
        <v>MATCH</v>
      </c>
      <c r="O3354" s="5" t="str">
        <f>INDEX([1]Employee!$C$2:$C$276,MATCH(B3354,[1]Employee!$A$2:$A$276,0))</f>
        <v>Sales &amp; Marketing</v>
      </c>
    </row>
    <row r="3355" spans="1:15">
      <c r="A3355" s="1" t="s">
        <v>6490</v>
      </c>
      <c r="B3355" s="1" t="s">
        <v>651</v>
      </c>
      <c r="C3355" s="1" t="s">
        <v>6491</v>
      </c>
      <c r="D3355" s="2">
        <v>46194</v>
      </c>
      <c r="E3355" s="2">
        <v>46200</v>
      </c>
      <c r="F3355" s="1" t="s">
        <v>242</v>
      </c>
      <c r="G3355" s="1" t="s">
        <v>13</v>
      </c>
      <c r="H3355" s="1" t="s">
        <v>3</v>
      </c>
      <c r="I3355" s="7">
        <v>17.440000000000001</v>
      </c>
      <c r="J3355" s="1" t="s">
        <v>38</v>
      </c>
      <c r="K3355" s="1"/>
      <c r="L3355" s="1" t="s">
        <v>39</v>
      </c>
      <c r="M3355" s="1" t="str">
        <f>INDEX(MCC_Lookup!$B$2:$B$12,MATCH(G3355,MCC_Lookup!$A$2:$A$12,0))</f>
        <v>Software</v>
      </c>
      <c r="N3355" s="1" t="str">
        <f>IF(TRIM(H3355)="","BLANK",IF(PROPER(TRIM(H3355))=TRIM(M3355),"MATCH","MISMATCH"))</f>
        <v>MISMATCH</v>
      </c>
      <c r="O3355" s="5" t="str">
        <f>INDEX([1]Employee!$C$2:$C$276,MATCH(B3355,[1]Employee!$A$2:$A$276,0))</f>
        <v>IT &amp; Platform Engineering</v>
      </c>
    </row>
    <row r="3356" spans="1:15">
      <c r="A3356" s="1" t="s">
        <v>6492</v>
      </c>
      <c r="B3356" s="1" t="s">
        <v>149</v>
      </c>
      <c r="C3356" s="1" t="s">
        <v>6493</v>
      </c>
      <c r="D3356" s="2">
        <v>46182</v>
      </c>
      <c r="E3356" s="2">
        <v>46200</v>
      </c>
      <c r="F3356" s="1" t="s">
        <v>83</v>
      </c>
      <c r="G3356" s="1" t="s">
        <v>2</v>
      </c>
      <c r="H3356" s="1" t="s">
        <v>794</v>
      </c>
      <c r="I3356" s="7">
        <v>28.64</v>
      </c>
      <c r="J3356" s="1" t="s">
        <v>38</v>
      </c>
      <c r="K3356" s="1"/>
      <c r="L3356" s="1" t="s">
        <v>39</v>
      </c>
      <c r="M3356" s="1" t="str">
        <f>INDEX(MCC_Lookup!$B$2:$B$12,MATCH(G3356,MCC_Lookup!$A$2:$A$12,0))</f>
        <v>Meals</v>
      </c>
      <c r="N3356" s="1" t="str">
        <f>IF(TRIM(H3356)="","BLANK",IF(PROPER(TRIM(H3356))=TRIM(M3356),"MATCH","MISMATCH"))</f>
        <v>MATCH</v>
      </c>
      <c r="O3356" s="5" t="str">
        <f>INDEX([1]Employee!$C$2:$C$276,MATCH(B3356,[1]Employee!$A$2:$A$276,0))</f>
        <v>Sales &amp; Marketing</v>
      </c>
    </row>
    <row r="3357" spans="1:15">
      <c r="A3357" s="1" t="s">
        <v>6494</v>
      </c>
      <c r="B3357" s="1" t="s">
        <v>2105</v>
      </c>
      <c r="C3357" s="1" t="s">
        <v>6495</v>
      </c>
      <c r="D3357" s="2">
        <v>46167</v>
      </c>
      <c r="E3357" s="2">
        <v>46200</v>
      </c>
      <c r="F3357" s="1" t="s">
        <v>92</v>
      </c>
      <c r="G3357" s="1" t="s">
        <v>10</v>
      </c>
      <c r="H3357" s="1"/>
      <c r="I3357" s="7">
        <v>130.84</v>
      </c>
      <c r="J3357" s="1" t="s">
        <v>38</v>
      </c>
      <c r="K3357" s="1"/>
      <c r="L3357" s="1" t="s">
        <v>39</v>
      </c>
      <c r="M3357" s="1" t="str">
        <f>INDEX(MCC_Lookup!$B$2:$B$12,MATCH(G3357,MCC_Lookup!$A$2:$A$12,0))</f>
        <v>Office Supplies</v>
      </c>
      <c r="N3357" s="1" t="str">
        <f>IF(TRIM(H3357)="","BLANK",IF(PROPER(TRIM(H3357))=TRIM(M3357),"MATCH","MISMATCH"))</f>
        <v>BLANK</v>
      </c>
      <c r="O3357" s="5" t="str">
        <f>INDEX([1]Employee!$C$2:$C$276,MATCH(B3357,[1]Employee!$A$2:$A$276,0))</f>
        <v>Actuarial &amp; Risk</v>
      </c>
    </row>
    <row r="3358" spans="1:15">
      <c r="A3358" s="1" t="s">
        <v>6496</v>
      </c>
      <c r="B3358" s="1" t="s">
        <v>159</v>
      </c>
      <c r="C3358" s="1"/>
      <c r="D3358" s="2">
        <v>46122</v>
      </c>
      <c r="E3358" s="2">
        <v>46200</v>
      </c>
      <c r="F3358" s="1" t="s">
        <v>43</v>
      </c>
      <c r="G3358" s="1" t="s">
        <v>2</v>
      </c>
      <c r="H3358" s="1" t="s">
        <v>3</v>
      </c>
      <c r="I3358" s="7">
        <v>21.33</v>
      </c>
      <c r="J3358" s="1" t="s">
        <v>38</v>
      </c>
      <c r="K3358" s="1"/>
      <c r="L3358" s="1" t="s">
        <v>39</v>
      </c>
      <c r="M3358" s="1" t="str">
        <f>INDEX(MCC_Lookup!$B$2:$B$12,MATCH(G3358,MCC_Lookup!$A$2:$A$12,0))</f>
        <v>Meals</v>
      </c>
      <c r="N3358" s="1" t="str">
        <f>IF(TRIM(H3358)="","BLANK",IF(PROPER(TRIM(H3358))=TRIM(M3358),"MATCH","MISMATCH"))</f>
        <v>MATCH</v>
      </c>
      <c r="O3358" s="5" t="str">
        <f>INDEX([1]Employee!$C$2:$C$276,MATCH(B3358,[1]Employee!$A$2:$A$276,0))</f>
        <v>Actuarial &amp; Risk</v>
      </c>
    </row>
    <row r="3359" spans="1:15">
      <c r="A3359" s="1" t="s">
        <v>6497</v>
      </c>
      <c r="B3359" s="1" t="s">
        <v>292</v>
      </c>
      <c r="C3359" s="1" t="s">
        <v>6498</v>
      </c>
      <c r="D3359" s="2">
        <v>46197</v>
      </c>
      <c r="E3359" s="2">
        <v>46200</v>
      </c>
      <c r="F3359" s="1" t="s">
        <v>201</v>
      </c>
      <c r="G3359" s="1" t="s">
        <v>4</v>
      </c>
      <c r="H3359" s="1" t="s">
        <v>5</v>
      </c>
      <c r="I3359" s="7">
        <v>258.31</v>
      </c>
      <c r="J3359" s="1" t="s">
        <v>38</v>
      </c>
      <c r="K3359" s="1"/>
      <c r="L3359" s="1" t="s">
        <v>39</v>
      </c>
      <c r="M3359" s="1" t="str">
        <f>INDEX(MCC_Lookup!$B$2:$B$12,MATCH(G3359,MCC_Lookup!$A$2:$A$12,0))</f>
        <v>Travel</v>
      </c>
      <c r="N3359" s="1" t="str">
        <f>IF(TRIM(H3359)="","BLANK",IF(PROPER(TRIM(H3359))=TRIM(M3359),"MATCH","MISMATCH"))</f>
        <v>MATCH</v>
      </c>
      <c r="O3359" s="5" t="str">
        <f>INDEX([1]Employee!$C$2:$C$276,MATCH(B3359,[1]Employee!$A$2:$A$276,0))</f>
        <v>Sales &amp; Marketing</v>
      </c>
    </row>
    <row r="3360" spans="1:15">
      <c r="A3360" s="1" t="s">
        <v>6499</v>
      </c>
      <c r="B3360" s="1" t="s">
        <v>810</v>
      </c>
      <c r="C3360" s="1" t="s">
        <v>6500</v>
      </c>
      <c r="D3360" s="2">
        <v>46044</v>
      </c>
      <c r="E3360" s="2">
        <v>46200</v>
      </c>
      <c r="F3360" s="1" t="s">
        <v>61</v>
      </c>
      <c r="G3360" s="1" t="s">
        <v>13</v>
      </c>
      <c r="H3360" s="1" t="s">
        <v>14</v>
      </c>
      <c r="I3360" s="7">
        <v>86.9</v>
      </c>
      <c r="J3360" s="1" t="s">
        <v>38</v>
      </c>
      <c r="K3360" s="1"/>
      <c r="L3360" s="1" t="s">
        <v>39</v>
      </c>
      <c r="M3360" s="1" t="str">
        <f>INDEX(MCC_Lookup!$B$2:$B$12,MATCH(G3360,MCC_Lookup!$A$2:$A$12,0))</f>
        <v>Software</v>
      </c>
      <c r="N3360" s="1" t="str">
        <f>IF(TRIM(H3360)="","BLANK",IF(PROPER(TRIM(H3360))=TRIM(M3360),"MATCH","MISMATCH"))</f>
        <v>MATCH</v>
      </c>
      <c r="O3360" s="5" t="str">
        <f>INDEX([1]Employee!$C$2:$C$276,MATCH(B3360,[1]Employee!$A$2:$A$276,0))</f>
        <v>Sales &amp; Marketing</v>
      </c>
    </row>
    <row r="3361" spans="1:15">
      <c r="A3361" s="1" t="s">
        <v>6501</v>
      </c>
      <c r="B3361" s="1" t="s">
        <v>1496</v>
      </c>
      <c r="C3361" s="1" t="s">
        <v>6502</v>
      </c>
      <c r="D3361" s="2">
        <v>46135</v>
      </c>
      <c r="E3361" s="2">
        <v>46200</v>
      </c>
      <c r="F3361" s="1" t="s">
        <v>201</v>
      </c>
      <c r="G3361" s="1" t="s">
        <v>4</v>
      </c>
      <c r="H3361" s="1" t="s">
        <v>5</v>
      </c>
      <c r="I3361" s="7">
        <v>689.23</v>
      </c>
      <c r="J3361" s="1" t="s">
        <v>38</v>
      </c>
      <c r="K3361" s="1"/>
      <c r="L3361" s="1" t="s">
        <v>39</v>
      </c>
      <c r="M3361" s="1" t="str">
        <f>INDEX(MCC_Lookup!$B$2:$B$12,MATCH(G3361,MCC_Lookup!$A$2:$A$12,0))</f>
        <v>Travel</v>
      </c>
      <c r="N3361" s="1" t="str">
        <f>IF(TRIM(H3361)="","BLANK",IF(PROPER(TRIM(H3361))=TRIM(M3361),"MATCH","MISMATCH"))</f>
        <v>MATCH</v>
      </c>
      <c r="O3361" s="5" t="str">
        <f>INDEX([1]Employee!$C$2:$C$276,MATCH(B3361,[1]Employee!$A$2:$A$276,0))</f>
        <v>Underwriting</v>
      </c>
    </row>
    <row r="3362" spans="1:15">
      <c r="A3362" s="1" t="s">
        <v>6503</v>
      </c>
      <c r="B3362" s="1" t="s">
        <v>448</v>
      </c>
      <c r="C3362" s="1" t="s">
        <v>6504</v>
      </c>
      <c r="D3362" s="2">
        <v>46198</v>
      </c>
      <c r="E3362" s="2">
        <v>46200</v>
      </c>
      <c r="F3362" s="1" t="s">
        <v>124</v>
      </c>
      <c r="G3362" s="1" t="s">
        <v>17</v>
      </c>
      <c r="H3362" s="1" t="s">
        <v>16</v>
      </c>
      <c r="I3362" s="7">
        <v>202.6</v>
      </c>
      <c r="J3362" s="1" t="s">
        <v>38</v>
      </c>
      <c r="K3362" s="1"/>
      <c r="L3362" s="1" t="s">
        <v>39</v>
      </c>
      <c r="M3362" s="1" t="str">
        <f>INDEX(MCC_Lookup!$B$2:$B$12,MATCH(G3362,MCC_Lookup!$A$2:$A$12,0))</f>
        <v>Entertainment</v>
      </c>
      <c r="N3362" s="1" t="str">
        <f>IF(TRIM(H3362)="","BLANK",IF(PROPER(TRIM(H3362))=TRIM(M3362),"MATCH","MISMATCH"))</f>
        <v>MATCH</v>
      </c>
      <c r="O3362" s="5" t="str">
        <f>INDEX([1]Employee!$C$2:$C$276,MATCH(B3362,[1]Employee!$A$2:$A$276,0))</f>
        <v>Sales &amp; Marketing</v>
      </c>
    </row>
    <row r="3363" spans="1:15">
      <c r="A3363" s="1" t="s">
        <v>6505</v>
      </c>
      <c r="B3363" s="1" t="s">
        <v>1876</v>
      </c>
      <c r="C3363" s="1" t="s">
        <v>6506</v>
      </c>
      <c r="D3363" s="2">
        <v>46190</v>
      </c>
      <c r="E3363" s="2">
        <v>46200</v>
      </c>
      <c r="F3363" s="1" t="s">
        <v>347</v>
      </c>
      <c r="G3363" s="1" t="s">
        <v>8</v>
      </c>
      <c r="H3363" s="1"/>
      <c r="I3363" s="7">
        <v>19.260000000000002</v>
      </c>
      <c r="J3363" s="1" t="s">
        <v>38</v>
      </c>
      <c r="K3363" s="1"/>
      <c r="L3363" s="1" t="s">
        <v>39</v>
      </c>
      <c r="M3363" s="1" t="str">
        <f>INDEX(MCC_Lookup!$B$2:$B$12,MATCH(G3363,MCC_Lookup!$A$2:$A$12,0))</f>
        <v>Transportation</v>
      </c>
      <c r="N3363" s="1" t="str">
        <f>IF(TRIM(H3363)="","BLANK",IF(PROPER(TRIM(H3363))=TRIM(M3363),"MATCH","MISMATCH"))</f>
        <v>BLANK</v>
      </c>
      <c r="O3363" s="5" t="str">
        <f>INDEX([1]Employee!$C$2:$C$276,MATCH(B3363,[1]Employee!$A$2:$A$276,0))</f>
        <v>IT &amp; Platform Engineering</v>
      </c>
    </row>
    <row r="3364" spans="1:15">
      <c r="A3364" s="1" t="s">
        <v>6507</v>
      </c>
      <c r="B3364" s="1" t="s">
        <v>648</v>
      </c>
      <c r="C3364" s="1" t="s">
        <v>6508</v>
      </c>
      <c r="D3364" s="2">
        <v>46101</v>
      </c>
      <c r="E3364" s="2">
        <v>46200</v>
      </c>
      <c r="F3364" s="1" t="s">
        <v>99</v>
      </c>
      <c r="G3364" s="1" t="s">
        <v>2</v>
      </c>
      <c r="H3364" s="1" t="s">
        <v>154</v>
      </c>
      <c r="I3364" s="7">
        <v>78.95</v>
      </c>
      <c r="J3364" s="1" t="s">
        <v>38</v>
      </c>
      <c r="K3364" s="1"/>
      <c r="L3364" s="1" t="s">
        <v>39</v>
      </c>
      <c r="M3364" s="1" t="str">
        <f>INDEX(MCC_Lookup!$B$2:$B$12,MATCH(G3364,MCC_Lookup!$A$2:$A$12,0))</f>
        <v>Meals</v>
      </c>
      <c r="N3364" s="1" t="str">
        <f>IF(TRIM(H3364)="","BLANK",IF(PROPER(TRIM(H3364))=TRIM(M3364),"MATCH","MISMATCH"))</f>
        <v>MATCH</v>
      </c>
      <c r="O3364" s="5" t="str">
        <f>INDEX([1]Employee!$C$2:$C$276,MATCH(B3364,[1]Employee!$A$2:$A$276,0))</f>
        <v>Sales &amp; Marketing</v>
      </c>
    </row>
    <row r="3365" spans="1:15">
      <c r="A3365" s="1" t="s">
        <v>6509</v>
      </c>
      <c r="B3365" s="1" t="s">
        <v>247</v>
      </c>
      <c r="C3365" s="1" t="s">
        <v>6510</v>
      </c>
      <c r="D3365" s="2">
        <v>46195</v>
      </c>
      <c r="E3365" s="2">
        <v>46200</v>
      </c>
      <c r="F3365" s="1" t="s">
        <v>52</v>
      </c>
      <c r="G3365" s="1" t="s">
        <v>15</v>
      </c>
      <c r="H3365" s="1" t="s">
        <v>16</v>
      </c>
      <c r="I3365" s="7">
        <v>32.56</v>
      </c>
      <c r="J3365" s="1" t="s">
        <v>38</v>
      </c>
      <c r="K3365" s="1"/>
      <c r="L3365" s="1" t="s">
        <v>39</v>
      </c>
      <c r="M3365" s="1" t="str">
        <f>INDEX(MCC_Lookup!$B$2:$B$12,MATCH(G3365,MCC_Lookup!$A$2:$A$12,0))</f>
        <v>Entertainment</v>
      </c>
      <c r="N3365" s="1" t="str">
        <f>IF(TRIM(H3365)="","BLANK",IF(PROPER(TRIM(H3365))=TRIM(M3365),"MATCH","MISMATCH"))</f>
        <v>MATCH</v>
      </c>
      <c r="O3365" s="5" t="str">
        <f>INDEX([1]Employee!$C$2:$C$276,MATCH(B3365,[1]Employee!$A$2:$A$276,0))</f>
        <v>HR &amp; Events</v>
      </c>
    </row>
    <row r="3366" spans="1:15">
      <c r="A3366" s="1" t="s">
        <v>6511</v>
      </c>
      <c r="B3366" s="1" t="s">
        <v>317</v>
      </c>
      <c r="C3366" s="1" t="s">
        <v>6512</v>
      </c>
      <c r="D3366" s="2">
        <v>46058</v>
      </c>
      <c r="E3366" s="2">
        <v>46200</v>
      </c>
      <c r="F3366" s="1" t="s">
        <v>47</v>
      </c>
      <c r="G3366" s="1" t="s">
        <v>6</v>
      </c>
      <c r="H3366" s="1"/>
      <c r="I3366" s="7">
        <v>375.73</v>
      </c>
      <c r="J3366" s="1" t="s">
        <v>38</v>
      </c>
      <c r="K3366" s="1"/>
      <c r="L3366" s="1" t="s">
        <v>48</v>
      </c>
      <c r="M3366" s="1" t="str">
        <f>INDEX(MCC_Lookup!$B$2:$B$12,MATCH(G3366,MCC_Lookup!$A$2:$A$12,0))</f>
        <v>Lodging</v>
      </c>
      <c r="N3366" s="1" t="str">
        <f>IF(TRIM(H3366)="","BLANK",IF(PROPER(TRIM(H3366))=TRIM(M3366),"MATCH","MISMATCH"))</f>
        <v>BLANK</v>
      </c>
      <c r="O3366" s="5" t="str">
        <f>INDEX([1]Employee!$C$2:$C$276,MATCH(B3366,[1]Employee!$A$2:$A$276,0))</f>
        <v>Sales &amp; Marketing</v>
      </c>
    </row>
    <row r="3367" spans="1:15">
      <c r="A3367" s="1" t="s">
        <v>6513</v>
      </c>
      <c r="B3367" s="1" t="s">
        <v>2593</v>
      </c>
      <c r="C3367" s="1"/>
      <c r="D3367" s="2">
        <v>46199</v>
      </c>
      <c r="E3367" s="2">
        <v>46200</v>
      </c>
      <c r="F3367" s="1" t="s">
        <v>83</v>
      </c>
      <c r="G3367" s="1" t="s">
        <v>2</v>
      </c>
      <c r="H3367" s="1" t="s">
        <v>3</v>
      </c>
      <c r="I3367" s="7">
        <v>29.59</v>
      </c>
      <c r="J3367" s="1" t="s">
        <v>111</v>
      </c>
      <c r="K3367" s="1" t="s">
        <v>229</v>
      </c>
      <c r="L3367" s="1" t="s">
        <v>39</v>
      </c>
      <c r="M3367" s="1" t="str">
        <f>INDEX(MCC_Lookup!$B$2:$B$12,MATCH(G3367,MCC_Lookup!$A$2:$A$12,0))</f>
        <v>Meals</v>
      </c>
      <c r="N3367" s="1" t="str">
        <f>IF(TRIM(H3367)="","BLANK",IF(PROPER(TRIM(H3367))=TRIM(M3367),"MATCH","MISMATCH"))</f>
        <v>MATCH</v>
      </c>
      <c r="O3367" s="5" t="str">
        <f>INDEX([1]Employee!$C$2:$C$276,MATCH(B3367,[1]Employee!$A$2:$A$276,0))</f>
        <v>Actuarial &amp; Risk</v>
      </c>
    </row>
    <row r="3368" spans="1:15">
      <c r="A3368" s="1" t="s">
        <v>6514</v>
      </c>
      <c r="B3368" s="1" t="s">
        <v>595</v>
      </c>
      <c r="C3368" s="1" t="s">
        <v>6515</v>
      </c>
      <c r="D3368" s="2">
        <v>46194</v>
      </c>
      <c r="E3368" s="2">
        <v>46200</v>
      </c>
      <c r="F3368" s="1" t="s">
        <v>242</v>
      </c>
      <c r="G3368" s="1" t="s">
        <v>13</v>
      </c>
      <c r="H3368" s="1" t="s">
        <v>14</v>
      </c>
      <c r="I3368" s="7">
        <v>26.72</v>
      </c>
      <c r="J3368" s="1" t="s">
        <v>38</v>
      </c>
      <c r="K3368" s="1"/>
      <c r="L3368" s="1" t="s">
        <v>39</v>
      </c>
      <c r="M3368" s="1" t="str">
        <f>INDEX(MCC_Lookup!$B$2:$B$12,MATCH(G3368,MCC_Lookup!$A$2:$A$12,0))</f>
        <v>Software</v>
      </c>
      <c r="N3368" s="1" t="str">
        <f>IF(TRIM(H3368)="","BLANK",IF(PROPER(TRIM(H3368))=TRIM(M3368),"MATCH","MISMATCH"))</f>
        <v>MATCH</v>
      </c>
      <c r="O3368" s="5" t="str">
        <f>INDEX([1]Employee!$C$2:$C$276,MATCH(B3368,[1]Employee!$A$2:$A$276,0))</f>
        <v>Executive &amp; Corporate</v>
      </c>
    </row>
    <row r="3369" spans="1:15">
      <c r="A3369" s="1" t="s">
        <v>6516</v>
      </c>
      <c r="B3369" s="1" t="s">
        <v>152</v>
      </c>
      <c r="C3369" s="1" t="s">
        <v>6517</v>
      </c>
      <c r="D3369" s="2">
        <v>46140</v>
      </c>
      <c r="E3369" s="2">
        <v>46200</v>
      </c>
      <c r="F3369" s="1" t="s">
        <v>52</v>
      </c>
      <c r="G3369" s="1" t="s">
        <v>15</v>
      </c>
      <c r="H3369" s="1" t="s">
        <v>16</v>
      </c>
      <c r="I3369" s="7">
        <v>21.73</v>
      </c>
      <c r="J3369" s="1" t="s">
        <v>38</v>
      </c>
      <c r="K3369" s="1"/>
      <c r="L3369" s="1" t="s">
        <v>39</v>
      </c>
      <c r="M3369" s="1" t="str">
        <f>INDEX(MCC_Lookup!$B$2:$B$12,MATCH(G3369,MCC_Lookup!$A$2:$A$12,0))</f>
        <v>Entertainment</v>
      </c>
      <c r="N3369" s="1" t="str">
        <f>IF(TRIM(H3369)="","BLANK",IF(PROPER(TRIM(H3369))=TRIM(M3369),"MATCH","MISMATCH"))</f>
        <v>MATCH</v>
      </c>
      <c r="O3369" s="5" t="str">
        <f>INDEX([1]Employee!$C$2:$C$276,MATCH(B3369,[1]Employee!$A$2:$A$276,0))</f>
        <v>Sales &amp; Marketing</v>
      </c>
    </row>
    <row r="3370" spans="1:15">
      <c r="A3370" s="1" t="s">
        <v>6518</v>
      </c>
      <c r="B3370" s="1" t="s">
        <v>152</v>
      </c>
      <c r="C3370" s="1"/>
      <c r="D3370" s="2">
        <v>46038</v>
      </c>
      <c r="E3370" s="2">
        <v>46200</v>
      </c>
      <c r="F3370" s="1" t="s">
        <v>65</v>
      </c>
      <c r="G3370" s="1" t="s">
        <v>18</v>
      </c>
      <c r="H3370" s="1" t="s">
        <v>19</v>
      </c>
      <c r="I3370" s="7">
        <v>358.6</v>
      </c>
      <c r="J3370" s="1" t="s">
        <v>38</v>
      </c>
      <c r="K3370" s="1"/>
      <c r="L3370" s="1" t="s">
        <v>39</v>
      </c>
      <c r="M3370" s="1" t="str">
        <f>INDEX(MCC_Lookup!$B$2:$B$12,MATCH(G3370,MCC_Lookup!$A$2:$A$12,0))</f>
        <v>Events</v>
      </c>
      <c r="N3370" s="1" t="str">
        <f>IF(TRIM(H3370)="","BLANK",IF(PROPER(TRIM(H3370))=TRIM(M3370),"MATCH","MISMATCH"))</f>
        <v>MATCH</v>
      </c>
      <c r="O3370" s="5" t="str">
        <f>INDEX([1]Employee!$C$2:$C$276,MATCH(B3370,[1]Employee!$A$2:$A$276,0))</f>
        <v>Sales &amp; Marketing</v>
      </c>
    </row>
    <row r="3371" spans="1:15">
      <c r="A3371" s="1" t="s">
        <v>6519</v>
      </c>
      <c r="B3371" s="1" t="s">
        <v>588</v>
      </c>
      <c r="C3371" s="1" t="s">
        <v>6520</v>
      </c>
      <c r="D3371" s="2">
        <v>46082</v>
      </c>
      <c r="E3371" s="2">
        <v>46200</v>
      </c>
      <c r="F3371" s="1" t="s">
        <v>201</v>
      </c>
      <c r="G3371" s="1" t="s">
        <v>4</v>
      </c>
      <c r="H3371" s="1" t="s">
        <v>5</v>
      </c>
      <c r="I3371" s="7">
        <v>349.73</v>
      </c>
      <c r="J3371" s="1" t="s">
        <v>38</v>
      </c>
      <c r="K3371" s="1"/>
      <c r="L3371" s="1" t="s">
        <v>48</v>
      </c>
      <c r="M3371" s="1" t="str">
        <f>INDEX(MCC_Lookup!$B$2:$B$12,MATCH(G3371,MCC_Lookup!$A$2:$A$12,0))</f>
        <v>Travel</v>
      </c>
      <c r="N3371" s="1" t="str">
        <f>IF(TRIM(H3371)="","BLANK",IF(PROPER(TRIM(H3371))=TRIM(M3371),"MATCH","MISMATCH"))</f>
        <v>MATCH</v>
      </c>
      <c r="O3371" s="5" t="str">
        <f>INDEX([1]Employee!$C$2:$C$276,MATCH(B3371,[1]Employee!$A$2:$A$276,0))</f>
        <v>Claims</v>
      </c>
    </row>
    <row r="3372" spans="1:15">
      <c r="A3372" s="1" t="s">
        <v>6521</v>
      </c>
      <c r="B3372" s="1" t="s">
        <v>261</v>
      </c>
      <c r="C3372" s="1" t="s">
        <v>6522</v>
      </c>
      <c r="D3372" s="2">
        <v>46192</v>
      </c>
      <c r="E3372" s="2">
        <v>46200</v>
      </c>
      <c r="F3372" s="1" t="s">
        <v>160</v>
      </c>
      <c r="G3372" s="1" t="s">
        <v>6</v>
      </c>
      <c r="H3372" s="1" t="s">
        <v>7</v>
      </c>
      <c r="I3372" s="7">
        <v>280.74</v>
      </c>
      <c r="J3372" s="1" t="s">
        <v>38</v>
      </c>
      <c r="K3372" s="1"/>
      <c r="L3372" s="1" t="s">
        <v>39</v>
      </c>
      <c r="M3372" s="1" t="str">
        <f>INDEX(MCC_Lookup!$B$2:$B$12,MATCH(G3372,MCC_Lookup!$A$2:$A$12,0))</f>
        <v>Lodging</v>
      </c>
      <c r="N3372" s="1" t="str">
        <f>IF(TRIM(H3372)="","BLANK",IF(PROPER(TRIM(H3372))=TRIM(M3372),"MATCH","MISMATCH"))</f>
        <v>MATCH</v>
      </c>
      <c r="O3372" s="5" t="str">
        <f>INDEX([1]Employee!$C$2:$C$276,MATCH(B3372,[1]Employee!$A$2:$A$276,0))</f>
        <v>Sales &amp; Marketing</v>
      </c>
    </row>
    <row r="3373" spans="1:15">
      <c r="A3373" s="1" t="s">
        <v>6523</v>
      </c>
      <c r="B3373" s="1" t="s">
        <v>54</v>
      </c>
      <c r="C3373" s="1" t="s">
        <v>6524</v>
      </c>
      <c r="D3373" s="2">
        <v>46078</v>
      </c>
      <c r="E3373" s="2">
        <v>46200</v>
      </c>
      <c r="F3373" s="1" t="s">
        <v>120</v>
      </c>
      <c r="G3373" s="1" t="s">
        <v>12</v>
      </c>
      <c r="H3373" s="1" t="s">
        <v>11</v>
      </c>
      <c r="I3373" s="7">
        <v>350.93</v>
      </c>
      <c r="J3373" s="1" t="s">
        <v>38</v>
      </c>
      <c r="K3373" s="1"/>
      <c r="L3373" s="1" t="s">
        <v>39</v>
      </c>
      <c r="M3373" s="1" t="str">
        <f>INDEX(MCC_Lookup!$B$2:$B$12,MATCH(G3373,MCC_Lookup!$A$2:$A$12,0))</f>
        <v>Office Supplies</v>
      </c>
      <c r="N3373" s="1" t="str">
        <f>IF(TRIM(H3373)="","BLANK",IF(PROPER(TRIM(H3373))=TRIM(M3373),"MATCH","MISMATCH"))</f>
        <v>MATCH</v>
      </c>
      <c r="O3373" s="5" t="str">
        <f>INDEX([1]Employee!$C$2:$C$276,MATCH(B3373,[1]Employee!$A$2:$A$276,0))</f>
        <v>Sales &amp; Marketing</v>
      </c>
    </row>
    <row r="3374" spans="1:15">
      <c r="A3374" s="1" t="s">
        <v>6525</v>
      </c>
      <c r="B3374" s="1" t="s">
        <v>1504</v>
      </c>
      <c r="C3374" s="1" t="s">
        <v>6526</v>
      </c>
      <c r="D3374" s="2">
        <v>46056</v>
      </c>
      <c r="E3374" s="2">
        <v>46200</v>
      </c>
      <c r="F3374" s="1" t="s">
        <v>52</v>
      </c>
      <c r="G3374" s="1" t="s">
        <v>15</v>
      </c>
      <c r="H3374" s="1"/>
      <c r="I3374" s="7">
        <v>24.17</v>
      </c>
      <c r="J3374" s="1" t="s">
        <v>38</v>
      </c>
      <c r="K3374" s="1"/>
      <c r="L3374" s="1" t="s">
        <v>39</v>
      </c>
      <c r="M3374" s="1" t="str">
        <f>INDEX(MCC_Lookup!$B$2:$B$12,MATCH(G3374,MCC_Lookup!$A$2:$A$12,0))</f>
        <v>Entertainment</v>
      </c>
      <c r="N3374" s="1" t="str">
        <f>IF(TRIM(H3374)="","BLANK",IF(PROPER(TRIM(H3374))=TRIM(M3374),"MATCH","MISMATCH"))</f>
        <v>BLANK</v>
      </c>
      <c r="O3374" s="5" t="str">
        <f>INDEX([1]Employee!$C$2:$C$276,MATCH(B3374,[1]Employee!$A$2:$A$276,0))</f>
        <v>Sales &amp; Marketing</v>
      </c>
    </row>
    <row r="3375" spans="1:15">
      <c r="A3375" s="1" t="s">
        <v>6527</v>
      </c>
      <c r="B3375" s="1" t="s">
        <v>379</v>
      </c>
      <c r="C3375" s="1" t="s">
        <v>6528</v>
      </c>
      <c r="D3375" s="2">
        <v>46191</v>
      </c>
      <c r="E3375" s="2">
        <v>46200</v>
      </c>
      <c r="F3375" s="1" t="s">
        <v>37</v>
      </c>
      <c r="G3375" s="1" t="s">
        <v>4</v>
      </c>
      <c r="H3375" s="1" t="s">
        <v>5</v>
      </c>
      <c r="I3375" s="7">
        <v>435.37</v>
      </c>
      <c r="J3375" s="1" t="s">
        <v>38</v>
      </c>
      <c r="K3375" s="1"/>
      <c r="L3375" s="1" t="s">
        <v>48</v>
      </c>
      <c r="M3375" s="1" t="str">
        <f>INDEX(MCC_Lookup!$B$2:$B$12,MATCH(G3375,MCC_Lookup!$A$2:$A$12,0))</f>
        <v>Travel</v>
      </c>
      <c r="N3375" s="1" t="str">
        <f>IF(TRIM(H3375)="","BLANK",IF(PROPER(TRIM(H3375))=TRIM(M3375),"MATCH","MISMATCH"))</f>
        <v>MATCH</v>
      </c>
      <c r="O3375" s="5" t="str">
        <f>INDEX([1]Employee!$C$2:$C$276,MATCH(B3375,[1]Employee!$A$2:$A$276,0))</f>
        <v>Sales &amp; Marketing</v>
      </c>
    </row>
    <row r="3376" spans="1:15">
      <c r="A3376" s="1" t="s">
        <v>6529</v>
      </c>
      <c r="B3376" s="1" t="s">
        <v>133</v>
      </c>
      <c r="C3376" s="1" t="s">
        <v>6530</v>
      </c>
      <c r="D3376" s="2">
        <v>46192</v>
      </c>
      <c r="E3376" s="2">
        <v>46200</v>
      </c>
      <c r="F3376" s="1" t="s">
        <v>37</v>
      </c>
      <c r="G3376" s="1" t="s">
        <v>4</v>
      </c>
      <c r="H3376" s="1" t="s">
        <v>11</v>
      </c>
      <c r="I3376" s="7">
        <v>424.66</v>
      </c>
      <c r="J3376" s="1" t="s">
        <v>38</v>
      </c>
      <c r="K3376" s="1"/>
      <c r="L3376" s="1" t="s">
        <v>39</v>
      </c>
      <c r="M3376" s="1" t="str">
        <f>INDEX(MCC_Lookup!$B$2:$B$12,MATCH(G3376,MCC_Lookup!$A$2:$A$12,0))</f>
        <v>Travel</v>
      </c>
      <c r="N3376" s="1" t="str">
        <f>IF(TRIM(H3376)="","BLANK",IF(PROPER(TRIM(H3376))=TRIM(M3376),"MATCH","MISMATCH"))</f>
        <v>MISMATCH</v>
      </c>
      <c r="O3376" s="5" t="str">
        <f>INDEX([1]Employee!$C$2:$C$276,MATCH(B3376,[1]Employee!$A$2:$A$276,0))</f>
        <v>Finance</v>
      </c>
    </row>
    <row r="3377" spans="1:15">
      <c r="A3377" s="1" t="s">
        <v>6531</v>
      </c>
      <c r="B3377" s="1" t="s">
        <v>499</v>
      </c>
      <c r="C3377" s="1" t="s">
        <v>6532</v>
      </c>
      <c r="D3377" s="2">
        <v>46192</v>
      </c>
      <c r="E3377" s="2">
        <v>46200</v>
      </c>
      <c r="F3377" s="1" t="s">
        <v>56</v>
      </c>
      <c r="G3377" s="1" t="s">
        <v>4</v>
      </c>
      <c r="H3377" s="1" t="s">
        <v>5</v>
      </c>
      <c r="I3377" s="7">
        <v>621.86</v>
      </c>
      <c r="J3377" s="1" t="s">
        <v>38</v>
      </c>
      <c r="K3377" s="1"/>
      <c r="L3377" s="1" t="s">
        <v>39</v>
      </c>
      <c r="M3377" s="1" t="str">
        <f>INDEX(MCC_Lookup!$B$2:$B$12,MATCH(G3377,MCC_Lookup!$A$2:$A$12,0))</f>
        <v>Travel</v>
      </c>
      <c r="N3377" s="1" t="str">
        <f>IF(TRIM(H3377)="","BLANK",IF(PROPER(TRIM(H3377))=TRIM(M3377),"MATCH","MISMATCH"))</f>
        <v>MATCH</v>
      </c>
      <c r="O3377" s="5" t="str">
        <f>INDEX([1]Employee!$C$2:$C$276,MATCH(B3377,[1]Employee!$A$2:$A$276,0))</f>
        <v>Sales &amp; Marketing</v>
      </c>
    </row>
    <row r="3378" spans="1:15">
      <c r="A3378" s="1" t="s">
        <v>6533</v>
      </c>
      <c r="B3378" s="1" t="s">
        <v>104</v>
      </c>
      <c r="C3378" s="1"/>
      <c r="D3378" s="2">
        <v>46194</v>
      </c>
      <c r="E3378" s="2">
        <v>46200</v>
      </c>
      <c r="F3378" s="1" t="s">
        <v>99</v>
      </c>
      <c r="G3378" s="1" t="s">
        <v>2</v>
      </c>
      <c r="H3378" s="1"/>
      <c r="I3378" s="7">
        <v>35.81</v>
      </c>
      <c r="J3378" s="1" t="s">
        <v>111</v>
      </c>
      <c r="K3378" s="1" t="s">
        <v>161</v>
      </c>
      <c r="L3378" s="1" t="s">
        <v>39</v>
      </c>
      <c r="M3378" s="1" t="str">
        <f>INDEX(MCC_Lookup!$B$2:$B$12,MATCH(G3378,MCC_Lookup!$A$2:$A$12,0))</f>
        <v>Meals</v>
      </c>
      <c r="N3378" s="1" t="str">
        <f>IF(TRIM(H3378)="","BLANK",IF(PROPER(TRIM(H3378))=TRIM(M3378),"MATCH","MISMATCH"))</f>
        <v>BLANK</v>
      </c>
      <c r="O3378" s="5" t="str">
        <f>INDEX([1]Employee!$C$2:$C$276,MATCH(B3378,[1]Employee!$A$2:$A$276,0))</f>
        <v>Sales &amp; Marketing</v>
      </c>
    </row>
    <row r="3379" spans="1:15">
      <c r="A3379" s="1" t="s">
        <v>6534</v>
      </c>
      <c r="B3379" s="1" t="s">
        <v>104</v>
      </c>
      <c r="C3379" s="1" t="s">
        <v>6535</v>
      </c>
      <c r="D3379" s="2">
        <v>46191</v>
      </c>
      <c r="E3379" s="2">
        <v>46200</v>
      </c>
      <c r="F3379" s="1" t="s">
        <v>106</v>
      </c>
      <c r="G3379" s="1" t="s">
        <v>13</v>
      </c>
      <c r="H3379" s="1" t="s">
        <v>14</v>
      </c>
      <c r="I3379" s="7">
        <v>92.73</v>
      </c>
      <c r="J3379" s="1" t="s">
        <v>38</v>
      </c>
      <c r="K3379" s="1"/>
      <c r="L3379" s="1" t="s">
        <v>39</v>
      </c>
      <c r="M3379" s="1" t="str">
        <f>INDEX(MCC_Lookup!$B$2:$B$12,MATCH(G3379,MCC_Lookup!$A$2:$A$12,0))</f>
        <v>Software</v>
      </c>
      <c r="N3379" s="1" t="str">
        <f>IF(TRIM(H3379)="","BLANK",IF(PROPER(TRIM(H3379))=TRIM(M3379),"MATCH","MISMATCH"))</f>
        <v>MATCH</v>
      </c>
      <c r="O3379" s="5" t="str">
        <f>INDEX([1]Employee!$C$2:$C$276,MATCH(B3379,[1]Employee!$A$2:$A$276,0))</f>
        <v>Sales &amp; Marketing</v>
      </c>
    </row>
    <row r="3380" spans="1:15">
      <c r="A3380" s="1" t="s">
        <v>6536</v>
      </c>
      <c r="B3380" s="1" t="s">
        <v>81</v>
      </c>
      <c r="C3380" s="1" t="s">
        <v>6537</v>
      </c>
      <c r="D3380" s="2">
        <v>46193</v>
      </c>
      <c r="E3380" s="2">
        <v>46200</v>
      </c>
      <c r="F3380" s="1" t="s">
        <v>305</v>
      </c>
      <c r="G3380" s="1" t="s">
        <v>2</v>
      </c>
      <c r="H3380" s="1" t="s">
        <v>3</v>
      </c>
      <c r="I3380" s="7">
        <v>16.79</v>
      </c>
      <c r="J3380" s="1" t="s">
        <v>38</v>
      </c>
      <c r="K3380" s="1"/>
      <c r="L3380" s="1" t="s">
        <v>39</v>
      </c>
      <c r="M3380" s="1" t="str">
        <f>INDEX(MCC_Lookup!$B$2:$B$12,MATCH(G3380,MCC_Lookup!$A$2:$A$12,0))</f>
        <v>Meals</v>
      </c>
      <c r="N3380" s="1" t="str">
        <f>IF(TRIM(H3380)="","BLANK",IF(PROPER(TRIM(H3380))=TRIM(M3380),"MATCH","MISMATCH"))</f>
        <v>MATCH</v>
      </c>
      <c r="O3380" s="5" t="str">
        <f>INDEX([1]Employee!$C$2:$C$276,MATCH(B3380,[1]Employee!$A$2:$A$276,0))</f>
        <v>Sales &amp; Marketing</v>
      </c>
    </row>
    <row r="3381" spans="1:15">
      <c r="A3381" s="1" t="s">
        <v>6538</v>
      </c>
      <c r="B3381" s="1" t="s">
        <v>947</v>
      </c>
      <c r="C3381" s="1" t="s">
        <v>6539</v>
      </c>
      <c r="D3381" s="2">
        <v>46102</v>
      </c>
      <c r="E3381" s="2">
        <v>46200</v>
      </c>
      <c r="F3381" s="1" t="s">
        <v>347</v>
      </c>
      <c r="G3381" s="1" t="s">
        <v>8</v>
      </c>
      <c r="H3381" s="1" t="s">
        <v>9</v>
      </c>
      <c r="I3381" s="7">
        <v>43.89</v>
      </c>
      <c r="J3381" s="1" t="s">
        <v>38</v>
      </c>
      <c r="K3381" s="1"/>
      <c r="L3381" s="1" t="s">
        <v>39</v>
      </c>
      <c r="M3381" s="1" t="str">
        <f>INDEX(MCC_Lookup!$B$2:$B$12,MATCH(G3381,MCC_Lookup!$A$2:$A$12,0))</f>
        <v>Transportation</v>
      </c>
      <c r="N3381" s="1" t="str">
        <f>IF(TRIM(H3381)="","BLANK",IF(PROPER(TRIM(H3381))=TRIM(M3381),"MATCH","MISMATCH"))</f>
        <v>MATCH</v>
      </c>
      <c r="O3381" s="5" t="str">
        <f>INDEX([1]Employee!$C$2:$C$276,MATCH(B3381,[1]Employee!$A$2:$A$276,0))</f>
        <v>Sales &amp; Marketing</v>
      </c>
    </row>
    <row r="3382" spans="1:15">
      <c r="A3382" s="1" t="s">
        <v>6540</v>
      </c>
      <c r="B3382" s="1" t="s">
        <v>738</v>
      </c>
      <c r="C3382" s="1" t="s">
        <v>6541</v>
      </c>
      <c r="D3382" s="2">
        <v>46199</v>
      </c>
      <c r="E3382" s="2">
        <v>46200</v>
      </c>
      <c r="F3382" s="1" t="s">
        <v>305</v>
      </c>
      <c r="G3382" s="1" t="s">
        <v>2</v>
      </c>
      <c r="H3382" s="1" t="s">
        <v>11</v>
      </c>
      <c r="I3382" s="7">
        <v>13.26</v>
      </c>
      <c r="J3382" s="1" t="s">
        <v>38</v>
      </c>
      <c r="K3382" s="1"/>
      <c r="L3382" s="1" t="s">
        <v>39</v>
      </c>
      <c r="M3382" s="1" t="str">
        <f>INDEX(MCC_Lookup!$B$2:$B$12,MATCH(G3382,MCC_Lookup!$A$2:$A$12,0))</f>
        <v>Meals</v>
      </c>
      <c r="N3382" s="1" t="str">
        <f>IF(TRIM(H3382)="","BLANK",IF(PROPER(TRIM(H3382))=TRIM(M3382),"MATCH","MISMATCH"))</f>
        <v>MISMATCH</v>
      </c>
      <c r="O3382" s="5" t="str">
        <f>INDEX([1]Employee!$C$2:$C$276,MATCH(B3382,[1]Employee!$A$2:$A$276,0))</f>
        <v>Sales &amp; Marketing</v>
      </c>
    </row>
    <row r="3383" spans="1:15">
      <c r="A3383" s="1" t="s">
        <v>6542</v>
      </c>
      <c r="B3383" s="1" t="s">
        <v>738</v>
      </c>
      <c r="C3383" s="1" t="s">
        <v>6543</v>
      </c>
      <c r="D3383" s="2">
        <v>46190</v>
      </c>
      <c r="E3383" s="2">
        <v>46200</v>
      </c>
      <c r="F3383" s="1" t="s">
        <v>95</v>
      </c>
      <c r="G3383" s="1" t="s">
        <v>6</v>
      </c>
      <c r="H3383" s="1" t="s">
        <v>7</v>
      </c>
      <c r="I3383" s="7">
        <v>226.21</v>
      </c>
      <c r="J3383" s="1" t="s">
        <v>38</v>
      </c>
      <c r="K3383" s="1"/>
      <c r="L3383" s="1" t="s">
        <v>39</v>
      </c>
      <c r="M3383" s="1" t="str">
        <f>INDEX(MCC_Lookup!$B$2:$B$12,MATCH(G3383,MCC_Lookup!$A$2:$A$12,0))</f>
        <v>Lodging</v>
      </c>
      <c r="N3383" s="1" t="str">
        <f>IF(TRIM(H3383)="","BLANK",IF(PROPER(TRIM(H3383))=TRIM(M3383),"MATCH","MISMATCH"))</f>
        <v>MATCH</v>
      </c>
      <c r="O3383" s="5" t="str">
        <f>INDEX([1]Employee!$C$2:$C$276,MATCH(B3383,[1]Employee!$A$2:$A$276,0))</f>
        <v>Sales &amp; Marketing</v>
      </c>
    </row>
    <row r="3384" spans="1:15">
      <c r="A3384" s="1" t="s">
        <v>6544</v>
      </c>
      <c r="B3384" s="1" t="s">
        <v>136</v>
      </c>
      <c r="C3384" s="1" t="s">
        <v>6545</v>
      </c>
      <c r="D3384" s="2">
        <v>46130</v>
      </c>
      <c r="E3384" s="2">
        <v>46200</v>
      </c>
      <c r="F3384" s="1" t="s">
        <v>83</v>
      </c>
      <c r="G3384" s="1" t="s">
        <v>2</v>
      </c>
      <c r="H3384" s="1" t="s">
        <v>3</v>
      </c>
      <c r="I3384" s="7">
        <v>17.54</v>
      </c>
      <c r="J3384" s="1" t="s">
        <v>38</v>
      </c>
      <c r="K3384" s="1"/>
      <c r="L3384" s="1" t="s">
        <v>39</v>
      </c>
      <c r="M3384" s="1" t="str">
        <f>INDEX(MCC_Lookup!$B$2:$B$12,MATCH(G3384,MCC_Lookup!$A$2:$A$12,0))</f>
        <v>Meals</v>
      </c>
      <c r="N3384" s="1" t="str">
        <f>IF(TRIM(H3384)="","BLANK",IF(PROPER(TRIM(H3384))=TRIM(M3384),"MATCH","MISMATCH"))</f>
        <v>MATCH</v>
      </c>
      <c r="O3384" s="5" t="str">
        <f>INDEX([1]Employee!$C$2:$C$276,MATCH(B3384,[1]Employee!$A$2:$A$276,0))</f>
        <v>Sales &amp; Marketing</v>
      </c>
    </row>
    <row r="3385" spans="1:15">
      <c r="A3385" s="1" t="s">
        <v>6546</v>
      </c>
      <c r="B3385" s="1" t="s">
        <v>924</v>
      </c>
      <c r="C3385" s="1" t="s">
        <v>6547</v>
      </c>
      <c r="D3385" s="2">
        <v>46023</v>
      </c>
      <c r="E3385" s="2">
        <v>46200</v>
      </c>
      <c r="F3385" s="1" t="s">
        <v>109</v>
      </c>
      <c r="G3385" s="1" t="s">
        <v>18</v>
      </c>
      <c r="H3385" s="1" t="s">
        <v>19</v>
      </c>
      <c r="I3385" s="7">
        <v>28.48</v>
      </c>
      <c r="J3385" s="1" t="s">
        <v>38</v>
      </c>
      <c r="K3385" s="1"/>
      <c r="L3385" s="1" t="s">
        <v>39</v>
      </c>
      <c r="M3385" s="1" t="str">
        <f>INDEX(MCC_Lookup!$B$2:$B$12,MATCH(G3385,MCC_Lookup!$A$2:$A$12,0))</f>
        <v>Events</v>
      </c>
      <c r="N3385" s="1" t="str">
        <f>IF(TRIM(H3385)="","BLANK",IF(PROPER(TRIM(H3385))=TRIM(M3385),"MATCH","MISMATCH"))</f>
        <v>MATCH</v>
      </c>
      <c r="O3385" s="5" t="str">
        <f>INDEX([1]Employee!$C$2:$C$276,MATCH(B3385,[1]Employee!$A$2:$A$276,0))</f>
        <v>HR &amp; Events</v>
      </c>
    </row>
    <row r="3386" spans="1:15">
      <c r="A3386" s="1" t="s">
        <v>6548</v>
      </c>
      <c r="B3386" s="1" t="s">
        <v>902</v>
      </c>
      <c r="C3386" s="1" t="s">
        <v>6549</v>
      </c>
      <c r="D3386" s="2">
        <v>46191</v>
      </c>
      <c r="E3386" s="2">
        <v>46200</v>
      </c>
      <c r="F3386" s="1" t="s">
        <v>99</v>
      </c>
      <c r="G3386" s="1" t="s">
        <v>2</v>
      </c>
      <c r="H3386" s="1" t="s">
        <v>3</v>
      </c>
      <c r="I3386" s="7">
        <v>139.13</v>
      </c>
      <c r="J3386" s="1" t="s">
        <v>38</v>
      </c>
      <c r="K3386" s="1"/>
      <c r="L3386" s="1" t="s">
        <v>39</v>
      </c>
      <c r="M3386" s="1" t="str">
        <f>INDEX(MCC_Lookup!$B$2:$B$12,MATCH(G3386,MCC_Lookup!$A$2:$A$12,0))</f>
        <v>Meals</v>
      </c>
      <c r="N3386" s="1" t="str">
        <f>IF(TRIM(H3386)="","BLANK",IF(PROPER(TRIM(H3386))=TRIM(M3386),"MATCH","MISMATCH"))</f>
        <v>MATCH</v>
      </c>
      <c r="O3386" s="5" t="str">
        <f>INDEX([1]Employee!$C$2:$C$276,MATCH(B3386,[1]Employee!$A$2:$A$276,0))</f>
        <v>HR &amp; Events</v>
      </c>
    </row>
    <row r="3387" spans="1:15">
      <c r="A3387" s="1" t="s">
        <v>6550</v>
      </c>
      <c r="B3387" s="1" t="s">
        <v>1753</v>
      </c>
      <c r="C3387" s="1" t="s">
        <v>6551</v>
      </c>
      <c r="D3387" s="2">
        <v>46199</v>
      </c>
      <c r="E3387" s="2">
        <v>46200</v>
      </c>
      <c r="F3387" s="1" t="s">
        <v>109</v>
      </c>
      <c r="G3387" s="1" t="s">
        <v>18</v>
      </c>
      <c r="H3387" s="1" t="s">
        <v>19</v>
      </c>
      <c r="I3387" s="7">
        <v>252.93</v>
      </c>
      <c r="J3387" s="1" t="s">
        <v>38</v>
      </c>
      <c r="K3387" s="1"/>
      <c r="L3387" s="1" t="s">
        <v>39</v>
      </c>
      <c r="M3387" s="1" t="str">
        <f>INDEX(MCC_Lookup!$B$2:$B$12,MATCH(G3387,MCC_Lookup!$A$2:$A$12,0))</f>
        <v>Events</v>
      </c>
      <c r="N3387" s="1" t="str">
        <f>IF(TRIM(H3387)="","BLANK",IF(PROPER(TRIM(H3387))=TRIM(M3387),"MATCH","MISMATCH"))</f>
        <v>MATCH</v>
      </c>
      <c r="O3387" s="5" t="str">
        <f>INDEX([1]Employee!$C$2:$C$276,MATCH(B3387,[1]Employee!$A$2:$A$276,0))</f>
        <v>IT &amp; Platform Engineering</v>
      </c>
    </row>
    <row r="3388" spans="1:15">
      <c r="A3388" s="1" t="s">
        <v>6552</v>
      </c>
      <c r="B3388" s="1" t="s">
        <v>122</v>
      </c>
      <c r="C3388" s="1"/>
      <c r="D3388" s="2">
        <v>46202</v>
      </c>
      <c r="E3388" s="2">
        <v>46200</v>
      </c>
      <c r="F3388" s="1" t="s">
        <v>52</v>
      </c>
      <c r="G3388" s="1" t="s">
        <v>15</v>
      </c>
      <c r="H3388" s="1" t="s">
        <v>16</v>
      </c>
      <c r="I3388" s="7">
        <v>46.04</v>
      </c>
      <c r="J3388" s="1" t="s">
        <v>38</v>
      </c>
      <c r="K3388" s="1"/>
      <c r="L3388" s="1" t="s">
        <v>39</v>
      </c>
      <c r="M3388" s="1" t="str">
        <f>INDEX(MCC_Lookup!$B$2:$B$12,MATCH(G3388,MCC_Lookup!$A$2:$A$12,0))</f>
        <v>Entertainment</v>
      </c>
      <c r="N3388" s="1" t="str">
        <f>IF(TRIM(H3388)="","BLANK",IF(PROPER(TRIM(H3388))=TRIM(M3388),"MATCH","MISMATCH"))</f>
        <v>MATCH</v>
      </c>
      <c r="O3388" s="5" t="str">
        <f>INDEX([1]Employee!$C$2:$C$276,MATCH(B3388,[1]Employee!$A$2:$A$276,0))</f>
        <v>Sales &amp; Marketing</v>
      </c>
    </row>
    <row r="3389" spans="1:15">
      <c r="A3389" s="1" t="s">
        <v>6553</v>
      </c>
      <c r="B3389" s="1" t="s">
        <v>382</v>
      </c>
      <c r="C3389" s="1" t="s">
        <v>6554</v>
      </c>
      <c r="D3389" s="2">
        <v>46196</v>
      </c>
      <c r="E3389" s="2">
        <v>46200</v>
      </c>
      <c r="F3389" s="1" t="s">
        <v>65</v>
      </c>
      <c r="G3389" s="1" t="s">
        <v>18</v>
      </c>
      <c r="H3389" s="1" t="s">
        <v>19</v>
      </c>
      <c r="I3389" s="7">
        <v>432.01</v>
      </c>
      <c r="J3389" s="1" t="s">
        <v>38</v>
      </c>
      <c r="K3389" s="1"/>
      <c r="L3389" s="1" t="s">
        <v>39</v>
      </c>
      <c r="M3389" s="1" t="str">
        <f>INDEX(MCC_Lookup!$B$2:$B$12,MATCH(G3389,MCC_Lookup!$A$2:$A$12,0))</f>
        <v>Events</v>
      </c>
      <c r="N3389" s="1" t="str">
        <f>IF(TRIM(H3389)="","BLANK",IF(PROPER(TRIM(H3389))=TRIM(M3389),"MATCH","MISMATCH"))</f>
        <v>MATCH</v>
      </c>
      <c r="O3389" s="5" t="str">
        <f>INDEX([1]Employee!$C$2:$C$276,MATCH(B3389,[1]Employee!$A$2:$A$276,0))</f>
        <v>Sales &amp; Marketing</v>
      </c>
    </row>
    <row r="3390" spans="1:15">
      <c r="A3390" s="1" t="s">
        <v>6555</v>
      </c>
      <c r="B3390" s="1" t="s">
        <v>50</v>
      </c>
      <c r="C3390" s="1" t="s">
        <v>6556</v>
      </c>
      <c r="D3390" s="2">
        <v>46199</v>
      </c>
      <c r="E3390" s="2">
        <v>46200</v>
      </c>
      <c r="F3390" s="1" t="s">
        <v>47</v>
      </c>
      <c r="G3390" s="1" t="s">
        <v>6</v>
      </c>
      <c r="H3390" s="1" t="s">
        <v>7</v>
      </c>
      <c r="I3390" s="7">
        <v>149.22</v>
      </c>
      <c r="J3390" s="1" t="s">
        <v>38</v>
      </c>
      <c r="K3390" s="1"/>
      <c r="L3390" s="1" t="s">
        <v>39</v>
      </c>
      <c r="M3390" s="1" t="str">
        <f>INDEX(MCC_Lookup!$B$2:$B$12,MATCH(G3390,MCC_Lookup!$A$2:$A$12,0))</f>
        <v>Lodging</v>
      </c>
      <c r="N3390" s="1" t="str">
        <f>IF(TRIM(H3390)="","BLANK",IF(PROPER(TRIM(H3390))=TRIM(M3390),"MATCH","MISMATCH"))</f>
        <v>MATCH</v>
      </c>
      <c r="O3390" s="5" t="str">
        <f>INDEX([1]Employee!$C$2:$C$276,MATCH(B3390,[1]Employee!$A$2:$A$276,0))</f>
        <v>Sales &amp; Marketing</v>
      </c>
    </row>
    <row r="3391" spans="1:15">
      <c r="A3391" s="1" t="s">
        <v>6557</v>
      </c>
      <c r="B3391" s="1" t="s">
        <v>1188</v>
      </c>
      <c r="C3391" s="1" t="s">
        <v>6558</v>
      </c>
      <c r="D3391" s="2">
        <v>46103</v>
      </c>
      <c r="E3391" s="2">
        <v>46200</v>
      </c>
      <c r="F3391" s="1" t="s">
        <v>173</v>
      </c>
      <c r="G3391" s="1" t="s">
        <v>2</v>
      </c>
      <c r="H3391" s="1" t="s">
        <v>3</v>
      </c>
      <c r="I3391" s="7">
        <v>58.26</v>
      </c>
      <c r="J3391" s="1" t="s">
        <v>38</v>
      </c>
      <c r="K3391" s="1"/>
      <c r="L3391" s="1" t="s">
        <v>39</v>
      </c>
      <c r="M3391" s="1" t="str">
        <f>INDEX(MCC_Lookup!$B$2:$B$12,MATCH(G3391,MCC_Lookup!$A$2:$A$12,0))</f>
        <v>Meals</v>
      </c>
      <c r="N3391" s="1" t="str">
        <f>IF(TRIM(H3391)="","BLANK",IF(PROPER(TRIM(H3391))=TRIM(M3391),"MATCH","MISMATCH"))</f>
        <v>MATCH</v>
      </c>
      <c r="O3391" s="5" t="str">
        <f>INDEX([1]Employee!$C$2:$C$276,MATCH(B3391,[1]Employee!$A$2:$A$276,0))</f>
        <v>Executive &amp; Corporate</v>
      </c>
    </row>
    <row r="3392" spans="1:15">
      <c r="A3392" s="1" t="s">
        <v>6559</v>
      </c>
      <c r="B3392" s="1" t="s">
        <v>643</v>
      </c>
      <c r="C3392" s="1" t="s">
        <v>6560</v>
      </c>
      <c r="D3392" s="2">
        <v>46102</v>
      </c>
      <c r="E3392" s="2">
        <v>46200</v>
      </c>
      <c r="F3392" s="1" t="s">
        <v>56</v>
      </c>
      <c r="G3392" s="1" t="s">
        <v>4</v>
      </c>
      <c r="H3392" s="1" t="s">
        <v>734</v>
      </c>
      <c r="I3392" s="7">
        <v>332.88</v>
      </c>
      <c r="J3392" s="1" t="s">
        <v>38</v>
      </c>
      <c r="K3392" s="1"/>
      <c r="L3392" s="1" t="s">
        <v>39</v>
      </c>
      <c r="M3392" s="1" t="str">
        <f>INDEX(MCC_Lookup!$B$2:$B$12,MATCH(G3392,MCC_Lookup!$A$2:$A$12,0))</f>
        <v>Travel</v>
      </c>
      <c r="N3392" s="1" t="str">
        <f>IF(TRIM(H3392)="","BLANK",IF(PROPER(TRIM(H3392))=TRIM(M3392),"MATCH","MISMATCH"))</f>
        <v>MATCH</v>
      </c>
      <c r="O3392" s="5" t="str">
        <f>INDEX([1]Employee!$C$2:$C$276,MATCH(B3392,[1]Employee!$A$2:$A$276,0))</f>
        <v>Sales &amp; Marketing</v>
      </c>
    </row>
    <row r="3393" spans="1:15">
      <c r="A3393" s="1" t="s">
        <v>6561</v>
      </c>
      <c r="B3393" s="1" t="s">
        <v>63</v>
      </c>
      <c r="C3393" s="1" t="s">
        <v>6562</v>
      </c>
      <c r="D3393" s="2">
        <v>46199</v>
      </c>
      <c r="E3393" s="2">
        <v>46201</v>
      </c>
      <c r="F3393" s="1" t="s">
        <v>173</v>
      </c>
      <c r="G3393" s="1" t="s">
        <v>2</v>
      </c>
      <c r="H3393" s="1" t="s">
        <v>3</v>
      </c>
      <c r="I3393" s="7">
        <v>76.3</v>
      </c>
      <c r="J3393" s="1" t="s">
        <v>38</v>
      </c>
      <c r="K3393" s="1"/>
      <c r="L3393" s="1" t="s">
        <v>39</v>
      </c>
      <c r="M3393" s="1" t="str">
        <f>INDEX(MCC_Lookup!$B$2:$B$12,MATCH(G3393,MCC_Lookup!$A$2:$A$12,0))</f>
        <v>Meals</v>
      </c>
      <c r="N3393" s="1" t="str">
        <f>IF(TRIM(H3393)="","BLANK",IF(PROPER(TRIM(H3393))=TRIM(M3393),"MATCH","MISMATCH"))</f>
        <v>MATCH</v>
      </c>
      <c r="O3393" s="5" t="str">
        <f>INDEX([1]Employee!$C$2:$C$276,MATCH(B3393,[1]Employee!$A$2:$A$276,0))</f>
        <v>Sales &amp; Marketing</v>
      </c>
    </row>
    <row r="3394" spans="1:15">
      <c r="A3394" s="1" t="s">
        <v>6563</v>
      </c>
      <c r="B3394" s="1" t="s">
        <v>175</v>
      </c>
      <c r="C3394" s="1"/>
      <c r="D3394" s="2">
        <v>46149</v>
      </c>
      <c r="E3394" s="2">
        <v>46201</v>
      </c>
      <c r="F3394" s="1" t="s">
        <v>347</v>
      </c>
      <c r="G3394" s="1" t="s">
        <v>8</v>
      </c>
      <c r="H3394" s="1" t="s">
        <v>9</v>
      </c>
      <c r="I3394" s="7">
        <v>45.22</v>
      </c>
      <c r="J3394" s="1" t="s">
        <v>38</v>
      </c>
      <c r="K3394" s="1"/>
      <c r="L3394" s="1" t="s">
        <v>39</v>
      </c>
      <c r="M3394" s="1" t="str">
        <f>INDEX(MCC_Lookup!$B$2:$B$12,MATCH(G3394,MCC_Lookup!$A$2:$A$12,0))</f>
        <v>Transportation</v>
      </c>
      <c r="N3394" s="1" t="str">
        <f>IF(TRIM(H3394)="","BLANK",IF(PROPER(TRIM(H3394))=TRIM(M3394),"MATCH","MISMATCH"))</f>
        <v>MATCH</v>
      </c>
      <c r="O3394" s="5" t="str">
        <f>INDEX([1]Employee!$C$2:$C$276,MATCH(B3394,[1]Employee!$A$2:$A$276,0))</f>
        <v>Claims</v>
      </c>
    </row>
    <row r="3395" spans="1:15">
      <c r="A3395" s="1" t="s">
        <v>6564</v>
      </c>
      <c r="B3395" s="1" t="s">
        <v>227</v>
      </c>
      <c r="C3395" s="1" t="s">
        <v>6565</v>
      </c>
      <c r="D3395" s="2">
        <v>46166</v>
      </c>
      <c r="E3395" s="2">
        <v>46201</v>
      </c>
      <c r="F3395" s="1" t="s">
        <v>201</v>
      </c>
      <c r="G3395" s="1" t="s">
        <v>4</v>
      </c>
      <c r="H3395" s="1" t="s">
        <v>5</v>
      </c>
      <c r="I3395" s="7">
        <v>484.22</v>
      </c>
      <c r="J3395" s="1" t="s">
        <v>38</v>
      </c>
      <c r="K3395" s="1"/>
      <c r="L3395" s="1" t="s">
        <v>39</v>
      </c>
      <c r="M3395" s="1" t="str">
        <f>INDEX(MCC_Lookup!$B$2:$B$12,MATCH(G3395,MCC_Lookup!$A$2:$A$12,0))</f>
        <v>Travel</v>
      </c>
      <c r="N3395" s="1" t="str">
        <f>IF(TRIM(H3395)="","BLANK",IF(PROPER(TRIM(H3395))=TRIM(M3395),"MATCH","MISMATCH"))</f>
        <v>MATCH</v>
      </c>
      <c r="O3395" s="5" t="str">
        <f>INDEX([1]Employee!$C$2:$C$276,MATCH(B3395,[1]Employee!$A$2:$A$276,0))</f>
        <v>Claims</v>
      </c>
    </row>
    <row r="3396" spans="1:15">
      <c r="A3396" s="1" t="s">
        <v>6566</v>
      </c>
      <c r="B3396" s="1" t="s">
        <v>354</v>
      </c>
      <c r="C3396" s="1"/>
      <c r="D3396" s="2">
        <v>46180</v>
      </c>
      <c r="E3396" s="2">
        <v>46201</v>
      </c>
      <c r="F3396" s="1" t="s">
        <v>116</v>
      </c>
      <c r="G3396" s="1" t="s">
        <v>2</v>
      </c>
      <c r="H3396" s="1" t="s">
        <v>3</v>
      </c>
      <c r="I3396" s="7">
        <v>20.6</v>
      </c>
      <c r="J3396" s="1" t="s">
        <v>111</v>
      </c>
      <c r="K3396" s="1" t="s">
        <v>229</v>
      </c>
      <c r="L3396" s="1" t="s">
        <v>39</v>
      </c>
      <c r="M3396" s="1" t="str">
        <f>INDEX(MCC_Lookup!$B$2:$B$12,MATCH(G3396,MCC_Lookup!$A$2:$A$12,0))</f>
        <v>Meals</v>
      </c>
      <c r="N3396" s="1" t="str">
        <f>IF(TRIM(H3396)="","BLANK",IF(PROPER(TRIM(H3396))=TRIM(M3396),"MATCH","MISMATCH"))</f>
        <v>MATCH</v>
      </c>
      <c r="O3396" s="5" t="str">
        <f>INDEX([1]Employee!$C$2:$C$276,MATCH(B3396,[1]Employee!$A$2:$A$276,0))</f>
        <v>Customer Support</v>
      </c>
    </row>
    <row r="3397" spans="1:15">
      <c r="A3397" s="1" t="s">
        <v>6567</v>
      </c>
      <c r="B3397" s="1" t="s">
        <v>182</v>
      </c>
      <c r="C3397" s="1" t="s">
        <v>6568</v>
      </c>
      <c r="D3397" s="2">
        <v>46035</v>
      </c>
      <c r="E3397" s="2">
        <v>46201</v>
      </c>
      <c r="F3397" s="1" t="s">
        <v>116</v>
      </c>
      <c r="G3397" s="1" t="s">
        <v>2</v>
      </c>
      <c r="H3397" s="1" t="s">
        <v>3</v>
      </c>
      <c r="I3397" s="7">
        <v>10.67</v>
      </c>
      <c r="J3397" s="1" t="s">
        <v>38</v>
      </c>
      <c r="K3397" s="1"/>
      <c r="L3397" s="1" t="s">
        <v>39</v>
      </c>
      <c r="M3397" s="1" t="str">
        <f>INDEX(MCC_Lookup!$B$2:$B$12,MATCH(G3397,MCC_Lookup!$A$2:$A$12,0))</f>
        <v>Meals</v>
      </c>
      <c r="N3397" s="1" t="str">
        <f>IF(TRIM(H3397)="","BLANK",IF(PROPER(TRIM(H3397))=TRIM(M3397),"MATCH","MISMATCH"))</f>
        <v>MATCH</v>
      </c>
      <c r="O3397" s="5" t="str">
        <f>INDEX([1]Employee!$C$2:$C$276,MATCH(B3397,[1]Employee!$A$2:$A$276,0))</f>
        <v>Sales &amp; Marketing</v>
      </c>
    </row>
    <row r="3398" spans="1:15">
      <c r="A3398" s="1" t="s">
        <v>6569</v>
      </c>
      <c r="B3398" s="1" t="s">
        <v>902</v>
      </c>
      <c r="C3398" s="1" t="s">
        <v>6570</v>
      </c>
      <c r="D3398" s="2">
        <v>46146</v>
      </c>
      <c r="E3398" s="2">
        <v>46201</v>
      </c>
      <c r="F3398" s="1" t="s">
        <v>43</v>
      </c>
      <c r="G3398" s="1" t="s">
        <v>2</v>
      </c>
      <c r="H3398" s="1" t="s">
        <v>3</v>
      </c>
      <c r="I3398" s="7">
        <v>15.12</v>
      </c>
      <c r="J3398" s="1" t="s">
        <v>38</v>
      </c>
      <c r="K3398" s="1"/>
      <c r="L3398" s="1" t="s">
        <v>48</v>
      </c>
      <c r="M3398" s="1" t="str">
        <f>INDEX(MCC_Lookup!$B$2:$B$12,MATCH(G3398,MCC_Lookup!$A$2:$A$12,0))</f>
        <v>Meals</v>
      </c>
      <c r="N3398" s="1" t="str">
        <f>IF(TRIM(H3398)="","BLANK",IF(PROPER(TRIM(H3398))=TRIM(M3398),"MATCH","MISMATCH"))</f>
        <v>MATCH</v>
      </c>
      <c r="O3398" s="5" t="str">
        <f>INDEX([1]Employee!$C$2:$C$276,MATCH(B3398,[1]Employee!$A$2:$A$276,0))</f>
        <v>HR &amp; Events</v>
      </c>
    </row>
    <row r="3399" spans="1:15">
      <c r="A3399" s="1" t="s">
        <v>6571</v>
      </c>
      <c r="B3399" s="1" t="s">
        <v>667</v>
      </c>
      <c r="C3399" s="1" t="s">
        <v>6572</v>
      </c>
      <c r="D3399" s="2">
        <v>46194</v>
      </c>
      <c r="E3399" s="2">
        <v>46201</v>
      </c>
      <c r="F3399" s="1" t="s">
        <v>72</v>
      </c>
      <c r="G3399" s="1" t="s">
        <v>8</v>
      </c>
      <c r="H3399" s="1" t="s">
        <v>9</v>
      </c>
      <c r="I3399" s="7">
        <v>20.010000000000002</v>
      </c>
      <c r="J3399" s="1" t="s">
        <v>38</v>
      </c>
      <c r="K3399" s="1"/>
      <c r="L3399" s="1" t="s">
        <v>39</v>
      </c>
      <c r="M3399" s="1" t="str">
        <f>INDEX(MCC_Lookup!$B$2:$B$12,MATCH(G3399,MCC_Lookup!$A$2:$A$12,0))</f>
        <v>Transportation</v>
      </c>
      <c r="N3399" s="1" t="str">
        <f>IF(TRIM(H3399)="","BLANK",IF(PROPER(TRIM(H3399))=TRIM(M3399),"MATCH","MISMATCH"))</f>
        <v>MATCH</v>
      </c>
      <c r="O3399" s="5" t="str">
        <f>INDEX([1]Employee!$C$2:$C$276,MATCH(B3399,[1]Employee!$A$2:$A$276,0))</f>
        <v>Sales &amp; Marketing</v>
      </c>
    </row>
    <row r="3400" spans="1:15">
      <c r="A3400" s="1" t="s">
        <v>6573</v>
      </c>
      <c r="B3400" s="1" t="s">
        <v>915</v>
      </c>
      <c r="C3400" s="1" t="s">
        <v>6574</v>
      </c>
      <c r="D3400" s="2">
        <v>46124</v>
      </c>
      <c r="E3400" s="2">
        <v>46201</v>
      </c>
      <c r="F3400" s="1" t="s">
        <v>201</v>
      </c>
      <c r="G3400" s="1" t="s">
        <v>4</v>
      </c>
      <c r="H3400" s="1" t="s">
        <v>5</v>
      </c>
      <c r="I3400" s="7">
        <v>473.19</v>
      </c>
      <c r="J3400" s="1" t="s">
        <v>38</v>
      </c>
      <c r="K3400" s="1"/>
      <c r="L3400" s="1" t="s">
        <v>39</v>
      </c>
      <c r="M3400" s="1" t="str">
        <f>INDEX(MCC_Lookup!$B$2:$B$12,MATCH(G3400,MCC_Lookup!$A$2:$A$12,0))</f>
        <v>Travel</v>
      </c>
      <c r="N3400" s="1" t="str">
        <f>IF(TRIM(H3400)="","BLANK",IF(PROPER(TRIM(H3400))=TRIM(M3400),"MATCH","MISMATCH"))</f>
        <v>MATCH</v>
      </c>
      <c r="O3400" s="5" t="str">
        <f>INDEX([1]Employee!$C$2:$C$276,MATCH(B3400,[1]Employee!$A$2:$A$276,0))</f>
        <v>Sales &amp; Marketing</v>
      </c>
    </row>
    <row r="3401" spans="1:15">
      <c r="A3401" s="1" t="s">
        <v>6575</v>
      </c>
      <c r="B3401" s="1" t="s">
        <v>339</v>
      </c>
      <c r="C3401" s="1" t="s">
        <v>6576</v>
      </c>
      <c r="D3401" s="2">
        <v>46109</v>
      </c>
      <c r="E3401" s="2">
        <v>46201</v>
      </c>
      <c r="F3401" s="1" t="s">
        <v>116</v>
      </c>
      <c r="G3401" s="1" t="s">
        <v>2</v>
      </c>
      <c r="H3401" s="1" t="s">
        <v>3</v>
      </c>
      <c r="I3401" s="7">
        <v>20.67</v>
      </c>
      <c r="J3401" s="1" t="s">
        <v>38</v>
      </c>
      <c r="K3401" s="1"/>
      <c r="L3401" s="1" t="s">
        <v>48</v>
      </c>
      <c r="M3401" s="1" t="str">
        <f>INDEX(MCC_Lookup!$B$2:$B$12,MATCH(G3401,MCC_Lookup!$A$2:$A$12,0))</f>
        <v>Meals</v>
      </c>
      <c r="N3401" s="1" t="str">
        <f>IF(TRIM(H3401)="","BLANK",IF(PROPER(TRIM(H3401))=TRIM(M3401),"MATCH","MISMATCH"))</f>
        <v>MATCH</v>
      </c>
      <c r="O3401" s="5" t="str">
        <f>INDEX([1]Employee!$C$2:$C$276,MATCH(B3401,[1]Employee!$A$2:$A$276,0))</f>
        <v>Underwriting</v>
      </c>
    </row>
    <row r="3402" spans="1:15">
      <c r="A3402" s="1" t="s">
        <v>6577</v>
      </c>
      <c r="B3402" s="1" t="s">
        <v>349</v>
      </c>
      <c r="C3402" s="1" t="s">
        <v>6578</v>
      </c>
      <c r="D3402" s="2">
        <v>46143</v>
      </c>
      <c r="E3402" s="2">
        <v>46201</v>
      </c>
      <c r="F3402" s="1" t="s">
        <v>305</v>
      </c>
      <c r="G3402" s="1" t="s">
        <v>2</v>
      </c>
      <c r="H3402" s="1" t="s">
        <v>3</v>
      </c>
      <c r="I3402" s="7">
        <v>17.350000000000001</v>
      </c>
      <c r="J3402" s="1" t="s">
        <v>38</v>
      </c>
      <c r="K3402" s="1"/>
      <c r="L3402" s="1" t="s">
        <v>39</v>
      </c>
      <c r="M3402" s="1" t="str">
        <f>INDEX(MCC_Lookup!$B$2:$B$12,MATCH(G3402,MCC_Lookup!$A$2:$A$12,0))</f>
        <v>Meals</v>
      </c>
      <c r="N3402" s="1" t="str">
        <f>IF(TRIM(H3402)="","BLANK",IF(PROPER(TRIM(H3402))=TRIM(M3402),"MATCH","MISMATCH"))</f>
        <v>MATCH</v>
      </c>
      <c r="O3402" s="5" t="str">
        <f>INDEX([1]Employee!$C$2:$C$276,MATCH(B3402,[1]Employee!$A$2:$A$276,0))</f>
        <v>Sales &amp; Marketing</v>
      </c>
    </row>
    <row r="3403" spans="1:15">
      <c r="A3403" s="1" t="s">
        <v>6579</v>
      </c>
      <c r="B3403" s="1" t="s">
        <v>1491</v>
      </c>
      <c r="C3403" s="1" t="s">
        <v>6580</v>
      </c>
      <c r="D3403" s="2">
        <v>46117</v>
      </c>
      <c r="E3403" s="2">
        <v>46201</v>
      </c>
      <c r="F3403" s="1" t="s">
        <v>259</v>
      </c>
      <c r="G3403" s="1" t="s">
        <v>20</v>
      </c>
      <c r="H3403" s="1" t="s">
        <v>517</v>
      </c>
      <c r="I3403" s="7">
        <v>142.75</v>
      </c>
      <c r="J3403" s="1" t="s">
        <v>38</v>
      </c>
      <c r="K3403" s="1"/>
      <c r="L3403" s="1" t="s">
        <v>39</v>
      </c>
      <c r="M3403" s="1" t="str">
        <f>INDEX(MCC_Lookup!$B$2:$B$12,MATCH(G3403,MCC_Lookup!$A$2:$A$12,0))</f>
        <v>Events</v>
      </c>
      <c r="N3403" s="1" t="str">
        <f>IF(TRIM(H3403)="","BLANK",IF(PROPER(TRIM(H3403))=TRIM(M3403),"MATCH","MISMATCH"))</f>
        <v>MATCH</v>
      </c>
      <c r="O3403" s="5" t="str">
        <f>INDEX([1]Employee!$C$2:$C$276,MATCH(B3403,[1]Employee!$A$2:$A$276,0))</f>
        <v>Actuarial &amp; Risk</v>
      </c>
    </row>
    <row r="3404" spans="1:15">
      <c r="A3404" s="1" t="s">
        <v>6581</v>
      </c>
      <c r="B3404" s="1" t="s">
        <v>1824</v>
      </c>
      <c r="C3404" s="1" t="s">
        <v>6582</v>
      </c>
      <c r="D3404" s="2">
        <v>46033</v>
      </c>
      <c r="E3404" s="2">
        <v>46201</v>
      </c>
      <c r="F3404" s="1" t="s">
        <v>52</v>
      </c>
      <c r="G3404" s="1" t="s">
        <v>15</v>
      </c>
      <c r="H3404" s="1" t="s">
        <v>16</v>
      </c>
      <c r="I3404" s="7">
        <v>19.34</v>
      </c>
      <c r="J3404" s="1" t="s">
        <v>38</v>
      </c>
      <c r="K3404" s="1"/>
      <c r="L3404" s="1" t="s">
        <v>39</v>
      </c>
      <c r="M3404" s="1" t="str">
        <f>INDEX(MCC_Lookup!$B$2:$B$12,MATCH(G3404,MCC_Lookup!$A$2:$A$12,0))</f>
        <v>Entertainment</v>
      </c>
      <c r="N3404" s="1" t="str">
        <f>IF(TRIM(H3404)="","BLANK",IF(PROPER(TRIM(H3404))=TRIM(M3404),"MATCH","MISMATCH"))</f>
        <v>MATCH</v>
      </c>
      <c r="O3404" s="5" t="str">
        <f>INDEX([1]Employee!$C$2:$C$276,MATCH(B3404,[1]Employee!$A$2:$A$276,0))</f>
        <v>Claims</v>
      </c>
    </row>
    <row r="3405" spans="1:15">
      <c r="A3405" s="1" t="s">
        <v>6583</v>
      </c>
      <c r="B3405" s="1" t="s">
        <v>888</v>
      </c>
      <c r="C3405" s="1" t="s">
        <v>6584</v>
      </c>
      <c r="D3405" s="2">
        <v>46198</v>
      </c>
      <c r="E3405" s="2">
        <v>46201</v>
      </c>
      <c r="F3405" s="1" t="s">
        <v>124</v>
      </c>
      <c r="G3405" s="1" t="s">
        <v>17</v>
      </c>
      <c r="H3405" s="1" t="s">
        <v>690</v>
      </c>
      <c r="I3405" s="7">
        <v>153.37</v>
      </c>
      <c r="J3405" s="1" t="s">
        <v>38</v>
      </c>
      <c r="K3405" s="1"/>
      <c r="L3405" s="1" t="s">
        <v>39</v>
      </c>
      <c r="M3405" s="1" t="str">
        <f>INDEX(MCC_Lookup!$B$2:$B$12,MATCH(G3405,MCC_Lookup!$A$2:$A$12,0))</f>
        <v>Entertainment</v>
      </c>
      <c r="N3405" s="1" t="str">
        <f>IF(TRIM(H3405)="","BLANK",IF(PROPER(TRIM(H3405))=TRIM(M3405),"MATCH","MISMATCH"))</f>
        <v>MATCH</v>
      </c>
      <c r="O3405" s="5" t="str">
        <f>INDEX([1]Employee!$C$2:$C$276,MATCH(B3405,[1]Employee!$A$2:$A$276,0))</f>
        <v>Claims</v>
      </c>
    </row>
    <row r="3406" spans="1:15">
      <c r="A3406" s="1" t="s">
        <v>6585</v>
      </c>
      <c r="B3406" s="1" t="s">
        <v>4946</v>
      </c>
      <c r="C3406" s="1" t="s">
        <v>6586</v>
      </c>
      <c r="D3406" s="2">
        <v>46193</v>
      </c>
      <c r="E3406" s="2">
        <v>46201</v>
      </c>
      <c r="F3406" s="1" t="s">
        <v>120</v>
      </c>
      <c r="G3406" s="1" t="s">
        <v>12</v>
      </c>
      <c r="H3406" s="1" t="s">
        <v>11</v>
      </c>
      <c r="I3406" s="7">
        <v>240.34</v>
      </c>
      <c r="J3406" s="1" t="s">
        <v>38</v>
      </c>
      <c r="K3406" s="1"/>
      <c r="L3406" s="1" t="s">
        <v>39</v>
      </c>
      <c r="M3406" s="1" t="str">
        <f>INDEX(MCC_Lookup!$B$2:$B$12,MATCH(G3406,MCC_Lookup!$A$2:$A$12,0))</f>
        <v>Office Supplies</v>
      </c>
      <c r="N3406" s="1" t="str">
        <f>IF(TRIM(H3406)="","BLANK",IF(PROPER(TRIM(H3406))=TRIM(M3406),"MATCH","MISMATCH"))</f>
        <v>MATCH</v>
      </c>
      <c r="O3406" s="5" t="str">
        <f>INDEX([1]Employee!$C$2:$C$276,MATCH(B3406,[1]Employee!$A$2:$A$276,0))</f>
        <v>Customer Support</v>
      </c>
    </row>
    <row r="3407" spans="1:15">
      <c r="A3407" s="1" t="s">
        <v>6587</v>
      </c>
      <c r="B3407" s="1" t="s">
        <v>475</v>
      </c>
      <c r="C3407" s="1"/>
      <c r="D3407" s="2">
        <v>46105</v>
      </c>
      <c r="E3407" s="2">
        <v>46201</v>
      </c>
      <c r="F3407" s="1" t="s">
        <v>106</v>
      </c>
      <c r="G3407" s="1" t="s">
        <v>13</v>
      </c>
      <c r="H3407" s="1" t="s">
        <v>14</v>
      </c>
      <c r="I3407" s="7">
        <v>240.64</v>
      </c>
      <c r="J3407" s="1" t="s">
        <v>38</v>
      </c>
      <c r="K3407" s="1"/>
      <c r="L3407" s="1" t="s">
        <v>39</v>
      </c>
      <c r="M3407" s="1" t="str">
        <f>INDEX(MCC_Lookup!$B$2:$B$12,MATCH(G3407,MCC_Lookup!$A$2:$A$12,0))</f>
        <v>Software</v>
      </c>
      <c r="N3407" s="1" t="str">
        <f>IF(TRIM(H3407)="","BLANK",IF(PROPER(TRIM(H3407))=TRIM(M3407),"MATCH","MISMATCH"))</f>
        <v>MATCH</v>
      </c>
      <c r="O3407" s="5" t="str">
        <f>INDEX([1]Employee!$C$2:$C$276,MATCH(B3407,[1]Employee!$A$2:$A$276,0))</f>
        <v>Sales &amp; Marketing</v>
      </c>
    </row>
    <row r="3408" spans="1:15">
      <c r="A3408" s="1" t="s">
        <v>6588</v>
      </c>
      <c r="B3408" s="1" t="s">
        <v>379</v>
      </c>
      <c r="C3408" s="1" t="s">
        <v>6589</v>
      </c>
      <c r="D3408" s="2">
        <v>46085</v>
      </c>
      <c r="E3408" s="2">
        <v>46201</v>
      </c>
      <c r="F3408" s="1" t="s">
        <v>109</v>
      </c>
      <c r="G3408" s="1" t="s">
        <v>18</v>
      </c>
      <c r="H3408" s="1" t="s">
        <v>19</v>
      </c>
      <c r="I3408" s="7">
        <v>235.12</v>
      </c>
      <c r="J3408" s="1" t="s">
        <v>38</v>
      </c>
      <c r="K3408" s="1"/>
      <c r="L3408" s="1" t="s">
        <v>39</v>
      </c>
      <c r="M3408" s="1" t="str">
        <f>INDEX(MCC_Lookup!$B$2:$B$12,MATCH(G3408,MCC_Lookup!$A$2:$A$12,0))</f>
        <v>Events</v>
      </c>
      <c r="N3408" s="1" t="str">
        <f>IF(TRIM(H3408)="","BLANK",IF(PROPER(TRIM(H3408))=TRIM(M3408),"MATCH","MISMATCH"))</f>
        <v>MATCH</v>
      </c>
      <c r="O3408" s="5" t="str">
        <f>INDEX([1]Employee!$C$2:$C$276,MATCH(B3408,[1]Employee!$A$2:$A$276,0))</f>
        <v>Sales &amp; Marketing</v>
      </c>
    </row>
    <row r="3409" spans="1:15">
      <c r="A3409" s="1" t="s">
        <v>6590</v>
      </c>
      <c r="B3409" s="1" t="s">
        <v>1147</v>
      </c>
      <c r="C3409" s="1" t="s">
        <v>6591</v>
      </c>
      <c r="D3409" s="2">
        <v>46023</v>
      </c>
      <c r="E3409" s="2">
        <v>46201</v>
      </c>
      <c r="F3409" s="1" t="s">
        <v>52</v>
      </c>
      <c r="G3409" s="1" t="s">
        <v>15</v>
      </c>
      <c r="H3409" s="1" t="s">
        <v>16</v>
      </c>
      <c r="I3409" s="7">
        <v>20.6</v>
      </c>
      <c r="J3409" s="1" t="s">
        <v>38</v>
      </c>
      <c r="K3409" s="1"/>
      <c r="L3409" s="1" t="s">
        <v>39</v>
      </c>
      <c r="M3409" s="1" t="str">
        <f>INDEX(MCC_Lookup!$B$2:$B$12,MATCH(G3409,MCC_Lookup!$A$2:$A$12,0))</f>
        <v>Entertainment</v>
      </c>
      <c r="N3409" s="1" t="str">
        <f>IF(TRIM(H3409)="","BLANK",IF(PROPER(TRIM(H3409))=TRIM(M3409),"MATCH","MISMATCH"))</f>
        <v>MATCH</v>
      </c>
      <c r="O3409" s="5" t="str">
        <f>INDEX([1]Employee!$C$2:$C$276,MATCH(B3409,[1]Employee!$A$2:$A$276,0))</f>
        <v>Finance</v>
      </c>
    </row>
    <row r="3410" spans="1:15">
      <c r="A3410" s="1" t="s">
        <v>6592</v>
      </c>
      <c r="B3410" s="1" t="s">
        <v>146</v>
      </c>
      <c r="C3410" s="1" t="s">
        <v>6593</v>
      </c>
      <c r="D3410" s="2">
        <v>46114</v>
      </c>
      <c r="E3410" s="2">
        <v>46201</v>
      </c>
      <c r="F3410" s="1" t="s">
        <v>177</v>
      </c>
      <c r="G3410" s="1" t="s">
        <v>13</v>
      </c>
      <c r="H3410" s="1" t="s">
        <v>14</v>
      </c>
      <c r="I3410" s="7">
        <v>56.89</v>
      </c>
      <c r="J3410" s="1" t="s">
        <v>38</v>
      </c>
      <c r="K3410" s="1"/>
      <c r="L3410" s="1" t="s">
        <v>39</v>
      </c>
      <c r="M3410" s="1" t="str">
        <f>INDEX(MCC_Lookup!$B$2:$B$12,MATCH(G3410,MCC_Lookup!$A$2:$A$12,0))</f>
        <v>Software</v>
      </c>
      <c r="N3410" s="1" t="str">
        <f>IF(TRIM(H3410)="","BLANK",IF(PROPER(TRIM(H3410))=TRIM(M3410),"MATCH","MISMATCH"))</f>
        <v>MATCH</v>
      </c>
      <c r="O3410" s="5" t="str">
        <f>INDEX([1]Employee!$C$2:$C$276,MATCH(B3410,[1]Employee!$A$2:$A$276,0))</f>
        <v>HR &amp; Events</v>
      </c>
    </row>
    <row r="3411" spans="1:15">
      <c r="A3411" s="1" t="s">
        <v>6594</v>
      </c>
      <c r="B3411" s="1" t="s">
        <v>399</v>
      </c>
      <c r="C3411" s="1" t="s">
        <v>6595</v>
      </c>
      <c r="D3411" s="2">
        <v>46026</v>
      </c>
      <c r="E3411" s="2">
        <v>46201</v>
      </c>
      <c r="F3411" s="1" t="s">
        <v>173</v>
      </c>
      <c r="G3411" s="1" t="s">
        <v>2</v>
      </c>
      <c r="H3411" s="1" t="s">
        <v>3</v>
      </c>
      <c r="I3411" s="7">
        <v>66.78</v>
      </c>
      <c r="J3411" s="1" t="s">
        <v>38</v>
      </c>
      <c r="K3411" s="1"/>
      <c r="L3411" s="1" t="s">
        <v>39</v>
      </c>
      <c r="M3411" s="1" t="str">
        <f>INDEX(MCC_Lookup!$B$2:$B$12,MATCH(G3411,MCC_Lookup!$A$2:$A$12,0))</f>
        <v>Meals</v>
      </c>
      <c r="N3411" s="1" t="str">
        <f>IF(TRIM(H3411)="","BLANK",IF(PROPER(TRIM(H3411))=TRIM(M3411),"MATCH","MISMATCH"))</f>
        <v>MATCH</v>
      </c>
      <c r="O3411" s="5" t="str">
        <f>INDEX([1]Employee!$C$2:$C$276,MATCH(B3411,[1]Employee!$A$2:$A$276,0))</f>
        <v>IT &amp; Platform Engineering</v>
      </c>
    </row>
    <row r="3412" spans="1:15">
      <c r="A3412" s="1" t="s">
        <v>6596</v>
      </c>
      <c r="B3412" s="1" t="s">
        <v>325</v>
      </c>
      <c r="C3412" s="1" t="s">
        <v>6597</v>
      </c>
      <c r="D3412" s="2">
        <v>46194</v>
      </c>
      <c r="E3412" s="2">
        <v>46201</v>
      </c>
      <c r="F3412" s="1" t="s">
        <v>47</v>
      </c>
      <c r="G3412" s="1" t="s">
        <v>6</v>
      </c>
      <c r="H3412" s="1" t="s">
        <v>228</v>
      </c>
      <c r="I3412" s="7">
        <v>194.95</v>
      </c>
      <c r="J3412" s="1" t="s">
        <v>38</v>
      </c>
      <c r="K3412" s="1"/>
      <c r="L3412" s="1" t="s">
        <v>39</v>
      </c>
      <c r="M3412" s="1" t="str">
        <f>INDEX(MCC_Lookup!$B$2:$B$12,MATCH(G3412,MCC_Lookup!$A$2:$A$12,0))</f>
        <v>Lodging</v>
      </c>
      <c r="N3412" s="1" t="str">
        <f>IF(TRIM(H3412)="","BLANK",IF(PROPER(TRIM(H3412))=TRIM(M3412),"MATCH","MISMATCH"))</f>
        <v>MATCH</v>
      </c>
      <c r="O3412" s="5" t="str">
        <f>INDEX([1]Employee!$C$2:$C$276,MATCH(B3412,[1]Employee!$A$2:$A$276,0))</f>
        <v>Sales &amp; Marketing</v>
      </c>
    </row>
    <row r="3413" spans="1:15">
      <c r="A3413" s="1" t="s">
        <v>6598</v>
      </c>
      <c r="B3413" s="1" t="s">
        <v>1252</v>
      </c>
      <c r="C3413" s="1" t="s">
        <v>6599</v>
      </c>
      <c r="D3413" s="2">
        <v>46191</v>
      </c>
      <c r="E3413" s="2">
        <v>46201</v>
      </c>
      <c r="F3413" s="1" t="s">
        <v>95</v>
      </c>
      <c r="G3413" s="1" t="s">
        <v>6</v>
      </c>
      <c r="H3413" s="1" t="s">
        <v>7</v>
      </c>
      <c r="I3413" s="7">
        <v>283.17</v>
      </c>
      <c r="J3413" s="1" t="s">
        <v>38</v>
      </c>
      <c r="K3413" s="1"/>
      <c r="L3413" s="1" t="s">
        <v>39</v>
      </c>
      <c r="M3413" s="1" t="str">
        <f>INDEX(MCC_Lookup!$B$2:$B$12,MATCH(G3413,MCC_Lookup!$A$2:$A$12,0))</f>
        <v>Lodging</v>
      </c>
      <c r="N3413" s="1" t="str">
        <f>IF(TRIM(H3413)="","BLANK",IF(PROPER(TRIM(H3413))=TRIM(M3413),"MATCH","MISMATCH"))</f>
        <v>MATCH</v>
      </c>
      <c r="O3413" s="5" t="str">
        <f>INDEX([1]Employee!$C$2:$C$276,MATCH(B3413,[1]Employee!$A$2:$A$276,0))</f>
        <v>Underwriting</v>
      </c>
    </row>
    <row r="3414" spans="1:15">
      <c r="A3414" s="1" t="s">
        <v>6600</v>
      </c>
      <c r="B3414" s="1" t="s">
        <v>836</v>
      </c>
      <c r="C3414" s="1"/>
      <c r="D3414" s="2">
        <v>46145</v>
      </c>
      <c r="E3414" s="2">
        <v>46201</v>
      </c>
      <c r="F3414" s="1" t="s">
        <v>76</v>
      </c>
      <c r="G3414" s="1" t="s">
        <v>13</v>
      </c>
      <c r="H3414" s="1" t="s">
        <v>14</v>
      </c>
      <c r="I3414" s="7">
        <v>295.85000000000002</v>
      </c>
      <c r="J3414" s="1" t="s">
        <v>111</v>
      </c>
      <c r="K3414" s="1" t="s">
        <v>229</v>
      </c>
      <c r="L3414" s="1" t="s">
        <v>39</v>
      </c>
      <c r="M3414" s="1" t="str">
        <f>INDEX(MCC_Lookup!$B$2:$B$12,MATCH(G3414,MCC_Lookup!$A$2:$A$12,0))</f>
        <v>Software</v>
      </c>
      <c r="N3414" s="1" t="str">
        <f>IF(TRIM(H3414)="","BLANK",IF(PROPER(TRIM(H3414))=TRIM(M3414),"MATCH","MISMATCH"))</f>
        <v>MATCH</v>
      </c>
      <c r="O3414" s="5" t="str">
        <f>INDEX([1]Employee!$C$2:$C$276,MATCH(B3414,[1]Employee!$A$2:$A$276,0))</f>
        <v>Sales &amp; Marketing</v>
      </c>
    </row>
    <row r="3415" spans="1:15">
      <c r="A3415" s="1" t="s">
        <v>6601</v>
      </c>
      <c r="B3415" s="1" t="s">
        <v>3348</v>
      </c>
      <c r="C3415" s="1" t="s">
        <v>6602</v>
      </c>
      <c r="D3415" s="2">
        <v>46200</v>
      </c>
      <c r="E3415" s="2">
        <v>46201</v>
      </c>
      <c r="F3415" s="1" t="s">
        <v>69</v>
      </c>
      <c r="G3415" s="1" t="s">
        <v>8</v>
      </c>
      <c r="H3415" s="1" t="s">
        <v>494</v>
      </c>
      <c r="I3415" s="7">
        <v>14.38</v>
      </c>
      <c r="J3415" s="1" t="s">
        <v>38</v>
      </c>
      <c r="K3415" s="1"/>
      <c r="L3415" s="1" t="s">
        <v>39</v>
      </c>
      <c r="M3415" s="1" t="str">
        <f>INDEX(MCC_Lookup!$B$2:$B$12,MATCH(G3415,MCC_Lookup!$A$2:$A$12,0))</f>
        <v>Transportation</v>
      </c>
      <c r="N3415" s="1" t="str">
        <f>IF(TRIM(H3415)="","BLANK",IF(PROPER(TRIM(H3415))=TRIM(M3415),"MATCH","MISMATCH"))</f>
        <v>MATCH</v>
      </c>
      <c r="O3415" s="5" t="str">
        <f>INDEX([1]Employee!$C$2:$C$276,MATCH(B3415,[1]Employee!$A$2:$A$276,0))</f>
        <v>Underwriting</v>
      </c>
    </row>
    <row r="3416" spans="1:15">
      <c r="A3416" s="1" t="s">
        <v>6603</v>
      </c>
      <c r="B3416" s="1" t="s">
        <v>550</v>
      </c>
      <c r="C3416" s="1" t="s">
        <v>6604</v>
      </c>
      <c r="D3416" s="2">
        <v>46181</v>
      </c>
      <c r="E3416" s="2">
        <v>46201</v>
      </c>
      <c r="F3416" s="1" t="s">
        <v>83</v>
      </c>
      <c r="G3416" s="1" t="s">
        <v>2</v>
      </c>
      <c r="H3416" s="1" t="s">
        <v>3</v>
      </c>
      <c r="I3416" s="7">
        <v>28.33</v>
      </c>
      <c r="J3416" s="1" t="s">
        <v>38</v>
      </c>
      <c r="K3416" s="1"/>
      <c r="L3416" s="1" t="s">
        <v>39</v>
      </c>
      <c r="M3416" s="1" t="str">
        <f>INDEX(MCC_Lookup!$B$2:$B$12,MATCH(G3416,MCC_Lookup!$A$2:$A$12,0))</f>
        <v>Meals</v>
      </c>
      <c r="N3416" s="1" t="str">
        <f>IF(TRIM(H3416)="","BLANK",IF(PROPER(TRIM(H3416))=TRIM(M3416),"MATCH","MISMATCH"))</f>
        <v>MATCH</v>
      </c>
      <c r="O3416" s="5" t="str">
        <f>INDEX([1]Employee!$C$2:$C$276,MATCH(B3416,[1]Employee!$A$2:$A$276,0))</f>
        <v>Sales &amp; Marketing</v>
      </c>
    </row>
    <row r="3417" spans="1:15">
      <c r="A3417" s="1" t="s">
        <v>6605</v>
      </c>
      <c r="B3417" s="1" t="s">
        <v>382</v>
      </c>
      <c r="C3417" s="1"/>
      <c r="D3417" s="2">
        <v>46141</v>
      </c>
      <c r="E3417" s="2">
        <v>46201</v>
      </c>
      <c r="F3417" s="1" t="s">
        <v>56</v>
      </c>
      <c r="G3417" s="1" t="s">
        <v>4</v>
      </c>
      <c r="H3417" s="1"/>
      <c r="I3417" s="7">
        <v>641.35</v>
      </c>
      <c r="J3417" s="1" t="s">
        <v>38</v>
      </c>
      <c r="K3417" s="1"/>
      <c r="L3417" s="1" t="s">
        <v>39</v>
      </c>
      <c r="M3417" s="1" t="str">
        <f>INDEX(MCC_Lookup!$B$2:$B$12,MATCH(G3417,MCC_Lookup!$A$2:$A$12,0))</f>
        <v>Travel</v>
      </c>
      <c r="N3417" s="1" t="str">
        <f>IF(TRIM(H3417)="","BLANK",IF(PROPER(TRIM(H3417))=TRIM(M3417),"MATCH","MISMATCH"))</f>
        <v>BLANK</v>
      </c>
      <c r="O3417" s="5" t="str">
        <f>INDEX([1]Employee!$C$2:$C$276,MATCH(B3417,[1]Employee!$A$2:$A$276,0))</f>
        <v>Sales &amp; Marketing</v>
      </c>
    </row>
    <row r="3418" spans="1:15">
      <c r="A3418" s="1" t="s">
        <v>6606</v>
      </c>
      <c r="B3418" s="1" t="s">
        <v>461</v>
      </c>
      <c r="C3418" s="1" t="s">
        <v>6607</v>
      </c>
      <c r="D3418" s="2">
        <v>46152</v>
      </c>
      <c r="E3418" s="2">
        <v>46201</v>
      </c>
      <c r="F3418" s="1" t="s">
        <v>124</v>
      </c>
      <c r="G3418" s="1" t="s">
        <v>17</v>
      </c>
      <c r="H3418" s="1" t="s">
        <v>16</v>
      </c>
      <c r="I3418" s="7">
        <v>107.58</v>
      </c>
      <c r="J3418" s="1" t="s">
        <v>38</v>
      </c>
      <c r="K3418" s="1"/>
      <c r="L3418" s="1" t="s">
        <v>39</v>
      </c>
      <c r="M3418" s="1" t="str">
        <f>INDEX(MCC_Lookup!$B$2:$B$12,MATCH(G3418,MCC_Lookup!$A$2:$A$12,0))</f>
        <v>Entertainment</v>
      </c>
      <c r="N3418" s="1" t="str">
        <f>IF(TRIM(H3418)="","BLANK",IF(PROPER(TRIM(H3418))=TRIM(M3418),"MATCH","MISMATCH"))</f>
        <v>MATCH</v>
      </c>
      <c r="O3418" s="5" t="str">
        <f>INDEX([1]Employee!$C$2:$C$276,MATCH(B3418,[1]Employee!$A$2:$A$276,0))</f>
        <v>Finance</v>
      </c>
    </row>
    <row r="3419" spans="1:15">
      <c r="A3419" s="1" t="s">
        <v>6608</v>
      </c>
      <c r="B3419" s="1" t="s">
        <v>1110</v>
      </c>
      <c r="C3419" s="1"/>
      <c r="D3419" s="2">
        <v>46104</v>
      </c>
      <c r="E3419" s="2">
        <v>46201</v>
      </c>
      <c r="F3419" s="1" t="s">
        <v>47</v>
      </c>
      <c r="G3419" s="1" t="s">
        <v>6</v>
      </c>
      <c r="H3419" s="1" t="s">
        <v>7</v>
      </c>
      <c r="I3419" s="7">
        <v>180.18</v>
      </c>
      <c r="J3419" s="1" t="s">
        <v>38</v>
      </c>
      <c r="K3419" s="1"/>
      <c r="L3419" s="1" t="s">
        <v>39</v>
      </c>
      <c r="M3419" s="1" t="str">
        <f>INDEX(MCC_Lookup!$B$2:$B$12,MATCH(G3419,MCC_Lookup!$A$2:$A$12,0))</f>
        <v>Lodging</v>
      </c>
      <c r="N3419" s="1" t="str">
        <f>IF(TRIM(H3419)="","BLANK",IF(PROPER(TRIM(H3419))=TRIM(M3419),"MATCH","MISMATCH"))</f>
        <v>MATCH</v>
      </c>
      <c r="O3419" s="5" t="str">
        <f>INDEX([1]Employee!$C$2:$C$276,MATCH(B3419,[1]Employee!$A$2:$A$276,0))</f>
        <v>Executive &amp; Corporate</v>
      </c>
    </row>
    <row r="3420" spans="1:15">
      <c r="A3420" s="1" t="s">
        <v>6609</v>
      </c>
      <c r="B3420" s="1" t="s">
        <v>1110</v>
      </c>
      <c r="C3420" s="1" t="s">
        <v>6610</v>
      </c>
      <c r="D3420" s="2">
        <v>46055</v>
      </c>
      <c r="E3420" s="2">
        <v>46201</v>
      </c>
      <c r="F3420" s="1" t="s">
        <v>116</v>
      </c>
      <c r="G3420" s="1" t="s">
        <v>2</v>
      </c>
      <c r="H3420" s="1" t="s">
        <v>154</v>
      </c>
      <c r="I3420" s="7">
        <v>16.260000000000002</v>
      </c>
      <c r="J3420" s="1" t="s">
        <v>38</v>
      </c>
      <c r="K3420" s="1"/>
      <c r="L3420" s="1" t="s">
        <v>39</v>
      </c>
      <c r="M3420" s="1" t="str">
        <f>INDEX(MCC_Lookup!$B$2:$B$12,MATCH(G3420,MCC_Lookup!$A$2:$A$12,0))</f>
        <v>Meals</v>
      </c>
      <c r="N3420" s="1" t="str">
        <f>IF(TRIM(H3420)="","BLANK",IF(PROPER(TRIM(H3420))=TRIM(M3420),"MATCH","MISMATCH"))</f>
        <v>MATCH</v>
      </c>
      <c r="O3420" s="5" t="str">
        <f>INDEX([1]Employee!$C$2:$C$276,MATCH(B3420,[1]Employee!$A$2:$A$276,0))</f>
        <v>Executive &amp; Corporate</v>
      </c>
    </row>
    <row r="3421" spans="1:15">
      <c r="A3421" s="1" t="s">
        <v>6611</v>
      </c>
      <c r="B3421" s="1" t="s">
        <v>623</v>
      </c>
      <c r="C3421" s="1" t="s">
        <v>6612</v>
      </c>
      <c r="D3421" s="2">
        <v>46201</v>
      </c>
      <c r="E3421" s="2">
        <v>46201</v>
      </c>
      <c r="F3421" s="1" t="s">
        <v>259</v>
      </c>
      <c r="G3421" s="1" t="s">
        <v>20</v>
      </c>
      <c r="H3421" s="1" t="s">
        <v>19</v>
      </c>
      <c r="I3421" s="7">
        <v>398.93</v>
      </c>
      <c r="J3421" s="1" t="s">
        <v>38</v>
      </c>
      <c r="K3421" s="1"/>
      <c r="L3421" s="1" t="s">
        <v>39</v>
      </c>
      <c r="M3421" s="1" t="str">
        <f>INDEX(MCC_Lookup!$B$2:$B$12,MATCH(G3421,MCC_Lookup!$A$2:$A$12,0))</f>
        <v>Events</v>
      </c>
      <c r="N3421" s="1" t="str">
        <f>IF(TRIM(H3421)="","BLANK",IF(PROPER(TRIM(H3421))=TRIM(M3421),"MATCH","MISMATCH"))</f>
        <v>MATCH</v>
      </c>
      <c r="O3421" s="5" t="str">
        <f>INDEX([1]Employee!$C$2:$C$276,MATCH(B3421,[1]Employee!$A$2:$A$276,0))</f>
        <v>Underwriting</v>
      </c>
    </row>
    <row r="3422" spans="1:15">
      <c r="A3422" s="1" t="s">
        <v>6613</v>
      </c>
      <c r="B3422" s="1" t="s">
        <v>947</v>
      </c>
      <c r="C3422" s="1" t="s">
        <v>6614</v>
      </c>
      <c r="D3422" s="2">
        <v>46201</v>
      </c>
      <c r="E3422" s="2">
        <v>46201</v>
      </c>
      <c r="F3422" s="1" t="s">
        <v>43</v>
      </c>
      <c r="G3422" s="1" t="s">
        <v>2</v>
      </c>
      <c r="H3422" s="1" t="s">
        <v>3</v>
      </c>
      <c r="I3422" s="7">
        <v>7.93</v>
      </c>
      <c r="J3422" s="1" t="s">
        <v>38</v>
      </c>
      <c r="K3422" s="1"/>
      <c r="L3422" s="1" t="s">
        <v>39</v>
      </c>
      <c r="M3422" s="1" t="str">
        <f>INDEX(MCC_Lookup!$B$2:$B$12,MATCH(G3422,MCC_Lookup!$A$2:$A$12,0))</f>
        <v>Meals</v>
      </c>
      <c r="N3422" s="1" t="str">
        <f>IF(TRIM(H3422)="","BLANK",IF(PROPER(TRIM(H3422))=TRIM(M3422),"MATCH","MISMATCH"))</f>
        <v>MATCH</v>
      </c>
      <c r="O3422" s="5" t="str">
        <f>INDEX([1]Employee!$C$2:$C$276,MATCH(B3422,[1]Employee!$A$2:$A$276,0))</f>
        <v>Sales &amp; Marketing</v>
      </c>
    </row>
    <row r="3423" spans="1:15">
      <c r="A3423" s="1" t="s">
        <v>6615</v>
      </c>
      <c r="B3423" s="1" t="s">
        <v>512</v>
      </c>
      <c r="C3423" s="1" t="s">
        <v>6616</v>
      </c>
      <c r="D3423" s="2">
        <v>46201</v>
      </c>
      <c r="E3423" s="2">
        <v>46201</v>
      </c>
      <c r="F3423" s="1" t="s">
        <v>305</v>
      </c>
      <c r="G3423" s="1" t="s">
        <v>2</v>
      </c>
      <c r="H3423" s="1" t="s">
        <v>154</v>
      </c>
      <c r="I3423" s="7">
        <v>12.32</v>
      </c>
      <c r="J3423" s="1" t="s">
        <v>38</v>
      </c>
      <c r="K3423" s="1"/>
      <c r="L3423" s="1" t="s">
        <v>39</v>
      </c>
      <c r="M3423" s="1" t="str">
        <f>INDEX(MCC_Lookup!$B$2:$B$12,MATCH(G3423,MCC_Lookup!$A$2:$A$12,0))</f>
        <v>Meals</v>
      </c>
      <c r="N3423" s="1" t="str">
        <f>IF(TRIM(H3423)="","BLANK",IF(PROPER(TRIM(H3423))=TRIM(M3423),"MATCH","MISMATCH"))</f>
        <v>MATCH</v>
      </c>
      <c r="O3423" s="5" t="str">
        <f>INDEX([1]Employee!$C$2:$C$276,MATCH(B3423,[1]Employee!$A$2:$A$276,0))</f>
        <v>Sales &amp; Marketing</v>
      </c>
    </row>
    <row r="3424" spans="1:15">
      <c r="A3424" s="1" t="s">
        <v>6617</v>
      </c>
      <c r="B3424" s="1" t="s">
        <v>512</v>
      </c>
      <c r="C3424" s="1" t="s">
        <v>6618</v>
      </c>
      <c r="D3424" s="2">
        <v>46195</v>
      </c>
      <c r="E3424" s="2">
        <v>46201</v>
      </c>
      <c r="F3424" s="1" t="s">
        <v>37</v>
      </c>
      <c r="G3424" s="1" t="s">
        <v>4</v>
      </c>
      <c r="H3424" s="1" t="s">
        <v>5</v>
      </c>
      <c r="I3424" s="7">
        <v>153.63</v>
      </c>
      <c r="J3424" s="1" t="s">
        <v>38</v>
      </c>
      <c r="K3424" s="1"/>
      <c r="L3424" s="1" t="s">
        <v>39</v>
      </c>
      <c r="M3424" s="1" t="str">
        <f>INDEX(MCC_Lookup!$B$2:$B$12,MATCH(G3424,MCC_Lookup!$A$2:$A$12,0))</f>
        <v>Travel</v>
      </c>
      <c r="N3424" s="1" t="str">
        <f>IF(TRIM(H3424)="","BLANK",IF(PROPER(TRIM(H3424))=TRIM(M3424),"MATCH","MISMATCH"))</f>
        <v>MATCH</v>
      </c>
      <c r="O3424" s="5" t="str">
        <f>INDEX([1]Employee!$C$2:$C$276,MATCH(B3424,[1]Employee!$A$2:$A$276,0))</f>
        <v>Sales &amp; Marketing</v>
      </c>
    </row>
    <row r="3425" spans="1:15">
      <c r="A3425" s="1" t="s">
        <v>6619</v>
      </c>
      <c r="B3425" s="1" t="s">
        <v>314</v>
      </c>
      <c r="C3425" s="1" t="s">
        <v>6620</v>
      </c>
      <c r="D3425" s="2">
        <v>46150</v>
      </c>
      <c r="E3425" s="2">
        <v>46201</v>
      </c>
      <c r="F3425" s="1" t="s">
        <v>43</v>
      </c>
      <c r="G3425" s="1" t="s">
        <v>2</v>
      </c>
      <c r="H3425" s="1" t="s">
        <v>794</v>
      </c>
      <c r="I3425" s="7">
        <v>16.97</v>
      </c>
      <c r="J3425" s="1" t="s">
        <v>38</v>
      </c>
      <c r="K3425" s="1"/>
      <c r="L3425" s="1" t="s">
        <v>39</v>
      </c>
      <c r="M3425" s="1" t="str">
        <f>INDEX(MCC_Lookup!$B$2:$B$12,MATCH(G3425,MCC_Lookup!$A$2:$A$12,0))</f>
        <v>Meals</v>
      </c>
      <c r="N3425" s="1" t="str">
        <f>IF(TRIM(H3425)="","BLANK",IF(PROPER(TRIM(H3425))=TRIM(M3425),"MATCH","MISMATCH"))</f>
        <v>MATCH</v>
      </c>
      <c r="O3425" s="5" t="str">
        <f>INDEX([1]Employee!$C$2:$C$276,MATCH(B3425,[1]Employee!$A$2:$A$276,0))</f>
        <v>Sales &amp; Marketing</v>
      </c>
    </row>
    <row r="3426" spans="1:15">
      <c r="A3426" s="1" t="s">
        <v>6621</v>
      </c>
      <c r="B3426" s="1" t="s">
        <v>648</v>
      </c>
      <c r="C3426" s="1" t="s">
        <v>6622</v>
      </c>
      <c r="D3426" s="2">
        <v>46197</v>
      </c>
      <c r="E3426" s="2">
        <v>46201</v>
      </c>
      <c r="F3426" s="1" t="s">
        <v>47</v>
      </c>
      <c r="G3426" s="1" t="s">
        <v>6</v>
      </c>
      <c r="H3426" s="1" t="s">
        <v>7</v>
      </c>
      <c r="I3426" s="7">
        <v>416.57</v>
      </c>
      <c r="J3426" s="1" t="s">
        <v>38</v>
      </c>
      <c r="K3426" s="1"/>
      <c r="L3426" s="1" t="s">
        <v>39</v>
      </c>
      <c r="M3426" s="1" t="str">
        <f>INDEX(MCC_Lookup!$B$2:$B$12,MATCH(G3426,MCC_Lookup!$A$2:$A$12,0))</f>
        <v>Lodging</v>
      </c>
      <c r="N3426" s="1" t="str">
        <f>IF(TRIM(H3426)="","BLANK",IF(PROPER(TRIM(H3426))=TRIM(M3426),"MATCH","MISMATCH"))</f>
        <v>MATCH</v>
      </c>
      <c r="O3426" s="5" t="str">
        <f>INDEX([1]Employee!$C$2:$C$276,MATCH(B3426,[1]Employee!$A$2:$A$276,0))</f>
        <v>Sales &amp; Marketing</v>
      </c>
    </row>
    <row r="3427" spans="1:15">
      <c r="A3427" s="1" t="s">
        <v>6623</v>
      </c>
      <c r="B3427" s="1" t="s">
        <v>3047</v>
      </c>
      <c r="C3427" s="1" t="s">
        <v>6624</v>
      </c>
      <c r="D3427" s="2">
        <v>46197</v>
      </c>
      <c r="E3427" s="2">
        <v>46201</v>
      </c>
      <c r="F3427" s="1" t="s">
        <v>242</v>
      </c>
      <c r="G3427" s="1" t="s">
        <v>13</v>
      </c>
      <c r="H3427" s="1" t="s">
        <v>16</v>
      </c>
      <c r="I3427" s="7">
        <v>36.51</v>
      </c>
      <c r="J3427" s="1" t="s">
        <v>38</v>
      </c>
      <c r="K3427" s="1"/>
      <c r="L3427" s="1" t="s">
        <v>39</v>
      </c>
      <c r="M3427" s="1" t="str">
        <f>INDEX(MCC_Lookup!$B$2:$B$12,MATCH(G3427,MCC_Lookup!$A$2:$A$12,0))</f>
        <v>Software</v>
      </c>
      <c r="N3427" s="1" t="str">
        <f>IF(TRIM(H3427)="","BLANK",IF(PROPER(TRIM(H3427))=TRIM(M3427),"MATCH","MISMATCH"))</f>
        <v>MISMATCH</v>
      </c>
      <c r="O3427" s="5" t="str">
        <f>INDEX([1]Employee!$C$2:$C$276,MATCH(B3427,[1]Employee!$A$2:$A$276,0))</f>
        <v>Finance</v>
      </c>
    </row>
    <row r="3428" spans="1:15">
      <c r="A3428" s="1" t="s">
        <v>6625</v>
      </c>
      <c r="B3428" s="1" t="s">
        <v>303</v>
      </c>
      <c r="C3428" s="1" t="s">
        <v>6626</v>
      </c>
      <c r="D3428" s="2">
        <v>46196</v>
      </c>
      <c r="E3428" s="2">
        <v>46201</v>
      </c>
      <c r="F3428" s="1" t="s">
        <v>72</v>
      </c>
      <c r="G3428" s="1" t="s">
        <v>8</v>
      </c>
      <c r="H3428" s="1"/>
      <c r="I3428" s="7">
        <v>41.26</v>
      </c>
      <c r="J3428" s="1" t="s">
        <v>38</v>
      </c>
      <c r="K3428" s="1"/>
      <c r="L3428" s="1" t="s">
        <v>39</v>
      </c>
      <c r="M3428" s="1" t="str">
        <f>INDEX(MCC_Lookup!$B$2:$B$12,MATCH(G3428,MCC_Lookup!$A$2:$A$12,0))</f>
        <v>Transportation</v>
      </c>
      <c r="N3428" s="1" t="str">
        <f>IF(TRIM(H3428)="","BLANK",IF(PROPER(TRIM(H3428))=TRIM(M3428),"MATCH","MISMATCH"))</f>
        <v>BLANK</v>
      </c>
      <c r="O3428" s="5" t="str">
        <f>INDEX([1]Employee!$C$2:$C$276,MATCH(B3428,[1]Employee!$A$2:$A$276,0))</f>
        <v>Sales &amp; Marketing</v>
      </c>
    </row>
    <row r="3429" spans="1:15">
      <c r="A3429" s="1" t="s">
        <v>6627</v>
      </c>
      <c r="B3429" s="1" t="s">
        <v>3233</v>
      </c>
      <c r="C3429" s="1" t="s">
        <v>6628</v>
      </c>
      <c r="D3429" s="2">
        <v>46197</v>
      </c>
      <c r="E3429" s="2">
        <v>46201</v>
      </c>
      <c r="F3429" s="1" t="s">
        <v>92</v>
      </c>
      <c r="G3429" s="1" t="s">
        <v>10</v>
      </c>
      <c r="H3429" s="1" t="s">
        <v>11</v>
      </c>
      <c r="I3429" s="7">
        <v>144.55000000000001</v>
      </c>
      <c r="J3429" s="1" t="s">
        <v>38</v>
      </c>
      <c r="K3429" s="1"/>
      <c r="L3429" s="1" t="s">
        <v>48</v>
      </c>
      <c r="M3429" s="1" t="str">
        <f>INDEX(MCC_Lookup!$B$2:$B$12,MATCH(G3429,MCC_Lookup!$A$2:$A$12,0))</f>
        <v>Office Supplies</v>
      </c>
      <c r="N3429" s="1" t="str">
        <f>IF(TRIM(H3429)="","BLANK",IF(PROPER(TRIM(H3429))=TRIM(M3429),"MATCH","MISMATCH"))</f>
        <v>MATCH</v>
      </c>
      <c r="O3429" s="5" t="str">
        <f>INDEX([1]Employee!$C$2:$C$276,MATCH(B3429,[1]Employee!$A$2:$A$276,0))</f>
        <v>Underwriting</v>
      </c>
    </row>
    <row r="3430" spans="1:15">
      <c r="A3430" s="1" t="s">
        <v>6629</v>
      </c>
      <c r="B3430" s="1" t="s">
        <v>593</v>
      </c>
      <c r="C3430" s="1" t="s">
        <v>6630</v>
      </c>
      <c r="D3430" s="2">
        <v>46050</v>
      </c>
      <c r="E3430" s="2">
        <v>46201</v>
      </c>
      <c r="F3430" s="1" t="s">
        <v>47</v>
      </c>
      <c r="G3430" s="1" t="s">
        <v>6</v>
      </c>
      <c r="H3430" s="1" t="s">
        <v>7</v>
      </c>
      <c r="I3430" s="7">
        <v>364.49</v>
      </c>
      <c r="J3430" s="1" t="s">
        <v>38</v>
      </c>
      <c r="K3430" s="1"/>
      <c r="L3430" s="1" t="s">
        <v>39</v>
      </c>
      <c r="M3430" s="1" t="str">
        <f>INDEX(MCC_Lookup!$B$2:$B$12,MATCH(G3430,MCC_Lookup!$A$2:$A$12,0))</f>
        <v>Lodging</v>
      </c>
      <c r="N3430" s="1" t="str">
        <f>IF(TRIM(H3430)="","BLANK",IF(PROPER(TRIM(H3430))=TRIM(M3430),"MATCH","MISMATCH"))</f>
        <v>MATCH</v>
      </c>
      <c r="O3430" s="5" t="str">
        <f>INDEX([1]Employee!$C$2:$C$276,MATCH(B3430,[1]Employee!$A$2:$A$276,0))</f>
        <v>Sales &amp; Marketing</v>
      </c>
    </row>
    <row r="3431" spans="1:15">
      <c r="A3431" s="1" t="s">
        <v>6631</v>
      </c>
      <c r="B3431" s="1" t="s">
        <v>2333</v>
      </c>
      <c r="C3431" s="1"/>
      <c r="D3431" s="2">
        <v>46156</v>
      </c>
      <c r="E3431" s="2">
        <v>46201</v>
      </c>
      <c r="F3431" s="1" t="s">
        <v>160</v>
      </c>
      <c r="G3431" s="1" t="s">
        <v>6</v>
      </c>
      <c r="H3431" s="1"/>
      <c r="I3431" s="7">
        <v>332.87</v>
      </c>
      <c r="J3431" s="1" t="s">
        <v>38</v>
      </c>
      <c r="K3431" s="1"/>
      <c r="L3431" s="1" t="s">
        <v>39</v>
      </c>
      <c r="M3431" s="1" t="str">
        <f>INDEX(MCC_Lookup!$B$2:$B$12,MATCH(G3431,MCC_Lookup!$A$2:$A$12,0))</f>
        <v>Lodging</v>
      </c>
      <c r="N3431" s="1" t="str">
        <f>IF(TRIM(H3431)="","BLANK",IF(PROPER(TRIM(H3431))=TRIM(M3431),"MATCH","MISMATCH"))</f>
        <v>BLANK</v>
      </c>
      <c r="O3431" s="5" t="str">
        <f>INDEX([1]Employee!$C$2:$C$276,MATCH(B3431,[1]Employee!$A$2:$A$276,0))</f>
        <v>HR &amp; Events</v>
      </c>
    </row>
    <row r="3432" spans="1:15">
      <c r="A3432" s="1" t="s">
        <v>6632</v>
      </c>
      <c r="B3432" s="1" t="s">
        <v>519</v>
      </c>
      <c r="C3432" s="1" t="s">
        <v>6633</v>
      </c>
      <c r="D3432" s="2">
        <v>46199</v>
      </c>
      <c r="E3432" s="2">
        <v>46201</v>
      </c>
      <c r="F3432" s="1" t="s">
        <v>79</v>
      </c>
      <c r="G3432" s="1" t="s">
        <v>13</v>
      </c>
      <c r="H3432" s="1"/>
      <c r="I3432" s="7">
        <v>180.41</v>
      </c>
      <c r="J3432" s="1" t="s">
        <v>38</v>
      </c>
      <c r="K3432" s="1"/>
      <c r="L3432" s="1" t="s">
        <v>39</v>
      </c>
      <c r="M3432" s="1" t="str">
        <f>INDEX(MCC_Lookup!$B$2:$B$12,MATCH(G3432,MCC_Lookup!$A$2:$A$12,0))</f>
        <v>Software</v>
      </c>
      <c r="N3432" s="1" t="str">
        <f>IF(TRIM(H3432)="","BLANK",IF(PROPER(TRIM(H3432))=TRIM(M3432),"MATCH","MISMATCH"))</f>
        <v>BLANK</v>
      </c>
      <c r="O3432" s="5" t="str">
        <f>INDEX([1]Employee!$C$2:$C$276,MATCH(B3432,[1]Employee!$A$2:$A$276,0))</f>
        <v>Customer Support</v>
      </c>
    </row>
    <row r="3433" spans="1:15">
      <c r="A3433" s="1" t="s">
        <v>6634</v>
      </c>
      <c r="B3433" s="1" t="s">
        <v>1726</v>
      </c>
      <c r="C3433" s="1" t="s">
        <v>6635</v>
      </c>
      <c r="D3433" s="2">
        <v>46192</v>
      </c>
      <c r="E3433" s="2">
        <v>46201</v>
      </c>
      <c r="F3433" s="1" t="s">
        <v>99</v>
      </c>
      <c r="G3433" s="1" t="s">
        <v>2</v>
      </c>
      <c r="H3433" s="1" t="s">
        <v>3</v>
      </c>
      <c r="I3433" s="7">
        <v>105.69</v>
      </c>
      <c r="J3433" s="1" t="s">
        <v>38</v>
      </c>
      <c r="K3433" s="1"/>
      <c r="L3433" s="1" t="s">
        <v>48</v>
      </c>
      <c r="M3433" s="1" t="str">
        <f>INDEX(MCC_Lookup!$B$2:$B$12,MATCH(G3433,MCC_Lookup!$A$2:$A$12,0))</f>
        <v>Meals</v>
      </c>
      <c r="N3433" s="1" t="str">
        <f>IF(TRIM(H3433)="","BLANK",IF(PROPER(TRIM(H3433))=TRIM(M3433),"MATCH","MISMATCH"))</f>
        <v>MATCH</v>
      </c>
      <c r="O3433" s="5" t="str">
        <f>INDEX([1]Employee!$C$2:$C$276,MATCH(B3433,[1]Employee!$A$2:$A$276,0))</f>
        <v>Customer Support</v>
      </c>
    </row>
    <row r="3434" spans="1:15">
      <c r="A3434" s="1" t="s">
        <v>6636</v>
      </c>
      <c r="B3434" s="1" t="s">
        <v>643</v>
      </c>
      <c r="C3434" s="1" t="s">
        <v>6637</v>
      </c>
      <c r="D3434" s="2">
        <v>46169</v>
      </c>
      <c r="E3434" s="2">
        <v>46201</v>
      </c>
      <c r="F3434" s="1" t="s">
        <v>95</v>
      </c>
      <c r="G3434" s="1" t="s">
        <v>6</v>
      </c>
      <c r="H3434" s="1" t="s">
        <v>7</v>
      </c>
      <c r="I3434" s="7">
        <v>227.35</v>
      </c>
      <c r="J3434" s="1" t="s">
        <v>38</v>
      </c>
      <c r="K3434" s="1"/>
      <c r="L3434" s="1" t="s">
        <v>39</v>
      </c>
      <c r="M3434" s="1" t="str">
        <f>INDEX(MCC_Lookup!$B$2:$B$12,MATCH(G3434,MCC_Lookup!$A$2:$A$12,0))</f>
        <v>Lodging</v>
      </c>
      <c r="N3434" s="1" t="str">
        <f>IF(TRIM(H3434)="","BLANK",IF(PROPER(TRIM(H3434))=TRIM(M3434),"MATCH","MISMATCH"))</f>
        <v>MATCH</v>
      </c>
      <c r="O3434" s="5" t="str">
        <f>INDEX([1]Employee!$C$2:$C$276,MATCH(B3434,[1]Employee!$A$2:$A$276,0))</f>
        <v>Sales &amp; Marketing</v>
      </c>
    </row>
    <row r="3435" spans="1:15">
      <c r="A3435" s="1" t="s">
        <v>6638</v>
      </c>
      <c r="B3435" s="1" t="s">
        <v>547</v>
      </c>
      <c r="C3435" s="1" t="s">
        <v>6639</v>
      </c>
      <c r="D3435" s="2">
        <v>46191</v>
      </c>
      <c r="E3435" s="2">
        <v>46201</v>
      </c>
      <c r="F3435" s="1" t="s">
        <v>83</v>
      </c>
      <c r="G3435" s="1" t="s">
        <v>2</v>
      </c>
      <c r="H3435" s="1" t="s">
        <v>3</v>
      </c>
      <c r="I3435" s="7">
        <v>11.77</v>
      </c>
      <c r="J3435" s="1" t="s">
        <v>38</v>
      </c>
      <c r="K3435" s="1"/>
      <c r="L3435" s="1" t="s">
        <v>39</v>
      </c>
      <c r="M3435" s="1" t="str">
        <f>INDEX(MCC_Lookup!$B$2:$B$12,MATCH(G3435,MCC_Lookup!$A$2:$A$12,0))</f>
        <v>Meals</v>
      </c>
      <c r="N3435" s="1" t="str">
        <f>IF(TRIM(H3435)="","BLANK",IF(PROPER(TRIM(H3435))=TRIM(M3435),"MATCH","MISMATCH"))</f>
        <v>MATCH</v>
      </c>
      <c r="O3435" s="5" t="str">
        <f>INDEX([1]Employee!$C$2:$C$276,MATCH(B3435,[1]Employee!$A$2:$A$276,0))</f>
        <v>Sales &amp; Marketing</v>
      </c>
    </row>
    <row r="3436" spans="1:15">
      <c r="A3436" s="1" t="s">
        <v>6640</v>
      </c>
      <c r="B3436" s="1" t="s">
        <v>373</v>
      </c>
      <c r="C3436" s="1" t="s">
        <v>6641</v>
      </c>
      <c r="D3436" s="2">
        <v>46131</v>
      </c>
      <c r="E3436" s="2">
        <v>46201</v>
      </c>
      <c r="F3436" s="1" t="s">
        <v>61</v>
      </c>
      <c r="G3436" s="1" t="s">
        <v>13</v>
      </c>
      <c r="H3436" s="1" t="s">
        <v>14</v>
      </c>
      <c r="I3436" s="7">
        <v>56.48</v>
      </c>
      <c r="J3436" s="1" t="s">
        <v>38</v>
      </c>
      <c r="K3436" s="1"/>
      <c r="L3436" s="1" t="s">
        <v>39</v>
      </c>
      <c r="M3436" s="1" t="str">
        <f>INDEX(MCC_Lookup!$B$2:$B$12,MATCH(G3436,MCC_Lookup!$A$2:$A$12,0))</f>
        <v>Software</v>
      </c>
      <c r="N3436" s="1" t="str">
        <f>IF(TRIM(H3436)="","BLANK",IF(PROPER(TRIM(H3436))=TRIM(M3436),"MATCH","MISMATCH"))</f>
        <v>MATCH</v>
      </c>
      <c r="O3436" s="5" t="str">
        <f>INDEX([1]Employee!$C$2:$C$276,MATCH(B3436,[1]Employee!$A$2:$A$276,0))</f>
        <v>Sales &amp; Marketing</v>
      </c>
    </row>
    <row r="3437" spans="1:15">
      <c r="A3437" s="1" t="s">
        <v>6642</v>
      </c>
      <c r="B3437" s="1" t="s">
        <v>615</v>
      </c>
      <c r="C3437" s="1" t="s">
        <v>6643</v>
      </c>
      <c r="D3437" s="2">
        <v>46192</v>
      </c>
      <c r="E3437" s="2">
        <v>46201</v>
      </c>
      <c r="F3437" s="1" t="s">
        <v>61</v>
      </c>
      <c r="G3437" s="1" t="s">
        <v>13</v>
      </c>
      <c r="H3437" s="1" t="s">
        <v>419</v>
      </c>
      <c r="I3437" s="7">
        <v>77.510000000000005</v>
      </c>
      <c r="J3437" s="1" t="s">
        <v>38</v>
      </c>
      <c r="K3437" s="1"/>
      <c r="L3437" s="1" t="s">
        <v>39</v>
      </c>
      <c r="M3437" s="1" t="str">
        <f>INDEX(MCC_Lookup!$B$2:$B$12,MATCH(G3437,MCC_Lookup!$A$2:$A$12,0))</f>
        <v>Software</v>
      </c>
      <c r="N3437" s="1" t="str">
        <f>IF(TRIM(H3437)="","BLANK",IF(PROPER(TRIM(H3437))=TRIM(M3437),"MATCH","MISMATCH"))</f>
        <v>MATCH</v>
      </c>
      <c r="O3437" s="5" t="str">
        <f>INDEX([1]Employee!$C$2:$C$276,MATCH(B3437,[1]Employee!$A$2:$A$276,0))</f>
        <v>Underwriting</v>
      </c>
    </row>
    <row r="3438" spans="1:15">
      <c r="A3438" s="1" t="s">
        <v>6644</v>
      </c>
      <c r="B3438" s="1" t="s">
        <v>41</v>
      </c>
      <c r="C3438" s="1" t="s">
        <v>6645</v>
      </c>
      <c r="D3438" s="2">
        <v>46059</v>
      </c>
      <c r="E3438" s="2">
        <v>46201</v>
      </c>
      <c r="F3438" s="1" t="s">
        <v>83</v>
      </c>
      <c r="G3438" s="1" t="s">
        <v>2</v>
      </c>
      <c r="H3438" s="1" t="s">
        <v>3</v>
      </c>
      <c r="I3438" s="7">
        <v>15.68</v>
      </c>
      <c r="J3438" s="1" t="s">
        <v>38</v>
      </c>
      <c r="K3438" s="1"/>
      <c r="L3438" s="1" t="s">
        <v>39</v>
      </c>
      <c r="M3438" s="1" t="str">
        <f>INDEX(MCC_Lookup!$B$2:$B$12,MATCH(G3438,MCC_Lookup!$A$2:$A$12,0))</f>
        <v>Meals</v>
      </c>
      <c r="N3438" s="1" t="str">
        <f>IF(TRIM(H3438)="","BLANK",IF(PROPER(TRIM(H3438))=TRIM(M3438),"MATCH","MISMATCH"))</f>
        <v>MATCH</v>
      </c>
      <c r="O3438" s="5" t="str">
        <f>INDEX([1]Employee!$C$2:$C$276,MATCH(B3438,[1]Employee!$A$2:$A$276,0))</f>
        <v>Sales &amp; Marketing</v>
      </c>
    </row>
    <row r="3439" spans="1:15">
      <c r="A3439" s="1" t="s">
        <v>6646</v>
      </c>
      <c r="B3439" s="1" t="s">
        <v>890</v>
      </c>
      <c r="C3439" s="1" t="s">
        <v>6647</v>
      </c>
      <c r="D3439" s="2">
        <v>46201</v>
      </c>
      <c r="E3439" s="2">
        <v>46202</v>
      </c>
      <c r="F3439" s="1" t="s">
        <v>72</v>
      </c>
      <c r="G3439" s="1" t="s">
        <v>8</v>
      </c>
      <c r="H3439" s="1" t="s">
        <v>9</v>
      </c>
      <c r="I3439" s="7">
        <v>59.91</v>
      </c>
      <c r="J3439" s="1" t="s">
        <v>38</v>
      </c>
      <c r="K3439" s="1"/>
      <c r="L3439" s="1" t="s">
        <v>39</v>
      </c>
      <c r="M3439" s="1" t="str">
        <f>INDEX(MCC_Lookup!$B$2:$B$12,MATCH(G3439,MCC_Lookup!$A$2:$A$12,0))</f>
        <v>Transportation</v>
      </c>
      <c r="N3439" s="1" t="str">
        <f>IF(TRIM(H3439)="","BLANK",IF(PROPER(TRIM(H3439))=TRIM(M3439),"MATCH","MISMATCH"))</f>
        <v>MATCH</v>
      </c>
      <c r="O3439" s="5" t="str">
        <f>INDEX([1]Employee!$C$2:$C$276,MATCH(B3439,[1]Employee!$A$2:$A$276,0))</f>
        <v>Sales &amp; Marketing</v>
      </c>
    </row>
    <row r="3440" spans="1:15">
      <c r="A3440" s="1" t="s">
        <v>6648</v>
      </c>
      <c r="B3440" s="1" t="s">
        <v>133</v>
      </c>
      <c r="C3440" s="1" t="s">
        <v>6649</v>
      </c>
      <c r="D3440" s="2">
        <v>46027</v>
      </c>
      <c r="E3440" s="2">
        <v>46202</v>
      </c>
      <c r="F3440" s="1" t="s">
        <v>76</v>
      </c>
      <c r="G3440" s="1" t="s">
        <v>13</v>
      </c>
      <c r="H3440" s="1" t="s">
        <v>14</v>
      </c>
      <c r="I3440" s="7">
        <v>533.62</v>
      </c>
      <c r="J3440" s="1" t="s">
        <v>38</v>
      </c>
      <c r="K3440" s="1"/>
      <c r="L3440" s="1" t="s">
        <v>39</v>
      </c>
      <c r="M3440" s="1" t="str">
        <f>INDEX(MCC_Lookup!$B$2:$B$12,MATCH(G3440,MCC_Lookup!$A$2:$A$12,0))</f>
        <v>Software</v>
      </c>
      <c r="N3440" s="1" t="str">
        <f>IF(TRIM(H3440)="","BLANK",IF(PROPER(TRIM(H3440))=TRIM(M3440),"MATCH","MISMATCH"))</f>
        <v>MATCH</v>
      </c>
      <c r="O3440" s="5" t="str">
        <f>INDEX([1]Employee!$C$2:$C$276,MATCH(B3440,[1]Employee!$A$2:$A$276,0))</f>
        <v>Finance</v>
      </c>
    </row>
    <row r="3441" spans="1:15">
      <c r="A3441" s="1" t="s">
        <v>6650</v>
      </c>
      <c r="B3441" s="1" t="s">
        <v>615</v>
      </c>
      <c r="C3441" s="1" t="s">
        <v>6651</v>
      </c>
      <c r="D3441" s="2">
        <v>46200</v>
      </c>
      <c r="E3441" s="2">
        <v>46202</v>
      </c>
      <c r="F3441" s="1" t="s">
        <v>65</v>
      </c>
      <c r="G3441" s="1" t="s">
        <v>18</v>
      </c>
      <c r="H3441" s="1" t="s">
        <v>19</v>
      </c>
      <c r="I3441" s="7">
        <v>485.38</v>
      </c>
      <c r="J3441" s="1" t="s">
        <v>38</v>
      </c>
      <c r="K3441" s="1"/>
      <c r="L3441" s="1" t="s">
        <v>39</v>
      </c>
      <c r="M3441" s="1" t="str">
        <f>INDEX(MCC_Lookup!$B$2:$B$12,MATCH(G3441,MCC_Lookup!$A$2:$A$12,0))</f>
        <v>Events</v>
      </c>
      <c r="N3441" s="1" t="str">
        <f>IF(TRIM(H3441)="","BLANK",IF(PROPER(TRIM(H3441))=TRIM(M3441),"MATCH","MISMATCH"))</f>
        <v>MATCH</v>
      </c>
      <c r="O3441" s="5" t="str">
        <f>INDEX([1]Employee!$C$2:$C$276,MATCH(B3441,[1]Employee!$A$2:$A$276,0))</f>
        <v>Underwriting</v>
      </c>
    </row>
    <row r="3442" spans="1:15">
      <c r="A3442" s="1" t="s">
        <v>6652</v>
      </c>
      <c r="B3442" s="1" t="s">
        <v>1116</v>
      </c>
      <c r="C3442" s="1" t="s">
        <v>6653</v>
      </c>
      <c r="D3442" s="2">
        <v>46192</v>
      </c>
      <c r="E3442" s="2">
        <v>46202</v>
      </c>
      <c r="F3442" s="1" t="s">
        <v>106</v>
      </c>
      <c r="G3442" s="1" t="s">
        <v>13</v>
      </c>
      <c r="H3442" s="1" t="s">
        <v>14</v>
      </c>
      <c r="I3442" s="7">
        <v>116.81</v>
      </c>
      <c r="J3442" s="1" t="s">
        <v>38</v>
      </c>
      <c r="K3442" s="1"/>
      <c r="L3442" s="1" t="s">
        <v>39</v>
      </c>
      <c r="M3442" s="1" t="str">
        <f>INDEX(MCC_Lookup!$B$2:$B$12,MATCH(G3442,MCC_Lookup!$A$2:$A$12,0))</f>
        <v>Software</v>
      </c>
      <c r="N3442" s="1" t="str">
        <f>IF(TRIM(H3442)="","BLANK",IF(PROPER(TRIM(H3442))=TRIM(M3442),"MATCH","MISMATCH"))</f>
        <v>MATCH</v>
      </c>
      <c r="O3442" s="5" t="str">
        <f>INDEX([1]Employee!$C$2:$C$276,MATCH(B3442,[1]Employee!$A$2:$A$276,0))</f>
        <v>Underwriting</v>
      </c>
    </row>
    <row r="3443" spans="1:15">
      <c r="A3443" s="1" t="s">
        <v>6654</v>
      </c>
      <c r="B3443" s="1" t="s">
        <v>868</v>
      </c>
      <c r="C3443" s="1"/>
      <c r="D3443" s="2">
        <v>46200</v>
      </c>
      <c r="E3443" s="2">
        <v>46202</v>
      </c>
      <c r="F3443" s="1" t="s">
        <v>72</v>
      </c>
      <c r="G3443" s="1" t="s">
        <v>8</v>
      </c>
      <c r="H3443" s="1" t="s">
        <v>9</v>
      </c>
      <c r="I3443" s="7">
        <v>11.07</v>
      </c>
      <c r="J3443" s="1" t="s">
        <v>38</v>
      </c>
      <c r="K3443" s="1"/>
      <c r="L3443" s="1" t="s">
        <v>39</v>
      </c>
      <c r="M3443" s="1" t="str">
        <f>INDEX(MCC_Lookup!$B$2:$B$12,MATCH(G3443,MCC_Lookup!$A$2:$A$12,0))</f>
        <v>Transportation</v>
      </c>
      <c r="N3443" s="1" t="str">
        <f>IF(TRIM(H3443)="","BLANK",IF(PROPER(TRIM(H3443))=TRIM(M3443),"MATCH","MISMATCH"))</f>
        <v>MATCH</v>
      </c>
      <c r="O3443" s="5" t="str">
        <f>INDEX([1]Employee!$C$2:$C$276,MATCH(B3443,[1]Employee!$A$2:$A$276,0))</f>
        <v>Sales &amp; Marketing</v>
      </c>
    </row>
    <row r="3444" spans="1:15">
      <c r="A3444" s="1" t="s">
        <v>6655</v>
      </c>
      <c r="B3444" s="1" t="s">
        <v>947</v>
      </c>
      <c r="C3444" s="1" t="s">
        <v>6656</v>
      </c>
      <c r="D3444" s="2">
        <v>46202</v>
      </c>
      <c r="E3444" s="2">
        <v>46202</v>
      </c>
      <c r="F3444" s="1" t="s">
        <v>72</v>
      </c>
      <c r="G3444" s="1" t="s">
        <v>8</v>
      </c>
      <c r="H3444" s="1" t="s">
        <v>435</v>
      </c>
      <c r="I3444" s="7">
        <v>41.49</v>
      </c>
      <c r="J3444" s="1" t="s">
        <v>38</v>
      </c>
      <c r="K3444" s="1"/>
      <c r="L3444" s="1" t="s">
        <v>39</v>
      </c>
      <c r="M3444" s="1" t="str">
        <f>INDEX(MCC_Lookup!$B$2:$B$12,MATCH(G3444,MCC_Lookup!$A$2:$A$12,0))</f>
        <v>Transportation</v>
      </c>
      <c r="N3444" s="1" t="str">
        <f>IF(TRIM(H3444)="","BLANK",IF(PROPER(TRIM(H3444))=TRIM(M3444),"MATCH","MISMATCH"))</f>
        <v>MATCH</v>
      </c>
      <c r="O3444" s="5" t="str">
        <f>INDEX([1]Employee!$C$2:$C$276,MATCH(B3444,[1]Employee!$A$2:$A$276,0))</f>
        <v>Sales &amp; Marketing</v>
      </c>
    </row>
    <row r="3445" spans="1:15">
      <c r="A3445" s="1" t="s">
        <v>6657</v>
      </c>
      <c r="B3445" s="1" t="s">
        <v>50</v>
      </c>
      <c r="C3445" s="1"/>
      <c r="D3445" s="2">
        <v>46159</v>
      </c>
      <c r="E3445" s="2">
        <v>46202</v>
      </c>
      <c r="F3445" s="1" t="s">
        <v>177</v>
      </c>
      <c r="G3445" s="1" t="s">
        <v>13</v>
      </c>
      <c r="H3445" s="1" t="s">
        <v>14</v>
      </c>
      <c r="I3445" s="7">
        <v>31.95</v>
      </c>
      <c r="J3445" s="1" t="s">
        <v>111</v>
      </c>
      <c r="K3445" s="1" t="s">
        <v>112</v>
      </c>
      <c r="L3445" s="1" t="s">
        <v>39</v>
      </c>
      <c r="M3445" s="1" t="str">
        <f>INDEX(MCC_Lookup!$B$2:$B$12,MATCH(G3445,MCC_Lookup!$A$2:$A$12,0))</f>
        <v>Software</v>
      </c>
      <c r="N3445" s="1" t="str">
        <f>IF(TRIM(H3445)="","BLANK",IF(PROPER(TRIM(H3445))=TRIM(M3445),"MATCH","MISMATCH"))</f>
        <v>MATCH</v>
      </c>
      <c r="O3445" s="5" t="str">
        <f>INDEX([1]Employee!$C$2:$C$276,MATCH(B3445,[1]Employee!$A$2:$A$276,0))</f>
        <v>Sales &amp; Marketing</v>
      </c>
    </row>
    <row r="3446" spans="1:15">
      <c r="A3446" s="1" t="s">
        <v>6658</v>
      </c>
      <c r="B3446" s="1" t="s">
        <v>50</v>
      </c>
      <c r="C3446" s="1" t="s">
        <v>6659</v>
      </c>
      <c r="D3446" s="2">
        <v>46195</v>
      </c>
      <c r="E3446" s="2">
        <v>46202</v>
      </c>
      <c r="F3446" s="1" t="s">
        <v>160</v>
      </c>
      <c r="G3446" s="1" t="s">
        <v>6</v>
      </c>
      <c r="H3446" s="1" t="s">
        <v>7</v>
      </c>
      <c r="I3446" s="7">
        <v>326.95</v>
      </c>
      <c r="J3446" s="1" t="s">
        <v>38</v>
      </c>
      <c r="K3446" s="1"/>
      <c r="L3446" s="1" t="s">
        <v>48</v>
      </c>
      <c r="M3446" s="1" t="str">
        <f>INDEX(MCC_Lookup!$B$2:$B$12,MATCH(G3446,MCC_Lookup!$A$2:$A$12,0))</f>
        <v>Lodging</v>
      </c>
      <c r="N3446" s="1" t="str">
        <f>IF(TRIM(H3446)="","BLANK",IF(PROPER(TRIM(H3446))=TRIM(M3446),"MATCH","MISMATCH"))</f>
        <v>MATCH</v>
      </c>
      <c r="O3446" s="5" t="str">
        <f>INDEX([1]Employee!$C$2:$C$276,MATCH(B3446,[1]Employee!$A$2:$A$276,0))</f>
        <v>Sales &amp; Marketing</v>
      </c>
    </row>
    <row r="3447" spans="1:15">
      <c r="A3447" s="1" t="s">
        <v>6660</v>
      </c>
      <c r="B3447" s="1" t="s">
        <v>63</v>
      </c>
      <c r="C3447" s="1" t="s">
        <v>6661</v>
      </c>
      <c r="D3447" s="2">
        <v>46137</v>
      </c>
      <c r="E3447" s="2">
        <v>46202</v>
      </c>
      <c r="F3447" s="1" t="s">
        <v>305</v>
      </c>
      <c r="G3447" s="1" t="s">
        <v>2</v>
      </c>
      <c r="H3447" s="1" t="s">
        <v>3</v>
      </c>
      <c r="I3447" s="7">
        <v>9.41</v>
      </c>
      <c r="J3447" s="1" t="s">
        <v>38</v>
      </c>
      <c r="K3447" s="1"/>
      <c r="L3447" s="1" t="s">
        <v>39</v>
      </c>
      <c r="M3447" s="1" t="str">
        <f>INDEX(MCC_Lookup!$B$2:$B$12,MATCH(G3447,MCC_Lookup!$A$2:$A$12,0))</f>
        <v>Meals</v>
      </c>
      <c r="N3447" s="1" t="str">
        <f>IF(TRIM(H3447)="","BLANK",IF(PROPER(TRIM(H3447))=TRIM(M3447),"MATCH","MISMATCH"))</f>
        <v>MATCH</v>
      </c>
      <c r="O3447" s="5" t="str">
        <f>INDEX([1]Employee!$C$2:$C$276,MATCH(B3447,[1]Employee!$A$2:$A$276,0))</f>
        <v>Sales &amp; Marketing</v>
      </c>
    </row>
    <row r="3448" spans="1:15">
      <c r="A3448" s="1" t="s">
        <v>6662</v>
      </c>
      <c r="B3448" s="1" t="s">
        <v>991</v>
      </c>
      <c r="C3448" s="1" t="s">
        <v>6663</v>
      </c>
      <c r="D3448" s="2">
        <v>46202</v>
      </c>
      <c r="E3448" s="2">
        <v>46202</v>
      </c>
      <c r="F3448" s="1" t="s">
        <v>347</v>
      </c>
      <c r="G3448" s="1" t="s">
        <v>8</v>
      </c>
      <c r="H3448" s="1" t="s">
        <v>9</v>
      </c>
      <c r="I3448" s="7">
        <v>27.36</v>
      </c>
      <c r="J3448" s="1" t="s">
        <v>38</v>
      </c>
      <c r="K3448" s="1"/>
      <c r="L3448" s="1" t="s">
        <v>39</v>
      </c>
      <c r="M3448" s="1" t="str">
        <f>INDEX(MCC_Lookup!$B$2:$B$12,MATCH(G3448,MCC_Lookup!$A$2:$A$12,0))</f>
        <v>Transportation</v>
      </c>
      <c r="N3448" s="1" t="str">
        <f>IF(TRIM(H3448)="","BLANK",IF(PROPER(TRIM(H3448))=TRIM(M3448),"MATCH","MISMATCH"))</f>
        <v>MATCH</v>
      </c>
      <c r="O3448" s="5" t="str">
        <f>INDEX([1]Employee!$C$2:$C$276,MATCH(B3448,[1]Employee!$A$2:$A$276,0))</f>
        <v>Claims</v>
      </c>
    </row>
    <row r="3449" spans="1:15">
      <c r="A3449" s="1" t="s">
        <v>6664</v>
      </c>
      <c r="B3449" s="1" t="s">
        <v>461</v>
      </c>
      <c r="C3449" s="1" t="s">
        <v>6665</v>
      </c>
      <c r="D3449" s="2">
        <v>46192</v>
      </c>
      <c r="E3449" s="2">
        <v>46202</v>
      </c>
      <c r="F3449" s="1" t="s">
        <v>1953</v>
      </c>
      <c r="G3449" s="1" t="s">
        <v>8</v>
      </c>
      <c r="H3449" s="1" t="s">
        <v>9</v>
      </c>
      <c r="I3449" s="7">
        <v>46.72</v>
      </c>
      <c r="J3449" s="1" t="s">
        <v>38</v>
      </c>
      <c r="K3449" s="1"/>
      <c r="L3449" s="1" t="s">
        <v>39</v>
      </c>
      <c r="M3449" s="1" t="str">
        <f>INDEX(MCC_Lookup!$B$2:$B$12,MATCH(G3449,MCC_Lookup!$A$2:$A$12,0))</f>
        <v>Transportation</v>
      </c>
      <c r="N3449" s="1" t="str">
        <f>IF(TRIM(H3449)="","BLANK",IF(PROPER(TRIM(H3449))=TRIM(M3449),"MATCH","MISMATCH"))</f>
        <v>MATCH</v>
      </c>
      <c r="O3449" s="5" t="str">
        <f>INDEX([1]Employee!$C$2:$C$276,MATCH(B3449,[1]Employee!$A$2:$A$276,0))</f>
        <v>Finance</v>
      </c>
    </row>
    <row r="3450" spans="1:15">
      <c r="A3450" s="1" t="s">
        <v>6666</v>
      </c>
      <c r="B3450" s="1" t="s">
        <v>643</v>
      </c>
      <c r="C3450" s="1"/>
      <c r="D3450" s="2">
        <v>46098</v>
      </c>
      <c r="E3450" s="2">
        <v>46202</v>
      </c>
      <c r="F3450" s="1" t="s">
        <v>347</v>
      </c>
      <c r="G3450" s="1" t="s">
        <v>8</v>
      </c>
      <c r="H3450" s="1" t="s">
        <v>9</v>
      </c>
      <c r="I3450" s="7">
        <v>13.99</v>
      </c>
      <c r="J3450" s="1" t="s">
        <v>111</v>
      </c>
      <c r="K3450" s="1" t="s">
        <v>229</v>
      </c>
      <c r="L3450" s="1" t="s">
        <v>48</v>
      </c>
      <c r="M3450" s="1" t="str">
        <f>INDEX(MCC_Lookup!$B$2:$B$12,MATCH(G3450,MCC_Lookup!$A$2:$A$12,0))</f>
        <v>Transportation</v>
      </c>
      <c r="N3450" s="1" t="str">
        <f>IF(TRIM(H3450)="","BLANK",IF(PROPER(TRIM(H3450))=TRIM(M3450),"MATCH","MISMATCH"))</f>
        <v>MATCH</v>
      </c>
      <c r="O3450" s="5" t="str">
        <f>INDEX([1]Employee!$C$2:$C$276,MATCH(B3450,[1]Employee!$A$2:$A$276,0))</f>
        <v>Sales &amp; Marketing</v>
      </c>
    </row>
    <row r="3451" spans="1:15">
      <c r="A3451" s="1" t="s">
        <v>6667</v>
      </c>
      <c r="B3451" s="1" t="s">
        <v>231</v>
      </c>
      <c r="C3451" s="1" t="s">
        <v>6668</v>
      </c>
      <c r="D3451" s="2">
        <v>46197</v>
      </c>
      <c r="E3451" s="2">
        <v>46202</v>
      </c>
      <c r="F3451" s="1" t="s">
        <v>160</v>
      </c>
      <c r="G3451" s="1" t="s">
        <v>6</v>
      </c>
      <c r="H3451" s="1" t="s">
        <v>16</v>
      </c>
      <c r="I3451" s="7">
        <v>375.84</v>
      </c>
      <c r="J3451" s="1" t="s">
        <v>38</v>
      </c>
      <c r="K3451" s="1"/>
      <c r="L3451" s="1" t="s">
        <v>39</v>
      </c>
      <c r="M3451" s="1" t="str">
        <f>INDEX(MCC_Lookup!$B$2:$B$12,MATCH(G3451,MCC_Lookup!$A$2:$A$12,0))</f>
        <v>Lodging</v>
      </c>
      <c r="N3451" s="1" t="str">
        <f>IF(TRIM(H3451)="","BLANK",IF(PROPER(TRIM(H3451))=TRIM(M3451),"MATCH","MISMATCH"))</f>
        <v>MISMATCH</v>
      </c>
      <c r="O3451" s="5" t="str">
        <f>INDEX([1]Employee!$C$2:$C$276,MATCH(B3451,[1]Employee!$A$2:$A$276,0))</f>
        <v>Finance</v>
      </c>
    </row>
    <row r="3452" spans="1:15">
      <c r="A3452" s="1" t="s">
        <v>6669</v>
      </c>
      <c r="B3452" s="1" t="s">
        <v>712</v>
      </c>
      <c r="C3452" s="1" t="s">
        <v>6670</v>
      </c>
      <c r="D3452" s="2">
        <v>46201</v>
      </c>
      <c r="E3452" s="2">
        <v>46202</v>
      </c>
      <c r="F3452" s="1" t="s">
        <v>79</v>
      </c>
      <c r="G3452" s="1" t="s">
        <v>13</v>
      </c>
      <c r="H3452" s="1" t="s">
        <v>192</v>
      </c>
      <c r="I3452" s="7">
        <v>139.59</v>
      </c>
      <c r="J3452" s="1" t="s">
        <v>38</v>
      </c>
      <c r="K3452" s="1"/>
      <c r="L3452" s="1" t="s">
        <v>48</v>
      </c>
      <c r="M3452" s="1" t="str">
        <f>INDEX(MCC_Lookup!$B$2:$B$12,MATCH(G3452,MCC_Lookup!$A$2:$A$12,0))</f>
        <v>Software</v>
      </c>
      <c r="N3452" s="1" t="str">
        <f>IF(TRIM(H3452)="","BLANK",IF(PROPER(TRIM(H3452))=TRIM(M3452),"MATCH","MISMATCH"))</f>
        <v>MATCH</v>
      </c>
      <c r="O3452" s="5" t="str">
        <f>INDEX([1]Employee!$C$2:$C$276,MATCH(B3452,[1]Employee!$A$2:$A$276,0))</f>
        <v>Underwriting</v>
      </c>
    </row>
    <row r="3453" spans="1:15">
      <c r="A3453" s="1" t="s">
        <v>6671</v>
      </c>
      <c r="B3453" s="1" t="s">
        <v>210</v>
      </c>
      <c r="C3453" s="1" t="s">
        <v>6672</v>
      </c>
      <c r="D3453" s="2">
        <v>46033</v>
      </c>
      <c r="E3453" s="2">
        <v>46202</v>
      </c>
      <c r="F3453" s="1" t="s">
        <v>177</v>
      </c>
      <c r="G3453" s="1" t="s">
        <v>13</v>
      </c>
      <c r="H3453" s="1" t="s">
        <v>14</v>
      </c>
      <c r="I3453" s="7">
        <v>54.08</v>
      </c>
      <c r="J3453" s="1" t="s">
        <v>38</v>
      </c>
      <c r="K3453" s="1"/>
      <c r="L3453" s="1" t="s">
        <v>39</v>
      </c>
      <c r="M3453" s="1" t="str">
        <f>INDEX(MCC_Lookup!$B$2:$B$12,MATCH(G3453,MCC_Lookup!$A$2:$A$12,0))</f>
        <v>Software</v>
      </c>
      <c r="N3453" s="1" t="str">
        <f>IF(TRIM(H3453)="","BLANK",IF(PROPER(TRIM(H3453))=TRIM(M3453),"MATCH","MISMATCH"))</f>
        <v>MATCH</v>
      </c>
      <c r="O3453" s="5" t="str">
        <f>INDEX([1]Employee!$C$2:$C$276,MATCH(B3453,[1]Employee!$A$2:$A$276,0))</f>
        <v>Sales &amp; Marketing</v>
      </c>
    </row>
    <row r="3454" spans="1:15">
      <c r="A3454" s="1" t="s">
        <v>6673</v>
      </c>
      <c r="B3454" s="1" t="s">
        <v>667</v>
      </c>
      <c r="C3454" s="1" t="s">
        <v>6674</v>
      </c>
      <c r="D3454" s="2">
        <v>46177</v>
      </c>
      <c r="E3454" s="2">
        <v>46202</v>
      </c>
      <c r="F3454" s="1" t="s">
        <v>61</v>
      </c>
      <c r="G3454" s="1" t="s">
        <v>13</v>
      </c>
      <c r="H3454" s="1" t="s">
        <v>14</v>
      </c>
      <c r="I3454" s="7">
        <v>80.27</v>
      </c>
      <c r="J3454" s="1" t="s">
        <v>38</v>
      </c>
      <c r="K3454" s="1"/>
      <c r="L3454" s="1" t="s">
        <v>39</v>
      </c>
      <c r="M3454" s="1" t="str">
        <f>INDEX(MCC_Lookup!$B$2:$B$12,MATCH(G3454,MCC_Lookup!$A$2:$A$12,0))</f>
        <v>Software</v>
      </c>
      <c r="N3454" s="1" t="str">
        <f>IF(TRIM(H3454)="","BLANK",IF(PROPER(TRIM(H3454))=TRIM(M3454),"MATCH","MISMATCH"))</f>
        <v>MATCH</v>
      </c>
      <c r="O3454" s="5" t="str">
        <f>INDEX([1]Employee!$C$2:$C$276,MATCH(B3454,[1]Employee!$A$2:$A$276,0))</f>
        <v>Sales &amp; Marketing</v>
      </c>
    </row>
    <row r="3455" spans="1:15">
      <c r="A3455" s="1" t="s">
        <v>6675</v>
      </c>
      <c r="B3455" s="1" t="s">
        <v>667</v>
      </c>
      <c r="C3455" s="1" t="s">
        <v>6676</v>
      </c>
      <c r="D3455" s="2">
        <v>46164</v>
      </c>
      <c r="E3455" s="2">
        <v>46202</v>
      </c>
      <c r="F3455" s="1" t="s">
        <v>177</v>
      </c>
      <c r="G3455" s="1" t="s">
        <v>13</v>
      </c>
      <c r="H3455" s="1" t="s">
        <v>16</v>
      </c>
      <c r="I3455" s="7">
        <v>69.849999999999994</v>
      </c>
      <c r="J3455" s="1" t="s">
        <v>38</v>
      </c>
      <c r="K3455" s="1"/>
      <c r="L3455" s="1" t="s">
        <v>39</v>
      </c>
      <c r="M3455" s="1" t="str">
        <f>INDEX(MCC_Lookup!$B$2:$B$12,MATCH(G3455,MCC_Lookup!$A$2:$A$12,0))</f>
        <v>Software</v>
      </c>
      <c r="N3455" s="1" t="str">
        <f>IF(TRIM(H3455)="","BLANK",IF(PROPER(TRIM(H3455))=TRIM(M3455),"MATCH","MISMATCH"))</f>
        <v>MISMATCH</v>
      </c>
      <c r="O3455" s="5" t="str">
        <f>INDEX([1]Employee!$C$2:$C$276,MATCH(B3455,[1]Employee!$A$2:$A$276,0))</f>
        <v>Sales &amp; Marketing</v>
      </c>
    </row>
    <row r="3456" spans="1:15">
      <c r="A3456" s="1" t="s">
        <v>6677</v>
      </c>
      <c r="B3456" s="1" t="s">
        <v>1399</v>
      </c>
      <c r="C3456" s="1"/>
      <c r="D3456" s="2">
        <v>46086</v>
      </c>
      <c r="E3456" s="2">
        <v>46202</v>
      </c>
      <c r="F3456" s="1" t="s">
        <v>124</v>
      </c>
      <c r="G3456" s="1" t="s">
        <v>17</v>
      </c>
      <c r="H3456" s="1" t="s">
        <v>16</v>
      </c>
      <c r="I3456" s="7">
        <v>167.37</v>
      </c>
      <c r="J3456" s="1" t="s">
        <v>38</v>
      </c>
      <c r="K3456" s="1"/>
      <c r="L3456" s="1" t="s">
        <v>39</v>
      </c>
      <c r="M3456" s="1" t="str">
        <f>INDEX(MCC_Lookup!$B$2:$B$12,MATCH(G3456,MCC_Lookup!$A$2:$A$12,0))</f>
        <v>Entertainment</v>
      </c>
      <c r="N3456" s="1" t="str">
        <f>IF(TRIM(H3456)="","BLANK",IF(PROPER(TRIM(H3456))=TRIM(M3456),"MATCH","MISMATCH"))</f>
        <v>MATCH</v>
      </c>
      <c r="O3456" s="5" t="str">
        <f>INDEX([1]Employee!$C$2:$C$276,MATCH(B3456,[1]Employee!$A$2:$A$276,0))</f>
        <v>Underwriting</v>
      </c>
    </row>
    <row r="3457" spans="1:15">
      <c r="A3457" s="1" t="s">
        <v>6678</v>
      </c>
      <c r="B3457" s="1" t="s">
        <v>575</v>
      </c>
      <c r="C3457" s="1" t="s">
        <v>6679</v>
      </c>
      <c r="D3457" s="2">
        <v>46192</v>
      </c>
      <c r="E3457" s="2">
        <v>46202</v>
      </c>
      <c r="F3457" s="1" t="s">
        <v>305</v>
      </c>
      <c r="G3457" s="1" t="s">
        <v>2</v>
      </c>
      <c r="H3457" s="1" t="s">
        <v>138</v>
      </c>
      <c r="I3457" s="7">
        <v>5.08</v>
      </c>
      <c r="J3457" s="1" t="s">
        <v>38</v>
      </c>
      <c r="K3457" s="1"/>
      <c r="L3457" s="1" t="s">
        <v>39</v>
      </c>
      <c r="M3457" s="1" t="str">
        <f>INDEX(MCC_Lookup!$B$2:$B$12,MATCH(G3457,MCC_Lookup!$A$2:$A$12,0))</f>
        <v>Meals</v>
      </c>
      <c r="N3457" s="1" t="str">
        <f>IF(TRIM(H3457)="","BLANK",IF(PROPER(TRIM(H3457))=TRIM(M3457),"MATCH","MISMATCH"))</f>
        <v>MATCH</v>
      </c>
      <c r="O3457" s="5" t="str">
        <f>INDEX([1]Employee!$C$2:$C$276,MATCH(B3457,[1]Employee!$A$2:$A$276,0))</f>
        <v>Underwriting</v>
      </c>
    </row>
    <row r="3458" spans="1:15">
      <c r="A3458" s="1" t="s">
        <v>6680</v>
      </c>
      <c r="B3458" s="1" t="s">
        <v>352</v>
      </c>
      <c r="C3458" s="1" t="s">
        <v>6681</v>
      </c>
      <c r="D3458" s="2">
        <v>46031</v>
      </c>
      <c r="E3458" s="2">
        <v>46202</v>
      </c>
      <c r="F3458" s="1" t="s">
        <v>79</v>
      </c>
      <c r="G3458" s="1" t="s">
        <v>13</v>
      </c>
      <c r="H3458" s="1" t="s">
        <v>14</v>
      </c>
      <c r="I3458" s="7">
        <v>177.41</v>
      </c>
      <c r="J3458" s="1" t="s">
        <v>38</v>
      </c>
      <c r="K3458" s="1"/>
      <c r="L3458" s="1" t="s">
        <v>48</v>
      </c>
      <c r="M3458" s="1" t="str">
        <f>INDEX(MCC_Lookup!$B$2:$B$12,MATCH(G3458,MCC_Lookup!$A$2:$A$12,0))</f>
        <v>Software</v>
      </c>
      <c r="N3458" s="1" t="str">
        <f>IF(TRIM(H3458)="","BLANK",IF(PROPER(TRIM(H3458))=TRIM(M3458),"MATCH","MISMATCH"))</f>
        <v>MATCH</v>
      </c>
      <c r="O3458" s="5" t="str">
        <f>INDEX([1]Employee!$C$2:$C$276,MATCH(B3458,[1]Employee!$A$2:$A$276,0))</f>
        <v>Sales &amp; Marketing</v>
      </c>
    </row>
    <row r="3459" spans="1:15">
      <c r="A3459" s="1" t="s">
        <v>6682</v>
      </c>
      <c r="B3459" s="1" t="s">
        <v>74</v>
      </c>
      <c r="C3459" s="1"/>
      <c r="D3459" s="2">
        <v>46201</v>
      </c>
      <c r="E3459" s="2">
        <v>46202</v>
      </c>
      <c r="F3459" s="1" t="s">
        <v>69</v>
      </c>
      <c r="G3459" s="1" t="s">
        <v>8</v>
      </c>
      <c r="H3459" s="1" t="s">
        <v>9</v>
      </c>
      <c r="I3459" s="7">
        <v>36.93</v>
      </c>
      <c r="J3459" s="1" t="s">
        <v>111</v>
      </c>
      <c r="K3459" s="1" t="s">
        <v>161</v>
      </c>
      <c r="L3459" s="1" t="s">
        <v>48</v>
      </c>
      <c r="M3459" s="1" t="str">
        <f>INDEX(MCC_Lookup!$B$2:$B$12,MATCH(G3459,MCC_Lookup!$A$2:$A$12,0))</f>
        <v>Transportation</v>
      </c>
      <c r="N3459" s="1" t="str">
        <f>IF(TRIM(H3459)="","BLANK",IF(PROPER(TRIM(H3459))=TRIM(M3459),"MATCH","MISMATCH"))</f>
        <v>MATCH</v>
      </c>
      <c r="O3459" s="5" t="str">
        <f>INDEX([1]Employee!$C$2:$C$276,MATCH(B3459,[1]Employee!$A$2:$A$276,0))</f>
        <v>Underwriting</v>
      </c>
    </row>
    <row r="3460" spans="1:15">
      <c r="A3460" s="1" t="s">
        <v>6683</v>
      </c>
      <c r="B3460" s="1" t="s">
        <v>399</v>
      </c>
      <c r="C3460" s="1" t="s">
        <v>6684</v>
      </c>
      <c r="D3460" s="2">
        <v>46130</v>
      </c>
      <c r="E3460" s="2">
        <v>46202</v>
      </c>
      <c r="F3460" s="1" t="s">
        <v>37</v>
      </c>
      <c r="G3460" s="1" t="s">
        <v>4</v>
      </c>
      <c r="H3460" s="1" t="s">
        <v>5</v>
      </c>
      <c r="I3460" s="7">
        <v>290.66000000000003</v>
      </c>
      <c r="J3460" s="1" t="s">
        <v>38</v>
      </c>
      <c r="K3460" s="1"/>
      <c r="L3460" s="1" t="s">
        <v>39</v>
      </c>
      <c r="M3460" s="1" t="str">
        <f>INDEX(MCC_Lookup!$B$2:$B$12,MATCH(G3460,MCC_Lookup!$A$2:$A$12,0))</f>
        <v>Travel</v>
      </c>
      <c r="N3460" s="1" t="str">
        <f>IF(TRIM(H3460)="","BLANK",IF(PROPER(TRIM(H3460))=TRIM(M3460),"MATCH","MISMATCH"))</f>
        <v>MATCH</v>
      </c>
      <c r="O3460" s="5" t="str">
        <f>INDEX([1]Employee!$C$2:$C$276,MATCH(B3460,[1]Employee!$A$2:$A$276,0))</f>
        <v>IT &amp; Platform Engineering</v>
      </c>
    </row>
    <row r="3461" spans="1:15">
      <c r="A3461" s="1" t="s">
        <v>6685</v>
      </c>
      <c r="B3461" s="1" t="s">
        <v>399</v>
      </c>
      <c r="C3461" s="1" t="s">
        <v>6686</v>
      </c>
      <c r="D3461" s="2">
        <v>46196</v>
      </c>
      <c r="E3461" s="2">
        <v>46202</v>
      </c>
      <c r="F3461" s="1" t="s">
        <v>69</v>
      </c>
      <c r="G3461" s="1" t="s">
        <v>8</v>
      </c>
      <c r="H3461" s="1" t="s">
        <v>343</v>
      </c>
      <c r="I3461" s="7">
        <v>50.41</v>
      </c>
      <c r="J3461" s="1" t="s">
        <v>38</v>
      </c>
      <c r="K3461" s="1"/>
      <c r="L3461" s="1" t="s">
        <v>39</v>
      </c>
      <c r="M3461" s="1" t="str">
        <f>INDEX(MCC_Lookup!$B$2:$B$12,MATCH(G3461,MCC_Lookup!$A$2:$A$12,0))</f>
        <v>Transportation</v>
      </c>
      <c r="N3461" s="1" t="str">
        <f>IF(TRIM(H3461)="","BLANK",IF(PROPER(TRIM(H3461))=TRIM(M3461),"MATCH","MISMATCH"))</f>
        <v>MATCH</v>
      </c>
      <c r="O3461" s="5" t="str">
        <f>INDEX([1]Employee!$C$2:$C$276,MATCH(B3461,[1]Employee!$A$2:$A$276,0))</f>
        <v>IT &amp; Platform Engineering</v>
      </c>
    </row>
    <row r="3462" spans="1:15">
      <c r="A3462" s="1" t="s">
        <v>6687</v>
      </c>
      <c r="B3462" s="1" t="s">
        <v>179</v>
      </c>
      <c r="C3462" s="1" t="s">
        <v>6688</v>
      </c>
      <c r="D3462" s="2">
        <v>46198</v>
      </c>
      <c r="E3462" s="2">
        <v>46202</v>
      </c>
      <c r="F3462" s="1" t="s">
        <v>259</v>
      </c>
      <c r="G3462" s="1" t="s">
        <v>20</v>
      </c>
      <c r="H3462" s="1" t="s">
        <v>312</v>
      </c>
      <c r="I3462" s="7">
        <v>345.76</v>
      </c>
      <c r="J3462" s="1" t="s">
        <v>38</v>
      </c>
      <c r="K3462" s="1"/>
      <c r="L3462" s="1" t="s">
        <v>39</v>
      </c>
      <c r="M3462" s="1" t="str">
        <f>INDEX(MCC_Lookup!$B$2:$B$12,MATCH(G3462,MCC_Lookup!$A$2:$A$12,0))</f>
        <v>Events</v>
      </c>
      <c r="N3462" s="1" t="str">
        <f>IF(TRIM(H3462)="","BLANK",IF(PROPER(TRIM(H3462))=TRIM(M3462),"MATCH","MISMATCH"))</f>
        <v>MATCH</v>
      </c>
      <c r="O3462" s="5" t="str">
        <f>INDEX([1]Employee!$C$2:$C$276,MATCH(B3462,[1]Employee!$A$2:$A$276,0))</f>
        <v>Claims</v>
      </c>
    </row>
    <row r="3463" spans="1:15">
      <c r="A3463" s="1" t="s">
        <v>6689</v>
      </c>
      <c r="B3463" s="1" t="s">
        <v>2812</v>
      </c>
      <c r="C3463" s="1" t="s">
        <v>6690</v>
      </c>
      <c r="D3463" s="2">
        <v>46200</v>
      </c>
      <c r="E3463" s="2">
        <v>46202</v>
      </c>
      <c r="F3463" s="1" t="s">
        <v>65</v>
      </c>
      <c r="G3463" s="1" t="s">
        <v>18</v>
      </c>
      <c r="H3463" s="1" t="s">
        <v>19</v>
      </c>
      <c r="I3463" s="7">
        <v>459.6</v>
      </c>
      <c r="J3463" s="1" t="s">
        <v>38</v>
      </c>
      <c r="K3463" s="1"/>
      <c r="L3463" s="1" t="s">
        <v>39</v>
      </c>
      <c r="M3463" s="1" t="str">
        <f>INDEX(MCC_Lookup!$B$2:$B$12,MATCH(G3463,MCC_Lookup!$A$2:$A$12,0))</f>
        <v>Events</v>
      </c>
      <c r="N3463" s="1" t="str">
        <f>IF(TRIM(H3463)="","BLANK",IF(PROPER(TRIM(H3463))=TRIM(M3463),"MATCH","MISMATCH"))</f>
        <v>MATCH</v>
      </c>
      <c r="O3463" s="5" t="str">
        <f>INDEX([1]Employee!$C$2:$C$276,MATCH(B3463,[1]Employee!$A$2:$A$276,0))</f>
        <v>Customer Support</v>
      </c>
    </row>
    <row r="3464" spans="1:15">
      <c r="A3464" s="1" t="s">
        <v>6691</v>
      </c>
      <c r="B3464" s="1" t="s">
        <v>610</v>
      </c>
      <c r="C3464" s="1"/>
      <c r="D3464" s="2">
        <v>46194</v>
      </c>
      <c r="E3464" s="2">
        <v>46202</v>
      </c>
      <c r="F3464" s="1" t="s">
        <v>79</v>
      </c>
      <c r="G3464" s="1" t="s">
        <v>13</v>
      </c>
      <c r="H3464" s="1" t="s">
        <v>14</v>
      </c>
      <c r="I3464" s="7">
        <v>114.71</v>
      </c>
      <c r="J3464" s="1" t="s">
        <v>38</v>
      </c>
      <c r="K3464" s="1"/>
      <c r="L3464" s="1" t="s">
        <v>39</v>
      </c>
      <c r="M3464" s="1" t="str">
        <f>INDEX(MCC_Lookup!$B$2:$B$12,MATCH(G3464,MCC_Lookup!$A$2:$A$12,0))</f>
        <v>Software</v>
      </c>
      <c r="N3464" s="1" t="str">
        <f>IF(TRIM(H3464)="","BLANK",IF(PROPER(TRIM(H3464))=TRIM(M3464),"MATCH","MISMATCH"))</f>
        <v>MATCH</v>
      </c>
      <c r="O3464" s="5" t="str">
        <f>INDEX([1]Employee!$C$2:$C$276,MATCH(B3464,[1]Employee!$A$2:$A$276,0))</f>
        <v>Actuarial &amp; Risk</v>
      </c>
    </row>
    <row r="3465" spans="1:15">
      <c r="A3465" s="1" t="s">
        <v>6692</v>
      </c>
      <c r="B3465" s="1" t="s">
        <v>1504</v>
      </c>
      <c r="C3465" s="1" t="s">
        <v>6693</v>
      </c>
      <c r="D3465" s="2">
        <v>46155</v>
      </c>
      <c r="E3465" s="2">
        <v>46202</v>
      </c>
      <c r="F3465" s="1" t="s">
        <v>65</v>
      </c>
      <c r="G3465" s="1" t="s">
        <v>18</v>
      </c>
      <c r="H3465" s="1" t="s">
        <v>19</v>
      </c>
      <c r="I3465" s="7">
        <v>549.26</v>
      </c>
      <c r="J3465" s="1" t="s">
        <v>38</v>
      </c>
      <c r="K3465" s="1"/>
      <c r="L3465" s="1" t="s">
        <v>39</v>
      </c>
      <c r="M3465" s="1" t="str">
        <f>INDEX(MCC_Lookup!$B$2:$B$12,MATCH(G3465,MCC_Lookup!$A$2:$A$12,0))</f>
        <v>Events</v>
      </c>
      <c r="N3465" s="1" t="str">
        <f>IF(TRIM(H3465)="","BLANK",IF(PROPER(TRIM(H3465))=TRIM(M3465),"MATCH","MISMATCH"))</f>
        <v>MATCH</v>
      </c>
      <c r="O3465" s="5" t="str">
        <f>INDEX([1]Employee!$C$2:$C$276,MATCH(B3465,[1]Employee!$A$2:$A$276,0))</f>
        <v>Sales &amp; Marketing</v>
      </c>
    </row>
    <row r="3466" spans="1:15">
      <c r="A3466" s="1" t="s">
        <v>6694</v>
      </c>
      <c r="B3466" s="1" t="s">
        <v>71</v>
      </c>
      <c r="C3466" s="1" t="s">
        <v>6695</v>
      </c>
      <c r="D3466" s="2">
        <v>46192</v>
      </c>
      <c r="E3466" s="2">
        <v>46202</v>
      </c>
      <c r="F3466" s="1" t="s">
        <v>47</v>
      </c>
      <c r="G3466" s="1" t="s">
        <v>6</v>
      </c>
      <c r="H3466" s="1" t="s">
        <v>7</v>
      </c>
      <c r="I3466" s="7">
        <v>164.47</v>
      </c>
      <c r="J3466" s="1" t="s">
        <v>38</v>
      </c>
      <c r="K3466" s="1"/>
      <c r="L3466" s="1" t="s">
        <v>39</v>
      </c>
      <c r="M3466" s="1" t="str">
        <f>INDEX(MCC_Lookup!$B$2:$B$12,MATCH(G3466,MCC_Lookup!$A$2:$A$12,0))</f>
        <v>Lodging</v>
      </c>
      <c r="N3466" s="1" t="str">
        <f>IF(TRIM(H3466)="","BLANK",IF(PROPER(TRIM(H3466))=TRIM(M3466),"MATCH","MISMATCH"))</f>
        <v>MATCH</v>
      </c>
      <c r="O3466" s="5" t="str">
        <f>INDEX([1]Employee!$C$2:$C$276,MATCH(B3466,[1]Employee!$A$2:$A$276,0))</f>
        <v>Sales &amp; Marketing</v>
      </c>
    </row>
    <row r="3467" spans="1:15">
      <c r="A3467" s="1" t="s">
        <v>6696</v>
      </c>
      <c r="B3467" s="1" t="s">
        <v>846</v>
      </c>
      <c r="C3467" s="1" t="s">
        <v>6697</v>
      </c>
      <c r="D3467" s="2">
        <v>46174</v>
      </c>
      <c r="E3467" s="2">
        <v>46202</v>
      </c>
      <c r="F3467" s="1" t="s">
        <v>259</v>
      </c>
      <c r="G3467" s="1" t="s">
        <v>20</v>
      </c>
      <c r="H3467" s="1" t="s">
        <v>19</v>
      </c>
      <c r="I3467" s="7">
        <v>101.97</v>
      </c>
      <c r="J3467" s="1" t="s">
        <v>38</v>
      </c>
      <c r="K3467" s="1"/>
      <c r="L3467" s="1" t="s">
        <v>39</v>
      </c>
      <c r="M3467" s="1" t="str">
        <f>INDEX(MCC_Lookup!$B$2:$B$12,MATCH(G3467,MCC_Lookup!$A$2:$A$12,0))</f>
        <v>Events</v>
      </c>
      <c r="N3467" s="1" t="str">
        <f>IF(TRIM(H3467)="","BLANK",IF(PROPER(TRIM(H3467))=TRIM(M3467),"MATCH","MISMATCH"))</f>
        <v>MATCH</v>
      </c>
      <c r="O3467" s="5" t="str">
        <f>INDEX([1]Employee!$C$2:$C$276,MATCH(B3467,[1]Employee!$A$2:$A$276,0))</f>
        <v>Sales &amp; Marketing</v>
      </c>
    </row>
    <row r="3468" spans="1:15">
      <c r="A3468" s="1" t="s">
        <v>6698</v>
      </c>
      <c r="B3468" s="1" t="s">
        <v>413</v>
      </c>
      <c r="C3468" s="1"/>
      <c r="D3468" s="2">
        <v>46156</v>
      </c>
      <c r="E3468" s="2">
        <v>46202</v>
      </c>
      <c r="F3468" s="1" t="s">
        <v>124</v>
      </c>
      <c r="G3468" s="1" t="s">
        <v>17</v>
      </c>
      <c r="H3468" s="1" t="s">
        <v>16</v>
      </c>
      <c r="I3468" s="7">
        <v>144.76</v>
      </c>
      <c r="J3468" s="1" t="s">
        <v>38</v>
      </c>
      <c r="K3468" s="1"/>
      <c r="L3468" s="1" t="s">
        <v>39</v>
      </c>
      <c r="M3468" s="1" t="str">
        <f>INDEX(MCC_Lookup!$B$2:$B$12,MATCH(G3468,MCC_Lookup!$A$2:$A$12,0))</f>
        <v>Entertainment</v>
      </c>
      <c r="N3468" s="1" t="str">
        <f>IF(TRIM(H3468)="","BLANK",IF(PROPER(TRIM(H3468))=TRIM(M3468),"MATCH","MISMATCH"))</f>
        <v>MATCH</v>
      </c>
      <c r="O3468" s="5" t="str">
        <f>INDEX([1]Employee!$C$2:$C$276,MATCH(B3468,[1]Employee!$A$2:$A$276,0))</f>
        <v>Claims</v>
      </c>
    </row>
    <row r="3469" spans="1:15">
      <c r="A3469" s="1" t="s">
        <v>6699</v>
      </c>
      <c r="B3469" s="1" t="s">
        <v>199</v>
      </c>
      <c r="C3469" s="1" t="s">
        <v>6700</v>
      </c>
      <c r="D3469" s="2">
        <v>46200</v>
      </c>
      <c r="E3469" s="2">
        <v>46202</v>
      </c>
      <c r="F3469" s="1" t="s">
        <v>201</v>
      </c>
      <c r="G3469" s="1" t="s">
        <v>4</v>
      </c>
      <c r="H3469" s="1" t="s">
        <v>5</v>
      </c>
      <c r="I3469" s="7">
        <v>368.51</v>
      </c>
      <c r="J3469" s="1" t="s">
        <v>38</v>
      </c>
      <c r="K3469" s="1"/>
      <c r="L3469" s="1" t="s">
        <v>39</v>
      </c>
      <c r="M3469" s="1" t="str">
        <f>INDEX(MCC_Lookup!$B$2:$B$12,MATCH(G3469,MCC_Lookup!$A$2:$A$12,0))</f>
        <v>Travel</v>
      </c>
      <c r="N3469" s="1" t="str">
        <f>IF(TRIM(H3469)="","BLANK",IF(PROPER(TRIM(H3469))=TRIM(M3469),"MATCH","MISMATCH"))</f>
        <v>MATCH</v>
      </c>
      <c r="O3469" s="5" t="str">
        <f>INDEX([1]Employee!$C$2:$C$276,MATCH(B3469,[1]Employee!$A$2:$A$276,0))</f>
        <v>Sales &amp; Marketing</v>
      </c>
    </row>
    <row r="3470" spans="1:15">
      <c r="A3470" s="1" t="s">
        <v>6701</v>
      </c>
      <c r="B3470" s="1" t="s">
        <v>608</v>
      </c>
      <c r="C3470" s="1" t="s">
        <v>6702</v>
      </c>
      <c r="D3470" s="2">
        <v>46101</v>
      </c>
      <c r="E3470" s="2">
        <v>46202</v>
      </c>
      <c r="F3470" s="1" t="s">
        <v>347</v>
      </c>
      <c r="G3470" s="1" t="s">
        <v>8</v>
      </c>
      <c r="H3470" s="1" t="s">
        <v>9</v>
      </c>
      <c r="I3470" s="7">
        <v>36.340000000000003</v>
      </c>
      <c r="J3470" s="1" t="s">
        <v>38</v>
      </c>
      <c r="K3470" s="1"/>
      <c r="L3470" s="1" t="s">
        <v>48</v>
      </c>
      <c r="M3470" s="1" t="str">
        <f>INDEX(MCC_Lookup!$B$2:$B$12,MATCH(G3470,MCC_Lookup!$A$2:$A$12,0))</f>
        <v>Transportation</v>
      </c>
      <c r="N3470" s="1" t="str">
        <f>IF(TRIM(H3470)="","BLANK",IF(PROPER(TRIM(H3470))=TRIM(M3470),"MATCH","MISMATCH"))</f>
        <v>MATCH</v>
      </c>
      <c r="O3470" s="5" t="str">
        <f>INDEX([1]Employee!$C$2:$C$276,MATCH(B3470,[1]Employee!$A$2:$A$276,0))</f>
        <v>IT &amp; Platform Engineering</v>
      </c>
    </row>
    <row r="3471" spans="1:15">
      <c r="A3471" s="1" t="s">
        <v>6703</v>
      </c>
      <c r="B3471" s="1" t="s">
        <v>2598</v>
      </c>
      <c r="C3471" s="1" t="s">
        <v>6704</v>
      </c>
      <c r="D3471" s="2">
        <v>46198</v>
      </c>
      <c r="E3471" s="2">
        <v>46202</v>
      </c>
      <c r="F3471" s="1" t="s">
        <v>83</v>
      </c>
      <c r="G3471" s="1" t="s">
        <v>2</v>
      </c>
      <c r="H3471" s="1" t="s">
        <v>3</v>
      </c>
      <c r="I3471" s="7">
        <v>24.61</v>
      </c>
      <c r="J3471" s="1" t="s">
        <v>38</v>
      </c>
      <c r="K3471" s="1"/>
      <c r="L3471" s="1" t="s">
        <v>39</v>
      </c>
      <c r="M3471" s="1" t="str">
        <f>INDEX(MCC_Lookup!$B$2:$B$12,MATCH(G3471,MCC_Lookup!$A$2:$A$12,0))</f>
        <v>Meals</v>
      </c>
      <c r="N3471" s="1" t="str">
        <f>IF(TRIM(H3471)="","BLANK",IF(PROPER(TRIM(H3471))=TRIM(M3471),"MATCH","MISMATCH"))</f>
        <v>MATCH</v>
      </c>
      <c r="O3471" s="5" t="str">
        <f>INDEX([1]Employee!$C$2:$C$276,MATCH(B3471,[1]Employee!$A$2:$A$276,0))</f>
        <v>Underwriting</v>
      </c>
    </row>
    <row r="3472" spans="1:15">
      <c r="A3472" s="1" t="s">
        <v>6705</v>
      </c>
      <c r="B3472" s="1" t="s">
        <v>547</v>
      </c>
      <c r="C3472" s="1"/>
      <c r="D3472" s="2">
        <v>46134</v>
      </c>
      <c r="E3472" s="2">
        <v>46202</v>
      </c>
      <c r="F3472" s="1" t="s">
        <v>79</v>
      </c>
      <c r="G3472" s="1" t="s">
        <v>13</v>
      </c>
      <c r="H3472" s="1" t="s">
        <v>14</v>
      </c>
      <c r="I3472" s="7">
        <v>161.80000000000001</v>
      </c>
      <c r="J3472" s="1" t="s">
        <v>111</v>
      </c>
      <c r="K3472" s="1" t="s">
        <v>161</v>
      </c>
      <c r="L3472" s="1" t="s">
        <v>39</v>
      </c>
      <c r="M3472" s="1" t="str">
        <f>INDEX(MCC_Lookup!$B$2:$B$12,MATCH(G3472,MCC_Lookup!$A$2:$A$12,0))</f>
        <v>Software</v>
      </c>
      <c r="N3472" s="1" t="str">
        <f>IF(TRIM(H3472)="","BLANK",IF(PROPER(TRIM(H3472))=TRIM(M3472),"MATCH","MISMATCH"))</f>
        <v>MATCH</v>
      </c>
      <c r="O3472" s="5" t="str">
        <f>INDEX([1]Employee!$C$2:$C$276,MATCH(B3472,[1]Employee!$A$2:$A$276,0))</f>
        <v>Sales &amp; Marketing</v>
      </c>
    </row>
    <row r="3473" spans="1:15">
      <c r="A3473" s="1" t="s">
        <v>6706</v>
      </c>
      <c r="B3473" s="1" t="s">
        <v>81</v>
      </c>
      <c r="C3473" s="1" t="s">
        <v>6707</v>
      </c>
      <c r="D3473" s="2">
        <v>46052</v>
      </c>
      <c r="E3473" s="2">
        <v>46202</v>
      </c>
      <c r="F3473" s="1" t="s">
        <v>116</v>
      </c>
      <c r="G3473" s="1" t="s">
        <v>2</v>
      </c>
      <c r="H3473" s="1" t="s">
        <v>3</v>
      </c>
      <c r="I3473" s="7">
        <v>19.239999999999998</v>
      </c>
      <c r="J3473" s="1" t="s">
        <v>38</v>
      </c>
      <c r="K3473" s="1"/>
      <c r="L3473" s="1" t="s">
        <v>39</v>
      </c>
      <c r="M3473" s="1" t="str">
        <f>INDEX(MCC_Lookup!$B$2:$B$12,MATCH(G3473,MCC_Lookup!$A$2:$A$12,0))</f>
        <v>Meals</v>
      </c>
      <c r="N3473" s="1" t="str">
        <f>IF(TRIM(H3473)="","BLANK",IF(PROPER(TRIM(H3473))=TRIM(M3473),"MATCH","MISMATCH"))</f>
        <v>MATCH</v>
      </c>
      <c r="O3473" s="5" t="str">
        <f>INDEX([1]Employee!$C$2:$C$276,MATCH(B3473,[1]Employee!$A$2:$A$276,0))</f>
        <v>Sales &amp; Marketing</v>
      </c>
    </row>
    <row r="3474" spans="1:15">
      <c r="A3474" s="1" t="s">
        <v>6708</v>
      </c>
      <c r="B3474" s="1" t="s">
        <v>163</v>
      </c>
      <c r="C3474" s="1"/>
      <c r="D3474" s="2">
        <v>46170</v>
      </c>
      <c r="E3474" s="2">
        <v>46202</v>
      </c>
      <c r="F3474" s="1" t="s">
        <v>95</v>
      </c>
      <c r="G3474" s="1" t="s">
        <v>6</v>
      </c>
      <c r="H3474" s="1" t="s">
        <v>7</v>
      </c>
      <c r="I3474" s="7">
        <v>203.05</v>
      </c>
      <c r="J3474" s="1" t="s">
        <v>38</v>
      </c>
      <c r="K3474" s="1"/>
      <c r="L3474" s="1" t="s">
        <v>48</v>
      </c>
      <c r="M3474" s="1" t="str">
        <f>INDEX(MCC_Lookup!$B$2:$B$12,MATCH(G3474,MCC_Lookup!$A$2:$A$12,0))</f>
        <v>Lodging</v>
      </c>
      <c r="N3474" s="1" t="str">
        <f>IF(TRIM(H3474)="","BLANK",IF(PROPER(TRIM(H3474))=TRIM(M3474),"MATCH","MISMATCH"))</f>
        <v>MATCH</v>
      </c>
      <c r="O3474" s="5" t="str">
        <f>INDEX([1]Employee!$C$2:$C$276,MATCH(B3474,[1]Employee!$A$2:$A$276,0))</f>
        <v>Customer Support</v>
      </c>
    </row>
    <row r="3475" spans="1:15">
      <c r="A3475" s="1" t="s">
        <v>6709</v>
      </c>
      <c r="B3475" s="1" t="s">
        <v>407</v>
      </c>
      <c r="C3475" s="1" t="s">
        <v>6710</v>
      </c>
      <c r="D3475" s="2">
        <v>46196</v>
      </c>
      <c r="E3475" s="2">
        <v>46202</v>
      </c>
      <c r="F3475" s="1" t="s">
        <v>99</v>
      </c>
      <c r="G3475" s="1" t="s">
        <v>2</v>
      </c>
      <c r="H3475" s="1" t="s">
        <v>3</v>
      </c>
      <c r="I3475" s="7">
        <v>101.17</v>
      </c>
      <c r="J3475" s="1" t="s">
        <v>38</v>
      </c>
      <c r="K3475" s="1"/>
      <c r="L3475" s="1" t="s">
        <v>39</v>
      </c>
      <c r="M3475" s="1" t="str">
        <f>INDEX(MCC_Lookup!$B$2:$B$12,MATCH(G3475,MCC_Lookup!$A$2:$A$12,0))</f>
        <v>Meals</v>
      </c>
      <c r="N3475" s="1" t="str">
        <f>IF(TRIM(H3475)="","BLANK",IF(PROPER(TRIM(H3475))=TRIM(M3475),"MATCH","MISMATCH"))</f>
        <v>MATCH</v>
      </c>
      <c r="O3475" s="5" t="str">
        <f>INDEX([1]Employee!$C$2:$C$276,MATCH(B3475,[1]Employee!$A$2:$A$276,0))</f>
        <v>Executive &amp; Corporate</v>
      </c>
    </row>
    <row r="3476" spans="1:15">
      <c r="A3476" s="1" t="s">
        <v>6711</v>
      </c>
      <c r="B3476" s="1" t="s">
        <v>407</v>
      </c>
      <c r="C3476" s="1" t="s">
        <v>6712</v>
      </c>
      <c r="D3476" s="2">
        <v>46199</v>
      </c>
      <c r="E3476" s="2">
        <v>46202</v>
      </c>
      <c r="F3476" s="1" t="s">
        <v>37</v>
      </c>
      <c r="G3476" s="1" t="s">
        <v>4</v>
      </c>
      <c r="H3476" s="1" t="s">
        <v>5</v>
      </c>
      <c r="I3476" s="7">
        <v>478.58</v>
      </c>
      <c r="J3476" s="1" t="s">
        <v>38</v>
      </c>
      <c r="K3476" s="1"/>
      <c r="L3476" s="1" t="s">
        <v>39</v>
      </c>
      <c r="M3476" s="1" t="str">
        <f>INDEX(MCC_Lookup!$B$2:$B$12,MATCH(G3476,MCC_Lookup!$A$2:$A$12,0))</f>
        <v>Travel</v>
      </c>
      <c r="N3476" s="1" t="str">
        <f>IF(TRIM(H3476)="","BLANK",IF(PROPER(TRIM(H3476))=TRIM(M3476),"MATCH","MISMATCH"))</f>
        <v>MATCH</v>
      </c>
      <c r="O3476" s="5" t="str">
        <f>INDEX([1]Employee!$C$2:$C$276,MATCH(B3476,[1]Employee!$A$2:$A$276,0))</f>
        <v>Executive &amp; Corporate</v>
      </c>
    </row>
    <row r="3477" spans="1:15">
      <c r="A3477" s="1" t="s">
        <v>6713</v>
      </c>
      <c r="B3477" s="1" t="s">
        <v>595</v>
      </c>
      <c r="C3477" s="1"/>
      <c r="D3477" s="2">
        <v>46202</v>
      </c>
      <c r="E3477" s="2">
        <v>46202</v>
      </c>
      <c r="F3477" s="1" t="s">
        <v>69</v>
      </c>
      <c r="G3477" s="1" t="s">
        <v>8</v>
      </c>
      <c r="H3477" s="1" t="s">
        <v>9</v>
      </c>
      <c r="I3477" s="7">
        <v>53.1</v>
      </c>
      <c r="J3477" s="1" t="s">
        <v>111</v>
      </c>
      <c r="K3477" s="1" t="s">
        <v>112</v>
      </c>
      <c r="L3477" s="1" t="s">
        <v>39</v>
      </c>
      <c r="M3477" s="1" t="str">
        <f>INDEX(MCC_Lookup!$B$2:$B$12,MATCH(G3477,MCC_Lookup!$A$2:$A$12,0))</f>
        <v>Transportation</v>
      </c>
      <c r="N3477" s="1" t="str">
        <f>IF(TRIM(H3477)="","BLANK",IF(PROPER(TRIM(H3477))=TRIM(M3477),"MATCH","MISMATCH"))</f>
        <v>MATCH</v>
      </c>
      <c r="O3477" s="5" t="str">
        <f>INDEX([1]Employee!$C$2:$C$276,MATCH(B3477,[1]Employee!$A$2:$A$276,0))</f>
        <v>Executive &amp; Corporate</v>
      </c>
    </row>
    <row r="3478" spans="1:15">
      <c r="A3478" s="1" t="s">
        <v>6714</v>
      </c>
      <c r="B3478" s="1" t="s">
        <v>595</v>
      </c>
      <c r="C3478" s="1" t="s">
        <v>6715</v>
      </c>
      <c r="D3478" s="2">
        <v>46036</v>
      </c>
      <c r="E3478" s="2">
        <v>46202</v>
      </c>
      <c r="F3478" s="1" t="s">
        <v>79</v>
      </c>
      <c r="G3478" s="1" t="s">
        <v>13</v>
      </c>
      <c r="H3478" s="1" t="s">
        <v>14</v>
      </c>
      <c r="I3478" s="7">
        <v>166.93</v>
      </c>
      <c r="J3478" s="1" t="s">
        <v>38</v>
      </c>
      <c r="K3478" s="1"/>
      <c r="L3478" s="1" t="s">
        <v>39</v>
      </c>
      <c r="M3478" s="1" t="str">
        <f>INDEX(MCC_Lookup!$B$2:$B$12,MATCH(G3478,MCC_Lookup!$A$2:$A$12,0))</f>
        <v>Software</v>
      </c>
      <c r="N3478" s="1" t="str">
        <f>IF(TRIM(H3478)="","BLANK",IF(PROPER(TRIM(H3478))=TRIM(M3478),"MATCH","MISMATCH"))</f>
        <v>MATCH</v>
      </c>
      <c r="O3478" s="5" t="str">
        <f>INDEX([1]Employee!$C$2:$C$276,MATCH(B3478,[1]Employee!$A$2:$A$276,0))</f>
        <v>Executive &amp; Corporate</v>
      </c>
    </row>
    <row r="3479" spans="1:15">
      <c r="A3479" s="1" t="s">
        <v>6716</v>
      </c>
      <c r="B3479" s="1" t="s">
        <v>651</v>
      </c>
      <c r="C3479" s="1" t="s">
        <v>6717</v>
      </c>
      <c r="D3479" s="2">
        <v>46193</v>
      </c>
      <c r="E3479" s="2">
        <v>46202</v>
      </c>
      <c r="F3479" s="1" t="s">
        <v>305</v>
      </c>
      <c r="G3479" s="1" t="s">
        <v>2</v>
      </c>
      <c r="H3479" s="1" t="s">
        <v>3</v>
      </c>
      <c r="I3479" s="7">
        <v>8.65</v>
      </c>
      <c r="J3479" s="1" t="s">
        <v>38</v>
      </c>
      <c r="K3479" s="1"/>
      <c r="L3479" s="1" t="s">
        <v>39</v>
      </c>
      <c r="M3479" s="1" t="str">
        <f>INDEX(MCC_Lookup!$B$2:$B$12,MATCH(G3479,MCC_Lookup!$A$2:$A$12,0))</f>
        <v>Meals</v>
      </c>
      <c r="N3479" s="1" t="str">
        <f>IF(TRIM(H3479)="","BLANK",IF(PROPER(TRIM(H3479))=TRIM(M3479),"MATCH","MISMATCH"))</f>
        <v>MATCH</v>
      </c>
      <c r="O3479" s="5" t="str">
        <f>INDEX([1]Employee!$C$2:$C$276,MATCH(B3479,[1]Employee!$A$2:$A$276,0))</f>
        <v>IT &amp; Platform Engineering</v>
      </c>
    </row>
    <row r="3480" spans="1:15">
      <c r="A3480" s="1" t="s">
        <v>6718</v>
      </c>
      <c r="B3480" s="1" t="s">
        <v>558</v>
      </c>
      <c r="C3480" s="1" t="s">
        <v>6719</v>
      </c>
      <c r="D3480" s="2">
        <v>46066</v>
      </c>
      <c r="E3480" s="2">
        <v>46202</v>
      </c>
      <c r="F3480" s="1" t="s">
        <v>69</v>
      </c>
      <c r="G3480" s="1" t="s">
        <v>8</v>
      </c>
      <c r="H3480" s="1" t="s">
        <v>494</v>
      </c>
      <c r="I3480" s="7">
        <v>48.05</v>
      </c>
      <c r="J3480" s="1" t="s">
        <v>38</v>
      </c>
      <c r="K3480" s="1"/>
      <c r="L3480" s="1" t="s">
        <v>39</v>
      </c>
      <c r="M3480" s="1" t="str">
        <f>INDEX(MCC_Lookup!$B$2:$B$12,MATCH(G3480,MCC_Lookup!$A$2:$A$12,0))</f>
        <v>Transportation</v>
      </c>
      <c r="N3480" s="1" t="str">
        <f>IF(TRIM(H3480)="","BLANK",IF(PROPER(TRIM(H3480))=TRIM(M3480),"MATCH","MISMATCH"))</f>
        <v>MATCH</v>
      </c>
      <c r="O3480" s="5" t="str">
        <f>INDEX([1]Employee!$C$2:$C$276,MATCH(B3480,[1]Employee!$A$2:$A$276,0))</f>
        <v>Claims</v>
      </c>
    </row>
    <row r="3481" spans="1:15">
      <c r="A3481" s="1" t="s">
        <v>6720</v>
      </c>
      <c r="B3481" s="1" t="s">
        <v>1567</v>
      </c>
      <c r="C3481" s="1" t="s">
        <v>6721</v>
      </c>
      <c r="D3481" s="2">
        <v>46193</v>
      </c>
      <c r="E3481" s="2">
        <v>46202</v>
      </c>
      <c r="F3481" s="1" t="s">
        <v>92</v>
      </c>
      <c r="G3481" s="1" t="s">
        <v>10</v>
      </c>
      <c r="H3481" s="1" t="s">
        <v>11</v>
      </c>
      <c r="I3481" s="7">
        <v>162.78</v>
      </c>
      <c r="J3481" s="1" t="s">
        <v>38</v>
      </c>
      <c r="K3481" s="1"/>
      <c r="L3481" s="1" t="s">
        <v>39</v>
      </c>
      <c r="M3481" s="1" t="str">
        <f>INDEX(MCC_Lookup!$B$2:$B$12,MATCH(G3481,MCC_Lookup!$A$2:$A$12,0))</f>
        <v>Office Supplies</v>
      </c>
      <c r="N3481" s="1" t="str">
        <f>IF(TRIM(H3481)="","BLANK",IF(PROPER(TRIM(H3481))=TRIM(M3481),"MATCH","MISMATCH"))</f>
        <v>MATCH</v>
      </c>
      <c r="O3481" s="5" t="str">
        <f>INDEX([1]Employee!$C$2:$C$276,MATCH(B3481,[1]Employee!$A$2:$A$276,0))</f>
        <v>Underwriting</v>
      </c>
    </row>
    <row r="3482" spans="1:15">
      <c r="A3482" s="1" t="s">
        <v>6722</v>
      </c>
      <c r="B3482" s="1" t="s">
        <v>97</v>
      </c>
      <c r="C3482" s="1" t="s">
        <v>6723</v>
      </c>
      <c r="D3482" s="2">
        <v>46195</v>
      </c>
      <c r="E3482" s="2">
        <v>46203</v>
      </c>
      <c r="F3482" s="1" t="s">
        <v>347</v>
      </c>
      <c r="G3482" s="1" t="s">
        <v>8</v>
      </c>
      <c r="H3482" s="1" t="s">
        <v>9</v>
      </c>
      <c r="I3482" s="7">
        <v>37.409999999999997</v>
      </c>
      <c r="J3482" s="1" t="s">
        <v>38</v>
      </c>
      <c r="K3482" s="1"/>
      <c r="L3482" s="1" t="s">
        <v>48</v>
      </c>
      <c r="M3482" s="1" t="str">
        <f>INDEX(MCC_Lookup!$B$2:$B$12,MATCH(G3482,MCC_Lookup!$A$2:$A$12,0))</f>
        <v>Transportation</v>
      </c>
      <c r="N3482" s="1" t="str">
        <f>IF(TRIM(H3482)="","BLANK",IF(PROPER(TRIM(H3482))=TRIM(M3482),"MATCH","MISMATCH"))</f>
        <v>MATCH</v>
      </c>
      <c r="O3482" s="5" t="str">
        <f>INDEX([1]Employee!$C$2:$C$276,MATCH(B3482,[1]Employee!$A$2:$A$276,0))</f>
        <v>Sales &amp; Marketing</v>
      </c>
    </row>
    <row r="3483" spans="1:15">
      <c r="A3483" s="1" t="s">
        <v>6724</v>
      </c>
      <c r="B3483" s="1" t="s">
        <v>527</v>
      </c>
      <c r="C3483" s="1" t="s">
        <v>6725</v>
      </c>
      <c r="D3483" s="2">
        <v>46197</v>
      </c>
      <c r="E3483" s="2">
        <v>46203</v>
      </c>
      <c r="F3483" s="1" t="s">
        <v>120</v>
      </c>
      <c r="G3483" s="1" t="s">
        <v>12</v>
      </c>
      <c r="H3483" s="1" t="s">
        <v>11</v>
      </c>
      <c r="I3483" s="7">
        <v>239.01</v>
      </c>
      <c r="J3483" s="1" t="s">
        <v>38</v>
      </c>
      <c r="K3483" s="1"/>
      <c r="L3483" s="1" t="s">
        <v>39</v>
      </c>
      <c r="M3483" s="1" t="str">
        <f>INDEX(MCC_Lookup!$B$2:$B$12,MATCH(G3483,MCC_Lookup!$A$2:$A$12,0))</f>
        <v>Office Supplies</v>
      </c>
      <c r="N3483" s="1" t="str">
        <f>IF(TRIM(H3483)="","BLANK",IF(PROPER(TRIM(H3483))=TRIM(M3483),"MATCH","MISMATCH"))</f>
        <v>MATCH</v>
      </c>
      <c r="O3483" s="5" t="str">
        <f>INDEX([1]Employee!$C$2:$C$276,MATCH(B3483,[1]Employee!$A$2:$A$276,0))</f>
        <v>Customer Support</v>
      </c>
    </row>
    <row r="3484" spans="1:15">
      <c r="A3484" s="1" t="s">
        <v>6726</v>
      </c>
      <c r="B3484" s="1" t="s">
        <v>387</v>
      </c>
      <c r="C3484" s="1" t="s">
        <v>6727</v>
      </c>
      <c r="D3484" s="2">
        <v>46198</v>
      </c>
      <c r="E3484" s="2">
        <v>46203</v>
      </c>
      <c r="F3484" s="1" t="s">
        <v>92</v>
      </c>
      <c r="G3484" s="1" t="s">
        <v>10</v>
      </c>
      <c r="H3484" s="1" t="s">
        <v>11</v>
      </c>
      <c r="I3484" s="7">
        <v>156.75</v>
      </c>
      <c r="J3484" s="1" t="s">
        <v>38</v>
      </c>
      <c r="K3484" s="1"/>
      <c r="L3484" s="1" t="s">
        <v>48</v>
      </c>
      <c r="M3484" s="1" t="str">
        <f>INDEX(MCC_Lookup!$B$2:$B$12,MATCH(G3484,MCC_Lookup!$A$2:$A$12,0))</f>
        <v>Office Supplies</v>
      </c>
      <c r="N3484" s="1" t="str">
        <f>IF(TRIM(H3484)="","BLANK",IF(PROPER(TRIM(H3484))=TRIM(M3484),"MATCH","MISMATCH"))</f>
        <v>MATCH</v>
      </c>
      <c r="O3484" s="5" t="str">
        <f>INDEX([1]Employee!$C$2:$C$276,MATCH(B3484,[1]Employee!$A$2:$A$276,0))</f>
        <v>IT &amp; Platform Engineering</v>
      </c>
    </row>
    <row r="3485" spans="1:15">
      <c r="A3485" s="1" t="s">
        <v>6728</v>
      </c>
      <c r="B3485" s="1" t="s">
        <v>325</v>
      </c>
      <c r="C3485" s="1" t="s">
        <v>6729</v>
      </c>
      <c r="D3485" s="2">
        <v>46203</v>
      </c>
      <c r="E3485" s="2">
        <v>46203</v>
      </c>
      <c r="F3485" s="1" t="s">
        <v>124</v>
      </c>
      <c r="G3485" s="1" t="s">
        <v>17</v>
      </c>
      <c r="H3485" s="1" t="s">
        <v>16</v>
      </c>
      <c r="I3485" s="7">
        <v>117.76</v>
      </c>
      <c r="J3485" s="1" t="s">
        <v>38</v>
      </c>
      <c r="K3485" s="1"/>
      <c r="L3485" s="1" t="s">
        <v>39</v>
      </c>
      <c r="M3485" s="1" t="str">
        <f>INDEX(MCC_Lookup!$B$2:$B$12,MATCH(G3485,MCC_Lookup!$A$2:$A$12,0))</f>
        <v>Entertainment</v>
      </c>
      <c r="N3485" s="1" t="str">
        <f>IF(TRIM(H3485)="","BLANK",IF(PROPER(TRIM(H3485))=TRIM(M3485),"MATCH","MISMATCH"))</f>
        <v>MATCH</v>
      </c>
      <c r="O3485" s="5" t="str">
        <f>INDEX([1]Employee!$C$2:$C$276,MATCH(B3485,[1]Employee!$A$2:$A$276,0))</f>
        <v>Sales &amp; Marketing</v>
      </c>
    </row>
    <row r="3486" spans="1:15">
      <c r="A3486" s="1" t="s">
        <v>6730</v>
      </c>
      <c r="B3486" s="1" t="s">
        <v>35</v>
      </c>
      <c r="C3486" s="1" t="s">
        <v>6731</v>
      </c>
      <c r="D3486" s="2">
        <v>46128</v>
      </c>
      <c r="E3486" s="2">
        <v>46203</v>
      </c>
      <c r="F3486" s="1" t="s">
        <v>79</v>
      </c>
      <c r="G3486" s="1" t="s">
        <v>13</v>
      </c>
      <c r="H3486" s="1" t="s">
        <v>14</v>
      </c>
      <c r="I3486" s="7">
        <v>171.62</v>
      </c>
      <c r="J3486" s="1" t="s">
        <v>38</v>
      </c>
      <c r="K3486" s="1"/>
      <c r="L3486" s="1" t="s">
        <v>39</v>
      </c>
      <c r="M3486" s="1" t="str">
        <f>INDEX(MCC_Lookup!$B$2:$B$12,MATCH(G3486,MCC_Lookup!$A$2:$A$12,0))</f>
        <v>Software</v>
      </c>
      <c r="N3486" s="1" t="str">
        <f>IF(TRIM(H3486)="","BLANK",IF(PROPER(TRIM(H3486))=TRIM(M3486),"MATCH","MISMATCH"))</f>
        <v>MATCH</v>
      </c>
      <c r="O3486" s="5" t="str">
        <f>INDEX([1]Employee!$C$2:$C$276,MATCH(B3486,[1]Employee!$A$2:$A$276,0))</f>
        <v>Sales &amp; Marketing</v>
      </c>
    </row>
    <row r="3487" spans="1:15">
      <c r="A3487" s="1" t="s">
        <v>6732</v>
      </c>
      <c r="B3487" s="1" t="s">
        <v>349</v>
      </c>
      <c r="C3487" s="1" t="s">
        <v>6733</v>
      </c>
      <c r="D3487" s="2">
        <v>46202</v>
      </c>
      <c r="E3487" s="2">
        <v>46203</v>
      </c>
      <c r="F3487" s="1" t="s">
        <v>92</v>
      </c>
      <c r="G3487" s="1" t="s">
        <v>10</v>
      </c>
      <c r="H3487" s="1" t="s">
        <v>11</v>
      </c>
      <c r="I3487" s="7">
        <v>85.95</v>
      </c>
      <c r="J3487" s="1" t="s">
        <v>38</v>
      </c>
      <c r="K3487" s="1"/>
      <c r="L3487" s="1" t="s">
        <v>39</v>
      </c>
      <c r="M3487" s="1" t="str">
        <f>INDEX(MCC_Lookup!$B$2:$B$12,MATCH(G3487,MCC_Lookup!$A$2:$A$12,0))</f>
        <v>Office Supplies</v>
      </c>
      <c r="N3487" s="1" t="str">
        <f>IF(TRIM(H3487)="","BLANK",IF(PROPER(TRIM(H3487))=TRIM(M3487),"MATCH","MISMATCH"))</f>
        <v>MATCH</v>
      </c>
      <c r="O3487" s="5" t="str">
        <f>INDEX([1]Employee!$C$2:$C$276,MATCH(B3487,[1]Employee!$A$2:$A$276,0))</f>
        <v>Sales &amp; Marketing</v>
      </c>
    </row>
    <row r="3488" spans="1:15">
      <c r="A3488" s="1" t="s">
        <v>6734</v>
      </c>
      <c r="B3488" s="1" t="s">
        <v>349</v>
      </c>
      <c r="C3488" s="1"/>
      <c r="D3488" s="2">
        <v>46199</v>
      </c>
      <c r="E3488" s="2">
        <v>46203</v>
      </c>
      <c r="F3488" s="1" t="s">
        <v>69</v>
      </c>
      <c r="G3488" s="1" t="s">
        <v>8</v>
      </c>
      <c r="H3488" s="1"/>
      <c r="I3488" s="7">
        <v>31.16</v>
      </c>
      <c r="J3488" s="1" t="s">
        <v>111</v>
      </c>
      <c r="K3488" s="1" t="s">
        <v>229</v>
      </c>
      <c r="L3488" s="1" t="s">
        <v>39</v>
      </c>
      <c r="M3488" s="1" t="str">
        <f>INDEX(MCC_Lookup!$B$2:$B$12,MATCH(G3488,MCC_Lookup!$A$2:$A$12,0))</f>
        <v>Transportation</v>
      </c>
      <c r="N3488" s="1" t="str">
        <f>IF(TRIM(H3488)="","BLANK",IF(PROPER(TRIM(H3488))=TRIM(M3488),"MATCH","MISMATCH"))</f>
        <v>BLANK</v>
      </c>
      <c r="O3488" s="5" t="str">
        <f>INDEX([1]Employee!$C$2:$C$276,MATCH(B3488,[1]Employee!$A$2:$A$276,0))</f>
        <v>Sales &amp; Marketing</v>
      </c>
    </row>
    <row r="3489" spans="1:15">
      <c r="A3489" s="1" t="s">
        <v>6735</v>
      </c>
      <c r="B3489" s="1" t="s">
        <v>328</v>
      </c>
      <c r="C3489" s="1" t="s">
        <v>6736</v>
      </c>
      <c r="D3489" s="2">
        <v>46198</v>
      </c>
      <c r="E3489" s="2">
        <v>46203</v>
      </c>
      <c r="F3489" s="1" t="s">
        <v>116</v>
      </c>
      <c r="G3489" s="1" t="s">
        <v>2</v>
      </c>
      <c r="H3489" s="1" t="s">
        <v>3</v>
      </c>
      <c r="I3489" s="7">
        <v>20.81</v>
      </c>
      <c r="J3489" s="1" t="s">
        <v>38</v>
      </c>
      <c r="K3489" s="1"/>
      <c r="L3489" s="1" t="s">
        <v>39</v>
      </c>
      <c r="M3489" s="1" t="str">
        <f>INDEX(MCC_Lookup!$B$2:$B$12,MATCH(G3489,MCC_Lookup!$A$2:$A$12,0))</f>
        <v>Meals</v>
      </c>
      <c r="N3489" s="1" t="str">
        <f>IF(TRIM(H3489)="","BLANK",IF(PROPER(TRIM(H3489))=TRIM(M3489),"MATCH","MISMATCH"))</f>
        <v>MATCH</v>
      </c>
      <c r="O3489" s="5" t="str">
        <f>INDEX([1]Employee!$C$2:$C$276,MATCH(B3489,[1]Employee!$A$2:$A$276,0))</f>
        <v>Underwriting</v>
      </c>
    </row>
    <row r="3490" spans="1:15">
      <c r="A3490" s="1" t="s">
        <v>6737</v>
      </c>
      <c r="B3490" s="1" t="s">
        <v>240</v>
      </c>
      <c r="C3490" s="1" t="s">
        <v>6738</v>
      </c>
      <c r="D3490" s="2">
        <v>46201</v>
      </c>
      <c r="E3490" s="2">
        <v>46203</v>
      </c>
      <c r="F3490" s="1" t="s">
        <v>124</v>
      </c>
      <c r="G3490" s="1" t="s">
        <v>17</v>
      </c>
      <c r="H3490" s="1" t="s">
        <v>16</v>
      </c>
      <c r="I3490" s="7">
        <v>179.25</v>
      </c>
      <c r="J3490" s="1" t="s">
        <v>38</v>
      </c>
      <c r="K3490" s="1"/>
      <c r="L3490" s="1" t="s">
        <v>39</v>
      </c>
      <c r="M3490" s="1" t="str">
        <f>INDEX(MCC_Lookup!$B$2:$B$12,MATCH(G3490,MCC_Lookup!$A$2:$A$12,0))</f>
        <v>Entertainment</v>
      </c>
      <c r="N3490" s="1" t="str">
        <f>IF(TRIM(H3490)="","BLANK",IF(PROPER(TRIM(H3490))=TRIM(M3490),"MATCH","MISMATCH"))</f>
        <v>MATCH</v>
      </c>
      <c r="O3490" s="5" t="str">
        <f>INDEX([1]Employee!$C$2:$C$276,MATCH(B3490,[1]Employee!$A$2:$A$276,0))</f>
        <v>Claims</v>
      </c>
    </row>
    <row r="3491" spans="1:15">
      <c r="A3491" s="1" t="s">
        <v>6739</v>
      </c>
      <c r="B3491" s="1" t="s">
        <v>448</v>
      </c>
      <c r="C3491" s="1" t="s">
        <v>6740</v>
      </c>
      <c r="D3491" s="2">
        <v>46071</v>
      </c>
      <c r="E3491" s="2">
        <v>46203</v>
      </c>
      <c r="F3491" s="1" t="s">
        <v>160</v>
      </c>
      <c r="G3491" s="1" t="s">
        <v>6</v>
      </c>
      <c r="H3491" s="1" t="s">
        <v>7</v>
      </c>
      <c r="I3491" s="7">
        <v>456.41</v>
      </c>
      <c r="J3491" s="1" t="s">
        <v>38</v>
      </c>
      <c r="K3491" s="1"/>
      <c r="L3491" s="1" t="s">
        <v>39</v>
      </c>
      <c r="M3491" s="1" t="str">
        <f>INDEX(MCC_Lookup!$B$2:$B$12,MATCH(G3491,MCC_Lookup!$A$2:$A$12,0))</f>
        <v>Lodging</v>
      </c>
      <c r="N3491" s="1" t="str">
        <f>IF(TRIM(H3491)="","BLANK",IF(PROPER(TRIM(H3491))=TRIM(M3491),"MATCH","MISMATCH"))</f>
        <v>MATCH</v>
      </c>
      <c r="O3491" s="5" t="str">
        <f>INDEX([1]Employee!$C$2:$C$276,MATCH(B3491,[1]Employee!$A$2:$A$276,0))</f>
        <v>Sales &amp; Marketing</v>
      </c>
    </row>
    <row r="3492" spans="1:15">
      <c r="A3492" s="1" t="s">
        <v>6741</v>
      </c>
      <c r="B3492" s="1" t="s">
        <v>448</v>
      </c>
      <c r="C3492" s="1" t="s">
        <v>6742</v>
      </c>
      <c r="D3492" s="2">
        <v>46159</v>
      </c>
      <c r="E3492" s="2">
        <v>46203</v>
      </c>
      <c r="F3492" s="1" t="s">
        <v>52</v>
      </c>
      <c r="G3492" s="1" t="s">
        <v>15</v>
      </c>
      <c r="H3492" s="1" t="s">
        <v>16</v>
      </c>
      <c r="I3492" s="7">
        <v>34.06</v>
      </c>
      <c r="J3492" s="1" t="s">
        <v>38</v>
      </c>
      <c r="K3492" s="1"/>
      <c r="L3492" s="1" t="s">
        <v>39</v>
      </c>
      <c r="M3492" s="1" t="str">
        <f>INDEX(MCC_Lookup!$B$2:$B$12,MATCH(G3492,MCC_Lookup!$A$2:$A$12,0))</f>
        <v>Entertainment</v>
      </c>
      <c r="N3492" s="1" t="str">
        <f>IF(TRIM(H3492)="","BLANK",IF(PROPER(TRIM(H3492))=TRIM(M3492),"MATCH","MISMATCH"))</f>
        <v>MATCH</v>
      </c>
      <c r="O3492" s="5" t="str">
        <f>INDEX([1]Employee!$C$2:$C$276,MATCH(B3492,[1]Employee!$A$2:$A$276,0))</f>
        <v>Sales &amp; Marketing</v>
      </c>
    </row>
    <row r="3493" spans="1:15">
      <c r="A3493" s="1" t="s">
        <v>6743</v>
      </c>
      <c r="B3493" s="1" t="s">
        <v>368</v>
      </c>
      <c r="C3493" s="1" t="s">
        <v>6744</v>
      </c>
      <c r="D3493" s="2">
        <v>46050</v>
      </c>
      <c r="E3493" s="2">
        <v>46203</v>
      </c>
      <c r="F3493" s="1" t="s">
        <v>347</v>
      </c>
      <c r="G3493" s="1" t="s">
        <v>8</v>
      </c>
      <c r="H3493" s="1" t="s">
        <v>9</v>
      </c>
      <c r="I3493" s="7">
        <v>16.3</v>
      </c>
      <c r="J3493" s="1" t="s">
        <v>38</v>
      </c>
      <c r="K3493" s="1"/>
      <c r="L3493" s="1" t="s">
        <v>39</v>
      </c>
      <c r="M3493" s="1" t="str">
        <f>INDEX(MCC_Lookup!$B$2:$B$12,MATCH(G3493,MCC_Lookup!$A$2:$A$12,0))</f>
        <v>Transportation</v>
      </c>
      <c r="N3493" s="1" t="str">
        <f>IF(TRIM(H3493)="","BLANK",IF(PROPER(TRIM(H3493))=TRIM(M3493),"MATCH","MISMATCH"))</f>
        <v>MATCH</v>
      </c>
      <c r="O3493" s="5" t="str">
        <f>INDEX([1]Employee!$C$2:$C$276,MATCH(B3493,[1]Employee!$A$2:$A$276,0))</f>
        <v>Actuarial &amp; Risk</v>
      </c>
    </row>
    <row r="3494" spans="1:15">
      <c r="A3494" s="1" t="s">
        <v>6745</v>
      </c>
      <c r="B3494" s="1" t="s">
        <v>50</v>
      </c>
      <c r="C3494" s="1" t="s">
        <v>6746</v>
      </c>
      <c r="D3494" s="2">
        <v>46196</v>
      </c>
      <c r="E3494" s="2">
        <v>46203</v>
      </c>
      <c r="F3494" s="1" t="s">
        <v>242</v>
      </c>
      <c r="G3494" s="1" t="s">
        <v>13</v>
      </c>
      <c r="H3494" s="1" t="s">
        <v>14</v>
      </c>
      <c r="I3494" s="7">
        <v>20.02</v>
      </c>
      <c r="J3494" s="1" t="s">
        <v>38</v>
      </c>
      <c r="K3494" s="1"/>
      <c r="L3494" s="1" t="s">
        <v>39</v>
      </c>
      <c r="M3494" s="1" t="str">
        <f>INDEX(MCC_Lookup!$B$2:$B$12,MATCH(G3494,MCC_Lookup!$A$2:$A$12,0))</f>
        <v>Software</v>
      </c>
      <c r="N3494" s="1" t="str">
        <f>IF(TRIM(H3494)="","BLANK",IF(PROPER(TRIM(H3494))=TRIM(M3494),"MATCH","MISMATCH"))</f>
        <v>MATCH</v>
      </c>
      <c r="O3494" s="5" t="str">
        <f>INDEX([1]Employee!$C$2:$C$276,MATCH(B3494,[1]Employee!$A$2:$A$276,0))</f>
        <v>Sales &amp; Marketing</v>
      </c>
    </row>
    <row r="3495" spans="1:15">
      <c r="A3495" s="1" t="s">
        <v>6747</v>
      </c>
      <c r="B3495" s="1" t="s">
        <v>50</v>
      </c>
      <c r="C3495" s="1" t="s">
        <v>6748</v>
      </c>
      <c r="D3495" s="2">
        <v>46202</v>
      </c>
      <c r="E3495" s="2">
        <v>46203</v>
      </c>
      <c r="F3495" s="1" t="s">
        <v>61</v>
      </c>
      <c r="G3495" s="1" t="s">
        <v>13</v>
      </c>
      <c r="H3495" s="1" t="s">
        <v>14</v>
      </c>
      <c r="I3495" s="7">
        <v>86.59</v>
      </c>
      <c r="J3495" s="1" t="s">
        <v>38</v>
      </c>
      <c r="K3495" s="1"/>
      <c r="L3495" s="1" t="s">
        <v>39</v>
      </c>
      <c r="M3495" s="1" t="str">
        <f>INDEX(MCC_Lookup!$B$2:$B$12,MATCH(G3495,MCC_Lookup!$A$2:$A$12,0))</f>
        <v>Software</v>
      </c>
      <c r="N3495" s="1" t="str">
        <f>IF(TRIM(H3495)="","BLANK",IF(PROPER(TRIM(H3495))=TRIM(M3495),"MATCH","MISMATCH"))</f>
        <v>MATCH</v>
      </c>
      <c r="O3495" s="5" t="str">
        <f>INDEX([1]Employee!$C$2:$C$276,MATCH(B3495,[1]Employee!$A$2:$A$276,0))</f>
        <v>Sales &amp; Marketing</v>
      </c>
    </row>
    <row r="3496" spans="1:15">
      <c r="A3496" s="1" t="s">
        <v>6749</v>
      </c>
      <c r="B3496" s="1" t="s">
        <v>50</v>
      </c>
      <c r="C3496" s="1"/>
      <c r="D3496" s="2">
        <v>46194</v>
      </c>
      <c r="E3496" s="2">
        <v>46203</v>
      </c>
      <c r="F3496" s="1" t="s">
        <v>347</v>
      </c>
      <c r="G3496" s="1" t="s">
        <v>8</v>
      </c>
      <c r="H3496" s="1" t="s">
        <v>9</v>
      </c>
      <c r="I3496" s="7">
        <v>22.18</v>
      </c>
      <c r="J3496" s="1" t="s">
        <v>38</v>
      </c>
      <c r="K3496" s="1"/>
      <c r="L3496" s="1" t="s">
        <v>39</v>
      </c>
      <c r="M3496" s="1" t="str">
        <f>INDEX(MCC_Lookup!$B$2:$B$12,MATCH(G3496,MCC_Lookup!$A$2:$A$12,0))</f>
        <v>Transportation</v>
      </c>
      <c r="N3496" s="1" t="str">
        <f>IF(TRIM(H3496)="","BLANK",IF(PROPER(TRIM(H3496))=TRIM(M3496),"MATCH","MISMATCH"))</f>
        <v>MATCH</v>
      </c>
      <c r="O3496" s="5" t="str">
        <f>INDEX([1]Employee!$C$2:$C$276,MATCH(B3496,[1]Employee!$A$2:$A$276,0))</f>
        <v>Sales &amp; Marketing</v>
      </c>
    </row>
    <row r="3497" spans="1:15">
      <c r="A3497" s="1" t="s">
        <v>6750</v>
      </c>
      <c r="B3497" s="1" t="s">
        <v>2178</v>
      </c>
      <c r="C3497" s="1" t="s">
        <v>6751</v>
      </c>
      <c r="D3497" s="2">
        <v>46196</v>
      </c>
      <c r="E3497" s="2">
        <v>46203</v>
      </c>
      <c r="F3497" s="1" t="s">
        <v>109</v>
      </c>
      <c r="G3497" s="1" t="s">
        <v>18</v>
      </c>
      <c r="H3497" s="1" t="s">
        <v>19</v>
      </c>
      <c r="I3497" s="7">
        <v>131.19999999999999</v>
      </c>
      <c r="J3497" s="1" t="s">
        <v>38</v>
      </c>
      <c r="K3497" s="1"/>
      <c r="L3497" s="1" t="s">
        <v>39</v>
      </c>
      <c r="M3497" s="1" t="str">
        <f>INDEX(MCC_Lookup!$B$2:$B$12,MATCH(G3497,MCC_Lookup!$A$2:$A$12,0))</f>
        <v>Events</v>
      </c>
      <c r="N3497" s="1" t="str">
        <f>IF(TRIM(H3497)="","BLANK",IF(PROPER(TRIM(H3497))=TRIM(M3497),"MATCH","MISMATCH"))</f>
        <v>MATCH</v>
      </c>
      <c r="O3497" s="5" t="str">
        <f>INDEX([1]Employee!$C$2:$C$276,MATCH(B3497,[1]Employee!$A$2:$A$276,0))</f>
        <v>Customer Support</v>
      </c>
    </row>
    <row r="3498" spans="1:15">
      <c r="A3498" s="1" t="s">
        <v>6752</v>
      </c>
      <c r="B3498" s="1" t="s">
        <v>595</v>
      </c>
      <c r="C3498" s="1" t="s">
        <v>6753</v>
      </c>
      <c r="D3498" s="2">
        <v>46202</v>
      </c>
      <c r="E3498" s="2">
        <v>46203</v>
      </c>
      <c r="F3498" s="1" t="s">
        <v>69</v>
      </c>
      <c r="G3498" s="1" t="s">
        <v>8</v>
      </c>
      <c r="H3498" s="1" t="s">
        <v>9</v>
      </c>
      <c r="I3498" s="7">
        <v>17.61</v>
      </c>
      <c r="J3498" s="1" t="s">
        <v>38</v>
      </c>
      <c r="K3498" s="1"/>
      <c r="L3498" s="1" t="s">
        <v>39</v>
      </c>
      <c r="M3498" s="1" t="str">
        <f>INDEX(MCC_Lookup!$B$2:$B$12,MATCH(G3498,MCC_Lookup!$A$2:$A$12,0))</f>
        <v>Transportation</v>
      </c>
      <c r="N3498" s="1" t="str">
        <f>IF(TRIM(H3498)="","BLANK",IF(PROPER(TRIM(H3498))=TRIM(M3498),"MATCH","MISMATCH"))</f>
        <v>MATCH</v>
      </c>
      <c r="O3498" s="5" t="str">
        <f>INDEX([1]Employee!$C$2:$C$276,MATCH(B3498,[1]Employee!$A$2:$A$276,0))</f>
        <v>Executive &amp; Corporate</v>
      </c>
    </row>
    <row r="3499" spans="1:15">
      <c r="A3499" s="1" t="s">
        <v>6754</v>
      </c>
      <c r="B3499" s="1" t="s">
        <v>187</v>
      </c>
      <c r="C3499" s="1"/>
      <c r="D3499" s="2">
        <v>46202</v>
      </c>
      <c r="E3499" s="2">
        <v>46203</v>
      </c>
      <c r="F3499" s="1" t="s">
        <v>99</v>
      </c>
      <c r="G3499" s="1" t="s">
        <v>2</v>
      </c>
      <c r="H3499" s="1" t="s">
        <v>3</v>
      </c>
      <c r="I3499" s="7">
        <v>48</v>
      </c>
      <c r="J3499" s="1" t="s">
        <v>38</v>
      </c>
      <c r="K3499" s="1"/>
      <c r="L3499" s="1" t="s">
        <v>39</v>
      </c>
      <c r="M3499" s="1" t="str">
        <f>INDEX(MCC_Lookup!$B$2:$B$12,MATCH(G3499,MCC_Lookup!$A$2:$A$12,0))</f>
        <v>Meals</v>
      </c>
      <c r="N3499" s="1" t="str">
        <f>IF(TRIM(H3499)="","BLANK",IF(PROPER(TRIM(H3499))=TRIM(M3499),"MATCH","MISMATCH"))</f>
        <v>MATCH</v>
      </c>
      <c r="O3499" s="5" t="str">
        <f>INDEX([1]Employee!$C$2:$C$276,MATCH(B3499,[1]Employee!$A$2:$A$276,0))</f>
        <v>HR &amp; Events</v>
      </c>
    </row>
    <row r="3500" spans="1:15">
      <c r="A3500" s="1" t="s">
        <v>6755</v>
      </c>
      <c r="B3500" s="1" t="s">
        <v>63</v>
      </c>
      <c r="C3500" s="1" t="s">
        <v>6756</v>
      </c>
      <c r="D3500" s="2">
        <v>46201</v>
      </c>
      <c r="E3500" s="2">
        <v>46203</v>
      </c>
      <c r="F3500" s="1" t="s">
        <v>160</v>
      </c>
      <c r="G3500" s="1" t="s">
        <v>6</v>
      </c>
      <c r="H3500" s="1" t="s">
        <v>7</v>
      </c>
      <c r="I3500" s="7">
        <v>244.71</v>
      </c>
      <c r="J3500" s="1" t="s">
        <v>38</v>
      </c>
      <c r="K3500" s="1"/>
      <c r="L3500" s="1" t="s">
        <v>39</v>
      </c>
      <c r="M3500" s="1" t="str">
        <f>INDEX(MCC_Lookup!$B$2:$B$12,MATCH(G3500,MCC_Lookup!$A$2:$A$12,0))</f>
        <v>Lodging</v>
      </c>
      <c r="N3500" s="1" t="str">
        <f>IF(TRIM(H3500)="","BLANK",IF(PROPER(TRIM(H3500))=TRIM(M3500),"MATCH","MISMATCH"))</f>
        <v>MATCH</v>
      </c>
      <c r="O3500" s="5" t="str">
        <f>INDEX([1]Employee!$C$2:$C$276,MATCH(B3500,[1]Employee!$A$2:$A$276,0))</f>
        <v>Sales &amp; Marketing</v>
      </c>
    </row>
    <row r="3501" spans="1:15">
      <c r="A3501" s="1" t="s">
        <v>6757</v>
      </c>
      <c r="B3501" s="1" t="s">
        <v>63</v>
      </c>
      <c r="C3501" s="1" t="s">
        <v>6758</v>
      </c>
      <c r="D3501" s="2">
        <v>46198</v>
      </c>
      <c r="E3501" s="2">
        <v>46203</v>
      </c>
      <c r="F3501" s="1" t="s">
        <v>173</v>
      </c>
      <c r="G3501" s="1" t="s">
        <v>2</v>
      </c>
      <c r="H3501" s="1" t="s">
        <v>154</v>
      </c>
      <c r="I3501" s="7">
        <v>24.1</v>
      </c>
      <c r="J3501" s="1" t="s">
        <v>38</v>
      </c>
      <c r="K3501" s="1"/>
      <c r="L3501" s="1" t="s">
        <v>48</v>
      </c>
      <c r="M3501" s="1" t="str">
        <f>INDEX(MCC_Lookup!$B$2:$B$12,MATCH(G3501,MCC_Lookup!$A$2:$A$12,0))</f>
        <v>Meals</v>
      </c>
      <c r="N3501" s="1" t="str">
        <f>IF(TRIM(H3501)="","BLANK",IF(PROPER(TRIM(H3501))=TRIM(M3501),"MATCH","MISMATCH"))</f>
        <v>MATCH</v>
      </c>
      <c r="O3501" s="5" t="str">
        <f>INDEX([1]Employee!$C$2:$C$276,MATCH(B3501,[1]Employee!$A$2:$A$276,0))</f>
        <v>Sales &amp; Marketing</v>
      </c>
    </row>
    <row r="3502" spans="1:15">
      <c r="A3502" s="1" t="s">
        <v>6759</v>
      </c>
      <c r="B3502" s="1" t="s">
        <v>126</v>
      </c>
      <c r="C3502" s="1"/>
      <c r="D3502" s="2">
        <v>46200</v>
      </c>
      <c r="E3502" s="2">
        <v>46203</v>
      </c>
      <c r="F3502" s="1" t="s">
        <v>83</v>
      </c>
      <c r="G3502" s="1" t="s">
        <v>2</v>
      </c>
      <c r="H3502" s="1" t="s">
        <v>3</v>
      </c>
      <c r="I3502" s="7">
        <v>29.82</v>
      </c>
      <c r="J3502" s="1" t="s">
        <v>111</v>
      </c>
      <c r="K3502" s="1" t="s">
        <v>127</v>
      </c>
      <c r="L3502" s="1" t="s">
        <v>39</v>
      </c>
      <c r="M3502" s="1" t="str">
        <f>INDEX(MCC_Lookup!$B$2:$B$12,MATCH(G3502,MCC_Lookup!$A$2:$A$12,0))</f>
        <v>Meals</v>
      </c>
      <c r="N3502" s="1" t="str">
        <f>IF(TRIM(H3502)="","BLANK",IF(PROPER(TRIM(H3502))=TRIM(M3502),"MATCH","MISMATCH"))</f>
        <v>MATCH</v>
      </c>
      <c r="O3502" s="5" t="str">
        <f>INDEX([1]Employee!$C$2:$C$276,MATCH(B3502,[1]Employee!$A$2:$A$276,0))</f>
        <v>Actuarial &amp; Risk</v>
      </c>
    </row>
    <row r="3503" spans="1:15">
      <c r="A3503" s="1" t="s">
        <v>6760</v>
      </c>
      <c r="B3503" s="1" t="s">
        <v>59</v>
      </c>
      <c r="C3503" s="1" t="s">
        <v>6761</v>
      </c>
      <c r="D3503" s="2">
        <v>46202</v>
      </c>
      <c r="E3503" s="2">
        <v>46203</v>
      </c>
      <c r="F3503" s="1" t="s">
        <v>347</v>
      </c>
      <c r="G3503" s="1" t="s">
        <v>8</v>
      </c>
      <c r="H3503" s="1" t="s">
        <v>9</v>
      </c>
      <c r="I3503" s="7">
        <v>30.89</v>
      </c>
      <c r="J3503" s="1" t="s">
        <v>38</v>
      </c>
      <c r="K3503" s="1"/>
      <c r="L3503" s="1" t="s">
        <v>39</v>
      </c>
      <c r="M3503" s="1" t="str">
        <f>INDEX(MCC_Lookup!$B$2:$B$12,MATCH(G3503,MCC_Lookup!$A$2:$A$12,0))</f>
        <v>Transportation</v>
      </c>
      <c r="N3503" s="1" t="str">
        <f>IF(TRIM(H3503)="","BLANK",IF(PROPER(TRIM(H3503))=TRIM(M3503),"MATCH","MISMATCH"))</f>
        <v>MATCH</v>
      </c>
      <c r="O3503" s="5" t="str">
        <f>INDEX([1]Employee!$C$2:$C$276,MATCH(B3503,[1]Employee!$A$2:$A$276,0))</f>
        <v>Sales &amp; Marketing</v>
      </c>
    </row>
    <row r="3504" spans="1:15">
      <c r="A3504" s="1" t="s">
        <v>6762</v>
      </c>
      <c r="B3504" s="1" t="s">
        <v>661</v>
      </c>
      <c r="C3504" s="1" t="s">
        <v>6763</v>
      </c>
      <c r="D3504" s="2">
        <v>46195</v>
      </c>
      <c r="E3504" s="2">
        <v>46203</v>
      </c>
      <c r="F3504" s="1" t="s">
        <v>47</v>
      </c>
      <c r="G3504" s="1" t="s">
        <v>6</v>
      </c>
      <c r="H3504" s="1" t="s">
        <v>7</v>
      </c>
      <c r="I3504" s="7">
        <v>299.32</v>
      </c>
      <c r="J3504" s="1" t="s">
        <v>38</v>
      </c>
      <c r="K3504" s="1"/>
      <c r="L3504" s="1" t="s">
        <v>39</v>
      </c>
      <c r="M3504" s="1" t="str">
        <f>INDEX(MCC_Lookup!$B$2:$B$12,MATCH(G3504,MCC_Lookup!$A$2:$A$12,0))</f>
        <v>Lodging</v>
      </c>
      <c r="N3504" s="1" t="str">
        <f>IF(TRIM(H3504)="","BLANK",IF(PROPER(TRIM(H3504))=TRIM(M3504),"MATCH","MISMATCH"))</f>
        <v>MATCH</v>
      </c>
      <c r="O3504" s="5" t="str">
        <f>INDEX([1]Employee!$C$2:$C$276,MATCH(B3504,[1]Employee!$A$2:$A$276,0))</f>
        <v>Sales &amp; Marketing</v>
      </c>
    </row>
    <row r="3505" spans="1:15">
      <c r="A3505" s="1" t="s">
        <v>6764</v>
      </c>
      <c r="B3505" s="1" t="s">
        <v>136</v>
      </c>
      <c r="C3505" s="1" t="s">
        <v>6765</v>
      </c>
      <c r="D3505" s="2">
        <v>46202</v>
      </c>
      <c r="E3505" s="2">
        <v>46203</v>
      </c>
      <c r="F3505" s="1" t="s">
        <v>52</v>
      </c>
      <c r="G3505" s="1" t="s">
        <v>15</v>
      </c>
      <c r="H3505" s="1" t="s">
        <v>16</v>
      </c>
      <c r="I3505" s="7">
        <v>38.409999999999997</v>
      </c>
      <c r="J3505" s="1" t="s">
        <v>38</v>
      </c>
      <c r="K3505" s="1"/>
      <c r="L3505" s="1" t="s">
        <v>39</v>
      </c>
      <c r="M3505" s="1" t="str">
        <f>INDEX(MCC_Lookup!$B$2:$B$12,MATCH(G3505,MCC_Lookup!$A$2:$A$12,0))</f>
        <v>Entertainment</v>
      </c>
      <c r="N3505" s="1" t="str">
        <f>IF(TRIM(H3505)="","BLANK",IF(PROPER(TRIM(H3505))=TRIM(M3505),"MATCH","MISMATCH"))</f>
        <v>MATCH</v>
      </c>
      <c r="O3505" s="5" t="str">
        <f>INDEX([1]Employee!$C$2:$C$276,MATCH(B3505,[1]Employee!$A$2:$A$276,0))</f>
        <v>Sales &amp; Marketing</v>
      </c>
    </row>
    <row r="3506" spans="1:15">
      <c r="A3506" s="1" t="s">
        <v>6766</v>
      </c>
      <c r="B3506" s="1" t="s">
        <v>354</v>
      </c>
      <c r="C3506" s="1" t="s">
        <v>6767</v>
      </c>
      <c r="D3506" s="2">
        <v>46203</v>
      </c>
      <c r="E3506" s="2">
        <v>46203</v>
      </c>
      <c r="F3506" s="1" t="s">
        <v>56</v>
      </c>
      <c r="G3506" s="1" t="s">
        <v>4</v>
      </c>
      <c r="H3506" s="1" t="s">
        <v>6768</v>
      </c>
      <c r="I3506" s="7">
        <v>233.34</v>
      </c>
      <c r="J3506" s="1" t="s">
        <v>38</v>
      </c>
      <c r="K3506" s="1"/>
      <c r="L3506" s="1" t="s">
        <v>39</v>
      </c>
      <c r="M3506" s="1" t="str">
        <f>INDEX(MCC_Lookup!$B$2:$B$12,MATCH(G3506,MCC_Lookup!$A$2:$A$12,0))</f>
        <v>Travel</v>
      </c>
      <c r="N3506" s="1" t="str">
        <f>IF(TRIM(H3506)="","BLANK",IF(PROPER(TRIM(H3506))=TRIM(M3506),"MATCH","MISMATCH"))</f>
        <v>MATCH</v>
      </c>
      <c r="O3506" s="5" t="str">
        <f>INDEX([1]Employee!$C$2:$C$276,MATCH(B3506,[1]Employee!$A$2:$A$276,0))</f>
        <v>Customer Support</v>
      </c>
    </row>
    <row r="3507" spans="1:15">
      <c r="A3507" s="1" t="s">
        <v>6769</v>
      </c>
      <c r="B3507" s="1" t="s">
        <v>1116</v>
      </c>
      <c r="C3507" s="1"/>
      <c r="D3507" s="2">
        <v>46098</v>
      </c>
      <c r="E3507" s="2">
        <v>46203</v>
      </c>
      <c r="F3507" s="1" t="s">
        <v>120</v>
      </c>
      <c r="G3507" s="1" t="s">
        <v>12</v>
      </c>
      <c r="H3507" s="1" t="s">
        <v>11</v>
      </c>
      <c r="I3507" s="7">
        <v>192.76</v>
      </c>
      <c r="J3507" s="1" t="s">
        <v>111</v>
      </c>
      <c r="K3507" s="1" t="s">
        <v>112</v>
      </c>
      <c r="L3507" s="1" t="s">
        <v>39</v>
      </c>
      <c r="M3507" s="1" t="str">
        <f>INDEX(MCC_Lookup!$B$2:$B$12,MATCH(G3507,MCC_Lookup!$A$2:$A$12,0))</f>
        <v>Office Supplies</v>
      </c>
      <c r="N3507" s="1" t="str">
        <f>IF(TRIM(H3507)="","BLANK",IF(PROPER(TRIM(H3507))=TRIM(M3507),"MATCH","MISMATCH"))</f>
        <v>MATCH</v>
      </c>
      <c r="O3507" s="5" t="str">
        <f>INDEX([1]Employee!$C$2:$C$276,MATCH(B3507,[1]Employee!$A$2:$A$276,0))</f>
        <v>Underwriting</v>
      </c>
    </row>
    <row r="3508" spans="1:15">
      <c r="A3508" s="1" t="s">
        <v>6770</v>
      </c>
      <c r="B3508" s="1" t="s">
        <v>118</v>
      </c>
      <c r="C3508" s="1" t="s">
        <v>6771</v>
      </c>
      <c r="D3508" s="2">
        <v>46199</v>
      </c>
      <c r="E3508" s="2">
        <v>46203</v>
      </c>
      <c r="F3508" s="1" t="s">
        <v>79</v>
      </c>
      <c r="G3508" s="1" t="s">
        <v>13</v>
      </c>
      <c r="H3508" s="1" t="s">
        <v>14</v>
      </c>
      <c r="I3508" s="7">
        <v>244.19</v>
      </c>
      <c r="J3508" s="1" t="s">
        <v>38</v>
      </c>
      <c r="K3508" s="1"/>
      <c r="L3508" s="1" t="s">
        <v>39</v>
      </c>
      <c r="M3508" s="1" t="str">
        <f>INDEX(MCC_Lookup!$B$2:$B$12,MATCH(G3508,MCC_Lookup!$A$2:$A$12,0))</f>
        <v>Software</v>
      </c>
      <c r="N3508" s="1" t="str">
        <f>IF(TRIM(H3508)="","BLANK",IF(PROPER(TRIM(H3508))=TRIM(M3508),"MATCH","MISMATCH"))</f>
        <v>MATCH</v>
      </c>
      <c r="O3508" s="5" t="str">
        <f>INDEX([1]Employee!$C$2:$C$276,MATCH(B3508,[1]Employee!$A$2:$A$276,0))</f>
        <v>Underwriting</v>
      </c>
    </row>
    <row r="3509" spans="1:15">
      <c r="A3509" s="1" t="s">
        <v>6772</v>
      </c>
      <c r="B3509" s="1" t="s">
        <v>469</v>
      </c>
      <c r="C3509" s="1"/>
      <c r="D3509" s="2">
        <v>46098</v>
      </c>
      <c r="E3509" s="2">
        <v>46203</v>
      </c>
      <c r="F3509" s="1" t="s">
        <v>242</v>
      </c>
      <c r="G3509" s="1" t="s">
        <v>13</v>
      </c>
      <c r="H3509" s="1"/>
      <c r="I3509" s="7">
        <v>40.700000000000003</v>
      </c>
      <c r="J3509" s="1" t="s">
        <v>111</v>
      </c>
      <c r="K3509" s="1" t="s">
        <v>127</v>
      </c>
      <c r="L3509" s="1" t="s">
        <v>48</v>
      </c>
      <c r="M3509" s="1" t="str">
        <f>INDEX(MCC_Lookup!$B$2:$B$12,MATCH(G3509,MCC_Lookup!$A$2:$A$12,0))</f>
        <v>Software</v>
      </c>
      <c r="N3509" s="1" t="str">
        <f>IF(TRIM(H3509)="","BLANK",IF(PROPER(TRIM(H3509))=TRIM(M3509),"MATCH","MISMATCH"))</f>
        <v>BLANK</v>
      </c>
      <c r="O3509" s="5" t="str">
        <f>INDEX([1]Employee!$C$2:$C$276,MATCH(B3509,[1]Employee!$A$2:$A$276,0))</f>
        <v>Sales &amp; Marketing</v>
      </c>
    </row>
    <row r="3510" spans="1:15">
      <c r="A3510" s="1" t="s">
        <v>6773</v>
      </c>
      <c r="B3510" s="1" t="s">
        <v>469</v>
      </c>
      <c r="C3510" s="1"/>
      <c r="D3510" s="2">
        <v>46194</v>
      </c>
      <c r="E3510" s="2">
        <v>46203</v>
      </c>
      <c r="F3510" s="1" t="s">
        <v>259</v>
      </c>
      <c r="G3510" s="1" t="s">
        <v>20</v>
      </c>
      <c r="H3510" s="1" t="s">
        <v>19</v>
      </c>
      <c r="I3510" s="7">
        <v>643.26</v>
      </c>
      <c r="J3510" s="1" t="s">
        <v>111</v>
      </c>
      <c r="K3510" s="1" t="s">
        <v>127</v>
      </c>
      <c r="L3510" s="1" t="s">
        <v>39</v>
      </c>
      <c r="M3510" s="1" t="str">
        <f>INDEX(MCC_Lookup!$B$2:$B$12,MATCH(G3510,MCC_Lookup!$A$2:$A$12,0))</f>
        <v>Events</v>
      </c>
      <c r="N3510" s="1" t="str">
        <f>IF(TRIM(H3510)="","BLANK",IF(PROPER(TRIM(H3510))=TRIM(M3510),"MATCH","MISMATCH"))</f>
        <v>MATCH</v>
      </c>
      <c r="O3510" s="5" t="str">
        <f>INDEX([1]Employee!$C$2:$C$276,MATCH(B3510,[1]Employee!$A$2:$A$276,0))</f>
        <v>Sales &amp; Marketing</v>
      </c>
    </row>
    <row r="3511" spans="1:15">
      <c r="A3511" s="1" t="s">
        <v>6774</v>
      </c>
      <c r="B3511" s="1" t="s">
        <v>346</v>
      </c>
      <c r="C3511" s="1"/>
      <c r="D3511" s="2">
        <v>46159</v>
      </c>
      <c r="E3511" s="2">
        <v>46203</v>
      </c>
      <c r="F3511" s="1" t="s">
        <v>120</v>
      </c>
      <c r="G3511" s="1" t="s">
        <v>12</v>
      </c>
      <c r="H3511" s="1" t="s">
        <v>11</v>
      </c>
      <c r="I3511" s="7">
        <v>269</v>
      </c>
      <c r="J3511" s="1" t="s">
        <v>38</v>
      </c>
      <c r="K3511" s="1"/>
      <c r="L3511" s="1" t="s">
        <v>39</v>
      </c>
      <c r="M3511" s="1" t="str">
        <f>INDEX(MCC_Lookup!$B$2:$B$12,MATCH(G3511,MCC_Lookup!$A$2:$A$12,0))</f>
        <v>Office Supplies</v>
      </c>
      <c r="N3511" s="1" t="str">
        <f>IF(TRIM(H3511)="","BLANK",IF(PROPER(TRIM(H3511))=TRIM(M3511),"MATCH","MISMATCH"))</f>
        <v>MATCH</v>
      </c>
      <c r="O3511" s="5" t="str">
        <f>INDEX([1]Employee!$C$2:$C$276,MATCH(B3511,[1]Employee!$A$2:$A$276,0))</f>
        <v>Actuarial &amp; Risk</v>
      </c>
    </row>
    <row r="3512" spans="1:15">
      <c r="A3512" s="1" t="s">
        <v>6775</v>
      </c>
      <c r="B3512" s="1" t="s">
        <v>104</v>
      </c>
      <c r="C3512" s="1"/>
      <c r="D3512" s="2">
        <v>46201</v>
      </c>
      <c r="E3512" s="2">
        <v>46203</v>
      </c>
      <c r="F3512" s="1" t="s">
        <v>92</v>
      </c>
      <c r="G3512" s="1" t="s">
        <v>10</v>
      </c>
      <c r="H3512" s="1" t="s">
        <v>11</v>
      </c>
      <c r="I3512" s="7">
        <v>37.89</v>
      </c>
      <c r="J3512" s="1" t="s">
        <v>38</v>
      </c>
      <c r="K3512" s="1"/>
      <c r="L3512" s="1" t="s">
        <v>39</v>
      </c>
      <c r="M3512" s="1" t="str">
        <f>INDEX(MCC_Lookup!$B$2:$B$12,MATCH(G3512,MCC_Lookup!$A$2:$A$12,0))</f>
        <v>Office Supplies</v>
      </c>
      <c r="N3512" s="1" t="str">
        <f>IF(TRIM(H3512)="","BLANK",IF(PROPER(TRIM(H3512))=TRIM(M3512),"MATCH","MISMATCH"))</f>
        <v>MATCH</v>
      </c>
      <c r="O3512" s="5" t="str">
        <f>INDEX([1]Employee!$C$2:$C$276,MATCH(B3512,[1]Employee!$A$2:$A$276,0))</f>
        <v>Sales &amp; Marketing</v>
      </c>
    </row>
    <row r="3513" spans="1:15">
      <c r="A3513" s="1" t="s">
        <v>6776</v>
      </c>
      <c r="B3513" s="1" t="s">
        <v>280</v>
      </c>
      <c r="C3513" s="1" t="s">
        <v>6777</v>
      </c>
      <c r="D3513" s="2">
        <v>46201</v>
      </c>
      <c r="E3513" s="2">
        <v>46203</v>
      </c>
      <c r="F3513" s="1" t="s">
        <v>347</v>
      </c>
      <c r="G3513" s="1" t="s">
        <v>8</v>
      </c>
      <c r="H3513" s="1" t="s">
        <v>6778</v>
      </c>
      <c r="I3513" s="7">
        <v>46.21</v>
      </c>
      <c r="J3513" s="1" t="s">
        <v>38</v>
      </c>
      <c r="K3513" s="1"/>
      <c r="L3513" s="1" t="s">
        <v>39</v>
      </c>
      <c r="M3513" s="1" t="str">
        <f>INDEX(MCC_Lookup!$B$2:$B$12,MATCH(G3513,MCC_Lookup!$A$2:$A$12,0))</f>
        <v>Transportation</v>
      </c>
      <c r="N3513" s="1" t="str">
        <f>IF(TRIM(H3513)="","BLANK",IF(PROPER(TRIM(H3513))=TRIM(M3513),"MATCH","MISMATCH"))</f>
        <v>MATCH</v>
      </c>
      <c r="O3513" s="5" t="str">
        <f>INDEX([1]Employee!$C$2:$C$276,MATCH(B3513,[1]Employee!$A$2:$A$276,0))</f>
        <v>Claims</v>
      </c>
    </row>
    <row r="3514" spans="1:15">
      <c r="A3514" s="1" t="s">
        <v>6779</v>
      </c>
      <c r="B3514" s="1" t="s">
        <v>339</v>
      </c>
      <c r="C3514" s="1" t="s">
        <v>6780</v>
      </c>
      <c r="D3514" s="2">
        <v>46201</v>
      </c>
      <c r="E3514" s="2">
        <v>46203</v>
      </c>
      <c r="F3514" s="1" t="s">
        <v>52</v>
      </c>
      <c r="G3514" s="1" t="s">
        <v>15</v>
      </c>
      <c r="H3514" s="1" t="s">
        <v>16</v>
      </c>
      <c r="I3514" s="7">
        <v>47.32</v>
      </c>
      <c r="J3514" s="1" t="s">
        <v>38</v>
      </c>
      <c r="K3514" s="1"/>
      <c r="L3514" s="1" t="s">
        <v>39</v>
      </c>
      <c r="M3514" s="1" t="str">
        <f>INDEX(MCC_Lookup!$B$2:$B$12,MATCH(G3514,MCC_Lookup!$A$2:$A$12,0))</f>
        <v>Entertainment</v>
      </c>
      <c r="N3514" s="1" t="str">
        <f>IF(TRIM(H3514)="","BLANK",IF(PROPER(TRIM(H3514))=TRIM(M3514),"MATCH","MISMATCH"))</f>
        <v>MATCH</v>
      </c>
      <c r="O3514" s="5" t="str">
        <f>INDEX([1]Employee!$C$2:$C$276,MATCH(B3514,[1]Employee!$A$2:$A$276,0))</f>
        <v>Underwriting</v>
      </c>
    </row>
    <row r="3515" spans="1:15">
      <c r="A3515" s="1" t="s">
        <v>6781</v>
      </c>
      <c r="B3515" s="1" t="s">
        <v>264</v>
      </c>
      <c r="C3515" s="1" t="s">
        <v>6782</v>
      </c>
      <c r="D3515" s="2">
        <v>46194</v>
      </c>
      <c r="E3515" s="2">
        <v>46203</v>
      </c>
      <c r="F3515" s="1" t="s">
        <v>43</v>
      </c>
      <c r="G3515" s="1" t="s">
        <v>2</v>
      </c>
      <c r="H3515" s="1" t="s">
        <v>794</v>
      </c>
      <c r="I3515" s="7">
        <v>14.63</v>
      </c>
      <c r="J3515" s="1" t="s">
        <v>38</v>
      </c>
      <c r="K3515" s="1"/>
      <c r="L3515" s="1" t="s">
        <v>39</v>
      </c>
      <c r="M3515" s="1" t="str">
        <f>INDEX(MCC_Lookup!$B$2:$B$12,MATCH(G3515,MCC_Lookup!$A$2:$A$12,0))</f>
        <v>Meals</v>
      </c>
      <c r="N3515" s="1" t="str">
        <f>IF(TRIM(H3515)="","BLANK",IF(PROPER(TRIM(H3515))=TRIM(M3515),"MATCH","MISMATCH"))</f>
        <v>MATCH</v>
      </c>
      <c r="O3515" s="5" t="str">
        <f>INDEX([1]Employee!$C$2:$C$276,MATCH(B3515,[1]Employee!$A$2:$A$276,0))</f>
        <v>Finance</v>
      </c>
    </row>
    <row r="3516" spans="1:15">
      <c r="A3516" s="1" t="s">
        <v>6783</v>
      </c>
      <c r="B3516" s="1" t="s">
        <v>74</v>
      </c>
      <c r="C3516" s="1" t="s">
        <v>6784</v>
      </c>
      <c r="D3516" s="2">
        <v>46201</v>
      </c>
      <c r="E3516" s="2">
        <v>46203</v>
      </c>
      <c r="F3516" s="1" t="s">
        <v>37</v>
      </c>
      <c r="G3516" s="1" t="s">
        <v>4</v>
      </c>
      <c r="H3516" s="1" t="s">
        <v>734</v>
      </c>
      <c r="I3516" s="7">
        <v>198.08</v>
      </c>
      <c r="J3516" s="1" t="s">
        <v>38</v>
      </c>
      <c r="K3516" s="1"/>
      <c r="L3516" s="1" t="s">
        <v>39</v>
      </c>
      <c r="M3516" s="1" t="str">
        <f>INDEX(MCC_Lookup!$B$2:$B$12,MATCH(G3516,MCC_Lookup!$A$2:$A$12,0))</f>
        <v>Travel</v>
      </c>
      <c r="N3516" s="1" t="str">
        <f>IF(TRIM(H3516)="","BLANK",IF(PROPER(TRIM(H3516))=TRIM(M3516),"MATCH","MISMATCH"))</f>
        <v>MATCH</v>
      </c>
      <c r="O3516" s="5" t="str">
        <f>INDEX([1]Employee!$C$2:$C$276,MATCH(B3516,[1]Employee!$A$2:$A$276,0))</f>
        <v>Underwriting</v>
      </c>
    </row>
    <row r="3517" spans="1:15">
      <c r="A3517" s="1" t="s">
        <v>6785</v>
      </c>
      <c r="B3517" s="1" t="s">
        <v>182</v>
      </c>
      <c r="C3517" s="1" t="s">
        <v>6786</v>
      </c>
      <c r="D3517" s="2">
        <v>46200</v>
      </c>
      <c r="E3517" s="2">
        <v>46203</v>
      </c>
      <c r="F3517" s="1" t="s">
        <v>43</v>
      </c>
      <c r="G3517" s="1" t="s">
        <v>2</v>
      </c>
      <c r="H3517" s="1" t="s">
        <v>3</v>
      </c>
      <c r="I3517" s="7">
        <v>18.940000000000001</v>
      </c>
      <c r="J3517" s="1" t="s">
        <v>38</v>
      </c>
      <c r="K3517" s="1"/>
      <c r="L3517" s="1" t="s">
        <v>39</v>
      </c>
      <c r="M3517" s="1" t="str">
        <f>INDEX(MCC_Lookup!$B$2:$B$12,MATCH(G3517,MCC_Lookup!$A$2:$A$12,0))</f>
        <v>Meals</v>
      </c>
      <c r="N3517" s="1" t="str">
        <f>IF(TRIM(H3517)="","BLANK",IF(PROPER(TRIM(H3517))=TRIM(M3517),"MATCH","MISMATCH"))</f>
        <v>MATCH</v>
      </c>
      <c r="O3517" s="5" t="str">
        <f>INDEX([1]Employee!$C$2:$C$276,MATCH(B3517,[1]Employee!$A$2:$A$276,0))</f>
        <v>Sales &amp; Marketing</v>
      </c>
    </row>
    <row r="3518" spans="1:15">
      <c r="A3518" s="1" t="s">
        <v>6787</v>
      </c>
      <c r="B3518" s="1" t="s">
        <v>182</v>
      </c>
      <c r="C3518" s="1" t="s">
        <v>6788</v>
      </c>
      <c r="D3518" s="2">
        <v>46199</v>
      </c>
      <c r="E3518" s="2">
        <v>46203</v>
      </c>
      <c r="F3518" s="1" t="s">
        <v>79</v>
      </c>
      <c r="G3518" s="1" t="s">
        <v>13</v>
      </c>
      <c r="H3518" s="1" t="s">
        <v>14</v>
      </c>
      <c r="I3518" s="7">
        <v>228.26</v>
      </c>
      <c r="J3518" s="1" t="s">
        <v>38</v>
      </c>
      <c r="K3518" s="1"/>
      <c r="L3518" s="1" t="s">
        <v>39</v>
      </c>
      <c r="M3518" s="1" t="str">
        <f>INDEX(MCC_Lookup!$B$2:$B$12,MATCH(G3518,MCC_Lookup!$A$2:$A$12,0))</f>
        <v>Software</v>
      </c>
      <c r="N3518" s="1" t="str">
        <f>IF(TRIM(H3518)="","BLANK",IF(PROPER(TRIM(H3518))=TRIM(M3518),"MATCH","MISMATCH"))</f>
        <v>MATCH</v>
      </c>
      <c r="O3518" s="5" t="str">
        <f>INDEX([1]Employee!$C$2:$C$276,MATCH(B3518,[1]Employee!$A$2:$A$276,0))</f>
        <v>Sales &amp; Marketing</v>
      </c>
    </row>
    <row r="3519" spans="1:15">
      <c r="A3519" s="1" t="s">
        <v>6789</v>
      </c>
      <c r="B3519" s="1" t="s">
        <v>868</v>
      </c>
      <c r="C3519" s="1"/>
      <c r="D3519" s="2">
        <v>46199</v>
      </c>
      <c r="E3519" s="2">
        <v>46203</v>
      </c>
      <c r="F3519" s="1" t="s">
        <v>92</v>
      </c>
      <c r="G3519" s="1" t="s">
        <v>10</v>
      </c>
      <c r="H3519" s="1" t="s">
        <v>11</v>
      </c>
      <c r="I3519" s="7">
        <v>140.44999999999999</v>
      </c>
      <c r="J3519" s="1" t="s">
        <v>38</v>
      </c>
      <c r="K3519" s="1"/>
      <c r="L3519" s="1" t="s">
        <v>39</v>
      </c>
      <c r="M3519" s="1" t="str">
        <f>INDEX(MCC_Lookup!$B$2:$B$12,MATCH(G3519,MCC_Lookup!$A$2:$A$12,0))</f>
        <v>Office Supplies</v>
      </c>
      <c r="N3519" s="1" t="str">
        <f>IF(TRIM(H3519)="","BLANK",IF(PROPER(TRIM(H3519))=TRIM(M3519),"MATCH","MISMATCH"))</f>
        <v>MATCH</v>
      </c>
      <c r="O3519" s="5" t="str">
        <f>INDEX([1]Employee!$C$2:$C$276,MATCH(B3519,[1]Employee!$A$2:$A$276,0))</f>
        <v>Sales &amp; Marketing</v>
      </c>
    </row>
    <row r="3520" spans="1:15">
      <c r="A3520" s="1" t="s">
        <v>6790</v>
      </c>
      <c r="B3520" s="1" t="s">
        <v>1150</v>
      </c>
      <c r="C3520" s="1" t="s">
        <v>6791</v>
      </c>
      <c r="D3520" s="2">
        <v>46202</v>
      </c>
      <c r="E3520" s="2">
        <v>46203</v>
      </c>
      <c r="F3520" s="1" t="s">
        <v>72</v>
      </c>
      <c r="G3520" s="1" t="s">
        <v>8</v>
      </c>
      <c r="H3520" s="1" t="s">
        <v>9</v>
      </c>
      <c r="I3520" s="7">
        <v>47.3</v>
      </c>
      <c r="J3520" s="1" t="s">
        <v>38</v>
      </c>
      <c r="K3520" s="1"/>
      <c r="L3520" s="1" t="s">
        <v>48</v>
      </c>
      <c r="M3520" s="1" t="str">
        <f>INDEX(MCC_Lookup!$B$2:$B$12,MATCH(G3520,MCC_Lookup!$A$2:$A$12,0))</f>
        <v>Transportation</v>
      </c>
      <c r="N3520" s="1" t="str">
        <f>IF(TRIM(H3520)="","BLANK",IF(PROPER(TRIM(H3520))=TRIM(M3520),"MATCH","MISMATCH"))</f>
        <v>MATCH</v>
      </c>
      <c r="O3520" s="5" t="str">
        <f>INDEX([1]Employee!$C$2:$C$276,MATCH(B3520,[1]Employee!$A$2:$A$276,0))</f>
        <v>Finance</v>
      </c>
    </row>
    <row r="3521" spans="1:15">
      <c r="A3521" s="1" t="s">
        <v>6792</v>
      </c>
      <c r="B3521" s="1" t="s">
        <v>564</v>
      </c>
      <c r="C3521" s="1" t="s">
        <v>6793</v>
      </c>
      <c r="D3521" s="2">
        <v>46200</v>
      </c>
      <c r="E3521" s="2">
        <v>46203</v>
      </c>
      <c r="F3521" s="1" t="s">
        <v>177</v>
      </c>
      <c r="G3521" s="1" t="s">
        <v>13</v>
      </c>
      <c r="H3521" s="1" t="s">
        <v>14</v>
      </c>
      <c r="I3521" s="7">
        <v>41.33</v>
      </c>
      <c r="J3521" s="1" t="s">
        <v>38</v>
      </c>
      <c r="K3521" s="1"/>
      <c r="L3521" s="1" t="s">
        <v>39</v>
      </c>
      <c r="M3521" s="1" t="str">
        <f>INDEX(MCC_Lookup!$B$2:$B$12,MATCH(G3521,MCC_Lookup!$A$2:$A$12,0))</f>
        <v>Software</v>
      </c>
      <c r="N3521" s="1" t="str">
        <f>IF(TRIM(H3521)="","BLANK",IF(PROPER(TRIM(H3521))=TRIM(M3521),"MATCH","MISMATCH"))</f>
        <v>MATCH</v>
      </c>
      <c r="O3521" s="5" t="str">
        <f>INDEX([1]Employee!$C$2:$C$276,MATCH(B3521,[1]Employee!$A$2:$A$276,0))</f>
        <v>Sales &amp; Marketing</v>
      </c>
    </row>
    <row r="3522" spans="1:15">
      <c r="A3522" s="1" t="s">
        <v>6794</v>
      </c>
      <c r="B3522" s="1" t="s">
        <v>564</v>
      </c>
      <c r="C3522" s="1" t="s">
        <v>6795</v>
      </c>
      <c r="D3522" s="2">
        <v>46203</v>
      </c>
      <c r="E3522" s="2">
        <v>46203</v>
      </c>
      <c r="F3522" s="1" t="s">
        <v>83</v>
      </c>
      <c r="G3522" s="1" t="s">
        <v>2</v>
      </c>
      <c r="H3522" s="1" t="s">
        <v>3</v>
      </c>
      <c r="I3522" s="7">
        <v>12.36</v>
      </c>
      <c r="J3522" s="1" t="s">
        <v>38</v>
      </c>
      <c r="K3522" s="1"/>
      <c r="L3522" s="1" t="s">
        <v>39</v>
      </c>
      <c r="M3522" s="1" t="str">
        <f>INDEX(MCC_Lookup!$B$2:$B$12,MATCH(G3522,MCC_Lookup!$A$2:$A$12,0))</f>
        <v>Meals</v>
      </c>
      <c r="N3522" s="1" t="str">
        <f>IF(TRIM(H3522)="","BLANK",IF(PROPER(TRIM(H3522))=TRIM(M3522),"MATCH","MISMATCH"))</f>
        <v>MATCH</v>
      </c>
      <c r="O3522" s="5" t="str">
        <f>INDEX([1]Employee!$C$2:$C$276,MATCH(B3522,[1]Employee!$A$2:$A$276,0))</f>
        <v>Sales &amp; Marketing</v>
      </c>
    </row>
    <row r="3523" spans="1:15">
      <c r="A3523" s="1" t="s">
        <v>6796</v>
      </c>
      <c r="B3523" s="1" t="s">
        <v>564</v>
      </c>
      <c r="C3523" s="1"/>
      <c r="D3523" s="2">
        <v>46197</v>
      </c>
      <c r="E3523" s="2">
        <v>46203</v>
      </c>
      <c r="F3523" s="1" t="s">
        <v>99</v>
      </c>
      <c r="G3523" s="1" t="s">
        <v>2</v>
      </c>
      <c r="H3523" s="1" t="s">
        <v>3</v>
      </c>
      <c r="I3523" s="7">
        <v>120</v>
      </c>
      <c r="J3523" s="1" t="s">
        <v>38</v>
      </c>
      <c r="K3523" s="1"/>
      <c r="L3523" s="1" t="s">
        <v>39</v>
      </c>
      <c r="M3523" s="1" t="str">
        <f>INDEX(MCC_Lookup!$B$2:$B$12,MATCH(G3523,MCC_Lookup!$A$2:$A$12,0))</f>
        <v>Meals</v>
      </c>
      <c r="N3523" s="1" t="str">
        <f>IF(TRIM(H3523)="","BLANK",IF(PROPER(TRIM(H3523))=TRIM(M3523),"MATCH","MISMATCH"))</f>
        <v>MATCH</v>
      </c>
      <c r="O3523" s="5" t="str">
        <f>INDEX([1]Employee!$C$2:$C$276,MATCH(B3523,[1]Employee!$A$2:$A$276,0))</f>
        <v>Sales &amp; Marketing</v>
      </c>
    </row>
    <row r="3524" spans="1:15">
      <c r="A3524" s="1" t="s">
        <v>6797</v>
      </c>
      <c r="B3524" s="1" t="s">
        <v>846</v>
      </c>
      <c r="C3524" s="1" t="s">
        <v>6798</v>
      </c>
      <c r="D3524" s="2">
        <v>46203</v>
      </c>
      <c r="E3524" s="2">
        <v>46203</v>
      </c>
      <c r="F3524" s="1" t="s">
        <v>56</v>
      </c>
      <c r="G3524" s="1" t="s">
        <v>4</v>
      </c>
      <c r="H3524" s="1" t="s">
        <v>734</v>
      </c>
      <c r="I3524" s="7">
        <v>554.72</v>
      </c>
      <c r="J3524" s="1" t="s">
        <v>38</v>
      </c>
      <c r="K3524" s="1"/>
      <c r="L3524" s="1" t="s">
        <v>39</v>
      </c>
      <c r="M3524" s="1" t="str">
        <f>INDEX(MCC_Lookup!$B$2:$B$12,MATCH(G3524,MCC_Lookup!$A$2:$A$12,0))</f>
        <v>Travel</v>
      </c>
      <c r="N3524" s="1" t="str">
        <f>IF(TRIM(H3524)="","BLANK",IF(PROPER(TRIM(H3524))=TRIM(M3524),"MATCH","MISMATCH"))</f>
        <v>MATCH</v>
      </c>
      <c r="O3524" s="5" t="str">
        <f>INDEX([1]Employee!$C$2:$C$276,MATCH(B3524,[1]Employee!$A$2:$A$276,0))</f>
        <v>Sales &amp; Marketing</v>
      </c>
    </row>
    <row r="3525" spans="1:15">
      <c r="A3525" s="1" t="s">
        <v>6799</v>
      </c>
      <c r="B3525" s="1" t="s">
        <v>129</v>
      </c>
      <c r="C3525" s="1" t="s">
        <v>6800</v>
      </c>
      <c r="D3525" s="2">
        <v>46200</v>
      </c>
      <c r="E3525" s="2">
        <v>46203</v>
      </c>
      <c r="F3525" s="1" t="s">
        <v>83</v>
      </c>
      <c r="G3525" s="1" t="s">
        <v>2</v>
      </c>
      <c r="H3525" s="1" t="s">
        <v>154</v>
      </c>
      <c r="I3525" s="7">
        <v>10</v>
      </c>
      <c r="J3525" s="1" t="s">
        <v>38</v>
      </c>
      <c r="K3525" s="1"/>
      <c r="L3525" s="1" t="s">
        <v>39</v>
      </c>
      <c r="M3525" s="1" t="str">
        <f>INDEX(MCC_Lookup!$B$2:$B$12,MATCH(G3525,MCC_Lookup!$A$2:$A$12,0))</f>
        <v>Meals</v>
      </c>
      <c r="N3525" s="1" t="str">
        <f>IF(TRIM(H3525)="","BLANK",IF(PROPER(TRIM(H3525))=TRIM(M3525),"MATCH","MISMATCH"))</f>
        <v>MATCH</v>
      </c>
      <c r="O3525" s="5" t="str">
        <f>INDEX([1]Employee!$C$2:$C$276,MATCH(B3525,[1]Employee!$A$2:$A$276,0))</f>
        <v>Sales &amp; Marketing</v>
      </c>
    </row>
    <row r="3526" spans="1:15">
      <c r="A3526" s="1" t="s">
        <v>6801</v>
      </c>
      <c r="B3526" s="1" t="s">
        <v>41</v>
      </c>
      <c r="C3526" s="1"/>
      <c r="D3526" s="2">
        <v>46203</v>
      </c>
      <c r="E3526" s="2">
        <v>46203</v>
      </c>
      <c r="F3526" s="1" t="s">
        <v>61</v>
      </c>
      <c r="G3526" s="1" t="s">
        <v>13</v>
      </c>
      <c r="H3526" s="1" t="s">
        <v>14</v>
      </c>
      <c r="I3526" s="7">
        <v>80.36</v>
      </c>
      <c r="J3526" s="1" t="s">
        <v>38</v>
      </c>
      <c r="K3526" s="1"/>
      <c r="L3526" s="1" t="s">
        <v>48</v>
      </c>
      <c r="M3526" s="1" t="str">
        <f>INDEX(MCC_Lookup!$B$2:$B$12,MATCH(G3526,MCC_Lookup!$A$2:$A$12,0))</f>
        <v>Software</v>
      </c>
      <c r="N3526" s="1" t="str">
        <f>IF(TRIM(H3526)="","BLANK",IF(PROPER(TRIM(H3526))=TRIM(M3526),"MATCH","MISMATCH"))</f>
        <v>MATCH</v>
      </c>
      <c r="O3526" s="5" t="str">
        <f>INDEX([1]Employee!$C$2:$C$276,MATCH(B3526,[1]Employee!$A$2:$A$276,0))</f>
        <v>Sales &amp; Marketing</v>
      </c>
    </row>
    <row r="3527" spans="1:15">
      <c r="A3527" s="1" t="s">
        <v>6802</v>
      </c>
      <c r="B3527" s="1" t="s">
        <v>41</v>
      </c>
      <c r="C3527" s="1"/>
      <c r="D3527" s="2">
        <v>46197</v>
      </c>
      <c r="E3527" s="2">
        <v>46203</v>
      </c>
      <c r="F3527" s="1" t="s">
        <v>124</v>
      </c>
      <c r="G3527" s="1" t="s">
        <v>17</v>
      </c>
      <c r="H3527" s="1" t="s">
        <v>16</v>
      </c>
      <c r="I3527" s="7">
        <v>196.94</v>
      </c>
      <c r="J3527" s="1" t="s">
        <v>38</v>
      </c>
      <c r="K3527" s="1"/>
      <c r="L3527" s="1" t="s">
        <v>48</v>
      </c>
      <c r="M3527" s="1" t="str">
        <f>INDEX(MCC_Lookup!$B$2:$B$12,MATCH(G3527,MCC_Lookup!$A$2:$A$12,0))</f>
        <v>Entertainment</v>
      </c>
      <c r="N3527" s="1" t="str">
        <f>IF(TRIM(H3527)="","BLANK",IF(PROPER(TRIM(H3527))=TRIM(M3527),"MATCH","MISMATCH"))</f>
        <v>MATCH</v>
      </c>
      <c r="O3527" s="5" t="str">
        <f>INDEX([1]Employee!$C$2:$C$276,MATCH(B3527,[1]Employee!$A$2:$A$276,0))</f>
        <v>Sales &amp; Marketing</v>
      </c>
    </row>
    <row r="3528" spans="1:15">
      <c r="A3528" s="1" t="s">
        <v>6803</v>
      </c>
      <c r="B3528" s="1" t="s">
        <v>41</v>
      </c>
      <c r="C3528" s="1" t="s">
        <v>6804</v>
      </c>
      <c r="D3528" s="2">
        <v>46200</v>
      </c>
      <c r="E3528" s="2">
        <v>46203</v>
      </c>
      <c r="F3528" s="1" t="s">
        <v>65</v>
      </c>
      <c r="G3528" s="1" t="s">
        <v>18</v>
      </c>
      <c r="H3528" s="1" t="s">
        <v>19</v>
      </c>
      <c r="I3528" s="7">
        <v>222.95</v>
      </c>
      <c r="J3528" s="1" t="s">
        <v>38</v>
      </c>
      <c r="K3528" s="1"/>
      <c r="L3528" s="1" t="s">
        <v>39</v>
      </c>
      <c r="M3528" s="1" t="str">
        <f>INDEX(MCC_Lookup!$B$2:$B$12,MATCH(G3528,MCC_Lookup!$A$2:$A$12,0))</f>
        <v>Events</v>
      </c>
      <c r="N3528" s="1" t="str">
        <f>IF(TRIM(H3528)="","BLANK",IF(PROPER(TRIM(H3528))=TRIM(M3528),"MATCH","MISMATCH"))</f>
        <v>MATCH</v>
      </c>
      <c r="O3528" s="5" t="str">
        <f>INDEX([1]Employee!$C$2:$C$276,MATCH(B3528,[1]Employee!$A$2:$A$276,0))</f>
        <v>Sales &amp; Marketing</v>
      </c>
    </row>
    <row r="3529" spans="1:15">
      <c r="A3529" s="1" t="s">
        <v>6805</v>
      </c>
      <c r="B3529" s="1" t="s">
        <v>512</v>
      </c>
      <c r="C3529" s="1" t="s">
        <v>6806</v>
      </c>
      <c r="D3529" s="2">
        <v>46203</v>
      </c>
      <c r="E3529" s="2">
        <v>46203</v>
      </c>
      <c r="F3529" s="1" t="s">
        <v>95</v>
      </c>
      <c r="G3529" s="1" t="s">
        <v>6</v>
      </c>
      <c r="H3529" s="1" t="s">
        <v>7</v>
      </c>
      <c r="I3529" s="7">
        <v>275.39999999999998</v>
      </c>
      <c r="J3529" s="1" t="s">
        <v>38</v>
      </c>
      <c r="K3529" s="1"/>
      <c r="L3529" s="1" t="s">
        <v>39</v>
      </c>
      <c r="M3529" s="1" t="str">
        <f>INDEX(MCC_Lookup!$B$2:$B$12,MATCH(G3529,MCC_Lookup!$A$2:$A$12,0))</f>
        <v>Lodging</v>
      </c>
      <c r="N3529" s="1" t="str">
        <f>IF(TRIM(H3529)="","BLANK",IF(PROPER(TRIM(H3529))=TRIM(M3529),"MATCH","MISMATCH"))</f>
        <v>MATCH</v>
      </c>
      <c r="O3529" s="5" t="str">
        <f>INDEX([1]Employee!$C$2:$C$276,MATCH(B3529,[1]Employee!$A$2:$A$276,0))</f>
        <v>Sales &amp; Marketing</v>
      </c>
    </row>
    <row r="3530" spans="1:15">
      <c r="A3530" s="1" t="s">
        <v>6807</v>
      </c>
      <c r="B3530" s="1" t="s">
        <v>250</v>
      </c>
      <c r="C3530" s="1" t="s">
        <v>6808</v>
      </c>
      <c r="D3530" s="2">
        <v>46200</v>
      </c>
      <c r="E3530" s="2">
        <v>46203</v>
      </c>
      <c r="F3530" s="1" t="s">
        <v>69</v>
      </c>
      <c r="G3530" s="1" t="s">
        <v>8</v>
      </c>
      <c r="H3530" s="1" t="s">
        <v>9</v>
      </c>
      <c r="I3530" s="7">
        <v>24.86</v>
      </c>
      <c r="J3530" s="1" t="s">
        <v>38</v>
      </c>
      <c r="K3530" s="1"/>
      <c r="L3530" s="1" t="s">
        <v>39</v>
      </c>
      <c r="M3530" s="1" t="str">
        <f>INDEX(MCC_Lookup!$B$2:$B$12,MATCH(G3530,MCC_Lookup!$A$2:$A$12,0))</f>
        <v>Transportation</v>
      </c>
      <c r="N3530" s="1" t="str">
        <f>IF(TRIM(H3530)="","BLANK",IF(PROPER(TRIM(H3530))=TRIM(M3530),"MATCH","MISMATCH"))</f>
        <v>MATCH</v>
      </c>
      <c r="O3530" s="5" t="str">
        <f>INDEX([1]Employee!$C$2:$C$276,MATCH(B3530,[1]Employee!$A$2:$A$276,0))</f>
        <v>Sales &amp; Marketing</v>
      </c>
    </row>
    <row r="3531" spans="1:15">
      <c r="A3531" s="1" t="s">
        <v>6809</v>
      </c>
      <c r="B3531" s="1" t="s">
        <v>250</v>
      </c>
      <c r="C3531" s="1" t="s">
        <v>6810</v>
      </c>
      <c r="D3531" s="2">
        <v>46201</v>
      </c>
      <c r="E3531" s="2">
        <v>46203</v>
      </c>
      <c r="F3531" s="1" t="s">
        <v>79</v>
      </c>
      <c r="G3531" s="1" t="s">
        <v>13</v>
      </c>
      <c r="H3531" s="1" t="s">
        <v>14</v>
      </c>
      <c r="I3531" s="7">
        <v>227.16</v>
      </c>
      <c r="J3531" s="1" t="s">
        <v>38</v>
      </c>
      <c r="K3531" s="1"/>
      <c r="L3531" s="1" t="s">
        <v>39</v>
      </c>
      <c r="M3531" s="1" t="str">
        <f>INDEX(MCC_Lookup!$B$2:$B$12,MATCH(G3531,MCC_Lookup!$A$2:$A$12,0))</f>
        <v>Software</v>
      </c>
      <c r="N3531" s="1" t="str">
        <f>IF(TRIM(H3531)="","BLANK",IF(PROPER(TRIM(H3531))=TRIM(M3531),"MATCH","MISMATCH"))</f>
        <v>MATCH</v>
      </c>
      <c r="O3531" s="5" t="str">
        <f>INDEX([1]Employee!$C$2:$C$276,MATCH(B3531,[1]Employee!$A$2:$A$276,0))</f>
        <v>Sales &amp; Marketing</v>
      </c>
    </row>
    <row r="3532" spans="1:15">
      <c r="A3532" s="1" t="s">
        <v>6811</v>
      </c>
      <c r="B3532" s="1" t="s">
        <v>207</v>
      </c>
      <c r="C3532" s="1"/>
      <c r="D3532" s="2">
        <v>46139</v>
      </c>
      <c r="E3532" s="2">
        <v>46203</v>
      </c>
      <c r="F3532" s="1" t="s">
        <v>160</v>
      </c>
      <c r="G3532" s="1" t="s">
        <v>6</v>
      </c>
      <c r="H3532" s="1" t="s">
        <v>7</v>
      </c>
      <c r="I3532" s="7">
        <v>304.24</v>
      </c>
      <c r="J3532" s="1" t="s">
        <v>38</v>
      </c>
      <c r="K3532" s="1"/>
      <c r="L3532" s="1" t="s">
        <v>39</v>
      </c>
      <c r="M3532" s="1" t="str">
        <f>INDEX(MCC_Lookup!$B$2:$B$12,MATCH(G3532,MCC_Lookup!$A$2:$A$12,0))</f>
        <v>Lodging</v>
      </c>
      <c r="N3532" s="1" t="str">
        <f>IF(TRIM(H3532)="","BLANK",IF(PROPER(TRIM(H3532))=TRIM(M3532),"MATCH","MISMATCH"))</f>
        <v>MATCH</v>
      </c>
      <c r="O3532" s="5" t="str">
        <f>INDEX([1]Employee!$C$2:$C$276,MATCH(B3532,[1]Employee!$A$2:$A$276,0))</f>
        <v>Claims</v>
      </c>
    </row>
    <row r="3533" spans="1:15">
      <c r="A3533" s="1" t="s">
        <v>6812</v>
      </c>
      <c r="B3533" s="1" t="s">
        <v>687</v>
      </c>
      <c r="C3533" s="1" t="s">
        <v>6813</v>
      </c>
      <c r="D3533" s="2">
        <v>46040</v>
      </c>
      <c r="E3533" s="2">
        <v>46203</v>
      </c>
      <c r="F3533" s="1" t="s">
        <v>47</v>
      </c>
      <c r="G3533" s="1" t="s">
        <v>6</v>
      </c>
      <c r="H3533" s="1" t="s">
        <v>7</v>
      </c>
      <c r="I3533" s="7">
        <v>262.87</v>
      </c>
      <c r="J3533" s="1" t="s">
        <v>38</v>
      </c>
      <c r="K3533" s="1"/>
      <c r="L3533" s="1" t="s">
        <v>39</v>
      </c>
      <c r="M3533" s="1" t="str">
        <f>INDEX(MCC_Lookup!$B$2:$B$12,MATCH(G3533,MCC_Lookup!$A$2:$A$12,0))</f>
        <v>Lodging</v>
      </c>
      <c r="N3533" s="1" t="str">
        <f>IF(TRIM(H3533)="","BLANK",IF(PROPER(TRIM(H3533))=TRIM(M3533),"MATCH","MISMATCH"))</f>
        <v>MATCH</v>
      </c>
      <c r="O3533" s="5" t="str">
        <f>INDEX([1]Employee!$C$2:$C$276,MATCH(B3533,[1]Employee!$A$2:$A$276,0))</f>
        <v>Executive &amp; Corporate</v>
      </c>
    </row>
    <row r="3534" spans="1:15">
      <c r="A3534" s="1" t="s">
        <v>6814</v>
      </c>
      <c r="B3534" s="1" t="s">
        <v>836</v>
      </c>
      <c r="C3534" s="1" t="s">
        <v>6815</v>
      </c>
      <c r="D3534" s="2">
        <v>46197</v>
      </c>
      <c r="E3534" s="2">
        <v>46203</v>
      </c>
      <c r="F3534" s="1" t="s">
        <v>37</v>
      </c>
      <c r="G3534" s="1" t="s">
        <v>4</v>
      </c>
      <c r="H3534" s="1" t="s">
        <v>5</v>
      </c>
      <c r="I3534" s="7">
        <v>123.95</v>
      </c>
      <c r="J3534" s="1" t="s">
        <v>38</v>
      </c>
      <c r="K3534" s="1"/>
      <c r="L3534" s="1" t="s">
        <v>39</v>
      </c>
      <c r="M3534" s="1" t="str">
        <f>INDEX(MCC_Lookup!$B$2:$B$12,MATCH(G3534,MCC_Lookup!$A$2:$A$12,0))</f>
        <v>Travel</v>
      </c>
      <c r="N3534" s="1" t="str">
        <f>IF(TRIM(H3534)="","BLANK",IF(PROPER(TRIM(H3534))=TRIM(M3534),"MATCH","MISMATCH"))</f>
        <v>MATCH</v>
      </c>
      <c r="O3534" s="5" t="str">
        <f>INDEX([1]Employee!$C$2:$C$276,MATCH(B3534,[1]Employee!$A$2:$A$276,0))</f>
        <v>Sales &amp; Marketing</v>
      </c>
    </row>
    <row r="3535" spans="1:15">
      <c r="A3535" s="1" t="s">
        <v>6816</v>
      </c>
      <c r="B3535" s="1" t="s">
        <v>216</v>
      </c>
      <c r="C3535" s="1" t="s">
        <v>6817</v>
      </c>
      <c r="D3535" s="2">
        <v>46203</v>
      </c>
      <c r="E3535" s="2">
        <v>46203</v>
      </c>
      <c r="F3535" s="1" t="s">
        <v>106</v>
      </c>
      <c r="G3535" s="1" t="s">
        <v>13</v>
      </c>
      <c r="H3535" s="1" t="s">
        <v>14</v>
      </c>
      <c r="I3535" s="7">
        <v>137.82</v>
      </c>
      <c r="J3535" s="1" t="s">
        <v>38</v>
      </c>
      <c r="K3535" s="1"/>
      <c r="L3535" s="1" t="s">
        <v>39</v>
      </c>
      <c r="M3535" s="1" t="str">
        <f>INDEX(MCC_Lookup!$B$2:$B$12,MATCH(G3535,MCC_Lookup!$A$2:$A$12,0))</f>
        <v>Software</v>
      </c>
      <c r="N3535" s="1" t="str">
        <f>IF(TRIM(H3535)="","BLANK",IF(PROPER(TRIM(H3535))=TRIM(M3535),"MATCH","MISMATCH"))</f>
        <v>MATCH</v>
      </c>
      <c r="O3535" s="5" t="str">
        <f>INDEX([1]Employee!$C$2:$C$276,MATCH(B3535,[1]Employee!$A$2:$A$276,0))</f>
        <v>Sales &amp; Marketing</v>
      </c>
    </row>
    <row r="3536" spans="1:15">
      <c r="A3536" s="1" t="s">
        <v>6818</v>
      </c>
      <c r="B3536" s="1" t="s">
        <v>216</v>
      </c>
      <c r="C3536" s="1" t="s">
        <v>6819</v>
      </c>
      <c r="D3536" s="2">
        <v>46194</v>
      </c>
      <c r="E3536" s="2">
        <v>46203</v>
      </c>
      <c r="F3536" s="1" t="s">
        <v>76</v>
      </c>
      <c r="G3536" s="1" t="s">
        <v>13</v>
      </c>
      <c r="H3536" s="1" t="s">
        <v>192</v>
      </c>
      <c r="I3536" s="7">
        <v>205.12</v>
      </c>
      <c r="J3536" s="1" t="s">
        <v>38</v>
      </c>
      <c r="K3536" s="1"/>
      <c r="L3536" s="1" t="s">
        <v>39</v>
      </c>
      <c r="M3536" s="1" t="str">
        <f>INDEX(MCC_Lookup!$B$2:$B$12,MATCH(G3536,MCC_Lookup!$A$2:$A$12,0))</f>
        <v>Software</v>
      </c>
      <c r="N3536" s="1" t="str">
        <f>IF(TRIM(H3536)="","BLANK",IF(PROPER(TRIM(H3536))=TRIM(M3536),"MATCH","MISMATCH"))</f>
        <v>MATCH</v>
      </c>
      <c r="O3536" s="5" t="str">
        <f>INDEX([1]Employee!$C$2:$C$276,MATCH(B3536,[1]Employee!$A$2:$A$276,0))</f>
        <v>Sales &amp; Marketing</v>
      </c>
    </row>
    <row r="3537" spans="1:15">
      <c r="A3537" s="1" t="s">
        <v>6820</v>
      </c>
      <c r="B3537" s="1" t="s">
        <v>216</v>
      </c>
      <c r="C3537" s="1" t="s">
        <v>6821</v>
      </c>
      <c r="D3537" s="2">
        <v>46040</v>
      </c>
      <c r="E3537" s="2">
        <v>46203</v>
      </c>
      <c r="F3537" s="1" t="s">
        <v>99</v>
      </c>
      <c r="G3537" s="1" t="s">
        <v>2</v>
      </c>
      <c r="H3537" s="1" t="s">
        <v>3</v>
      </c>
      <c r="I3537" s="7">
        <v>125.22</v>
      </c>
      <c r="J3537" s="1" t="s">
        <v>38</v>
      </c>
      <c r="K3537" s="1"/>
      <c r="L3537" s="1" t="s">
        <v>39</v>
      </c>
      <c r="M3537" s="1" t="str">
        <f>INDEX(MCC_Lookup!$B$2:$B$12,MATCH(G3537,MCC_Lookup!$A$2:$A$12,0))</f>
        <v>Meals</v>
      </c>
      <c r="N3537" s="1" t="str">
        <f>IF(TRIM(H3537)="","BLANK",IF(PROPER(TRIM(H3537))=TRIM(M3537),"MATCH","MISMATCH"))</f>
        <v>MATCH</v>
      </c>
      <c r="O3537" s="5" t="str">
        <f>INDEX([1]Employee!$C$2:$C$276,MATCH(B3537,[1]Employee!$A$2:$A$276,0))</f>
        <v>Sales &amp; Marketing</v>
      </c>
    </row>
    <row r="3538" spans="1:15">
      <c r="A3538" s="1" t="s">
        <v>6822</v>
      </c>
      <c r="B3538" s="1" t="s">
        <v>2105</v>
      </c>
      <c r="C3538" s="1" t="s">
        <v>6823</v>
      </c>
      <c r="D3538" s="2">
        <v>46023</v>
      </c>
      <c r="E3538" s="2">
        <v>46203</v>
      </c>
      <c r="F3538" s="1" t="s">
        <v>259</v>
      </c>
      <c r="G3538" s="1" t="s">
        <v>20</v>
      </c>
      <c r="H3538" s="1" t="s">
        <v>19</v>
      </c>
      <c r="I3538" s="7">
        <v>58.3</v>
      </c>
      <c r="J3538" s="1" t="s">
        <v>38</v>
      </c>
      <c r="K3538" s="1"/>
      <c r="L3538" s="1" t="s">
        <v>48</v>
      </c>
      <c r="M3538" s="1" t="str">
        <f>INDEX(MCC_Lookup!$B$2:$B$12,MATCH(G3538,MCC_Lookup!$A$2:$A$12,0))</f>
        <v>Events</v>
      </c>
      <c r="N3538" s="1" t="str">
        <f>IF(TRIM(H3538)="","BLANK",IF(PROPER(TRIM(H3538))=TRIM(M3538),"MATCH","MISMATCH"))</f>
        <v>MATCH</v>
      </c>
      <c r="O3538" s="5" t="str">
        <f>INDEX([1]Employee!$C$2:$C$276,MATCH(B3538,[1]Employee!$A$2:$A$276,0))</f>
        <v>Actuarial &amp; Risk</v>
      </c>
    </row>
    <row r="3539" spans="1:15">
      <c r="A3539" s="1" t="s">
        <v>6824</v>
      </c>
      <c r="B3539" s="1" t="s">
        <v>423</v>
      </c>
      <c r="C3539" s="1" t="s">
        <v>6825</v>
      </c>
      <c r="D3539" s="2">
        <v>46200</v>
      </c>
      <c r="E3539" s="2">
        <v>46203</v>
      </c>
      <c r="F3539" s="1" t="s">
        <v>37</v>
      </c>
      <c r="G3539" s="1" t="s">
        <v>4</v>
      </c>
      <c r="H3539" s="1" t="s">
        <v>5</v>
      </c>
      <c r="I3539" s="7">
        <v>424.13</v>
      </c>
      <c r="J3539" s="1" t="s">
        <v>38</v>
      </c>
      <c r="K3539" s="1"/>
      <c r="L3539" s="1" t="s">
        <v>48</v>
      </c>
      <c r="M3539" s="1" t="str">
        <f>INDEX(MCC_Lookup!$B$2:$B$12,MATCH(G3539,MCC_Lookup!$A$2:$A$12,0))</f>
        <v>Travel</v>
      </c>
      <c r="N3539" s="1" t="str">
        <f>IF(TRIM(H3539)="","BLANK",IF(PROPER(TRIM(H3539))=TRIM(M3539),"MATCH","MISMATCH"))</f>
        <v>MATCH</v>
      </c>
      <c r="O3539" s="5" t="str">
        <f>INDEX([1]Employee!$C$2:$C$276,MATCH(B3539,[1]Employee!$A$2:$A$276,0))</f>
        <v>Underwriting</v>
      </c>
    </row>
    <row r="3540" spans="1:15">
      <c r="A3540" s="1" t="s">
        <v>6826</v>
      </c>
      <c r="B3540" s="1" t="s">
        <v>423</v>
      </c>
      <c r="C3540" s="1" t="s">
        <v>6827</v>
      </c>
      <c r="D3540" s="2">
        <v>46199</v>
      </c>
      <c r="E3540" s="2">
        <v>46203</v>
      </c>
      <c r="F3540" s="1" t="s">
        <v>116</v>
      </c>
      <c r="G3540" s="1" t="s">
        <v>2</v>
      </c>
      <c r="H3540" s="1" t="s">
        <v>3</v>
      </c>
      <c r="I3540" s="7">
        <v>13.74</v>
      </c>
      <c r="J3540" s="1" t="s">
        <v>38</v>
      </c>
      <c r="K3540" s="1"/>
      <c r="L3540" s="1" t="s">
        <v>39</v>
      </c>
      <c r="M3540" s="1" t="str">
        <f>INDEX(MCC_Lookup!$B$2:$B$12,MATCH(G3540,MCC_Lookup!$A$2:$A$12,0))</f>
        <v>Meals</v>
      </c>
      <c r="N3540" s="1" t="str">
        <f>IF(TRIM(H3540)="","BLANK",IF(PROPER(TRIM(H3540))=TRIM(M3540),"MATCH","MISMATCH"))</f>
        <v>MATCH</v>
      </c>
      <c r="O3540" s="5" t="str">
        <f>INDEX([1]Employee!$C$2:$C$276,MATCH(B3540,[1]Employee!$A$2:$A$276,0))</f>
        <v>Underwriting</v>
      </c>
    </row>
    <row r="3541" spans="1:15">
      <c r="A3541" s="1" t="s">
        <v>6828</v>
      </c>
      <c r="B3541" s="1" t="s">
        <v>108</v>
      </c>
      <c r="C3541" s="1" t="s">
        <v>6829</v>
      </c>
      <c r="D3541" s="2">
        <v>46198</v>
      </c>
      <c r="E3541" s="2">
        <v>46203</v>
      </c>
      <c r="F3541" s="1" t="s">
        <v>65</v>
      </c>
      <c r="G3541" s="1" t="s">
        <v>18</v>
      </c>
      <c r="H3541" s="1" t="s">
        <v>19</v>
      </c>
      <c r="I3541" s="7">
        <v>451.74</v>
      </c>
      <c r="J3541" s="1" t="s">
        <v>38</v>
      </c>
      <c r="K3541" s="1"/>
      <c r="L3541" s="1" t="s">
        <v>39</v>
      </c>
      <c r="M3541" s="1" t="str">
        <f>INDEX(MCC_Lookup!$B$2:$B$12,MATCH(G3541,MCC_Lookup!$A$2:$A$12,0))</f>
        <v>Events</v>
      </c>
      <c r="N3541" s="1" t="str">
        <f>IF(TRIM(H3541)="","BLANK",IF(PROPER(TRIM(H3541))=TRIM(M3541),"MATCH","MISMATCH"))</f>
        <v>MATCH</v>
      </c>
      <c r="O3541" s="5" t="str">
        <f>INDEX([1]Employee!$C$2:$C$276,MATCH(B3541,[1]Employee!$A$2:$A$276,0))</f>
        <v>Sales &amp; Marketing</v>
      </c>
    </row>
    <row r="3542" spans="1:15">
      <c r="A3542" s="1" t="s">
        <v>6830</v>
      </c>
      <c r="B3542" s="1" t="s">
        <v>108</v>
      </c>
      <c r="C3542" s="1"/>
      <c r="D3542" s="2">
        <v>46203</v>
      </c>
      <c r="E3542" s="2">
        <v>46203</v>
      </c>
      <c r="F3542" s="1" t="s">
        <v>177</v>
      </c>
      <c r="G3542" s="1" t="s">
        <v>13</v>
      </c>
      <c r="H3542" s="1" t="s">
        <v>14</v>
      </c>
      <c r="I3542" s="7">
        <v>52.16</v>
      </c>
      <c r="J3542" s="1" t="s">
        <v>111</v>
      </c>
      <c r="K3542" s="1" t="s">
        <v>229</v>
      </c>
      <c r="L3542" s="1" t="s">
        <v>48</v>
      </c>
      <c r="M3542" s="1" t="str">
        <f>INDEX(MCC_Lookup!$B$2:$B$12,MATCH(G3542,MCC_Lookup!$A$2:$A$12,0))</f>
        <v>Software</v>
      </c>
      <c r="N3542" s="1" t="str">
        <f>IF(TRIM(H3542)="","BLANK",IF(PROPER(TRIM(H3542))=TRIM(M3542),"MATCH","MISMATCH"))</f>
        <v>MATCH</v>
      </c>
      <c r="O3542" s="5" t="str">
        <f>INDEX([1]Employee!$C$2:$C$276,MATCH(B3542,[1]Employee!$A$2:$A$276,0))</f>
        <v>Sales &amp; Marketing</v>
      </c>
    </row>
    <row r="3543" spans="1:15">
      <c r="A3543" s="1" t="s">
        <v>6831</v>
      </c>
      <c r="B3543" s="1" t="s">
        <v>738</v>
      </c>
      <c r="C3543" s="1" t="s">
        <v>6832</v>
      </c>
      <c r="D3543" s="2">
        <v>46194</v>
      </c>
      <c r="E3543" s="2">
        <v>46203</v>
      </c>
      <c r="F3543" s="1" t="s">
        <v>56</v>
      </c>
      <c r="G3543" s="1" t="s">
        <v>4</v>
      </c>
      <c r="H3543" s="1"/>
      <c r="I3543" s="7">
        <v>304.86</v>
      </c>
      <c r="J3543" s="1" t="s">
        <v>38</v>
      </c>
      <c r="K3543" s="1"/>
      <c r="L3543" s="1" t="s">
        <v>48</v>
      </c>
      <c r="M3543" s="1" t="str">
        <f>INDEX(MCC_Lookup!$B$2:$B$12,MATCH(G3543,MCC_Lookup!$A$2:$A$12,0))</f>
        <v>Travel</v>
      </c>
      <c r="N3543" s="1" t="str">
        <f>IF(TRIM(H3543)="","BLANK",IF(PROPER(TRIM(H3543))=TRIM(M3543),"MATCH","MISMATCH"))</f>
        <v>BLANK</v>
      </c>
      <c r="O3543" s="5" t="str">
        <f>INDEX([1]Employee!$C$2:$C$276,MATCH(B3543,[1]Employee!$A$2:$A$276,0))</f>
        <v>Sales &amp; Marketing</v>
      </c>
    </row>
    <row r="3544" spans="1:15">
      <c r="A3544" s="1" t="s">
        <v>6833</v>
      </c>
      <c r="B3544" s="1" t="s">
        <v>90</v>
      </c>
      <c r="C3544" s="1" t="s">
        <v>6834</v>
      </c>
      <c r="D3544" s="2">
        <v>46202</v>
      </c>
      <c r="E3544" s="2">
        <v>46203</v>
      </c>
      <c r="F3544" s="1" t="s">
        <v>160</v>
      </c>
      <c r="G3544" s="1" t="s">
        <v>6</v>
      </c>
      <c r="H3544" s="1" t="s">
        <v>1476</v>
      </c>
      <c r="I3544" s="7">
        <v>187.88</v>
      </c>
      <c r="J3544" s="1" t="s">
        <v>38</v>
      </c>
      <c r="K3544" s="1"/>
      <c r="L3544" s="1" t="s">
        <v>39</v>
      </c>
      <c r="M3544" s="1" t="str">
        <f>INDEX(MCC_Lookup!$B$2:$B$12,MATCH(G3544,MCC_Lookup!$A$2:$A$12,0))</f>
        <v>Lodging</v>
      </c>
      <c r="N3544" s="1" t="str">
        <f>IF(TRIM(H3544)="","BLANK",IF(PROPER(TRIM(H3544))=TRIM(M3544),"MATCH","MISMATCH"))</f>
        <v>MATCH</v>
      </c>
      <c r="O3544" s="5" t="str">
        <f>INDEX([1]Employee!$C$2:$C$276,MATCH(B3544,[1]Employee!$A$2:$A$276,0))</f>
        <v>Sales &amp; Marketing</v>
      </c>
    </row>
    <row r="3545" spans="1:15">
      <c r="A3545" s="1" t="s">
        <v>6835</v>
      </c>
      <c r="B3545" s="1" t="s">
        <v>597</v>
      </c>
      <c r="C3545" s="1" t="s">
        <v>6836</v>
      </c>
      <c r="D3545" s="2">
        <v>46200</v>
      </c>
      <c r="E3545" s="2">
        <v>46203</v>
      </c>
      <c r="F3545" s="1" t="s">
        <v>120</v>
      </c>
      <c r="G3545" s="1" t="s">
        <v>12</v>
      </c>
      <c r="H3545" s="1" t="s">
        <v>11</v>
      </c>
      <c r="I3545" s="7">
        <v>345.73</v>
      </c>
      <c r="J3545" s="1" t="s">
        <v>38</v>
      </c>
      <c r="K3545" s="1"/>
      <c r="L3545" s="1" t="s">
        <v>39</v>
      </c>
      <c r="M3545" s="1" t="str">
        <f>INDEX(MCC_Lookup!$B$2:$B$12,MATCH(G3545,MCC_Lookup!$A$2:$A$12,0))</f>
        <v>Office Supplies</v>
      </c>
      <c r="N3545" s="1" t="str">
        <f>IF(TRIM(H3545)="","BLANK",IF(PROPER(TRIM(H3545))=TRIM(M3545),"MATCH","MISMATCH"))</f>
        <v>MATCH</v>
      </c>
      <c r="O3545" s="5" t="str">
        <f>INDEX([1]Employee!$C$2:$C$276,MATCH(B3545,[1]Employee!$A$2:$A$276,0))</f>
        <v>Sales &amp; Marketing</v>
      </c>
    </row>
    <row r="3546" spans="1:15">
      <c r="A3546" s="1" t="s">
        <v>6837</v>
      </c>
      <c r="B3546" s="1" t="s">
        <v>1107</v>
      </c>
      <c r="C3546" s="1" t="s">
        <v>6838</v>
      </c>
      <c r="D3546" s="2">
        <v>46199</v>
      </c>
      <c r="E3546" s="2">
        <v>46203</v>
      </c>
      <c r="F3546" s="1" t="s">
        <v>76</v>
      </c>
      <c r="G3546" s="1" t="s">
        <v>13</v>
      </c>
      <c r="H3546" s="1" t="s">
        <v>14</v>
      </c>
      <c r="I3546" s="7">
        <v>343.52</v>
      </c>
      <c r="J3546" s="1" t="s">
        <v>38</v>
      </c>
      <c r="K3546" s="1"/>
      <c r="L3546" s="1" t="s">
        <v>39</v>
      </c>
      <c r="M3546" s="1" t="str">
        <f>INDEX(MCC_Lookup!$B$2:$B$12,MATCH(G3546,MCC_Lookup!$A$2:$A$12,0))</f>
        <v>Software</v>
      </c>
      <c r="N3546" s="1" t="str">
        <f>IF(TRIM(H3546)="","BLANK",IF(PROPER(TRIM(H3546))=TRIM(M3546),"MATCH","MISMATCH"))</f>
        <v>MATCH</v>
      </c>
      <c r="O3546" s="5" t="str">
        <f>INDEX([1]Employee!$C$2:$C$276,MATCH(B3546,[1]Employee!$A$2:$A$276,0))</f>
        <v>Claims</v>
      </c>
    </row>
    <row r="3547" spans="1:15">
      <c r="A3547" s="1" t="s">
        <v>6839</v>
      </c>
      <c r="B3547" s="1" t="s">
        <v>1110</v>
      </c>
      <c r="C3547" s="1" t="s">
        <v>6840</v>
      </c>
      <c r="D3547" s="2">
        <v>46201</v>
      </c>
      <c r="E3547" s="2">
        <v>46203</v>
      </c>
      <c r="F3547" s="1" t="s">
        <v>47</v>
      </c>
      <c r="G3547" s="1" t="s">
        <v>6</v>
      </c>
      <c r="H3547" s="1" t="s">
        <v>7</v>
      </c>
      <c r="I3547" s="7">
        <v>219.05</v>
      </c>
      <c r="J3547" s="1" t="s">
        <v>38</v>
      </c>
      <c r="K3547" s="1"/>
      <c r="L3547" s="1" t="s">
        <v>39</v>
      </c>
      <c r="M3547" s="1" t="str">
        <f>INDEX(MCC_Lookup!$B$2:$B$12,MATCH(G3547,MCC_Lookup!$A$2:$A$12,0))</f>
        <v>Lodging</v>
      </c>
      <c r="N3547" s="1" t="str">
        <f>IF(TRIM(H3547)="","BLANK",IF(PROPER(TRIM(H3547))=TRIM(M3547),"MATCH","MISMATCH"))</f>
        <v>MATCH</v>
      </c>
      <c r="O3547" s="5" t="str">
        <f>INDEX([1]Employee!$C$2:$C$276,MATCH(B3547,[1]Employee!$A$2:$A$276,0))</f>
        <v>Executive &amp; Corporate</v>
      </c>
    </row>
    <row r="3548" spans="1:15">
      <c r="A3548" s="1" t="s">
        <v>6841</v>
      </c>
      <c r="B3548" s="1" t="s">
        <v>1110</v>
      </c>
      <c r="C3548" s="1" t="s">
        <v>6842</v>
      </c>
      <c r="D3548" s="2">
        <v>46202</v>
      </c>
      <c r="E3548" s="2">
        <v>46203</v>
      </c>
      <c r="F3548" s="1" t="s">
        <v>47</v>
      </c>
      <c r="G3548" s="1" t="s">
        <v>6</v>
      </c>
      <c r="H3548" s="1" t="s">
        <v>7</v>
      </c>
      <c r="I3548" s="7">
        <v>394.18</v>
      </c>
      <c r="J3548" s="1" t="s">
        <v>38</v>
      </c>
      <c r="K3548" s="1"/>
      <c r="L3548" s="1" t="s">
        <v>39</v>
      </c>
      <c r="M3548" s="1" t="str">
        <f>INDEX(MCC_Lookup!$B$2:$B$12,MATCH(G3548,MCC_Lookup!$A$2:$A$12,0))</f>
        <v>Lodging</v>
      </c>
      <c r="N3548" s="1" t="str">
        <f>IF(TRIM(H3548)="","BLANK",IF(PROPER(TRIM(H3548))=TRIM(M3548),"MATCH","MISMATCH"))</f>
        <v>MATCH</v>
      </c>
      <c r="O3548" s="5" t="str">
        <f>INDEX([1]Employee!$C$2:$C$276,MATCH(B3548,[1]Employee!$A$2:$A$276,0))</f>
        <v>Executive &amp; Corporate</v>
      </c>
    </row>
    <row r="3549" spans="1:15">
      <c r="A3549" s="1" t="s">
        <v>6843</v>
      </c>
      <c r="B3549" s="1" t="s">
        <v>2344</v>
      </c>
      <c r="C3549" s="1"/>
      <c r="D3549" s="2">
        <v>46028</v>
      </c>
      <c r="E3549" s="2">
        <v>46203</v>
      </c>
      <c r="F3549" s="1" t="s">
        <v>47</v>
      </c>
      <c r="G3549" s="1" t="s">
        <v>6</v>
      </c>
      <c r="H3549" s="1" t="s">
        <v>7</v>
      </c>
      <c r="I3549" s="7">
        <v>407.73</v>
      </c>
      <c r="J3549" s="1" t="s">
        <v>111</v>
      </c>
      <c r="K3549" s="1" t="s">
        <v>229</v>
      </c>
      <c r="L3549" s="1" t="s">
        <v>39</v>
      </c>
      <c r="M3549" s="1" t="str">
        <f>INDEX(MCC_Lookup!$B$2:$B$12,MATCH(G3549,MCC_Lookup!$A$2:$A$12,0))</f>
        <v>Lodging</v>
      </c>
      <c r="N3549" s="1" t="str">
        <f>IF(TRIM(H3549)="","BLANK",IF(PROPER(TRIM(H3549))=TRIM(M3549),"MATCH","MISMATCH"))</f>
        <v>MATCH</v>
      </c>
      <c r="O3549" s="5" t="str">
        <f>INDEX([1]Employee!$C$2:$C$276,MATCH(B3549,[1]Employee!$A$2:$A$276,0))</f>
        <v>Claims</v>
      </c>
    </row>
    <row r="3550" spans="1:15">
      <c r="A3550" s="1" t="s">
        <v>6844</v>
      </c>
      <c r="B3550" s="1" t="s">
        <v>519</v>
      </c>
      <c r="C3550" s="1"/>
      <c r="D3550" s="2">
        <v>46202</v>
      </c>
      <c r="E3550" s="2">
        <v>46203</v>
      </c>
      <c r="F3550" s="1" t="s">
        <v>242</v>
      </c>
      <c r="G3550" s="1" t="s">
        <v>13</v>
      </c>
      <c r="H3550" s="1" t="s">
        <v>14</v>
      </c>
      <c r="I3550" s="7">
        <v>15.93</v>
      </c>
      <c r="J3550" s="1" t="s">
        <v>38</v>
      </c>
      <c r="K3550" s="1"/>
      <c r="L3550" s="1" t="s">
        <v>39</v>
      </c>
      <c r="M3550" s="1" t="str">
        <f>INDEX(MCC_Lookup!$B$2:$B$12,MATCH(G3550,MCC_Lookup!$A$2:$A$12,0))</f>
        <v>Software</v>
      </c>
      <c r="N3550" s="1" t="str">
        <f>IF(TRIM(H3550)="","BLANK",IF(PROPER(TRIM(H3550))=TRIM(M3550),"MATCH","MISMATCH"))</f>
        <v>MATCH</v>
      </c>
      <c r="O3550" s="5" t="str">
        <f>INDEX([1]Employee!$C$2:$C$276,MATCH(B3550,[1]Employee!$A$2:$A$276,0))</f>
        <v>Customer Support</v>
      </c>
    </row>
    <row r="3551" spans="1:15">
      <c r="A3551" s="1" t="s">
        <v>6845</v>
      </c>
      <c r="B3551" s="1" t="s">
        <v>496</v>
      </c>
      <c r="C3551" s="1" t="s">
        <v>6846</v>
      </c>
      <c r="D3551" s="2">
        <v>46183</v>
      </c>
      <c r="E3551" s="2">
        <v>46203</v>
      </c>
      <c r="F3551" s="1" t="s">
        <v>76</v>
      </c>
      <c r="G3551" s="1" t="s">
        <v>13</v>
      </c>
      <c r="H3551" s="1" t="s">
        <v>14</v>
      </c>
      <c r="I3551" s="7">
        <v>433.29</v>
      </c>
      <c r="J3551" s="1" t="s">
        <v>38</v>
      </c>
      <c r="K3551" s="1"/>
      <c r="L3551" s="1" t="s">
        <v>39</v>
      </c>
      <c r="M3551" s="1" t="str">
        <f>INDEX(MCC_Lookup!$B$2:$B$12,MATCH(G3551,MCC_Lookup!$A$2:$A$12,0))</f>
        <v>Software</v>
      </c>
      <c r="N3551" s="1" t="str">
        <f>IF(TRIM(H3551)="","BLANK",IF(PROPER(TRIM(H3551))=TRIM(M3551),"MATCH","MISMATCH"))</f>
        <v>MATCH</v>
      </c>
      <c r="O3551" s="5" t="str">
        <f>INDEX([1]Employee!$C$2:$C$276,MATCH(B3551,[1]Employee!$A$2:$A$276,0))</f>
        <v>Actuarial &amp; Risk</v>
      </c>
    </row>
    <row r="3552" spans="1:15">
      <c r="A3552" s="1" t="s">
        <v>6847</v>
      </c>
      <c r="B3552" s="1" t="s">
        <v>709</v>
      </c>
      <c r="C3552" s="1" t="s">
        <v>6848</v>
      </c>
      <c r="D3552" s="2">
        <v>46203</v>
      </c>
      <c r="E3552" s="2">
        <v>46203</v>
      </c>
      <c r="F3552" s="1" t="s">
        <v>242</v>
      </c>
      <c r="G3552" s="1" t="s">
        <v>13</v>
      </c>
      <c r="H3552" s="1" t="s">
        <v>14</v>
      </c>
      <c r="I3552" s="7">
        <v>24.07</v>
      </c>
      <c r="J3552" s="1" t="s">
        <v>38</v>
      </c>
      <c r="K3552" s="1"/>
      <c r="L3552" s="1" t="s">
        <v>39</v>
      </c>
      <c r="M3552" s="1" t="str">
        <f>INDEX(MCC_Lookup!$B$2:$B$12,MATCH(G3552,MCC_Lookup!$A$2:$A$12,0))</f>
        <v>Software</v>
      </c>
      <c r="N3552" s="1" t="str">
        <f>IF(TRIM(H3552)="","BLANK",IF(PROPER(TRIM(H3552))=TRIM(M3552),"MATCH","MISMATCH"))</f>
        <v>MATCH</v>
      </c>
      <c r="O3552" s="5" t="str">
        <f>INDEX([1]Employee!$C$2:$C$276,MATCH(B3552,[1]Employee!$A$2:$A$276,0))</f>
        <v>Underwriting</v>
      </c>
    </row>
    <row r="3553" spans="1:15">
      <c r="A3553" s="1" t="s">
        <v>6849</v>
      </c>
      <c r="B3553" s="1" t="s">
        <v>908</v>
      </c>
      <c r="C3553" s="1" t="s">
        <v>6850</v>
      </c>
      <c r="D3553" s="2">
        <v>46044</v>
      </c>
      <c r="E3553" s="2">
        <v>46203</v>
      </c>
      <c r="F3553" s="1" t="s">
        <v>347</v>
      </c>
      <c r="G3553" s="1" t="s">
        <v>8</v>
      </c>
      <c r="H3553" s="1" t="s">
        <v>9</v>
      </c>
      <c r="I3553" s="7">
        <v>30.14</v>
      </c>
      <c r="J3553" s="1" t="s">
        <v>38</v>
      </c>
      <c r="K3553" s="1"/>
      <c r="L3553" s="1" t="s">
        <v>39</v>
      </c>
      <c r="M3553" s="1" t="str">
        <f>INDEX(MCC_Lookup!$B$2:$B$12,MATCH(G3553,MCC_Lookup!$A$2:$A$12,0))</f>
        <v>Transportation</v>
      </c>
      <c r="N3553" s="1" t="str">
        <f>IF(TRIM(H3553)="","BLANK",IF(PROPER(TRIM(H3553))=TRIM(M3553),"MATCH","MISMATCH"))</f>
        <v>MATCH</v>
      </c>
      <c r="O3553" s="5" t="str">
        <f>INDEX([1]Employee!$C$2:$C$276,MATCH(B3553,[1]Employee!$A$2:$A$276,0))</f>
        <v>Claims</v>
      </c>
    </row>
    <row r="3554" spans="1:15">
      <c r="A3554" s="1" t="s">
        <v>6851</v>
      </c>
      <c r="B3554" s="1" t="s">
        <v>553</v>
      </c>
      <c r="C3554" s="1" t="s">
        <v>6852</v>
      </c>
      <c r="D3554" s="2">
        <v>46115</v>
      </c>
      <c r="E3554" s="2">
        <v>46203</v>
      </c>
      <c r="F3554" s="1" t="s">
        <v>37</v>
      </c>
      <c r="G3554" s="1" t="s">
        <v>4</v>
      </c>
      <c r="H3554" s="1" t="s">
        <v>9</v>
      </c>
      <c r="I3554" s="7">
        <v>447.69</v>
      </c>
      <c r="J3554" s="1" t="s">
        <v>38</v>
      </c>
      <c r="K3554" s="1"/>
      <c r="L3554" s="1" t="s">
        <v>39</v>
      </c>
      <c r="M3554" s="1" t="str">
        <f>INDEX(MCC_Lookup!$B$2:$B$12,MATCH(G3554,MCC_Lookup!$A$2:$A$12,0))</f>
        <v>Travel</v>
      </c>
      <c r="N3554" s="1" t="str">
        <f>IF(TRIM(H3554)="","BLANK",IF(PROPER(TRIM(H3554))=TRIM(M3554),"MATCH","MISMATCH"))</f>
        <v>MISMATCH</v>
      </c>
      <c r="O3554" s="5" t="str">
        <f>INDEX([1]Employee!$C$2:$C$276,MATCH(B3554,[1]Employee!$A$2:$A$276,0))</f>
        <v>Claims</v>
      </c>
    </row>
    <row r="3555" spans="1:15">
      <c r="A3555" s="1" t="s">
        <v>6853</v>
      </c>
      <c r="B3555" s="1" t="s">
        <v>1714</v>
      </c>
      <c r="C3555" s="1" t="s">
        <v>6854</v>
      </c>
      <c r="D3555" s="2">
        <v>46198</v>
      </c>
      <c r="E3555" s="2">
        <v>46203</v>
      </c>
      <c r="F3555" s="1" t="s">
        <v>61</v>
      </c>
      <c r="G3555" s="1" t="s">
        <v>13</v>
      </c>
      <c r="H3555" s="1" t="s">
        <v>14</v>
      </c>
      <c r="I3555" s="7">
        <v>81.790000000000006</v>
      </c>
      <c r="J3555" s="1" t="s">
        <v>38</v>
      </c>
      <c r="K3555" s="1"/>
      <c r="L3555" s="1" t="s">
        <v>39</v>
      </c>
      <c r="M3555" s="1" t="str">
        <f>INDEX(MCC_Lookup!$B$2:$B$12,MATCH(G3555,MCC_Lookup!$A$2:$A$12,0))</f>
        <v>Software</v>
      </c>
      <c r="N3555" s="1" t="str">
        <f>IF(TRIM(H3555)="","BLANK",IF(PROPER(TRIM(H3555))=TRIM(M3555),"MATCH","MISMATCH"))</f>
        <v>MATCH</v>
      </c>
      <c r="O3555" s="5" t="str">
        <f>INDEX([1]Employee!$C$2:$C$276,MATCH(B3555,[1]Employee!$A$2:$A$276,0))</f>
        <v>IT &amp; Platform Engineering</v>
      </c>
    </row>
    <row r="3556" spans="1:15">
      <c r="A3556" s="1" t="s">
        <v>6855</v>
      </c>
      <c r="B3556" s="1" t="s">
        <v>300</v>
      </c>
      <c r="C3556" s="1" t="s">
        <v>6856</v>
      </c>
      <c r="D3556" s="2">
        <v>46196</v>
      </c>
      <c r="E3556" s="2">
        <v>46203</v>
      </c>
      <c r="F3556" s="1" t="s">
        <v>160</v>
      </c>
      <c r="G3556" s="1" t="s">
        <v>6</v>
      </c>
      <c r="H3556" s="1" t="s">
        <v>7</v>
      </c>
      <c r="I3556" s="7">
        <v>224.49</v>
      </c>
      <c r="J3556" s="1" t="s">
        <v>38</v>
      </c>
      <c r="K3556" s="1"/>
      <c r="L3556" s="1" t="s">
        <v>48</v>
      </c>
      <c r="M3556" s="1" t="str">
        <f>INDEX(MCC_Lookup!$B$2:$B$12,MATCH(G3556,MCC_Lookup!$A$2:$A$12,0))</f>
        <v>Lodging</v>
      </c>
      <c r="N3556" s="1" t="str">
        <f>IF(TRIM(H3556)="","BLANK",IF(PROPER(TRIM(H3556))=TRIM(M3556),"MATCH","MISMATCH"))</f>
        <v>MATCH</v>
      </c>
      <c r="O3556" s="5" t="str">
        <f>INDEX([1]Employee!$C$2:$C$276,MATCH(B3556,[1]Employee!$A$2:$A$276,0))</f>
        <v>Sales &amp; Marketing</v>
      </c>
    </row>
    <row r="3557" spans="1:15">
      <c r="A3557" s="1" t="s">
        <v>6857</v>
      </c>
      <c r="B3557" s="1" t="s">
        <v>175</v>
      </c>
      <c r="C3557" s="1"/>
      <c r="D3557" s="2">
        <v>46197</v>
      </c>
      <c r="E3557" s="2">
        <v>46203</v>
      </c>
      <c r="F3557" s="1" t="s">
        <v>37</v>
      </c>
      <c r="G3557" s="1" t="s">
        <v>4</v>
      </c>
      <c r="H3557" s="1" t="s">
        <v>5</v>
      </c>
      <c r="I3557" s="7">
        <v>238.2</v>
      </c>
      <c r="J3557" s="1" t="s">
        <v>111</v>
      </c>
      <c r="K3557" s="1" t="s">
        <v>229</v>
      </c>
      <c r="L3557" s="1" t="s">
        <v>39</v>
      </c>
      <c r="M3557" s="1" t="str">
        <f>INDEX(MCC_Lookup!$B$2:$B$12,MATCH(G3557,MCC_Lookup!$A$2:$A$12,0))</f>
        <v>Travel</v>
      </c>
      <c r="N3557" s="1" t="str">
        <f>IF(TRIM(H3557)="","BLANK",IF(PROPER(TRIM(H3557))=TRIM(M3557),"MATCH","MISMATCH"))</f>
        <v>MATCH</v>
      </c>
      <c r="O3557" s="5" t="str">
        <f>INDEX([1]Employee!$C$2:$C$276,MATCH(B3557,[1]Employee!$A$2:$A$276,0))</f>
        <v>Claims</v>
      </c>
    </row>
    <row r="3558" spans="1:15">
      <c r="A3558" s="1" t="s">
        <v>6858</v>
      </c>
      <c r="B3558" s="1" t="s">
        <v>244</v>
      </c>
      <c r="C3558" s="1" t="s">
        <v>6859</v>
      </c>
      <c r="D3558" s="2">
        <v>46042</v>
      </c>
      <c r="E3558" s="2">
        <v>46203</v>
      </c>
      <c r="F3558" s="1" t="s">
        <v>76</v>
      </c>
      <c r="G3558" s="1" t="s">
        <v>13</v>
      </c>
      <c r="H3558" s="1" t="s">
        <v>14</v>
      </c>
      <c r="I3558" s="7">
        <v>327.96</v>
      </c>
      <c r="J3558" s="1" t="s">
        <v>38</v>
      </c>
      <c r="K3558" s="1"/>
      <c r="L3558" s="1" t="s">
        <v>39</v>
      </c>
      <c r="M3558" s="1" t="str">
        <f>INDEX(MCC_Lookup!$B$2:$B$12,MATCH(G3558,MCC_Lookup!$A$2:$A$12,0))</f>
        <v>Software</v>
      </c>
      <c r="N3558" s="1" t="str">
        <f>IF(TRIM(H3558)="","BLANK",IF(PROPER(TRIM(H3558))=TRIM(M3558),"MATCH","MISMATCH"))</f>
        <v>MATCH</v>
      </c>
      <c r="O3558" s="5" t="str">
        <f>INDEX([1]Employee!$C$2:$C$276,MATCH(B3558,[1]Employee!$A$2:$A$276,0))</f>
        <v>Sales &amp; Marketing</v>
      </c>
    </row>
    <row r="3559" spans="1:15">
      <c r="A3559" s="1" t="s">
        <v>6860</v>
      </c>
      <c r="B3559" s="1" t="s">
        <v>244</v>
      </c>
      <c r="C3559" s="1" t="s">
        <v>6861</v>
      </c>
      <c r="D3559" s="2">
        <v>46201</v>
      </c>
      <c r="E3559" s="2">
        <v>46203</v>
      </c>
      <c r="F3559" s="1" t="s">
        <v>347</v>
      </c>
      <c r="G3559" s="1" t="s">
        <v>8</v>
      </c>
      <c r="H3559" s="1" t="s">
        <v>9</v>
      </c>
      <c r="I3559" s="7">
        <v>29.78</v>
      </c>
      <c r="J3559" s="1" t="s">
        <v>38</v>
      </c>
      <c r="K3559" s="1"/>
      <c r="L3559" s="1" t="s">
        <v>39</v>
      </c>
      <c r="M3559" s="1" t="str">
        <f>INDEX(MCC_Lookup!$B$2:$B$12,MATCH(G3559,MCC_Lookup!$A$2:$A$12,0))</f>
        <v>Transportation</v>
      </c>
      <c r="N3559" s="1" t="str">
        <f>IF(TRIM(H3559)="","BLANK",IF(PROPER(TRIM(H3559))=TRIM(M3559),"MATCH","MISMATCH"))</f>
        <v>MATCH</v>
      </c>
      <c r="O3559" s="5" t="str">
        <f>INDEX([1]Employee!$C$2:$C$276,MATCH(B3559,[1]Employee!$A$2:$A$276,0))</f>
        <v>Sales &amp; Marketing</v>
      </c>
    </row>
    <row r="3560" spans="1:15">
      <c r="A3560" s="1" t="s">
        <v>6862</v>
      </c>
      <c r="B3560" s="1" t="s">
        <v>190</v>
      </c>
      <c r="C3560" s="1"/>
      <c r="D3560" s="2">
        <v>46179</v>
      </c>
      <c r="E3560" s="2">
        <v>46203</v>
      </c>
      <c r="F3560" s="1" t="s">
        <v>173</v>
      </c>
      <c r="G3560" s="1" t="s">
        <v>2</v>
      </c>
      <c r="H3560" s="1" t="s">
        <v>3</v>
      </c>
      <c r="I3560" s="7">
        <v>21.02</v>
      </c>
      <c r="J3560" s="1" t="s">
        <v>38</v>
      </c>
      <c r="K3560" s="1"/>
      <c r="L3560" s="1" t="s">
        <v>39</v>
      </c>
      <c r="M3560" s="1" t="str">
        <f>INDEX(MCC_Lookup!$B$2:$B$12,MATCH(G3560,MCC_Lookup!$A$2:$A$12,0))</f>
        <v>Meals</v>
      </c>
      <c r="N3560" s="1" t="str">
        <f>IF(TRIM(H3560)="","BLANK",IF(PROPER(TRIM(H3560))=TRIM(M3560),"MATCH","MISMATCH"))</f>
        <v>MATCH</v>
      </c>
      <c r="O3560" s="5" t="str">
        <f>INDEX([1]Employee!$C$2:$C$276,MATCH(B3560,[1]Employee!$A$2:$A$276,0))</f>
        <v>Sales &amp; Marketing</v>
      </c>
    </row>
    <row r="3561" spans="1:15">
      <c r="A3561" s="1" t="s">
        <v>6863</v>
      </c>
      <c r="B3561" s="1" t="s">
        <v>531</v>
      </c>
      <c r="C3561" s="1" t="s">
        <v>6864</v>
      </c>
      <c r="D3561" s="2">
        <v>46199</v>
      </c>
      <c r="E3561" s="2">
        <v>46203</v>
      </c>
      <c r="F3561" s="1" t="s">
        <v>65</v>
      </c>
      <c r="G3561" s="1" t="s">
        <v>18</v>
      </c>
      <c r="H3561" s="1" t="s">
        <v>19</v>
      </c>
      <c r="I3561" s="7">
        <v>199.77</v>
      </c>
      <c r="J3561" s="1" t="s">
        <v>38</v>
      </c>
      <c r="K3561" s="1"/>
      <c r="L3561" s="1" t="s">
        <v>39</v>
      </c>
      <c r="M3561" s="1" t="str">
        <f>INDEX(MCC_Lookup!$B$2:$B$12,MATCH(G3561,MCC_Lookup!$A$2:$A$12,0))</f>
        <v>Events</v>
      </c>
      <c r="N3561" s="1" t="str">
        <f>IF(TRIM(H3561)="","BLANK",IF(PROPER(TRIM(H3561))=TRIM(M3561),"MATCH","MISMATCH"))</f>
        <v>MATCH</v>
      </c>
      <c r="O3561" s="5" t="str">
        <f>INDEX([1]Employee!$C$2:$C$276,MATCH(B3561,[1]Employee!$A$2:$A$276,0))</f>
        <v>Sales &amp; Marketing</v>
      </c>
    </row>
    <row r="3562" spans="1:15">
      <c r="A3562" s="1" t="s">
        <v>6865</v>
      </c>
      <c r="B3562" s="1" t="s">
        <v>531</v>
      </c>
      <c r="C3562" s="1" t="s">
        <v>6866</v>
      </c>
      <c r="D3562" s="2">
        <v>46091</v>
      </c>
      <c r="E3562" s="2">
        <v>46203</v>
      </c>
      <c r="F3562" s="1" t="s">
        <v>47</v>
      </c>
      <c r="G3562" s="1" t="s">
        <v>6</v>
      </c>
      <c r="H3562" s="1" t="s">
        <v>7</v>
      </c>
      <c r="I3562" s="7">
        <v>161.80000000000001</v>
      </c>
      <c r="J3562" s="1" t="s">
        <v>38</v>
      </c>
      <c r="K3562" s="1"/>
      <c r="L3562" s="1" t="s">
        <v>39</v>
      </c>
      <c r="M3562" s="1" t="str">
        <f>INDEX(MCC_Lookup!$B$2:$B$12,MATCH(G3562,MCC_Lookup!$A$2:$A$12,0))</f>
        <v>Lodging</v>
      </c>
      <c r="N3562" s="1" t="str">
        <f>IF(TRIM(H3562)="","BLANK",IF(PROPER(TRIM(H3562))=TRIM(M3562),"MATCH","MISMATCH"))</f>
        <v>MATCH</v>
      </c>
      <c r="O3562" s="5" t="str">
        <f>INDEX([1]Employee!$C$2:$C$276,MATCH(B3562,[1]Employee!$A$2:$A$276,0))</f>
        <v>Sales &amp; Marketing</v>
      </c>
    </row>
    <row r="3563" spans="1:15">
      <c r="A3563" s="1" t="s">
        <v>6867</v>
      </c>
      <c r="B3563" s="1" t="s">
        <v>247</v>
      </c>
      <c r="C3563" s="1" t="s">
        <v>6868</v>
      </c>
      <c r="D3563" s="2">
        <v>46201</v>
      </c>
      <c r="E3563" s="2">
        <v>46203</v>
      </c>
      <c r="F3563" s="1" t="s">
        <v>259</v>
      </c>
      <c r="G3563" s="1" t="s">
        <v>20</v>
      </c>
      <c r="H3563" s="1"/>
      <c r="I3563" s="7">
        <v>74.28</v>
      </c>
      <c r="J3563" s="1" t="s">
        <v>38</v>
      </c>
      <c r="K3563" s="1"/>
      <c r="L3563" s="1" t="s">
        <v>39</v>
      </c>
      <c r="M3563" s="1" t="str">
        <f>INDEX(MCC_Lookup!$B$2:$B$12,MATCH(G3563,MCC_Lookup!$A$2:$A$12,0))</f>
        <v>Events</v>
      </c>
      <c r="N3563" s="1" t="str">
        <f>IF(TRIM(H3563)="","BLANK",IF(PROPER(TRIM(H3563))=TRIM(M3563),"MATCH","MISMATCH"))</f>
        <v>BLANK</v>
      </c>
      <c r="O3563" s="5" t="str">
        <f>INDEX([1]Employee!$C$2:$C$276,MATCH(B3563,[1]Employee!$A$2:$A$276,0))</f>
        <v>HR &amp; Events</v>
      </c>
    </row>
    <row r="3564" spans="1:15">
      <c r="A3564" s="1" t="s">
        <v>6869</v>
      </c>
      <c r="B3564" s="1" t="s">
        <v>379</v>
      </c>
      <c r="C3564" s="1" t="s">
        <v>6870</v>
      </c>
      <c r="D3564" s="2">
        <v>46198</v>
      </c>
      <c r="E3564" s="2">
        <v>46203</v>
      </c>
      <c r="F3564" s="1" t="s">
        <v>65</v>
      </c>
      <c r="G3564" s="1" t="s">
        <v>18</v>
      </c>
      <c r="H3564" s="1" t="s">
        <v>19</v>
      </c>
      <c r="I3564" s="7">
        <v>340.05</v>
      </c>
      <c r="J3564" s="1" t="s">
        <v>38</v>
      </c>
      <c r="K3564" s="1"/>
      <c r="L3564" s="1" t="s">
        <v>39</v>
      </c>
      <c r="M3564" s="1" t="str">
        <f>INDEX(MCC_Lookup!$B$2:$B$12,MATCH(G3564,MCC_Lookup!$A$2:$A$12,0))</f>
        <v>Events</v>
      </c>
      <c r="N3564" s="1" t="str">
        <f>IF(TRIM(H3564)="","BLANK",IF(PROPER(TRIM(H3564))=TRIM(M3564),"MATCH","MISMATCH"))</f>
        <v>MATCH</v>
      </c>
      <c r="O3564" s="5" t="str">
        <f>INDEX([1]Employee!$C$2:$C$276,MATCH(B3564,[1]Employee!$A$2:$A$276,0))</f>
        <v>Sales &amp; Marketing</v>
      </c>
    </row>
    <row r="3565" spans="1:15">
      <c r="A3565" s="1" t="s">
        <v>6871</v>
      </c>
      <c r="B3565" s="1" t="s">
        <v>379</v>
      </c>
      <c r="C3565" s="1" t="s">
        <v>6872</v>
      </c>
      <c r="D3565" s="2">
        <v>46201</v>
      </c>
      <c r="E3565" s="2">
        <v>46203</v>
      </c>
      <c r="F3565" s="1" t="s">
        <v>92</v>
      </c>
      <c r="G3565" s="1" t="s">
        <v>10</v>
      </c>
      <c r="H3565" s="1"/>
      <c r="I3565" s="7">
        <v>29.34</v>
      </c>
      <c r="J3565" s="1" t="s">
        <v>38</v>
      </c>
      <c r="K3565" s="1"/>
      <c r="L3565" s="1" t="s">
        <v>39</v>
      </c>
      <c r="M3565" s="1" t="str">
        <f>INDEX(MCC_Lookup!$B$2:$B$12,MATCH(G3565,MCC_Lookup!$A$2:$A$12,0))</f>
        <v>Office Supplies</v>
      </c>
      <c r="N3565" s="1" t="str">
        <f>IF(TRIM(H3565)="","BLANK",IF(PROPER(TRIM(H3565))=TRIM(M3565),"MATCH","MISMATCH"))</f>
        <v>BLANK</v>
      </c>
      <c r="O3565" s="5" t="str">
        <f>INDEX([1]Employee!$C$2:$C$276,MATCH(B3565,[1]Employee!$A$2:$A$276,0))</f>
        <v>Sales &amp; Marketing</v>
      </c>
    </row>
    <row r="3566" spans="1:15">
      <c r="A3566" s="1" t="s">
        <v>6873</v>
      </c>
      <c r="B3566" s="1" t="s">
        <v>506</v>
      </c>
      <c r="C3566" s="1"/>
      <c r="D3566" s="2">
        <v>46203</v>
      </c>
      <c r="E3566" s="2">
        <v>46203</v>
      </c>
      <c r="F3566" s="1" t="s">
        <v>242</v>
      </c>
      <c r="G3566" s="1" t="s">
        <v>13</v>
      </c>
      <c r="H3566" s="1" t="s">
        <v>14</v>
      </c>
      <c r="I3566" s="7">
        <v>45.87</v>
      </c>
      <c r="J3566" s="1" t="s">
        <v>38</v>
      </c>
      <c r="K3566" s="1"/>
      <c r="L3566" s="1" t="s">
        <v>39</v>
      </c>
      <c r="M3566" s="1" t="str">
        <f>INDEX(MCC_Lookup!$B$2:$B$12,MATCH(G3566,MCC_Lookup!$A$2:$A$12,0))</f>
        <v>Software</v>
      </c>
      <c r="N3566" s="1" t="str">
        <f>IF(TRIM(H3566)="","BLANK",IF(PROPER(TRIM(H3566))=TRIM(M3566),"MATCH","MISMATCH"))</f>
        <v>MATCH</v>
      </c>
      <c r="O3566" s="5" t="str">
        <f>INDEX([1]Employee!$C$2:$C$276,MATCH(B3566,[1]Employee!$A$2:$A$276,0))</f>
        <v>Executive &amp; Corporate</v>
      </c>
    </row>
    <row r="3567" spans="1:15">
      <c r="A3567" s="1" t="s">
        <v>6874</v>
      </c>
      <c r="B3567" s="1" t="s">
        <v>506</v>
      </c>
      <c r="C3567" s="1" t="s">
        <v>6875</v>
      </c>
      <c r="D3567" s="2">
        <v>46201</v>
      </c>
      <c r="E3567" s="2">
        <v>46203</v>
      </c>
      <c r="F3567" s="1" t="s">
        <v>37</v>
      </c>
      <c r="G3567" s="1" t="s">
        <v>4</v>
      </c>
      <c r="H3567" s="1" t="s">
        <v>5</v>
      </c>
      <c r="I3567" s="7">
        <v>473.8</v>
      </c>
      <c r="J3567" s="1" t="s">
        <v>38</v>
      </c>
      <c r="K3567" s="1"/>
      <c r="L3567" s="1" t="s">
        <v>39</v>
      </c>
      <c r="M3567" s="1" t="str">
        <f>INDEX(MCC_Lookup!$B$2:$B$12,MATCH(G3567,MCC_Lookup!$A$2:$A$12,0))</f>
        <v>Travel</v>
      </c>
      <c r="N3567" s="1" t="str">
        <f>IF(TRIM(H3567)="","BLANK",IF(PROPER(TRIM(H3567))=TRIM(M3567),"MATCH","MISMATCH"))</f>
        <v>MATCH</v>
      </c>
      <c r="O3567" s="5" t="str">
        <f>INDEX([1]Employee!$C$2:$C$276,MATCH(B3567,[1]Employee!$A$2:$A$276,0))</f>
        <v>Executive &amp; Corporate</v>
      </c>
    </row>
    <row r="3568" spans="1:15">
      <c r="A3568" s="1" t="s">
        <v>6876</v>
      </c>
      <c r="B3568" s="1" t="s">
        <v>506</v>
      </c>
      <c r="C3568" s="1" t="s">
        <v>6877</v>
      </c>
      <c r="D3568" s="2">
        <v>46139</v>
      </c>
      <c r="E3568" s="2">
        <v>46203</v>
      </c>
      <c r="F3568" s="1" t="s">
        <v>106</v>
      </c>
      <c r="G3568" s="1" t="s">
        <v>13</v>
      </c>
      <c r="H3568" s="1" t="s">
        <v>14</v>
      </c>
      <c r="I3568" s="7">
        <v>227.92</v>
      </c>
      <c r="J3568" s="1" t="s">
        <v>38</v>
      </c>
      <c r="K3568" s="1"/>
      <c r="L3568" s="1" t="s">
        <v>39</v>
      </c>
      <c r="M3568" s="1" t="str">
        <f>INDEX(MCC_Lookup!$B$2:$B$12,MATCH(G3568,MCC_Lookup!$A$2:$A$12,0))</f>
        <v>Software</v>
      </c>
      <c r="N3568" s="1" t="str">
        <f>IF(TRIM(H3568)="","BLANK",IF(PROPER(TRIM(H3568))=TRIM(M3568),"MATCH","MISMATCH"))</f>
        <v>MATCH</v>
      </c>
      <c r="O3568" s="5" t="str">
        <f>INDEX([1]Employee!$C$2:$C$276,MATCH(B3568,[1]Employee!$A$2:$A$276,0))</f>
        <v>Executive &amp; Corporate</v>
      </c>
    </row>
    <row r="3569" spans="1:15">
      <c r="A3569" s="1" t="s">
        <v>6878</v>
      </c>
      <c r="B3569" s="1" t="s">
        <v>506</v>
      </c>
      <c r="C3569" s="1" t="s">
        <v>6879</v>
      </c>
      <c r="D3569" s="2">
        <v>46199</v>
      </c>
      <c r="E3569" s="2">
        <v>46203</v>
      </c>
      <c r="F3569" s="1" t="s">
        <v>92</v>
      </c>
      <c r="G3569" s="1" t="s">
        <v>10</v>
      </c>
      <c r="H3569" s="1" t="s">
        <v>11</v>
      </c>
      <c r="I3569" s="7">
        <v>65</v>
      </c>
      <c r="J3569" s="1" t="s">
        <v>38</v>
      </c>
      <c r="K3569" s="1"/>
      <c r="L3569" s="1" t="s">
        <v>39</v>
      </c>
      <c r="M3569" s="1" t="str">
        <f>INDEX(MCC_Lookup!$B$2:$B$12,MATCH(G3569,MCC_Lookup!$A$2:$A$12,0))</f>
        <v>Office Supplies</v>
      </c>
      <c r="N3569" s="1" t="str">
        <f>IF(TRIM(H3569)="","BLANK",IF(PROPER(TRIM(H3569))=TRIM(M3569),"MATCH","MISMATCH"))</f>
        <v>MATCH</v>
      </c>
      <c r="O3569" s="5" t="str">
        <f>INDEX([1]Employee!$C$2:$C$276,MATCH(B3569,[1]Employee!$A$2:$A$276,0))</f>
        <v>Executive &amp; Corporate</v>
      </c>
    </row>
    <row r="3570" spans="1:15">
      <c r="A3570" s="1" t="s">
        <v>6880</v>
      </c>
      <c r="B3570" s="1" t="s">
        <v>3470</v>
      </c>
      <c r="C3570" s="1" t="s">
        <v>6881</v>
      </c>
      <c r="D3570" s="2">
        <v>46198</v>
      </c>
      <c r="E3570" s="2">
        <v>46203</v>
      </c>
      <c r="F3570" s="1" t="s">
        <v>56</v>
      </c>
      <c r="G3570" s="1" t="s">
        <v>4</v>
      </c>
      <c r="H3570" s="1" t="s">
        <v>5</v>
      </c>
      <c r="I3570" s="7">
        <v>458.71</v>
      </c>
      <c r="J3570" s="1" t="s">
        <v>38</v>
      </c>
      <c r="K3570" s="1"/>
      <c r="L3570" s="1" t="s">
        <v>39</v>
      </c>
      <c r="M3570" s="1" t="str">
        <f>INDEX(MCC_Lookup!$B$2:$B$12,MATCH(G3570,MCC_Lookup!$A$2:$A$12,0))</f>
        <v>Travel</v>
      </c>
      <c r="N3570" s="1" t="str">
        <f>IF(TRIM(H3570)="","BLANK",IF(PROPER(TRIM(H3570))=TRIM(M3570),"MATCH","MISMATCH"))</f>
        <v>MATCH</v>
      </c>
      <c r="O3570" s="5" t="str">
        <f>INDEX([1]Employee!$C$2:$C$276,MATCH(B3570,[1]Employee!$A$2:$A$276,0))</f>
        <v>IT &amp; Platform Engineering</v>
      </c>
    </row>
    <row r="3571" spans="1:15">
      <c r="A3571" s="1" t="s">
        <v>6882</v>
      </c>
      <c r="B3571" s="1" t="s">
        <v>4946</v>
      </c>
      <c r="C3571" s="1" t="s">
        <v>6883</v>
      </c>
      <c r="D3571" s="2">
        <v>46198</v>
      </c>
      <c r="E3571" s="2">
        <v>46203</v>
      </c>
      <c r="F3571" s="1" t="s">
        <v>52</v>
      </c>
      <c r="G3571" s="1" t="s">
        <v>15</v>
      </c>
      <c r="H3571" s="1"/>
      <c r="I3571" s="7">
        <v>48.35</v>
      </c>
      <c r="J3571" s="1" t="s">
        <v>38</v>
      </c>
      <c r="K3571" s="1"/>
      <c r="L3571" s="1" t="s">
        <v>48</v>
      </c>
      <c r="M3571" s="1" t="str">
        <f>INDEX(MCC_Lookup!$B$2:$B$12,MATCH(G3571,MCC_Lookup!$A$2:$A$12,0))</f>
        <v>Entertainment</v>
      </c>
      <c r="N3571" s="1" t="str">
        <f>IF(TRIM(H3571)="","BLANK",IF(PROPER(TRIM(H3571))=TRIM(M3571),"MATCH","MISMATCH"))</f>
        <v>BLANK</v>
      </c>
      <c r="O3571" s="5" t="str">
        <f>INDEX([1]Employee!$C$2:$C$276,MATCH(B3571,[1]Employee!$A$2:$A$276,0))</f>
        <v>Customer Support</v>
      </c>
    </row>
    <row r="3572" spans="1:15">
      <c r="A3572" s="1" t="s">
        <v>6884</v>
      </c>
      <c r="B3572" s="1" t="s">
        <v>4946</v>
      </c>
      <c r="C3572" s="1" t="s">
        <v>6885</v>
      </c>
      <c r="D3572" s="2">
        <v>46202</v>
      </c>
      <c r="E3572" s="2">
        <v>46203</v>
      </c>
      <c r="F3572" s="1" t="s">
        <v>52</v>
      </c>
      <c r="G3572" s="1" t="s">
        <v>15</v>
      </c>
      <c r="H3572" s="1" t="s">
        <v>16</v>
      </c>
      <c r="I3572" s="7">
        <v>34.94</v>
      </c>
      <c r="J3572" s="1" t="s">
        <v>38</v>
      </c>
      <c r="K3572" s="1"/>
      <c r="L3572" s="1" t="s">
        <v>39</v>
      </c>
      <c r="M3572" s="1" t="str">
        <f>INDEX(MCC_Lookup!$B$2:$B$12,MATCH(G3572,MCC_Lookup!$A$2:$A$12,0))</f>
        <v>Entertainment</v>
      </c>
      <c r="N3572" s="1" t="str">
        <f>IF(TRIM(H3572)="","BLANK",IF(PROPER(TRIM(H3572))=TRIM(M3572),"MATCH","MISMATCH"))</f>
        <v>MATCH</v>
      </c>
      <c r="O3572" s="5" t="str">
        <f>INDEX([1]Employee!$C$2:$C$276,MATCH(B3572,[1]Employee!$A$2:$A$276,0))</f>
        <v>Customer Support</v>
      </c>
    </row>
    <row r="3573" spans="1:15">
      <c r="A3573" s="1" t="s">
        <v>6886</v>
      </c>
      <c r="B3573" s="1" t="s">
        <v>792</v>
      </c>
      <c r="C3573" s="1"/>
      <c r="D3573" s="2">
        <v>46201</v>
      </c>
      <c r="E3573" s="2">
        <v>46203</v>
      </c>
      <c r="F3573" s="1" t="s">
        <v>92</v>
      </c>
      <c r="G3573" s="1" t="s">
        <v>10</v>
      </c>
      <c r="H3573" s="1" t="s">
        <v>11</v>
      </c>
      <c r="I3573" s="7">
        <v>124.44</v>
      </c>
      <c r="J3573" s="1" t="s">
        <v>38</v>
      </c>
      <c r="K3573" s="1"/>
      <c r="L3573" s="1" t="s">
        <v>39</v>
      </c>
      <c r="M3573" s="1" t="str">
        <f>INDEX(MCC_Lookup!$B$2:$B$12,MATCH(G3573,MCC_Lookup!$A$2:$A$12,0))</f>
        <v>Office Supplies</v>
      </c>
      <c r="N3573" s="1" t="str">
        <f>IF(TRIM(H3573)="","BLANK",IF(PROPER(TRIM(H3573))=TRIM(M3573),"MATCH","MISMATCH"))</f>
        <v>MATCH</v>
      </c>
      <c r="O3573" s="5" t="str">
        <f>INDEX([1]Employee!$C$2:$C$276,MATCH(B3573,[1]Employee!$A$2:$A$276,0))</f>
        <v>Underwriting</v>
      </c>
    </row>
    <row r="3574" spans="1:15">
      <c r="A3574" s="1" t="s">
        <v>6887</v>
      </c>
      <c r="B3574" s="1" t="s">
        <v>1252</v>
      </c>
      <c r="C3574" s="1" t="s">
        <v>6888</v>
      </c>
      <c r="D3574" s="2">
        <v>46203</v>
      </c>
      <c r="E3574" s="2">
        <v>46203</v>
      </c>
      <c r="F3574" s="1" t="s">
        <v>47</v>
      </c>
      <c r="G3574" s="1" t="s">
        <v>6</v>
      </c>
      <c r="H3574" s="1" t="s">
        <v>7</v>
      </c>
      <c r="I3574" s="7">
        <v>195.98</v>
      </c>
      <c r="J3574" s="1" t="s">
        <v>38</v>
      </c>
      <c r="K3574" s="1"/>
      <c r="L3574" s="1" t="s">
        <v>39</v>
      </c>
      <c r="M3574" s="1" t="str">
        <f>INDEX(MCC_Lookup!$B$2:$B$12,MATCH(G3574,MCC_Lookup!$A$2:$A$12,0))</f>
        <v>Lodging</v>
      </c>
      <c r="N3574" s="1" t="str">
        <f>IF(TRIM(H3574)="","BLANK",IF(PROPER(TRIM(H3574))=TRIM(M3574),"MATCH","MISMATCH"))</f>
        <v>MATCH</v>
      </c>
      <c r="O3574" s="5" t="str">
        <f>INDEX([1]Employee!$C$2:$C$276,MATCH(B3574,[1]Employee!$A$2:$A$276,0))</f>
        <v>Underwriting</v>
      </c>
    </row>
    <row r="3575" spans="1:15">
      <c r="A3575" s="1" t="s">
        <v>6889</v>
      </c>
      <c r="B3575" s="1" t="s">
        <v>648</v>
      </c>
      <c r="C3575" s="1" t="s">
        <v>6890</v>
      </c>
      <c r="D3575" s="2">
        <v>46201</v>
      </c>
      <c r="E3575" s="2">
        <v>46203</v>
      </c>
      <c r="F3575" s="1" t="s">
        <v>43</v>
      </c>
      <c r="G3575" s="1" t="s">
        <v>2</v>
      </c>
      <c r="H3575" s="1" t="s">
        <v>3</v>
      </c>
      <c r="I3575" s="7">
        <v>20.04</v>
      </c>
      <c r="J3575" s="1" t="s">
        <v>38</v>
      </c>
      <c r="K3575" s="1"/>
      <c r="L3575" s="1" t="s">
        <v>39</v>
      </c>
      <c r="M3575" s="1" t="str">
        <f>INDEX(MCC_Lookup!$B$2:$B$12,MATCH(G3575,MCC_Lookup!$A$2:$A$12,0))</f>
        <v>Meals</v>
      </c>
      <c r="N3575" s="1" t="str">
        <f>IF(TRIM(H3575)="","BLANK",IF(PROPER(TRIM(H3575))=TRIM(M3575),"MATCH","MISMATCH"))</f>
        <v>MATCH</v>
      </c>
      <c r="O3575" s="5" t="str">
        <f>INDEX([1]Employee!$C$2:$C$276,MATCH(B3575,[1]Employee!$A$2:$A$276,0))</f>
        <v>Sales &amp; Marketing</v>
      </c>
    </row>
    <row r="3576" spans="1:15">
      <c r="A3576" s="1" t="s">
        <v>6891</v>
      </c>
      <c r="B3576" s="1" t="s">
        <v>303</v>
      </c>
      <c r="C3576" s="1" t="s">
        <v>6892</v>
      </c>
      <c r="D3576" s="2">
        <v>46201</v>
      </c>
      <c r="E3576" s="2">
        <v>46203</v>
      </c>
      <c r="F3576" s="1" t="s">
        <v>65</v>
      </c>
      <c r="G3576" s="1" t="s">
        <v>18</v>
      </c>
      <c r="H3576" s="1" t="s">
        <v>19</v>
      </c>
      <c r="I3576" s="7">
        <v>393.2</v>
      </c>
      <c r="J3576" s="1" t="s">
        <v>38</v>
      </c>
      <c r="K3576" s="1"/>
      <c r="L3576" s="1" t="s">
        <v>39</v>
      </c>
      <c r="M3576" s="1" t="str">
        <f>INDEX(MCC_Lookup!$B$2:$B$12,MATCH(G3576,MCC_Lookup!$A$2:$A$12,0))</f>
        <v>Events</v>
      </c>
      <c r="N3576" s="1" t="str">
        <f>IF(TRIM(H3576)="","BLANK",IF(PROPER(TRIM(H3576))=TRIM(M3576),"MATCH","MISMATCH"))</f>
        <v>MATCH</v>
      </c>
      <c r="O3576" s="5" t="str">
        <f>INDEX([1]Employee!$C$2:$C$276,MATCH(B3576,[1]Employee!$A$2:$A$276,0))</f>
        <v>Sales &amp; Marketing</v>
      </c>
    </row>
    <row r="3577" spans="1:15">
      <c r="A3577" s="1" t="s">
        <v>6893</v>
      </c>
      <c r="B3577" s="1" t="s">
        <v>219</v>
      </c>
      <c r="C3577" s="1" t="s">
        <v>6894</v>
      </c>
      <c r="D3577" s="2">
        <v>46199</v>
      </c>
      <c r="E3577" s="2">
        <v>46203</v>
      </c>
      <c r="F3577" s="1" t="s">
        <v>347</v>
      </c>
      <c r="G3577" s="1" t="s">
        <v>8</v>
      </c>
      <c r="H3577" s="1" t="s">
        <v>9</v>
      </c>
      <c r="I3577" s="7">
        <v>25.34</v>
      </c>
      <c r="J3577" s="1" t="s">
        <v>38</v>
      </c>
      <c r="K3577" s="1"/>
      <c r="L3577" s="1" t="s">
        <v>48</v>
      </c>
      <c r="M3577" s="1" t="str">
        <f>INDEX(MCC_Lookup!$B$2:$B$12,MATCH(G3577,MCC_Lookup!$A$2:$A$12,0))</f>
        <v>Transportation</v>
      </c>
      <c r="N3577" s="1" t="str">
        <f>IF(TRIM(H3577)="","BLANK",IF(PROPER(TRIM(H3577))=TRIM(M3577),"MATCH","MISMATCH"))</f>
        <v>MATCH</v>
      </c>
      <c r="O3577" s="5" t="str">
        <f>INDEX([1]Employee!$C$2:$C$276,MATCH(B3577,[1]Employee!$A$2:$A$276,0))</f>
        <v>Underwriting</v>
      </c>
    </row>
    <row r="3578" spans="1:15">
      <c r="A3578" s="1" t="s">
        <v>6895</v>
      </c>
      <c r="B3578" s="1" t="s">
        <v>1206</v>
      </c>
      <c r="C3578" s="1"/>
      <c r="D3578" s="2">
        <v>46200</v>
      </c>
      <c r="E3578" s="2">
        <v>46203</v>
      </c>
      <c r="F3578" s="1" t="s">
        <v>43</v>
      </c>
      <c r="G3578" s="1" t="s">
        <v>2</v>
      </c>
      <c r="H3578" s="1" t="s">
        <v>3</v>
      </c>
      <c r="I3578" s="7">
        <v>11.31</v>
      </c>
      <c r="J3578" s="1" t="s">
        <v>38</v>
      </c>
      <c r="K3578" s="1"/>
      <c r="L3578" s="1" t="s">
        <v>39</v>
      </c>
      <c r="M3578" s="1" t="str">
        <f>INDEX(MCC_Lookup!$B$2:$B$12,MATCH(G3578,MCC_Lookup!$A$2:$A$12,0))</f>
        <v>Meals</v>
      </c>
      <c r="N3578" s="1" t="str">
        <f>IF(TRIM(H3578)="","BLANK",IF(PROPER(TRIM(H3578))=TRIM(M3578),"MATCH","MISMATCH"))</f>
        <v>MATCH</v>
      </c>
      <c r="O3578" s="5" t="str">
        <f>INDEX([1]Employee!$C$2:$C$276,MATCH(B3578,[1]Employee!$A$2:$A$276,0))</f>
        <v>Customer Support</v>
      </c>
    </row>
    <row r="3579" spans="1:15">
      <c r="A3579" s="1" t="s">
        <v>6896</v>
      </c>
      <c r="B3579" s="1" t="s">
        <v>608</v>
      </c>
      <c r="C3579" s="1" t="s">
        <v>6897</v>
      </c>
      <c r="D3579" s="2">
        <v>46197</v>
      </c>
      <c r="E3579" s="2">
        <v>46203</v>
      </c>
      <c r="F3579" s="1" t="s">
        <v>109</v>
      </c>
      <c r="G3579" s="1" t="s">
        <v>18</v>
      </c>
      <c r="H3579" s="1" t="s">
        <v>19</v>
      </c>
      <c r="I3579" s="7">
        <v>91.49</v>
      </c>
      <c r="J3579" s="1" t="s">
        <v>38</v>
      </c>
      <c r="K3579" s="1"/>
      <c r="L3579" s="1" t="s">
        <v>39</v>
      </c>
      <c r="M3579" s="1" t="str">
        <f>INDEX(MCC_Lookup!$B$2:$B$12,MATCH(G3579,MCC_Lookup!$A$2:$A$12,0))</f>
        <v>Events</v>
      </c>
      <c r="N3579" s="1" t="str">
        <f>IF(TRIM(H3579)="","BLANK",IF(PROPER(TRIM(H3579))=TRIM(M3579),"MATCH","MISMATCH"))</f>
        <v>MATCH</v>
      </c>
      <c r="O3579" s="5" t="str">
        <f>INDEX([1]Employee!$C$2:$C$276,MATCH(B3579,[1]Employee!$A$2:$A$276,0))</f>
        <v>IT &amp; Platform Engineering</v>
      </c>
    </row>
    <row r="3580" spans="1:15">
      <c r="A3580" s="1" t="s">
        <v>6898</v>
      </c>
      <c r="B3580" s="1" t="s">
        <v>608</v>
      </c>
      <c r="C3580" s="1" t="s">
        <v>6899</v>
      </c>
      <c r="D3580" s="2">
        <v>46197</v>
      </c>
      <c r="E3580" s="2">
        <v>46203</v>
      </c>
      <c r="F3580" s="1" t="s">
        <v>347</v>
      </c>
      <c r="G3580" s="1" t="s">
        <v>8</v>
      </c>
      <c r="H3580" s="1" t="s">
        <v>9</v>
      </c>
      <c r="I3580" s="7">
        <v>13.06</v>
      </c>
      <c r="J3580" s="1" t="s">
        <v>38</v>
      </c>
      <c r="K3580" s="1"/>
      <c r="L3580" s="1" t="s">
        <v>39</v>
      </c>
      <c r="M3580" s="1" t="str">
        <f>INDEX(MCC_Lookup!$B$2:$B$12,MATCH(G3580,MCC_Lookup!$A$2:$A$12,0))</f>
        <v>Transportation</v>
      </c>
      <c r="N3580" s="1" t="str">
        <f>IF(TRIM(H3580)="","BLANK",IF(PROPER(TRIM(H3580))=TRIM(M3580),"MATCH","MISMATCH"))</f>
        <v>MATCH</v>
      </c>
      <c r="O3580" s="5" t="str">
        <f>INDEX([1]Employee!$C$2:$C$276,MATCH(B3580,[1]Employee!$A$2:$A$276,0))</f>
        <v>IT &amp; Platform Engineering</v>
      </c>
    </row>
    <row r="3581" spans="1:15">
      <c r="A3581" s="1" t="s">
        <v>6900</v>
      </c>
      <c r="B3581" s="1" t="s">
        <v>1427</v>
      </c>
      <c r="C3581" s="1"/>
      <c r="D3581" s="2">
        <v>46195</v>
      </c>
      <c r="E3581" s="2">
        <v>46203</v>
      </c>
      <c r="F3581" s="1" t="s">
        <v>160</v>
      </c>
      <c r="G3581" s="1" t="s">
        <v>6</v>
      </c>
      <c r="H3581" s="1" t="s">
        <v>6901</v>
      </c>
      <c r="I3581" s="7">
        <v>207.02</v>
      </c>
      <c r="J3581" s="1" t="s">
        <v>38</v>
      </c>
      <c r="K3581" s="1"/>
      <c r="L3581" s="1" t="s">
        <v>39</v>
      </c>
      <c r="M3581" s="1" t="str">
        <f>INDEX(MCC_Lookup!$B$2:$B$12,MATCH(G3581,MCC_Lookup!$A$2:$A$12,0))</f>
        <v>Lodging</v>
      </c>
      <c r="N3581" s="1" t="str">
        <f>IF(TRIM(H3581)="","BLANK",IF(PROPER(TRIM(H3581))=TRIM(M3581),"MATCH","MISMATCH"))</f>
        <v>MATCH</v>
      </c>
      <c r="O3581" s="5" t="str">
        <f>INDEX([1]Employee!$C$2:$C$276,MATCH(B3581,[1]Employee!$A$2:$A$276,0))</f>
        <v>Finance</v>
      </c>
    </row>
    <row r="3582" spans="1:15">
      <c r="A3582" s="1" t="s">
        <v>6902</v>
      </c>
      <c r="B3582" s="1" t="s">
        <v>1427</v>
      </c>
      <c r="C3582" s="1" t="s">
        <v>6903</v>
      </c>
      <c r="D3582" s="2">
        <v>46197</v>
      </c>
      <c r="E3582" s="2">
        <v>46203</v>
      </c>
      <c r="F3582" s="14" t="s">
        <v>109</v>
      </c>
      <c r="G3582" s="1" t="s">
        <v>18</v>
      </c>
      <c r="H3582" s="1" t="s">
        <v>19</v>
      </c>
      <c r="I3582" s="7">
        <v>19.11</v>
      </c>
      <c r="J3582" s="1" t="s">
        <v>38</v>
      </c>
      <c r="K3582" s="1"/>
      <c r="L3582" s="1" t="s">
        <v>48</v>
      </c>
      <c r="M3582" s="1" t="str">
        <f>INDEX(MCC_Lookup!$B$2:$B$12,MATCH(G3582,MCC_Lookup!$A$2:$A$12,0))</f>
        <v>Events</v>
      </c>
      <c r="N3582" s="1" t="str">
        <f>IF(TRIM(H3582)="","BLANK",IF(PROPER(TRIM(H3582))=TRIM(M3582),"MATCH","MISMATCH"))</f>
        <v>MATCH</v>
      </c>
      <c r="O3582" s="5" t="str">
        <f>INDEX([1]Employee!$C$2:$C$276,MATCH(B3582,[1]Employee!$A$2:$A$276,0))</f>
        <v>Finance</v>
      </c>
    </row>
    <row r="3583" spans="1:15">
      <c r="A3583" s="1" t="s">
        <v>6904</v>
      </c>
      <c r="B3583" s="1" t="s">
        <v>656</v>
      </c>
      <c r="C3583" s="1" t="s">
        <v>6905</v>
      </c>
      <c r="D3583" s="2">
        <v>46200</v>
      </c>
      <c r="E3583" s="2">
        <v>46203</v>
      </c>
      <c r="F3583" s="1" t="s">
        <v>79</v>
      </c>
      <c r="G3583" s="1" t="s">
        <v>13</v>
      </c>
      <c r="H3583" s="1" t="s">
        <v>14</v>
      </c>
      <c r="I3583" s="7">
        <v>245.66</v>
      </c>
      <c r="J3583" s="1" t="s">
        <v>38</v>
      </c>
      <c r="K3583" s="1"/>
      <c r="L3583" s="1" t="s">
        <v>48</v>
      </c>
      <c r="M3583" s="1" t="str">
        <f>INDEX(MCC_Lookup!$B$2:$B$12,MATCH(G3583,MCC_Lookup!$A$2:$A$12,0))</f>
        <v>Software</v>
      </c>
      <c r="N3583" s="1" t="str">
        <f>IF(TRIM(H3583)="","BLANK",IF(PROPER(TRIM(H3583))=TRIM(M3583),"MATCH","MISMATCH"))</f>
        <v>MATCH</v>
      </c>
      <c r="O3583" s="5" t="str">
        <f>INDEX([1]Employee!$C$2:$C$276,MATCH(B3583,[1]Employee!$A$2:$A$276,0))</f>
        <v>Claims</v>
      </c>
    </row>
    <row r="3584" spans="1:15">
      <c r="A3584" s="1" t="s">
        <v>6906</v>
      </c>
      <c r="B3584" s="1" t="s">
        <v>1814</v>
      </c>
      <c r="C3584" s="1"/>
      <c r="D3584" s="2">
        <v>46201</v>
      </c>
      <c r="E3584" s="2">
        <v>46203</v>
      </c>
      <c r="F3584" s="1" t="s">
        <v>347</v>
      </c>
      <c r="G3584" s="1" t="s">
        <v>8</v>
      </c>
      <c r="H3584" s="1" t="s">
        <v>9</v>
      </c>
      <c r="I3584" s="7">
        <v>39.39</v>
      </c>
      <c r="J3584" s="1" t="s">
        <v>38</v>
      </c>
      <c r="K3584" s="1"/>
      <c r="L3584" s="1" t="s">
        <v>48</v>
      </c>
      <c r="M3584" s="1" t="str">
        <f>INDEX(MCC_Lookup!$B$2:$B$12,MATCH(G3584,MCC_Lookup!$A$2:$A$12,0))</f>
        <v>Transportation</v>
      </c>
      <c r="N3584" s="1" t="str">
        <f>IF(TRIM(H3584)="","BLANK",IF(PROPER(TRIM(H3584))=TRIM(M3584),"MATCH","MISMATCH"))</f>
        <v>MATCH</v>
      </c>
      <c r="O3584" s="5" t="str">
        <f>INDEX([1]Employee!$C$2:$C$276,MATCH(B3584,[1]Employee!$A$2:$A$276,0))</f>
        <v>Underwriting</v>
      </c>
    </row>
    <row r="3585" spans="1:15">
      <c r="A3585" s="1" t="s">
        <v>6907</v>
      </c>
      <c r="B3585" s="1" t="s">
        <v>2027</v>
      </c>
      <c r="C3585" s="1" t="s">
        <v>6908</v>
      </c>
      <c r="D3585" s="2">
        <v>46197</v>
      </c>
      <c r="E3585" s="2">
        <v>46203</v>
      </c>
      <c r="F3585" s="1" t="s">
        <v>201</v>
      </c>
      <c r="G3585" s="1" t="s">
        <v>4</v>
      </c>
      <c r="H3585" s="1" t="s">
        <v>269</v>
      </c>
      <c r="I3585" s="7">
        <v>242.47</v>
      </c>
      <c r="J3585" s="1" t="s">
        <v>38</v>
      </c>
      <c r="K3585" s="1"/>
      <c r="L3585" s="1" t="s">
        <v>48</v>
      </c>
      <c r="M3585" s="1" t="str">
        <f>INDEX(MCC_Lookup!$B$2:$B$12,MATCH(G3585,MCC_Lookup!$A$2:$A$12,0))</f>
        <v>Travel</v>
      </c>
      <c r="N3585" s="1" t="str">
        <f>IF(TRIM(H3585)="","BLANK",IF(PROPER(TRIM(H3585))=TRIM(M3585),"MATCH","MISMATCH"))</f>
        <v>MISMATCH</v>
      </c>
      <c r="O3585" s="5" t="str">
        <f>INDEX([1]Employee!$C$2:$C$276,MATCH(B3585,[1]Employee!$A$2:$A$276,0))</f>
        <v>Customer Support</v>
      </c>
    </row>
    <row r="3586" spans="1:15">
      <c r="A3586" s="1" t="s">
        <v>6909</v>
      </c>
      <c r="B3586" s="1" t="s">
        <v>1061</v>
      </c>
      <c r="C3586" s="1" t="s">
        <v>6910</v>
      </c>
      <c r="D3586" s="2">
        <v>46197</v>
      </c>
      <c r="E3586" s="2">
        <v>46203</v>
      </c>
      <c r="F3586" s="1" t="s">
        <v>72</v>
      </c>
      <c r="G3586" s="1" t="s">
        <v>8</v>
      </c>
      <c r="H3586" s="1" t="s">
        <v>9</v>
      </c>
      <c r="I3586" s="7">
        <v>43.22</v>
      </c>
      <c r="J3586" s="1" t="s">
        <v>38</v>
      </c>
      <c r="K3586" s="1"/>
      <c r="L3586" s="1" t="s">
        <v>39</v>
      </c>
      <c r="M3586" s="1" t="str">
        <f>INDEX(MCC_Lookup!$B$2:$B$12,MATCH(G3586,MCC_Lookup!$A$2:$A$12,0))</f>
        <v>Transportation</v>
      </c>
      <c r="N3586" s="1" t="str">
        <f>IF(TRIM(H3586)="","BLANK",IF(PROPER(TRIM(H3586))=TRIM(M3586),"MATCH","MISMATCH"))</f>
        <v>MATCH</v>
      </c>
      <c r="O3586" s="5" t="str">
        <f>INDEX([1]Employee!$C$2:$C$276,MATCH(B3586,[1]Employee!$A$2:$A$276,0))</f>
        <v>Claims</v>
      </c>
    </row>
    <row r="3587" spans="1:15">
      <c r="A3587" s="1" t="s">
        <v>6911</v>
      </c>
      <c r="B3587" s="1" t="s">
        <v>3071</v>
      </c>
      <c r="C3587" s="1" t="s">
        <v>6912</v>
      </c>
      <c r="D3587" s="2">
        <v>46197</v>
      </c>
      <c r="E3587" s="2">
        <v>46203</v>
      </c>
      <c r="F3587" s="1" t="s">
        <v>347</v>
      </c>
      <c r="G3587" s="1" t="s">
        <v>8</v>
      </c>
      <c r="H3587" s="1" t="s">
        <v>9</v>
      </c>
      <c r="I3587" s="7">
        <v>42.4</v>
      </c>
      <c r="J3587" s="1" t="s">
        <v>38</v>
      </c>
      <c r="K3587" s="1"/>
      <c r="L3587" s="1" t="s">
        <v>39</v>
      </c>
      <c r="M3587" s="1" t="str">
        <f>INDEX(MCC_Lookup!$B$2:$B$12,MATCH(G3587,MCC_Lookup!$A$2:$A$12,0))</f>
        <v>Transportation</v>
      </c>
      <c r="N3587" s="1" t="str">
        <f>IF(TRIM(H3587)="","BLANK",IF(PROPER(TRIM(H3587))=TRIM(M3587),"MATCH","MISMATCH"))</f>
        <v>MATCH</v>
      </c>
      <c r="O3587" s="5" t="str">
        <f>INDEX([1]Employee!$C$2:$C$276,MATCH(B3587,[1]Employee!$A$2:$A$276,0))</f>
        <v>Customer Support</v>
      </c>
    </row>
    <row r="3588" spans="1:15">
      <c r="A3588" s="1" t="s">
        <v>6913</v>
      </c>
      <c r="B3588" s="1" t="s">
        <v>643</v>
      </c>
      <c r="C3588" s="1" t="s">
        <v>6914</v>
      </c>
      <c r="D3588" s="2">
        <v>46192</v>
      </c>
      <c r="E3588" s="2">
        <v>46203</v>
      </c>
      <c r="F3588" s="1" t="s">
        <v>47</v>
      </c>
      <c r="G3588" s="1" t="s">
        <v>6</v>
      </c>
      <c r="H3588" s="1" t="s">
        <v>7</v>
      </c>
      <c r="I3588" s="7">
        <v>204.41</v>
      </c>
      <c r="J3588" s="1" t="s">
        <v>38</v>
      </c>
      <c r="K3588" s="1"/>
      <c r="L3588" s="1" t="s">
        <v>39</v>
      </c>
      <c r="M3588" s="1" t="str">
        <f>INDEX(MCC_Lookup!$B$2:$B$12,MATCH(G3588,MCC_Lookup!$A$2:$A$12,0))</f>
        <v>Lodging</v>
      </c>
      <c r="N3588" s="1" t="str">
        <f>IF(TRIM(H3588)="","BLANK",IF(PROPER(TRIM(H3588))=TRIM(M3588),"MATCH","MISMATCH"))</f>
        <v>MATCH</v>
      </c>
      <c r="O3588" s="5" t="str">
        <f>INDEX([1]Employee!$C$2:$C$276,MATCH(B3588,[1]Employee!$A$2:$A$276,0))</f>
        <v>Sales &amp; Marketing</v>
      </c>
    </row>
    <row r="3589" spans="1:15">
      <c r="A3589" s="1" t="s">
        <v>6915</v>
      </c>
      <c r="B3589" s="1" t="s">
        <v>643</v>
      </c>
      <c r="C3589" s="1" t="s">
        <v>6916</v>
      </c>
      <c r="D3589" s="2">
        <v>46201</v>
      </c>
      <c r="E3589" s="2">
        <v>46203</v>
      </c>
      <c r="F3589" s="1" t="s">
        <v>95</v>
      </c>
      <c r="G3589" s="1" t="s">
        <v>6</v>
      </c>
      <c r="H3589" s="1" t="s">
        <v>7</v>
      </c>
      <c r="I3589" s="7">
        <v>280.54000000000002</v>
      </c>
      <c r="J3589" s="1" t="s">
        <v>38</v>
      </c>
      <c r="K3589" s="1"/>
      <c r="L3589" s="1" t="s">
        <v>39</v>
      </c>
      <c r="M3589" s="1" t="str">
        <f>INDEX(MCC_Lookup!$B$2:$B$12,MATCH(G3589,MCC_Lookup!$A$2:$A$12,0))</f>
        <v>Lodging</v>
      </c>
      <c r="N3589" s="1" t="str">
        <f>IF(TRIM(H3589)="","BLANK",IF(PROPER(TRIM(H3589))=TRIM(M3589),"MATCH","MISMATCH"))</f>
        <v>MATCH</v>
      </c>
      <c r="O3589" s="5" t="str">
        <f>INDEX([1]Employee!$C$2:$C$276,MATCH(B3589,[1]Employee!$A$2:$A$276,0))</f>
        <v>Sales &amp; Marketing</v>
      </c>
    </row>
    <row r="3590" spans="1:15">
      <c r="A3590" s="1" t="s">
        <v>6917</v>
      </c>
      <c r="B3590" s="1" t="s">
        <v>261</v>
      </c>
      <c r="C3590" s="1"/>
      <c r="D3590" s="2">
        <v>46036</v>
      </c>
      <c r="E3590" s="2">
        <v>46203</v>
      </c>
      <c r="F3590" s="1" t="s">
        <v>177</v>
      </c>
      <c r="G3590" s="1" t="s">
        <v>13</v>
      </c>
      <c r="H3590" s="1" t="s">
        <v>14</v>
      </c>
      <c r="I3590" s="7">
        <v>51.1</v>
      </c>
      <c r="J3590" s="1" t="s">
        <v>38</v>
      </c>
      <c r="K3590" s="1"/>
      <c r="L3590" s="1" t="s">
        <v>39</v>
      </c>
      <c r="M3590" s="1" t="str">
        <f>INDEX(MCC_Lookup!$B$2:$B$12,MATCH(G3590,MCC_Lookup!$A$2:$A$12,0))</f>
        <v>Software</v>
      </c>
      <c r="N3590" s="1" t="str">
        <f>IF(TRIM(H3590)="","BLANK",IF(PROPER(TRIM(H3590))=TRIM(M3590),"MATCH","MISMATCH"))</f>
        <v>MATCH</v>
      </c>
      <c r="O3590" s="5" t="str">
        <f>INDEX([1]Employee!$C$2:$C$276,MATCH(B3590,[1]Employee!$A$2:$A$276,0))</f>
        <v>Sales &amp; Marketing</v>
      </c>
    </row>
    <row r="3591" spans="1:15">
      <c r="A3591" s="1" t="s">
        <v>6918</v>
      </c>
      <c r="B3591" s="1" t="s">
        <v>261</v>
      </c>
      <c r="C3591" s="1" t="s">
        <v>6919</v>
      </c>
      <c r="D3591" s="2">
        <v>46203</v>
      </c>
      <c r="E3591" s="2">
        <v>46203</v>
      </c>
      <c r="F3591" s="1" t="s">
        <v>69</v>
      </c>
      <c r="G3591" s="1" t="s">
        <v>8</v>
      </c>
      <c r="H3591" s="1" t="s">
        <v>9</v>
      </c>
      <c r="I3591" s="7">
        <v>31.37</v>
      </c>
      <c r="J3591" s="1" t="s">
        <v>38</v>
      </c>
      <c r="K3591" s="1"/>
      <c r="L3591" s="1" t="s">
        <v>39</v>
      </c>
      <c r="M3591" s="1" t="str">
        <f>INDEX(MCC_Lookup!$B$2:$B$12,MATCH(G3591,MCC_Lookup!$A$2:$A$12,0))</f>
        <v>Transportation</v>
      </c>
      <c r="N3591" s="1" t="str">
        <f>IF(TRIM(H3591)="","BLANK",IF(PROPER(TRIM(H3591))=TRIM(M3591),"MATCH","MISMATCH"))</f>
        <v>MATCH</v>
      </c>
      <c r="O3591" s="5" t="str">
        <f>INDEX([1]Employee!$C$2:$C$276,MATCH(B3591,[1]Employee!$A$2:$A$276,0))</f>
        <v>Sales &amp; Marketing</v>
      </c>
    </row>
    <row r="3592" spans="1:15">
      <c r="A3592" s="1" t="s">
        <v>6920</v>
      </c>
      <c r="B3592" s="1" t="s">
        <v>426</v>
      </c>
      <c r="C3592" s="1"/>
      <c r="D3592" s="2">
        <v>46200</v>
      </c>
      <c r="E3592" s="2">
        <v>46203</v>
      </c>
      <c r="F3592" s="1" t="s">
        <v>201</v>
      </c>
      <c r="G3592" s="1" t="s">
        <v>4</v>
      </c>
      <c r="H3592" s="1" t="s">
        <v>5</v>
      </c>
      <c r="I3592" s="7">
        <v>198.43</v>
      </c>
      <c r="J3592" s="1" t="s">
        <v>111</v>
      </c>
      <c r="K3592" s="1" t="s">
        <v>112</v>
      </c>
      <c r="L3592" s="1" t="s">
        <v>39</v>
      </c>
      <c r="M3592" s="1" t="str">
        <f>INDEX(MCC_Lookup!$B$2:$B$12,MATCH(G3592,MCC_Lookup!$A$2:$A$12,0))</f>
        <v>Travel</v>
      </c>
      <c r="N3592" s="1" t="str">
        <f>IF(TRIM(H3592)="","BLANK",IF(PROPER(TRIM(H3592))=TRIM(M3592),"MATCH","MISMATCH"))</f>
        <v>MATCH</v>
      </c>
      <c r="O3592" s="5" t="str">
        <f>INDEX([1]Employee!$C$2:$C$276,MATCH(B3592,[1]Employee!$A$2:$A$276,0))</f>
        <v>Sales &amp; Marketing</v>
      </c>
    </row>
    <row r="3593" spans="1:15">
      <c r="A3593" s="1" t="s">
        <v>6921</v>
      </c>
      <c r="B3593" s="1" t="s">
        <v>426</v>
      </c>
      <c r="C3593" s="1" t="s">
        <v>6922</v>
      </c>
      <c r="D3593" s="2">
        <v>46194</v>
      </c>
      <c r="E3593" s="2">
        <v>46203</v>
      </c>
      <c r="F3593" s="1" t="s">
        <v>109</v>
      </c>
      <c r="G3593" s="1" t="s">
        <v>18</v>
      </c>
      <c r="H3593" s="1" t="s">
        <v>312</v>
      </c>
      <c r="I3593" s="7">
        <v>89.55</v>
      </c>
      <c r="J3593" s="1" t="s">
        <v>38</v>
      </c>
      <c r="K3593" s="1"/>
      <c r="L3593" s="1" t="s">
        <v>39</v>
      </c>
      <c r="M3593" s="1" t="str">
        <f>INDEX(MCC_Lookup!$B$2:$B$12,MATCH(G3593,MCC_Lookup!$A$2:$A$12,0))</f>
        <v>Events</v>
      </c>
      <c r="N3593" s="1" t="str">
        <f>IF(TRIM(H3593)="","BLANK",IF(PROPER(TRIM(H3593))=TRIM(M3593),"MATCH","MISMATCH"))</f>
        <v>MATCH</v>
      </c>
      <c r="O3593" s="5" t="str">
        <f>INDEX([1]Employee!$C$2:$C$276,MATCH(B3593,[1]Employee!$A$2:$A$276,0))</f>
        <v>Sales &amp; Marketing</v>
      </c>
    </row>
    <row r="3594" spans="1:15">
      <c r="A3594" s="1" t="s">
        <v>6923</v>
      </c>
      <c r="B3594" s="1" t="s">
        <v>426</v>
      </c>
      <c r="C3594" s="1" t="s">
        <v>6924</v>
      </c>
      <c r="D3594" s="2">
        <v>46197</v>
      </c>
      <c r="E3594" s="2">
        <v>46203</v>
      </c>
      <c r="F3594" s="1" t="s">
        <v>362</v>
      </c>
      <c r="G3594" s="1" t="s">
        <v>2</v>
      </c>
      <c r="H3594" s="1" t="s">
        <v>3</v>
      </c>
      <c r="I3594" s="7">
        <v>80.290000000000006</v>
      </c>
      <c r="J3594" s="1" t="s">
        <v>38</v>
      </c>
      <c r="K3594" s="1"/>
      <c r="L3594" s="1" t="s">
        <v>39</v>
      </c>
      <c r="M3594" s="1" t="str">
        <f>INDEX(MCC_Lookup!$B$2:$B$12,MATCH(G3594,MCC_Lookup!$A$2:$A$12,0))</f>
        <v>Meals</v>
      </c>
      <c r="N3594" s="1" t="str">
        <f>IF(TRIM(H3594)="","BLANK",IF(PROPER(TRIM(H3594))=TRIM(M3594),"MATCH","MISMATCH"))</f>
        <v>MATCH</v>
      </c>
      <c r="O3594" s="5" t="str">
        <f>INDEX([1]Employee!$C$2:$C$276,MATCH(B3594,[1]Employee!$A$2:$A$276,0))</f>
        <v>Sales &amp; Marketing</v>
      </c>
    </row>
    <row r="3595" spans="1:15">
      <c r="A3595" s="1" t="s">
        <v>6925</v>
      </c>
      <c r="B3595" s="1" t="s">
        <v>902</v>
      </c>
      <c r="C3595" s="1" t="s">
        <v>6926</v>
      </c>
      <c r="D3595" s="2">
        <v>46196</v>
      </c>
      <c r="E3595" s="2">
        <v>46203</v>
      </c>
      <c r="F3595" s="1" t="s">
        <v>61</v>
      </c>
      <c r="G3595" s="1" t="s">
        <v>13</v>
      </c>
      <c r="H3595" s="1"/>
      <c r="I3595" s="7">
        <v>36.869999999999997</v>
      </c>
      <c r="J3595" s="1" t="s">
        <v>38</v>
      </c>
      <c r="K3595" s="1"/>
      <c r="L3595" s="1" t="s">
        <v>39</v>
      </c>
      <c r="M3595" s="1" t="str">
        <f>INDEX(MCC_Lookup!$B$2:$B$12,MATCH(G3595,MCC_Lookup!$A$2:$A$12,0))</f>
        <v>Software</v>
      </c>
      <c r="N3595" s="1" t="str">
        <f>IF(TRIM(H3595)="","BLANK",IF(PROPER(TRIM(H3595))=TRIM(M3595),"MATCH","MISMATCH"))</f>
        <v>BLANK</v>
      </c>
      <c r="O3595" s="5" t="str">
        <f>INDEX([1]Employee!$C$2:$C$276,MATCH(B3595,[1]Employee!$A$2:$A$276,0))</f>
        <v>HR &amp; Events</v>
      </c>
    </row>
    <row r="3596" spans="1:15">
      <c r="A3596" s="1" t="s">
        <v>6927</v>
      </c>
      <c r="B3596" s="1" t="s">
        <v>1726</v>
      </c>
      <c r="C3596" s="1" t="s">
        <v>6928</v>
      </c>
      <c r="D3596" s="2">
        <v>46198</v>
      </c>
      <c r="E3596" s="2">
        <v>46203</v>
      </c>
      <c r="F3596" s="1" t="s">
        <v>95</v>
      </c>
      <c r="G3596" s="1" t="s">
        <v>6</v>
      </c>
      <c r="H3596" s="1" t="s">
        <v>7</v>
      </c>
      <c r="I3596" s="7">
        <v>183.03</v>
      </c>
      <c r="J3596" s="1" t="s">
        <v>38</v>
      </c>
      <c r="K3596" s="1"/>
      <c r="L3596" s="1" t="s">
        <v>39</v>
      </c>
      <c r="M3596" s="1" t="str">
        <f>INDEX(MCC_Lookup!$B$2:$B$12,MATCH(G3596,MCC_Lookup!$A$2:$A$12,0))</f>
        <v>Lodging</v>
      </c>
      <c r="N3596" s="1" t="str">
        <f>IF(TRIM(H3596)="","BLANK",IF(PROPER(TRIM(H3596))=TRIM(M3596),"MATCH","MISMATCH"))</f>
        <v>MATCH</v>
      </c>
      <c r="O3596" s="5" t="str">
        <f>INDEX([1]Employee!$C$2:$C$276,MATCH(B3596,[1]Employee!$A$2:$A$276,0))</f>
        <v>Customer Support</v>
      </c>
    </row>
    <row r="3597" spans="1:15">
      <c r="A3597" s="1" t="s">
        <v>6929</v>
      </c>
      <c r="B3597" s="1" t="s">
        <v>1726</v>
      </c>
      <c r="C3597" s="1" t="s">
        <v>6930</v>
      </c>
      <c r="D3597" s="2">
        <v>46192</v>
      </c>
      <c r="E3597" s="2">
        <v>46203</v>
      </c>
      <c r="F3597" s="1" t="s">
        <v>99</v>
      </c>
      <c r="G3597" s="1" t="s">
        <v>2</v>
      </c>
      <c r="H3597" s="1" t="s">
        <v>3</v>
      </c>
      <c r="I3597" s="7">
        <v>109.96</v>
      </c>
      <c r="J3597" s="1" t="s">
        <v>38</v>
      </c>
      <c r="K3597" s="1"/>
      <c r="L3597" s="1" t="s">
        <v>39</v>
      </c>
      <c r="M3597" s="1" t="str">
        <f>INDEX(MCC_Lookup!$B$2:$B$12,MATCH(G3597,MCC_Lookup!$A$2:$A$12,0))</f>
        <v>Meals</v>
      </c>
      <c r="N3597" s="1" t="str">
        <f>IF(TRIM(H3597)="","BLANK",IF(PROPER(TRIM(H3597))=TRIM(M3597),"MATCH","MISMATCH"))</f>
        <v>MATCH</v>
      </c>
      <c r="O3597" s="5" t="str">
        <f>INDEX([1]Employee!$C$2:$C$276,MATCH(B3597,[1]Employee!$A$2:$A$276,0))</f>
        <v>Customer Support</v>
      </c>
    </row>
    <row r="3598" spans="1:15">
      <c r="A3598" s="1" t="s">
        <v>6931</v>
      </c>
      <c r="B3598" s="1" t="s">
        <v>307</v>
      </c>
      <c r="C3598" s="1" t="s">
        <v>6932</v>
      </c>
      <c r="D3598" s="2">
        <v>46172</v>
      </c>
      <c r="E3598" s="2">
        <v>46203</v>
      </c>
      <c r="F3598" s="1" t="s">
        <v>76</v>
      </c>
      <c r="G3598" s="1" t="s">
        <v>13</v>
      </c>
      <c r="H3598" s="1" t="s">
        <v>14</v>
      </c>
      <c r="I3598" s="7">
        <v>270.07</v>
      </c>
      <c r="J3598" s="1" t="s">
        <v>38</v>
      </c>
      <c r="K3598" s="1"/>
      <c r="L3598" s="1" t="s">
        <v>39</v>
      </c>
      <c r="M3598" s="1" t="str">
        <f>INDEX(MCC_Lookup!$B$2:$B$12,MATCH(G3598,MCC_Lookup!$A$2:$A$12,0))</f>
        <v>Software</v>
      </c>
      <c r="N3598" s="1" t="str">
        <f>IF(TRIM(H3598)="","BLANK",IF(PROPER(TRIM(H3598))=TRIM(M3598),"MATCH","MISMATCH"))</f>
        <v>MATCH</v>
      </c>
      <c r="O3598" s="5" t="str">
        <f>INDEX([1]Employee!$C$2:$C$276,MATCH(B3598,[1]Employee!$A$2:$A$276,0))</f>
        <v>Finance</v>
      </c>
    </row>
    <row r="3599" spans="1:15">
      <c r="A3599" s="1" t="s">
        <v>6933</v>
      </c>
      <c r="B3599" s="1" t="s">
        <v>2333</v>
      </c>
      <c r="C3599" s="1"/>
      <c r="D3599" s="2">
        <v>46202</v>
      </c>
      <c r="E3599" s="2">
        <v>46203</v>
      </c>
      <c r="F3599" s="1" t="s">
        <v>120</v>
      </c>
      <c r="G3599" s="1" t="s">
        <v>12</v>
      </c>
      <c r="H3599" s="1" t="s">
        <v>11</v>
      </c>
      <c r="I3599" s="7">
        <v>355.26</v>
      </c>
      <c r="J3599" s="1" t="s">
        <v>111</v>
      </c>
      <c r="K3599" s="1" t="s">
        <v>161</v>
      </c>
      <c r="L3599" s="1" t="s">
        <v>39</v>
      </c>
      <c r="M3599" s="1" t="str">
        <f>INDEX(MCC_Lookup!$B$2:$B$12,MATCH(G3599,MCC_Lookup!$A$2:$A$12,0))</f>
        <v>Office Supplies</v>
      </c>
      <c r="N3599" s="1" t="str">
        <f>IF(TRIM(H3599)="","BLANK",IF(PROPER(TRIM(H3599))=TRIM(M3599),"MATCH","MISMATCH"))</f>
        <v>MATCH</v>
      </c>
      <c r="O3599" s="5" t="str">
        <f>INDEX([1]Employee!$C$2:$C$276,MATCH(B3599,[1]Employee!$A$2:$A$276,0))</f>
        <v>HR &amp; Events</v>
      </c>
    </row>
    <row r="3600" spans="1:15">
      <c r="A3600" s="1" t="s">
        <v>6934</v>
      </c>
      <c r="B3600" s="1" t="s">
        <v>667</v>
      </c>
      <c r="C3600" s="1" t="s">
        <v>6935</v>
      </c>
      <c r="D3600" s="2">
        <v>46195</v>
      </c>
      <c r="E3600" s="2">
        <v>46203</v>
      </c>
      <c r="F3600" s="1" t="s">
        <v>95</v>
      </c>
      <c r="G3600" s="1" t="s">
        <v>6</v>
      </c>
      <c r="H3600" s="1" t="s">
        <v>7</v>
      </c>
      <c r="I3600" s="7">
        <v>393.83</v>
      </c>
      <c r="J3600" s="1" t="s">
        <v>38</v>
      </c>
      <c r="K3600" s="1"/>
      <c r="L3600" s="1" t="s">
        <v>39</v>
      </c>
      <c r="M3600" s="1" t="str">
        <f>INDEX(MCC_Lookup!$B$2:$B$12,MATCH(G3600,MCC_Lookup!$A$2:$A$12,0))</f>
        <v>Lodging</v>
      </c>
      <c r="N3600" s="1" t="str">
        <f>IF(TRIM(H3600)="","BLANK",IF(PROPER(TRIM(H3600))=TRIM(M3600),"MATCH","MISMATCH"))</f>
        <v>MATCH</v>
      </c>
      <c r="O3600" s="5" t="str">
        <f>INDEX([1]Employee!$C$2:$C$276,MATCH(B3600,[1]Employee!$A$2:$A$276,0))</f>
        <v>Sales &amp; Marketing</v>
      </c>
    </row>
    <row r="3601" spans="1:15">
      <c r="A3601" s="1" t="s">
        <v>6936</v>
      </c>
      <c r="B3601" s="1" t="s">
        <v>667</v>
      </c>
      <c r="C3601" s="1" t="s">
        <v>6937</v>
      </c>
      <c r="D3601" s="2">
        <v>46202</v>
      </c>
      <c r="E3601" s="2">
        <v>46203</v>
      </c>
      <c r="F3601" s="1" t="s">
        <v>242</v>
      </c>
      <c r="G3601" s="1" t="s">
        <v>13</v>
      </c>
      <c r="H3601" s="1" t="s">
        <v>14</v>
      </c>
      <c r="I3601" s="7">
        <v>19.38</v>
      </c>
      <c r="J3601" s="1" t="s">
        <v>38</v>
      </c>
      <c r="K3601" s="1"/>
      <c r="L3601" s="1" t="s">
        <v>39</v>
      </c>
      <c r="M3601" s="1" t="str">
        <f>INDEX(MCC_Lookup!$B$2:$B$12,MATCH(G3601,MCC_Lookup!$A$2:$A$12,0))</f>
        <v>Software</v>
      </c>
      <c r="N3601" s="1" t="str">
        <f>IF(TRIM(H3601)="","BLANK",IF(PROPER(TRIM(H3601))=TRIM(M3601),"MATCH","MISMATCH"))</f>
        <v>MATCH</v>
      </c>
      <c r="O3601" s="5" t="str">
        <f>INDEX([1]Employee!$C$2:$C$276,MATCH(B3601,[1]Employee!$A$2:$A$276,0))</f>
        <v>Sales &amp; Marketing</v>
      </c>
    </row>
    <row r="3602" spans="1:15">
      <c r="A3602" s="1" t="s">
        <v>6938</v>
      </c>
      <c r="B3602" s="1" t="s">
        <v>667</v>
      </c>
      <c r="C3602" s="1" t="s">
        <v>6939</v>
      </c>
      <c r="D3602" s="2">
        <v>46199</v>
      </c>
      <c r="E3602" s="2">
        <v>46203</v>
      </c>
      <c r="F3602" s="1" t="s">
        <v>109</v>
      </c>
      <c r="G3602" s="1" t="s">
        <v>18</v>
      </c>
      <c r="H3602" s="1" t="s">
        <v>19</v>
      </c>
      <c r="I3602" s="7">
        <v>195.82</v>
      </c>
      <c r="J3602" s="1" t="s">
        <v>38</v>
      </c>
      <c r="K3602" s="1"/>
      <c r="L3602" s="1" t="s">
        <v>39</v>
      </c>
      <c r="M3602" s="1" t="str">
        <f>INDEX(MCC_Lookup!$B$2:$B$12,MATCH(G3602,MCC_Lookup!$A$2:$A$12,0))</f>
        <v>Events</v>
      </c>
      <c r="N3602" s="1" t="str">
        <f>IF(TRIM(H3602)="","BLANK",IF(PROPER(TRIM(H3602))=TRIM(M3602),"MATCH","MISMATCH"))</f>
        <v>MATCH</v>
      </c>
      <c r="O3602" s="5" t="str">
        <f>INDEX([1]Employee!$C$2:$C$276,MATCH(B3602,[1]Employee!$A$2:$A$276,0))</f>
        <v>Sales &amp; Marketing</v>
      </c>
    </row>
    <row r="3603" spans="1:15">
      <c r="A3603" s="1" t="s">
        <v>6940</v>
      </c>
      <c r="B3603" s="1" t="s">
        <v>667</v>
      </c>
      <c r="C3603" s="1" t="s">
        <v>6941</v>
      </c>
      <c r="D3603" s="2">
        <v>46200</v>
      </c>
      <c r="E3603" s="2">
        <v>46203</v>
      </c>
      <c r="F3603" s="1" t="s">
        <v>56</v>
      </c>
      <c r="G3603" s="1" t="s">
        <v>4</v>
      </c>
      <c r="H3603" s="1"/>
      <c r="I3603" s="7">
        <v>622.36</v>
      </c>
      <c r="J3603" s="1" t="s">
        <v>38</v>
      </c>
      <c r="K3603" s="1"/>
      <c r="L3603" s="1" t="s">
        <v>39</v>
      </c>
      <c r="M3603" s="1" t="str">
        <f>INDEX(MCC_Lookup!$B$2:$B$12,MATCH(G3603,MCC_Lookup!$A$2:$A$12,0))</f>
        <v>Travel</v>
      </c>
      <c r="N3603" s="1" t="str">
        <f>IF(TRIM(H3603)="","BLANK",IF(PROPER(TRIM(H3603))=TRIM(M3603),"MATCH","MISMATCH"))</f>
        <v>BLANK</v>
      </c>
      <c r="O3603" s="5" t="str">
        <f>INDEX([1]Employee!$C$2:$C$276,MATCH(B3603,[1]Employee!$A$2:$A$276,0))</f>
        <v>Sales &amp; Marketing</v>
      </c>
    </row>
    <row r="3604" spans="1:15">
      <c r="A3604" s="1" t="s">
        <v>6942</v>
      </c>
      <c r="B3604" s="1" t="s">
        <v>667</v>
      </c>
      <c r="C3604" s="1" t="s">
        <v>6943</v>
      </c>
      <c r="D3604" s="2">
        <v>46198</v>
      </c>
      <c r="E3604" s="2">
        <v>46203</v>
      </c>
      <c r="F3604" s="1" t="s">
        <v>65</v>
      </c>
      <c r="G3604" s="1" t="s">
        <v>18</v>
      </c>
      <c r="H3604" s="1" t="s">
        <v>19</v>
      </c>
      <c r="I3604" s="7">
        <v>100</v>
      </c>
      <c r="J3604" s="1" t="s">
        <v>38</v>
      </c>
      <c r="K3604" s="1"/>
      <c r="L3604" s="1" t="s">
        <v>39</v>
      </c>
      <c r="M3604" s="1" t="str">
        <f>INDEX(MCC_Lookup!$B$2:$B$12,MATCH(G3604,MCC_Lookup!$A$2:$A$12,0))</f>
        <v>Events</v>
      </c>
      <c r="N3604" s="1" t="str">
        <f>IF(TRIM(H3604)="","BLANK",IF(PROPER(TRIM(H3604))=TRIM(M3604),"MATCH","MISMATCH"))</f>
        <v>MATCH</v>
      </c>
      <c r="O3604" s="5" t="str">
        <f>INDEX([1]Employee!$C$2:$C$276,MATCH(B3604,[1]Employee!$A$2:$A$276,0))</f>
        <v>Sales &amp; Marketing</v>
      </c>
    </row>
    <row r="3605" spans="1:15">
      <c r="A3605" s="1" t="s">
        <v>6944</v>
      </c>
      <c r="B3605" s="1" t="s">
        <v>292</v>
      </c>
      <c r="C3605" s="1" t="s">
        <v>6945</v>
      </c>
      <c r="D3605" s="2">
        <v>46202</v>
      </c>
      <c r="E3605" s="2">
        <v>46203</v>
      </c>
      <c r="F3605" s="1" t="s">
        <v>109</v>
      </c>
      <c r="G3605" s="1" t="s">
        <v>18</v>
      </c>
      <c r="H3605" s="1" t="s">
        <v>19</v>
      </c>
      <c r="I3605" s="7">
        <v>71.53</v>
      </c>
      <c r="J3605" s="1" t="s">
        <v>38</v>
      </c>
      <c r="K3605" s="1"/>
      <c r="L3605" s="1" t="s">
        <v>48</v>
      </c>
      <c r="M3605" s="1" t="str">
        <f>INDEX(MCC_Lookup!$B$2:$B$12,MATCH(G3605,MCC_Lookup!$A$2:$A$12,0))</f>
        <v>Events</v>
      </c>
      <c r="N3605" s="1" t="str">
        <f>IF(TRIM(H3605)="","BLANK",IF(PROPER(TRIM(H3605))=TRIM(M3605),"MATCH","MISMATCH"))</f>
        <v>MATCH</v>
      </c>
      <c r="O3605" s="5" t="str">
        <f>INDEX([1]Employee!$C$2:$C$276,MATCH(B3605,[1]Employee!$A$2:$A$276,0))</f>
        <v>Sales &amp; Marketing</v>
      </c>
    </row>
    <row r="3606" spans="1:15">
      <c r="A3606" s="1" t="s">
        <v>6946</v>
      </c>
      <c r="B3606" s="1" t="s">
        <v>292</v>
      </c>
      <c r="C3606" s="1" t="s">
        <v>6947</v>
      </c>
      <c r="D3606" s="2">
        <v>46199</v>
      </c>
      <c r="E3606" s="2">
        <v>46203</v>
      </c>
      <c r="F3606" s="1" t="s">
        <v>160</v>
      </c>
      <c r="G3606" s="1" t="s">
        <v>6</v>
      </c>
      <c r="H3606" s="1" t="s">
        <v>228</v>
      </c>
      <c r="I3606" s="7">
        <v>401.14</v>
      </c>
      <c r="J3606" s="1" t="s">
        <v>38</v>
      </c>
      <c r="K3606" s="1"/>
      <c r="L3606" s="1" t="s">
        <v>39</v>
      </c>
      <c r="M3606" s="1" t="str">
        <f>INDEX(MCC_Lookup!$B$2:$B$12,MATCH(G3606,MCC_Lookup!$A$2:$A$12,0))</f>
        <v>Lodging</v>
      </c>
      <c r="N3606" s="1" t="str">
        <f>IF(TRIM(H3606)="","BLANK",IF(PROPER(TRIM(H3606))=TRIM(M3606),"MATCH","MISMATCH"))</f>
        <v>MATCH</v>
      </c>
      <c r="O3606" s="5" t="str">
        <f>INDEX([1]Employee!$C$2:$C$276,MATCH(B3606,[1]Employee!$A$2:$A$276,0))</f>
        <v>Sales &amp; Marketing</v>
      </c>
    </row>
    <row r="3607" spans="1:15">
      <c r="A3607" s="1" t="s">
        <v>6948</v>
      </c>
      <c r="B3607" s="1" t="s">
        <v>292</v>
      </c>
      <c r="C3607" s="1" t="s">
        <v>6949</v>
      </c>
      <c r="D3607" s="2">
        <v>46203</v>
      </c>
      <c r="E3607" s="2">
        <v>46203</v>
      </c>
      <c r="F3607" s="1" t="s">
        <v>116</v>
      </c>
      <c r="G3607" s="1" t="s">
        <v>2</v>
      </c>
      <c r="H3607" s="1" t="s">
        <v>3</v>
      </c>
      <c r="I3607" s="7">
        <v>15.2</v>
      </c>
      <c r="J3607" s="1" t="s">
        <v>38</v>
      </c>
      <c r="K3607" s="1"/>
      <c r="L3607" s="1" t="s">
        <v>39</v>
      </c>
      <c r="M3607" s="1" t="str">
        <f>INDEX(MCC_Lookup!$B$2:$B$12,MATCH(G3607,MCC_Lookup!$A$2:$A$12,0))</f>
        <v>Meals</v>
      </c>
      <c r="N3607" s="1" t="str">
        <f>IF(TRIM(H3607)="","BLANK",IF(PROPER(TRIM(H3607))=TRIM(M3607),"MATCH","MISMATCH"))</f>
        <v>MATCH</v>
      </c>
      <c r="O3607" s="5" t="str">
        <f>INDEX([1]Employee!$C$2:$C$276,MATCH(B3607,[1]Employee!$A$2:$A$276,0))</f>
        <v>Sales &amp; Marketing</v>
      </c>
    </row>
    <row r="3608" spans="1:15">
      <c r="A3608" s="1" t="s">
        <v>6950</v>
      </c>
      <c r="B3608" s="1" t="s">
        <v>890</v>
      </c>
      <c r="C3608" s="1" t="s">
        <v>6951</v>
      </c>
      <c r="D3608" s="2">
        <v>46201</v>
      </c>
      <c r="E3608" s="2">
        <v>46203</v>
      </c>
      <c r="F3608" s="1" t="s">
        <v>43</v>
      </c>
      <c r="G3608" s="1" t="s">
        <v>2</v>
      </c>
      <c r="H3608" s="1" t="s">
        <v>3</v>
      </c>
      <c r="I3608" s="7">
        <v>21.67</v>
      </c>
      <c r="J3608" s="1" t="s">
        <v>38</v>
      </c>
      <c r="K3608" s="1"/>
      <c r="L3608" s="1" t="s">
        <v>48</v>
      </c>
      <c r="M3608" s="1" t="str">
        <f>INDEX(MCC_Lookup!$B$2:$B$12,MATCH(G3608,MCC_Lookup!$A$2:$A$12,0))</f>
        <v>Meals</v>
      </c>
      <c r="N3608" s="1" t="str">
        <f>IF(TRIM(H3608)="","BLANK",IF(PROPER(TRIM(H3608))=TRIM(M3608),"MATCH","MISMATCH"))</f>
        <v>MATCH</v>
      </c>
      <c r="O3608" s="5" t="str">
        <f>INDEX([1]Employee!$C$2:$C$276,MATCH(B3608,[1]Employee!$A$2:$A$276,0))</f>
        <v>Sales &amp; Marketing</v>
      </c>
    </row>
    <row r="3609" spans="1:15">
      <c r="A3609" s="1" t="s">
        <v>6952</v>
      </c>
      <c r="B3609" s="1" t="s">
        <v>890</v>
      </c>
      <c r="C3609" s="1"/>
      <c r="D3609" s="2">
        <v>46203</v>
      </c>
      <c r="E3609" s="2">
        <v>46203</v>
      </c>
      <c r="F3609" s="1" t="s">
        <v>43</v>
      </c>
      <c r="G3609" s="1" t="s">
        <v>2</v>
      </c>
      <c r="H3609" s="1" t="s">
        <v>3</v>
      </c>
      <c r="I3609" s="7">
        <v>19.59</v>
      </c>
      <c r="J3609" s="1" t="s">
        <v>38</v>
      </c>
      <c r="K3609" s="1"/>
      <c r="L3609" s="1" t="s">
        <v>39</v>
      </c>
      <c r="M3609" s="1" t="str">
        <f>INDEX(MCC_Lookup!$B$2:$B$12,MATCH(G3609,MCC_Lookup!$A$2:$A$12,0))</f>
        <v>Meals</v>
      </c>
      <c r="N3609" s="1" t="str">
        <f>IF(TRIM(H3609)="","BLANK",IF(PROPER(TRIM(H3609))=TRIM(M3609),"MATCH","MISMATCH"))</f>
        <v>MATCH</v>
      </c>
      <c r="O3609" s="5" t="str">
        <f>INDEX([1]Employee!$C$2:$C$276,MATCH(B3609,[1]Employee!$A$2:$A$276,0))</f>
        <v>Sales &amp; Marketing</v>
      </c>
    </row>
    <row r="3610" spans="1:15">
      <c r="A3610" s="1" t="s">
        <v>6953</v>
      </c>
      <c r="B3610" s="1" t="s">
        <v>1201</v>
      </c>
      <c r="C3610" s="1" t="s">
        <v>6954</v>
      </c>
      <c r="D3610" s="2">
        <v>46200</v>
      </c>
      <c r="E3610" s="2">
        <v>46203</v>
      </c>
      <c r="F3610" s="1" t="s">
        <v>106</v>
      </c>
      <c r="G3610" s="1" t="s">
        <v>13</v>
      </c>
      <c r="H3610" s="1" t="s">
        <v>14</v>
      </c>
      <c r="I3610" s="7">
        <v>180.42</v>
      </c>
      <c r="J3610" s="1" t="s">
        <v>38</v>
      </c>
      <c r="K3610" s="1"/>
      <c r="L3610" s="1" t="s">
        <v>48</v>
      </c>
      <c r="M3610" s="1" t="str">
        <f>INDEX(MCC_Lookup!$B$2:$B$12,MATCH(G3610,MCC_Lookup!$A$2:$A$12,0))</f>
        <v>Software</v>
      </c>
      <c r="N3610" s="1" t="str">
        <f>IF(TRIM(H3610)="","BLANK",IF(PROPER(TRIM(H3610))=TRIM(M3610),"MATCH","MISMATCH"))</f>
        <v>MATCH</v>
      </c>
      <c r="O3610" s="5" t="str">
        <f>INDEX([1]Employee!$C$2:$C$276,MATCH(B3610,[1]Employee!$A$2:$A$276,0))</f>
        <v>Actuarial &amp; Risk</v>
      </c>
    </row>
    <row r="3611" spans="1:15">
      <c r="A3611" s="1" t="s">
        <v>6955</v>
      </c>
      <c r="B3611" s="1" t="s">
        <v>706</v>
      </c>
      <c r="C3611" s="1" t="s">
        <v>6956</v>
      </c>
      <c r="D3611" s="2">
        <v>46199</v>
      </c>
      <c r="E3611" s="2">
        <v>46203</v>
      </c>
      <c r="F3611" s="1" t="s">
        <v>65</v>
      </c>
      <c r="G3611" s="1" t="s">
        <v>18</v>
      </c>
      <c r="H3611" s="1" t="s">
        <v>19</v>
      </c>
      <c r="I3611" s="7">
        <v>519.51</v>
      </c>
      <c r="J3611" s="1" t="s">
        <v>38</v>
      </c>
      <c r="K3611" s="1"/>
      <c r="L3611" s="1" t="s">
        <v>39</v>
      </c>
      <c r="M3611" s="1" t="str">
        <f>INDEX(MCC_Lookup!$B$2:$B$12,MATCH(G3611,MCC_Lookup!$A$2:$A$12,0))</f>
        <v>Events</v>
      </c>
      <c r="N3611" s="1" t="str">
        <f>IF(TRIM(H3611)="","BLANK",IF(PROPER(TRIM(H3611))=TRIM(M3611),"MATCH","MISMATCH"))</f>
        <v>MATCH</v>
      </c>
      <c r="O3611" s="5" t="str">
        <f>INDEX([1]Employee!$C$2:$C$276,MATCH(B3611,[1]Employee!$A$2:$A$276,0))</f>
        <v>Underwriting</v>
      </c>
    </row>
    <row r="3612" spans="1:15">
      <c r="A3612" s="1" t="s">
        <v>6957</v>
      </c>
      <c r="B3612" s="1" t="s">
        <v>1208</v>
      </c>
      <c r="C3612" s="1"/>
      <c r="D3612" s="2">
        <v>46202</v>
      </c>
      <c r="E3612" s="2">
        <v>46203</v>
      </c>
      <c r="F3612" s="1" t="s">
        <v>37</v>
      </c>
      <c r="G3612" s="1" t="s">
        <v>4</v>
      </c>
      <c r="H3612" s="1" t="s">
        <v>5</v>
      </c>
      <c r="I3612" s="7">
        <v>286.83</v>
      </c>
      <c r="J3612" s="1" t="s">
        <v>38</v>
      </c>
      <c r="K3612" s="1"/>
      <c r="L3612" s="1" t="s">
        <v>39</v>
      </c>
      <c r="M3612" s="1" t="str">
        <f>INDEX(MCC_Lookup!$B$2:$B$12,MATCH(G3612,MCC_Lookup!$A$2:$A$12,0))</f>
        <v>Travel</v>
      </c>
      <c r="N3612" s="1" t="str">
        <f>IF(TRIM(H3612)="","BLANK",IF(PROPER(TRIM(H3612))=TRIM(M3612),"MATCH","MISMATCH"))</f>
        <v>MATCH</v>
      </c>
      <c r="O3612" s="5" t="str">
        <f>INDEX([1]Employee!$C$2:$C$276,MATCH(B3612,[1]Employee!$A$2:$A$276,0))</f>
        <v>HR &amp; Events</v>
      </c>
    </row>
    <row r="3613" spans="1:15">
      <c r="A3613" s="1" t="s">
        <v>6958</v>
      </c>
      <c r="B3613" s="1" t="s">
        <v>475</v>
      </c>
      <c r="C3613" s="1" t="s">
        <v>6959</v>
      </c>
      <c r="D3613" s="2">
        <v>46200</v>
      </c>
      <c r="E3613" s="2">
        <v>46203</v>
      </c>
      <c r="F3613" s="1" t="s">
        <v>47</v>
      </c>
      <c r="G3613" s="1" t="s">
        <v>6</v>
      </c>
      <c r="H3613" s="1" t="s">
        <v>1476</v>
      </c>
      <c r="I3613" s="7">
        <v>350.79</v>
      </c>
      <c r="J3613" s="1" t="s">
        <v>38</v>
      </c>
      <c r="K3613" s="1"/>
      <c r="L3613" s="1" t="s">
        <v>39</v>
      </c>
      <c r="M3613" s="1" t="str">
        <f>INDEX(MCC_Lookup!$B$2:$B$12,MATCH(G3613,MCC_Lookup!$A$2:$A$12,0))</f>
        <v>Lodging</v>
      </c>
      <c r="N3613" s="1" t="str">
        <f>IF(TRIM(H3613)="","BLANK",IF(PROPER(TRIM(H3613))=TRIM(M3613),"MATCH","MISMATCH"))</f>
        <v>MATCH</v>
      </c>
      <c r="O3613" s="5" t="str">
        <f>INDEX([1]Employee!$C$2:$C$276,MATCH(B3613,[1]Employee!$A$2:$A$276,0))</f>
        <v>Sales &amp; Marketing</v>
      </c>
    </row>
    <row r="3614" spans="1:15">
      <c r="A3614" s="1" t="s">
        <v>6960</v>
      </c>
      <c r="B3614" s="1" t="s">
        <v>603</v>
      </c>
      <c r="C3614" s="1" t="s">
        <v>6961</v>
      </c>
      <c r="D3614" s="2">
        <v>46200</v>
      </c>
      <c r="E3614" s="2">
        <v>46203</v>
      </c>
      <c r="F3614" s="1" t="s">
        <v>116</v>
      </c>
      <c r="G3614" s="1" t="s">
        <v>2</v>
      </c>
      <c r="H3614" s="1" t="s">
        <v>3</v>
      </c>
      <c r="I3614" s="7">
        <v>10.199999999999999</v>
      </c>
      <c r="J3614" s="1" t="s">
        <v>38</v>
      </c>
      <c r="K3614" s="1"/>
      <c r="L3614" s="1" t="s">
        <v>39</v>
      </c>
      <c r="M3614" s="1" t="str">
        <f>INDEX(MCC_Lookup!$B$2:$B$12,MATCH(G3614,MCC_Lookup!$A$2:$A$12,0))</f>
        <v>Meals</v>
      </c>
      <c r="N3614" s="1" t="str">
        <f>IF(TRIM(H3614)="","BLANK",IF(PROPER(TRIM(H3614))=TRIM(M3614),"MATCH","MISMATCH"))</f>
        <v>MATCH</v>
      </c>
      <c r="O3614" s="5" t="str">
        <f>INDEX([1]Employee!$C$2:$C$276,MATCH(B3614,[1]Employee!$A$2:$A$276,0))</f>
        <v>Underwriting</v>
      </c>
    </row>
    <row r="3615" spans="1:15">
      <c r="A3615" s="1" t="s">
        <v>6962</v>
      </c>
      <c r="B3615" s="1" t="s">
        <v>1159</v>
      </c>
      <c r="C3615" s="1" t="s">
        <v>6963</v>
      </c>
      <c r="D3615" s="2">
        <v>46200</v>
      </c>
      <c r="E3615" s="2">
        <v>46203</v>
      </c>
      <c r="F3615" s="1" t="s">
        <v>99</v>
      </c>
      <c r="G3615" s="1" t="s">
        <v>2</v>
      </c>
      <c r="H3615" s="1" t="s">
        <v>154</v>
      </c>
      <c r="I3615" s="7">
        <v>99.01</v>
      </c>
      <c r="J3615" s="1" t="s">
        <v>38</v>
      </c>
      <c r="K3615" s="1"/>
      <c r="L3615" s="1" t="s">
        <v>39</v>
      </c>
      <c r="M3615" s="1" t="str">
        <f>INDEX(MCC_Lookup!$B$2:$B$12,MATCH(G3615,MCC_Lookup!$A$2:$A$12,0))</f>
        <v>Meals</v>
      </c>
      <c r="N3615" s="1" t="str">
        <f>IF(TRIM(H3615)="","BLANK",IF(PROPER(TRIM(H3615))=TRIM(M3615),"MATCH","MISMATCH"))</f>
        <v>MATCH</v>
      </c>
      <c r="O3615" s="5" t="str">
        <f>INDEX([1]Employee!$C$2:$C$276,MATCH(B3615,[1]Employee!$A$2:$A$276,0))</f>
        <v>Customer Support</v>
      </c>
    </row>
    <row r="3616" spans="1:15">
      <c r="A3616" s="1" t="s">
        <v>6964</v>
      </c>
      <c r="B3616" s="1" t="s">
        <v>67</v>
      </c>
      <c r="C3616" s="1" t="s">
        <v>6965</v>
      </c>
      <c r="D3616" s="2">
        <v>46196</v>
      </c>
      <c r="E3616" s="2">
        <v>46203</v>
      </c>
      <c r="F3616" s="1" t="s">
        <v>37</v>
      </c>
      <c r="G3616" s="1" t="s">
        <v>4</v>
      </c>
      <c r="H3616" s="1" t="s">
        <v>5</v>
      </c>
      <c r="I3616" s="7">
        <v>424.95</v>
      </c>
      <c r="J3616" s="1" t="s">
        <v>38</v>
      </c>
      <c r="K3616" s="1"/>
      <c r="L3616" s="1" t="s">
        <v>39</v>
      </c>
      <c r="M3616" s="1" t="str">
        <f>INDEX(MCC_Lookup!$B$2:$B$12,MATCH(G3616,MCC_Lookup!$A$2:$A$12,0))</f>
        <v>Travel</v>
      </c>
      <c r="N3616" s="1" t="str">
        <f>IF(TRIM(H3616)="","BLANK",IF(PROPER(TRIM(H3616))=TRIM(M3616),"MATCH","MISMATCH"))</f>
        <v>MATCH</v>
      </c>
      <c r="O3616" s="5" t="str">
        <f>INDEX([1]Employee!$C$2:$C$276,MATCH(B3616,[1]Employee!$A$2:$A$276,0))</f>
        <v>Sales &amp; Marketing</v>
      </c>
    </row>
    <row r="3617" spans="1:15">
      <c r="A3617" s="1" t="s">
        <v>6966</v>
      </c>
      <c r="B3617" s="1" t="s">
        <v>888</v>
      </c>
      <c r="C3617" s="1" t="s">
        <v>6967</v>
      </c>
      <c r="D3617" s="2">
        <v>46076</v>
      </c>
      <c r="E3617" s="2">
        <v>46203</v>
      </c>
      <c r="F3617" s="1" t="s">
        <v>173</v>
      </c>
      <c r="G3617" s="1" t="s">
        <v>2</v>
      </c>
      <c r="H3617" s="1" t="s">
        <v>3</v>
      </c>
      <c r="I3617" s="7">
        <v>58.46</v>
      </c>
      <c r="J3617" s="1" t="s">
        <v>38</v>
      </c>
      <c r="K3617" s="1"/>
      <c r="L3617" s="1" t="s">
        <v>39</v>
      </c>
      <c r="M3617" s="1" t="str">
        <f>INDEX(MCC_Lookup!$B$2:$B$12,MATCH(G3617,MCC_Lookup!$A$2:$A$12,0))</f>
        <v>Meals</v>
      </c>
      <c r="N3617" s="1" t="str">
        <f>IF(TRIM(H3617)="","BLANK",IF(PROPER(TRIM(H3617))=TRIM(M3617),"MATCH","MISMATCH"))</f>
        <v>MATCH</v>
      </c>
      <c r="O3617" s="5" t="str">
        <f>INDEX([1]Employee!$C$2:$C$276,MATCH(B3617,[1]Employee!$A$2:$A$276,0))</f>
        <v>Claims</v>
      </c>
    </row>
    <row r="3618" spans="1:15">
      <c r="A3618" s="1" t="s">
        <v>6968</v>
      </c>
      <c r="B3618" s="1" t="s">
        <v>550</v>
      </c>
      <c r="C3618" s="1" t="s">
        <v>6969</v>
      </c>
      <c r="D3618" s="2">
        <v>46202</v>
      </c>
      <c r="E3618" s="2">
        <v>46203</v>
      </c>
      <c r="F3618" s="1" t="s">
        <v>116</v>
      </c>
      <c r="G3618" s="1" t="s">
        <v>2</v>
      </c>
      <c r="H3618" s="1" t="s">
        <v>3</v>
      </c>
      <c r="I3618" s="7">
        <v>21.56</v>
      </c>
      <c r="J3618" s="1" t="s">
        <v>38</v>
      </c>
      <c r="K3618" s="1"/>
      <c r="L3618" s="1" t="s">
        <v>39</v>
      </c>
      <c r="M3618" s="1" t="str">
        <f>INDEX(MCC_Lookup!$B$2:$B$12,MATCH(G3618,MCC_Lookup!$A$2:$A$12,0))</f>
        <v>Meals</v>
      </c>
      <c r="N3618" s="1" t="str">
        <f>IF(TRIM(H3618)="","BLANK",IF(PROPER(TRIM(H3618))=TRIM(M3618),"MATCH","MISMATCH"))</f>
        <v>MATCH</v>
      </c>
      <c r="O3618" s="5" t="str">
        <f>INDEX([1]Employee!$C$2:$C$276,MATCH(B3618,[1]Employee!$A$2:$A$276,0))</f>
        <v>Sales &amp; Marketing</v>
      </c>
    </row>
    <row r="3619" spans="1:15">
      <c r="A3619" s="1" t="s">
        <v>6970</v>
      </c>
      <c r="B3619" s="1" t="s">
        <v>382</v>
      </c>
      <c r="C3619" s="1" t="s">
        <v>6971</v>
      </c>
      <c r="D3619" s="2">
        <v>46203</v>
      </c>
      <c r="E3619" s="2">
        <v>46203</v>
      </c>
      <c r="F3619" s="1" t="s">
        <v>99</v>
      </c>
      <c r="G3619" s="1" t="s">
        <v>2</v>
      </c>
      <c r="H3619" s="1" t="s">
        <v>3</v>
      </c>
      <c r="I3619" s="7">
        <v>109.03</v>
      </c>
      <c r="J3619" s="1" t="s">
        <v>38</v>
      </c>
      <c r="K3619" s="1"/>
      <c r="L3619" s="1" t="s">
        <v>39</v>
      </c>
      <c r="M3619" s="1" t="str">
        <f>INDEX(MCC_Lookup!$B$2:$B$12,MATCH(G3619,MCC_Lookup!$A$2:$A$12,0))</f>
        <v>Meals</v>
      </c>
      <c r="N3619" s="1" t="str">
        <f>IF(TRIM(H3619)="","BLANK",IF(PROPER(TRIM(H3619))=TRIM(M3619),"MATCH","MISMATCH"))</f>
        <v>MATCH</v>
      </c>
      <c r="O3619" s="5" t="str">
        <f>INDEX([1]Employee!$C$2:$C$276,MATCH(B3619,[1]Employee!$A$2:$A$276,0))</f>
        <v>Sales &amp; Marketing</v>
      </c>
    </row>
    <row r="3620" spans="1:15">
      <c r="A3620" s="1" t="s">
        <v>6972</v>
      </c>
      <c r="B3620" s="1" t="s">
        <v>588</v>
      </c>
      <c r="C3620" s="1" t="s">
        <v>6973</v>
      </c>
      <c r="D3620" s="2">
        <v>46201</v>
      </c>
      <c r="E3620" s="2">
        <v>46203</v>
      </c>
      <c r="F3620" s="1" t="s">
        <v>47</v>
      </c>
      <c r="G3620" s="1" t="s">
        <v>6</v>
      </c>
      <c r="H3620" s="1" t="s">
        <v>7</v>
      </c>
      <c r="I3620" s="7">
        <v>311.56</v>
      </c>
      <c r="J3620" s="1" t="s">
        <v>38</v>
      </c>
      <c r="K3620" s="1"/>
      <c r="L3620" s="1" t="s">
        <v>39</v>
      </c>
      <c r="M3620" s="1" t="str">
        <f>INDEX(MCC_Lookup!$B$2:$B$12,MATCH(G3620,MCC_Lookup!$A$2:$A$12,0))</f>
        <v>Lodging</v>
      </c>
      <c r="N3620" s="1" t="str">
        <f>IF(TRIM(H3620)="","BLANK",IF(PROPER(TRIM(H3620))=TRIM(M3620),"MATCH","MISMATCH"))</f>
        <v>MATCH</v>
      </c>
      <c r="O3620" s="5" t="str">
        <f>INDEX([1]Employee!$C$2:$C$276,MATCH(B3620,[1]Employee!$A$2:$A$276,0))</f>
        <v>Claims</v>
      </c>
    </row>
    <row r="3621" spans="1:15">
      <c r="A3621" s="1" t="s">
        <v>6974</v>
      </c>
      <c r="B3621" s="1" t="s">
        <v>54</v>
      </c>
      <c r="C3621" s="1"/>
      <c r="D3621" s="2">
        <v>46025</v>
      </c>
      <c r="E3621" s="2">
        <v>46203</v>
      </c>
      <c r="F3621" s="1" t="s">
        <v>92</v>
      </c>
      <c r="G3621" s="1" t="s">
        <v>10</v>
      </c>
      <c r="H3621" s="1" t="s">
        <v>11</v>
      </c>
      <c r="I3621" s="7">
        <v>92.83</v>
      </c>
      <c r="J3621" s="1" t="s">
        <v>111</v>
      </c>
      <c r="K3621" s="1" t="s">
        <v>229</v>
      </c>
      <c r="L3621" s="1" t="s">
        <v>39</v>
      </c>
      <c r="M3621" s="1" t="str">
        <f>INDEX(MCC_Lookup!$B$2:$B$12,MATCH(G3621,MCC_Lookup!$A$2:$A$12,0))</f>
        <v>Office Supplies</v>
      </c>
      <c r="N3621" s="1" t="str">
        <f>IF(TRIM(H3621)="","BLANK",IF(PROPER(TRIM(H3621))=TRIM(M3621),"MATCH","MISMATCH"))</f>
        <v>MATCH</v>
      </c>
      <c r="O3621" s="5" t="str">
        <f>INDEX([1]Employee!$C$2:$C$276,MATCH(B3621,[1]Employee!$A$2:$A$276,0))</f>
        <v>Sales &amp; Marketing</v>
      </c>
    </row>
    <row r="3622" spans="1:15">
      <c r="A3622" s="1" t="s">
        <v>6975</v>
      </c>
      <c r="B3622" s="1" t="s">
        <v>54</v>
      </c>
      <c r="C3622" s="1" t="s">
        <v>6976</v>
      </c>
      <c r="D3622" s="2">
        <v>46199</v>
      </c>
      <c r="E3622" s="2">
        <v>46203</v>
      </c>
      <c r="F3622" s="1" t="s">
        <v>124</v>
      </c>
      <c r="G3622" s="1" t="s">
        <v>17</v>
      </c>
      <c r="H3622" s="1" t="s">
        <v>16</v>
      </c>
      <c r="I3622" s="7">
        <v>101.85</v>
      </c>
      <c r="J3622" s="1" t="s">
        <v>38</v>
      </c>
      <c r="K3622" s="1"/>
      <c r="L3622" s="1" t="s">
        <v>39</v>
      </c>
      <c r="M3622" s="1" t="str">
        <f>INDEX(MCC_Lookup!$B$2:$B$12,MATCH(G3622,MCC_Lookup!$A$2:$A$12,0))</f>
        <v>Entertainment</v>
      </c>
      <c r="N3622" s="1" t="str">
        <f>IF(TRIM(H3622)="","BLANK",IF(PROPER(TRIM(H3622))=TRIM(M3622),"MATCH","MISMATCH"))</f>
        <v>MATCH</v>
      </c>
      <c r="O3622" s="5" t="str">
        <f>INDEX([1]Employee!$C$2:$C$276,MATCH(B3622,[1]Employee!$A$2:$A$276,0))</f>
        <v>Sales &amp; Marketing</v>
      </c>
    </row>
    <row r="3623" spans="1:15">
      <c r="A3623" s="1" t="s">
        <v>6977</v>
      </c>
      <c r="B3623" s="1" t="s">
        <v>3375</v>
      </c>
      <c r="C3623" s="1" t="s">
        <v>6978</v>
      </c>
      <c r="D3623" s="2">
        <v>46196</v>
      </c>
      <c r="E3623" s="2">
        <v>46203</v>
      </c>
      <c r="F3623" s="1" t="s">
        <v>173</v>
      </c>
      <c r="G3623" s="1" t="s">
        <v>2</v>
      </c>
      <c r="H3623" s="1" t="s">
        <v>3</v>
      </c>
      <c r="I3623" s="7">
        <v>51.74</v>
      </c>
      <c r="J3623" s="1" t="s">
        <v>38</v>
      </c>
      <c r="K3623" s="1"/>
      <c r="L3623" s="1" t="s">
        <v>39</v>
      </c>
      <c r="M3623" s="1" t="str">
        <f>INDEX(MCC_Lookup!$B$2:$B$12,MATCH(G3623,MCC_Lookup!$A$2:$A$12,0))</f>
        <v>Meals</v>
      </c>
      <c r="N3623" s="1" t="str">
        <f>IF(TRIM(H3623)="","BLANK",IF(PROPER(TRIM(H3623))=TRIM(M3623),"MATCH","MISMATCH"))</f>
        <v>MATCH</v>
      </c>
      <c r="O3623" s="5" t="str">
        <f>INDEX([1]Employee!$C$2:$C$276,MATCH(B3623,[1]Employee!$A$2:$A$276,0))</f>
        <v>IT &amp; Platform Engineering</v>
      </c>
    </row>
    <row r="3624" spans="1:15">
      <c r="A3624" s="1" t="s">
        <v>6979</v>
      </c>
      <c r="B3624" s="1" t="s">
        <v>540</v>
      </c>
      <c r="C3624" s="1" t="s">
        <v>6980</v>
      </c>
      <c r="D3624" s="2">
        <v>46200</v>
      </c>
      <c r="E3624" s="2">
        <v>46203</v>
      </c>
      <c r="F3624" s="1" t="s">
        <v>43</v>
      </c>
      <c r="G3624" s="1" t="s">
        <v>2</v>
      </c>
      <c r="H3624" s="1" t="s">
        <v>154</v>
      </c>
      <c r="I3624" s="7">
        <v>7.92</v>
      </c>
      <c r="J3624" s="1" t="s">
        <v>38</v>
      </c>
      <c r="K3624" s="1"/>
      <c r="L3624" s="1" t="s">
        <v>39</v>
      </c>
      <c r="M3624" s="1" t="str">
        <f>INDEX(MCC_Lookup!$B$2:$B$12,MATCH(G3624,MCC_Lookup!$A$2:$A$12,0))</f>
        <v>Meals</v>
      </c>
      <c r="N3624" s="1" t="str">
        <f>IF(TRIM(H3624)="","BLANK",IF(PROPER(TRIM(H3624))=TRIM(M3624),"MATCH","MISMATCH"))</f>
        <v>MATCH</v>
      </c>
      <c r="O3624" s="5" t="str">
        <f>INDEX([1]Employee!$C$2:$C$276,MATCH(B3624,[1]Employee!$A$2:$A$276,0))</f>
        <v>Underwriting</v>
      </c>
    </row>
    <row r="3625" spans="1:15">
      <c r="A3625" s="1" t="s">
        <v>6981</v>
      </c>
      <c r="B3625" s="1" t="s">
        <v>433</v>
      </c>
      <c r="C3625" s="1"/>
      <c r="D3625" s="2">
        <v>46202</v>
      </c>
      <c r="E3625" s="2">
        <v>46203</v>
      </c>
      <c r="F3625" s="1" t="s">
        <v>99</v>
      </c>
      <c r="G3625" s="1" t="s">
        <v>2</v>
      </c>
      <c r="H3625" s="1" t="s">
        <v>3</v>
      </c>
      <c r="I3625" s="7">
        <v>138.91</v>
      </c>
      <c r="J3625" s="1" t="s">
        <v>38</v>
      </c>
      <c r="K3625" s="1"/>
      <c r="L3625" s="1" t="s">
        <v>39</v>
      </c>
      <c r="M3625" s="1" t="str">
        <f>INDEX(MCC_Lookup!$B$2:$B$12,MATCH(G3625,MCC_Lookup!$A$2:$A$12,0))</f>
        <v>Meals</v>
      </c>
      <c r="N3625" s="1" t="str">
        <f>IF(TRIM(H3625)="","BLANK",IF(PROPER(TRIM(H3625))=TRIM(M3625),"MATCH","MISMATCH"))</f>
        <v>MATCH</v>
      </c>
      <c r="O3625" s="5" t="str">
        <f>INDEX([1]Employee!$C$2:$C$276,MATCH(B3625,[1]Employee!$A$2:$A$276,0))</f>
        <v>Sales &amp; Marketing</v>
      </c>
    </row>
    <row r="3626" spans="1:15">
      <c r="A3626" s="1" t="s">
        <v>6982</v>
      </c>
      <c r="B3626" s="1" t="s">
        <v>1504</v>
      </c>
      <c r="C3626" s="1"/>
      <c r="D3626" s="2">
        <v>46201</v>
      </c>
      <c r="E3626" s="2">
        <v>46203</v>
      </c>
      <c r="F3626" s="1" t="s">
        <v>79</v>
      </c>
      <c r="G3626" s="1" t="s">
        <v>13</v>
      </c>
      <c r="H3626" s="1" t="s">
        <v>419</v>
      </c>
      <c r="I3626" s="7">
        <v>153.01</v>
      </c>
      <c r="J3626" s="1" t="s">
        <v>111</v>
      </c>
      <c r="K3626" s="1" t="s">
        <v>229</v>
      </c>
      <c r="L3626" s="1" t="s">
        <v>39</v>
      </c>
      <c r="M3626" s="1" t="str">
        <f>INDEX(MCC_Lookup!$B$2:$B$12,MATCH(G3626,MCC_Lookup!$A$2:$A$12,0))</f>
        <v>Software</v>
      </c>
      <c r="N3626" s="1" t="str">
        <f>IF(TRIM(H3626)="","BLANK",IF(PROPER(TRIM(H3626))=TRIM(M3626),"MATCH","MISMATCH"))</f>
        <v>MATCH</v>
      </c>
      <c r="O3626" s="5" t="str">
        <f>INDEX([1]Employee!$C$2:$C$276,MATCH(B3626,[1]Employee!$A$2:$A$276,0))</f>
        <v>Sales &amp; Marketing</v>
      </c>
    </row>
    <row r="3627" spans="1:15">
      <c r="A3627" s="1" t="s">
        <v>6983</v>
      </c>
      <c r="B3627" s="1" t="s">
        <v>1504</v>
      </c>
      <c r="C3627" s="1" t="s">
        <v>6984</v>
      </c>
      <c r="D3627" s="2">
        <v>46197</v>
      </c>
      <c r="E3627" s="2">
        <v>46203</v>
      </c>
      <c r="F3627" s="1" t="s">
        <v>116</v>
      </c>
      <c r="G3627" s="1" t="s">
        <v>2</v>
      </c>
      <c r="H3627" s="1" t="s">
        <v>3</v>
      </c>
      <c r="I3627" s="7">
        <v>9.67</v>
      </c>
      <c r="J3627" s="1" t="s">
        <v>38</v>
      </c>
      <c r="K3627" s="1"/>
      <c r="L3627" s="1" t="s">
        <v>39</v>
      </c>
      <c r="M3627" s="1" t="str">
        <f>INDEX(MCC_Lookup!$B$2:$B$12,MATCH(G3627,MCC_Lookup!$A$2:$A$12,0))</f>
        <v>Meals</v>
      </c>
      <c r="N3627" s="1" t="str">
        <f>IF(TRIM(H3627)="","BLANK",IF(PROPER(TRIM(H3627))=TRIM(M3627),"MATCH","MISMATCH"))</f>
        <v>MATCH</v>
      </c>
      <c r="O3627" s="5" t="str">
        <f>INDEX([1]Employee!$C$2:$C$276,MATCH(B3627,[1]Employee!$A$2:$A$276,0))</f>
        <v>Sales &amp; Marketing</v>
      </c>
    </row>
    <row r="3628" spans="1:15">
      <c r="A3628" s="1" t="s">
        <v>6985</v>
      </c>
      <c r="B3628" s="1" t="s">
        <v>149</v>
      </c>
      <c r="C3628" s="1" t="s">
        <v>6986</v>
      </c>
      <c r="D3628" s="2">
        <v>46136</v>
      </c>
      <c r="E3628" s="2">
        <v>46203</v>
      </c>
      <c r="F3628" s="1" t="s">
        <v>47</v>
      </c>
      <c r="G3628" s="1" t="s">
        <v>6</v>
      </c>
      <c r="H3628" s="1" t="s">
        <v>7</v>
      </c>
      <c r="I3628" s="7">
        <v>261.41000000000003</v>
      </c>
      <c r="J3628" s="1" t="s">
        <v>38</v>
      </c>
      <c r="K3628" s="1"/>
      <c r="L3628" s="1" t="s">
        <v>39</v>
      </c>
      <c r="M3628" s="1" t="str">
        <f>INDEX(MCC_Lookup!$B$2:$B$12,MATCH(G3628,MCC_Lookup!$A$2:$A$12,0))</f>
        <v>Lodging</v>
      </c>
      <c r="N3628" s="1" t="str">
        <f>IF(TRIM(H3628)="","BLANK",IF(PROPER(TRIM(H3628))=TRIM(M3628),"MATCH","MISMATCH"))</f>
        <v>MATCH</v>
      </c>
      <c r="O3628" s="5" t="str">
        <f>INDEX([1]Employee!$C$2:$C$276,MATCH(B3628,[1]Employee!$A$2:$A$276,0))</f>
        <v>Sales &amp; Marketing</v>
      </c>
    </row>
    <row r="3629" spans="1:15">
      <c r="A3629" s="1" t="s">
        <v>6987</v>
      </c>
      <c r="B3629" s="1" t="s">
        <v>149</v>
      </c>
      <c r="C3629" s="1"/>
      <c r="D3629" s="2">
        <v>46201</v>
      </c>
      <c r="E3629" s="2">
        <v>46203</v>
      </c>
      <c r="F3629" s="1" t="s">
        <v>76</v>
      </c>
      <c r="G3629" s="1" t="s">
        <v>13</v>
      </c>
      <c r="H3629" s="1" t="s">
        <v>14</v>
      </c>
      <c r="I3629" s="7">
        <v>409.52</v>
      </c>
      <c r="J3629" s="1" t="s">
        <v>38</v>
      </c>
      <c r="K3629" s="1"/>
      <c r="L3629" s="1" t="s">
        <v>39</v>
      </c>
      <c r="M3629" s="1" t="str">
        <f>INDEX(MCC_Lookup!$B$2:$B$12,MATCH(G3629,MCC_Lookup!$A$2:$A$12,0))</f>
        <v>Software</v>
      </c>
      <c r="N3629" s="1" t="str">
        <f>IF(TRIM(H3629)="","BLANK",IF(PROPER(TRIM(H3629))=TRIM(M3629),"MATCH","MISMATCH"))</f>
        <v>MATCH</v>
      </c>
      <c r="O3629" s="5" t="str">
        <f>INDEX([1]Employee!$C$2:$C$276,MATCH(B3629,[1]Employee!$A$2:$A$276,0))</f>
        <v>Sales &amp; Marketing</v>
      </c>
    </row>
    <row r="3630" spans="1:15">
      <c r="A3630" s="1" t="s">
        <v>6988</v>
      </c>
      <c r="B3630" s="1" t="s">
        <v>199</v>
      </c>
      <c r="C3630" s="1"/>
      <c r="D3630" s="2">
        <v>46199</v>
      </c>
      <c r="E3630" s="2">
        <v>46203</v>
      </c>
      <c r="F3630" s="1" t="s">
        <v>47</v>
      </c>
      <c r="G3630" s="1" t="s">
        <v>6</v>
      </c>
      <c r="H3630" s="1" t="s">
        <v>7</v>
      </c>
      <c r="I3630" s="7">
        <v>272.38</v>
      </c>
      <c r="J3630" s="1" t="s">
        <v>111</v>
      </c>
      <c r="K3630" s="1" t="s">
        <v>229</v>
      </c>
      <c r="L3630" s="1" t="s">
        <v>39</v>
      </c>
      <c r="M3630" s="1" t="str">
        <f>INDEX(MCC_Lookup!$B$2:$B$12,MATCH(G3630,MCC_Lookup!$A$2:$A$12,0))</f>
        <v>Lodging</v>
      </c>
      <c r="N3630" s="1" t="str">
        <f>IF(TRIM(H3630)="","BLANK",IF(PROPER(TRIM(H3630))=TRIM(M3630),"MATCH","MISMATCH"))</f>
        <v>MATCH</v>
      </c>
      <c r="O3630" s="5" t="str">
        <f>INDEX([1]Employee!$C$2:$C$276,MATCH(B3630,[1]Employee!$A$2:$A$276,0))</f>
        <v>Sales &amp; Marketing</v>
      </c>
    </row>
    <row r="3631" spans="1:15">
      <c r="A3631" s="1" t="s">
        <v>6989</v>
      </c>
      <c r="B3631" s="1" t="s">
        <v>199</v>
      </c>
      <c r="C3631" s="1" t="s">
        <v>6990</v>
      </c>
      <c r="D3631" s="2">
        <v>46199</v>
      </c>
      <c r="E3631" s="2">
        <v>46203</v>
      </c>
      <c r="F3631" s="1" t="s">
        <v>95</v>
      </c>
      <c r="G3631" s="1" t="s">
        <v>6</v>
      </c>
      <c r="H3631" s="1" t="s">
        <v>7</v>
      </c>
      <c r="I3631" s="7">
        <v>132.41</v>
      </c>
      <c r="J3631" s="1" t="s">
        <v>38</v>
      </c>
      <c r="K3631" s="1"/>
      <c r="L3631" s="1" t="s">
        <v>39</v>
      </c>
      <c r="M3631" s="1" t="str">
        <f>INDEX(MCC_Lookup!$B$2:$B$12,MATCH(G3631,MCC_Lookup!$A$2:$A$12,0))</f>
        <v>Lodging</v>
      </c>
      <c r="N3631" s="1" t="str">
        <f>IF(TRIM(H3631)="","BLANK",IF(PROPER(TRIM(H3631))=TRIM(M3631),"MATCH","MISMATCH"))</f>
        <v>MATCH</v>
      </c>
      <c r="O3631" s="5" t="str">
        <f>INDEX([1]Employee!$C$2:$C$276,MATCH(B3631,[1]Employee!$A$2:$A$276,0))</f>
        <v>Sales &amp; Marketing</v>
      </c>
    </row>
    <row r="3632" spans="1:15">
      <c r="A3632" s="1" t="s">
        <v>6991</v>
      </c>
      <c r="B3632" s="1" t="s">
        <v>199</v>
      </c>
      <c r="C3632" s="1" t="s">
        <v>6992</v>
      </c>
      <c r="D3632" s="2">
        <v>46042</v>
      </c>
      <c r="E3632" s="2">
        <v>46203</v>
      </c>
      <c r="F3632" s="1" t="s">
        <v>259</v>
      </c>
      <c r="G3632" s="1" t="s">
        <v>20</v>
      </c>
      <c r="H3632" s="1" t="s">
        <v>19</v>
      </c>
      <c r="I3632" s="7">
        <v>391.81</v>
      </c>
      <c r="J3632" s="1" t="s">
        <v>38</v>
      </c>
      <c r="K3632" s="1"/>
      <c r="L3632" s="1" t="s">
        <v>39</v>
      </c>
      <c r="M3632" s="1" t="str">
        <f>INDEX(MCC_Lookup!$B$2:$B$12,MATCH(G3632,MCC_Lookup!$A$2:$A$12,0))</f>
        <v>Events</v>
      </c>
      <c r="N3632" s="1" t="str">
        <f>IF(TRIM(H3632)="","BLANK",IF(PROPER(TRIM(H3632))=TRIM(M3632),"MATCH","MISMATCH"))</f>
        <v>MATCH</v>
      </c>
      <c r="O3632" s="5" t="str">
        <f>INDEX([1]Employee!$C$2:$C$276,MATCH(B3632,[1]Employee!$A$2:$A$276,0))</f>
        <v>Sales &amp; Marketing</v>
      </c>
    </row>
    <row r="3633" spans="1:15">
      <c r="A3633" s="1" t="s">
        <v>6993</v>
      </c>
      <c r="B3633" s="1" t="s">
        <v>3074</v>
      </c>
      <c r="C3633" s="1"/>
      <c r="D3633" s="2">
        <v>46203</v>
      </c>
      <c r="E3633" s="2">
        <v>46203</v>
      </c>
      <c r="F3633" s="1" t="s">
        <v>305</v>
      </c>
      <c r="G3633" s="1" t="s">
        <v>2</v>
      </c>
      <c r="H3633" s="1" t="s">
        <v>3</v>
      </c>
      <c r="I3633" s="7">
        <v>9.66</v>
      </c>
      <c r="J3633" s="1" t="s">
        <v>38</v>
      </c>
      <c r="K3633" s="1"/>
      <c r="L3633" s="1" t="s">
        <v>39</v>
      </c>
      <c r="M3633" s="1" t="str">
        <f>INDEX(MCC_Lookup!$B$2:$B$12,MATCH(G3633,MCC_Lookup!$A$2:$A$12,0))</f>
        <v>Meals</v>
      </c>
      <c r="N3633" s="1" t="str">
        <f>IF(TRIM(H3633)="","BLANK",IF(PROPER(TRIM(H3633))=TRIM(M3633),"MATCH","MISMATCH"))</f>
        <v>MATCH</v>
      </c>
      <c r="O3633" s="5" t="str">
        <f>INDEX([1]Employee!$C$2:$C$276,MATCH(B3633,[1]Employee!$A$2:$A$276,0))</f>
        <v>Finance</v>
      </c>
    </row>
    <row r="3634" spans="1:15">
      <c r="A3634" s="1" t="s">
        <v>6994</v>
      </c>
      <c r="B3634" s="1" t="s">
        <v>314</v>
      </c>
      <c r="C3634" s="1" t="s">
        <v>6995</v>
      </c>
      <c r="D3634" s="2">
        <v>46196</v>
      </c>
      <c r="E3634" s="2">
        <v>46203</v>
      </c>
      <c r="F3634" s="1" t="s">
        <v>124</v>
      </c>
      <c r="G3634" s="1" t="s">
        <v>17</v>
      </c>
      <c r="H3634" s="1" t="s">
        <v>16</v>
      </c>
      <c r="I3634" s="7">
        <v>183.27</v>
      </c>
      <c r="J3634" s="1" t="s">
        <v>38</v>
      </c>
      <c r="K3634" s="1"/>
      <c r="L3634" s="1" t="s">
        <v>39</v>
      </c>
      <c r="M3634" s="1" t="str">
        <f>INDEX(MCC_Lookup!$B$2:$B$12,MATCH(G3634,MCC_Lookup!$A$2:$A$12,0))</f>
        <v>Entertainment</v>
      </c>
      <c r="N3634" s="1" t="str">
        <f>IF(TRIM(H3634)="","BLANK",IF(PROPER(TRIM(H3634))=TRIM(M3634),"MATCH","MISMATCH"))</f>
        <v>MATCH</v>
      </c>
      <c r="O3634" s="5" t="str">
        <f>INDEX([1]Employee!$C$2:$C$276,MATCH(B3634,[1]Employee!$A$2:$A$276,0))</f>
        <v>Sales &amp; Marketing</v>
      </c>
    </row>
    <row r="3635" spans="1:15">
      <c r="A3635" s="1" t="s">
        <v>6996</v>
      </c>
      <c r="B3635" s="1" t="s">
        <v>673</v>
      </c>
      <c r="C3635" s="1" t="s">
        <v>6997</v>
      </c>
      <c r="D3635" s="2">
        <v>46202</v>
      </c>
      <c r="E3635" s="2">
        <v>46203</v>
      </c>
      <c r="F3635" s="1" t="s">
        <v>61</v>
      </c>
      <c r="G3635" s="1" t="s">
        <v>13</v>
      </c>
      <c r="H3635" s="1" t="s">
        <v>14</v>
      </c>
      <c r="I3635" s="7">
        <v>54.39</v>
      </c>
      <c r="J3635" s="1" t="s">
        <v>38</v>
      </c>
      <c r="K3635" s="1"/>
      <c r="L3635" s="1" t="s">
        <v>39</v>
      </c>
      <c r="M3635" s="1" t="str">
        <f>INDEX(MCC_Lookup!$B$2:$B$12,MATCH(G3635,MCC_Lookup!$A$2:$A$12,0))</f>
        <v>Software</v>
      </c>
      <c r="N3635" s="1" t="str">
        <f>IF(TRIM(H3635)="","BLANK",IF(PROPER(TRIM(H3635))=TRIM(M3635),"MATCH","MISMATCH"))</f>
        <v>MATCH</v>
      </c>
      <c r="O3635" s="5" t="str">
        <f>INDEX([1]Employee!$C$2:$C$276,MATCH(B3635,[1]Employee!$A$2:$A$276,0))</f>
        <v>HR &amp; Events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zoomScaleNormal="100" workbookViewId="0">
      <selection activeCell="J28" sqref="J28"/>
    </sheetView>
  </sheetViews>
  <sheetFormatPr defaultColWidth="8.6328125" defaultRowHeight="14.5"/>
  <cols>
    <col min="1" max="6" width="15" customWidth="1"/>
    <col min="7" max="7" width="24.6328125" customWidth="1"/>
    <col min="8" max="10" width="15" customWidth="1"/>
    <col min="11" max="11" width="26.453125" customWidth="1"/>
    <col min="12" max="12" width="36.6328125" customWidth="1"/>
    <col min="13" max="13" width="16.08984375" customWidth="1"/>
    <col min="14" max="15" width="15" customWidth="1"/>
  </cols>
  <sheetData>
    <row r="1" spans="1:15">
      <c r="A1" s="3" t="s">
        <v>21</v>
      </c>
      <c r="B1" s="9" t="s">
        <v>6998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0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</row>
    <row r="2" spans="1:15">
      <c r="A2" s="1" t="s">
        <v>6999</v>
      </c>
      <c r="B2" s="1" t="s">
        <v>121</v>
      </c>
      <c r="C2" s="1" t="s">
        <v>122</v>
      </c>
      <c r="D2" s="1" t="s">
        <v>123</v>
      </c>
      <c r="E2" s="1" t="s">
        <v>7000</v>
      </c>
      <c r="F2" s="1" t="s">
        <v>7000</v>
      </c>
      <c r="G2" s="1" t="s">
        <v>124</v>
      </c>
      <c r="H2" s="1">
        <v>7997</v>
      </c>
      <c r="I2" s="1" t="s">
        <v>16</v>
      </c>
      <c r="J2" s="1">
        <v>154.44999999999999</v>
      </c>
      <c r="K2" s="1" t="s">
        <v>38</v>
      </c>
      <c r="L2" s="1"/>
      <c r="M2" s="1" t="s">
        <v>39</v>
      </c>
      <c r="N2" s="1" t="s">
        <v>16</v>
      </c>
      <c r="O2" s="1" t="s">
        <v>7001</v>
      </c>
    </row>
    <row r="3" spans="1:15">
      <c r="A3" s="1" t="s">
        <v>7002</v>
      </c>
      <c r="B3" s="1" t="s">
        <v>158</v>
      </c>
      <c r="C3" s="1" t="s">
        <v>159</v>
      </c>
      <c r="D3" s="1"/>
      <c r="E3" s="1" t="s">
        <v>7003</v>
      </c>
      <c r="F3" s="1" t="s">
        <v>7004</v>
      </c>
      <c r="G3" s="1" t="s">
        <v>160</v>
      </c>
      <c r="H3" s="1">
        <v>7011</v>
      </c>
      <c r="I3" s="1" t="s">
        <v>7</v>
      </c>
      <c r="J3" s="6">
        <v>388.47</v>
      </c>
      <c r="K3" s="1" t="s">
        <v>111</v>
      </c>
      <c r="L3" s="1" t="s">
        <v>161</v>
      </c>
      <c r="M3" s="1" t="s">
        <v>39</v>
      </c>
      <c r="N3" s="1" t="s">
        <v>7</v>
      </c>
      <c r="O3" s="1" t="s">
        <v>7001</v>
      </c>
    </row>
    <row r="4" spans="1:15">
      <c r="A4" s="1" t="s">
        <v>7005</v>
      </c>
      <c r="B4" s="1" t="s">
        <v>471</v>
      </c>
      <c r="C4" s="1" t="s">
        <v>472</v>
      </c>
      <c r="D4" s="1" t="s">
        <v>473</v>
      </c>
      <c r="E4" s="1" t="s">
        <v>7006</v>
      </c>
      <c r="F4" s="1" t="s">
        <v>7007</v>
      </c>
      <c r="G4" s="1" t="s">
        <v>99</v>
      </c>
      <c r="H4" s="1">
        <v>5812</v>
      </c>
      <c r="I4" s="1" t="s">
        <v>3</v>
      </c>
      <c r="J4" s="6">
        <v>28.59</v>
      </c>
      <c r="K4" s="1" t="s">
        <v>38</v>
      </c>
      <c r="L4" s="1"/>
      <c r="M4" s="1" t="s">
        <v>39</v>
      </c>
      <c r="N4" s="1" t="s">
        <v>3</v>
      </c>
      <c r="O4" s="1" t="s">
        <v>7001</v>
      </c>
    </row>
    <row r="5" spans="1:15">
      <c r="A5" s="1" t="s">
        <v>7008</v>
      </c>
      <c r="B5" s="1" t="s">
        <v>639</v>
      </c>
      <c r="C5" s="1" t="s">
        <v>640</v>
      </c>
      <c r="D5" s="1" t="s">
        <v>641</v>
      </c>
      <c r="E5" s="1" t="s">
        <v>7009</v>
      </c>
      <c r="F5" s="1" t="s">
        <v>7009</v>
      </c>
      <c r="G5" s="1" t="s">
        <v>305</v>
      </c>
      <c r="H5" s="1">
        <v>5812</v>
      </c>
      <c r="I5" s="1" t="s">
        <v>3</v>
      </c>
      <c r="J5" s="6">
        <v>10.18</v>
      </c>
      <c r="K5" s="1" t="s">
        <v>38</v>
      </c>
      <c r="L5" s="1"/>
      <c r="M5" s="1" t="s">
        <v>39</v>
      </c>
      <c r="N5" s="1" t="s">
        <v>3</v>
      </c>
      <c r="O5" s="1" t="s">
        <v>7001</v>
      </c>
    </row>
    <row r="6" spans="1:15">
      <c r="A6" s="1" t="s">
        <v>7010</v>
      </c>
      <c r="B6" s="1" t="s">
        <v>867</v>
      </c>
      <c r="C6" s="1" t="s">
        <v>868</v>
      </c>
      <c r="D6" s="1" t="s">
        <v>869</v>
      </c>
      <c r="E6" s="1" t="s">
        <v>7011</v>
      </c>
      <c r="F6" s="1" t="s">
        <v>7012</v>
      </c>
      <c r="G6" s="1" t="s">
        <v>347</v>
      </c>
      <c r="H6" s="1">
        <v>4121</v>
      </c>
      <c r="I6" s="1" t="s">
        <v>269</v>
      </c>
      <c r="J6" s="6">
        <v>31.55</v>
      </c>
      <c r="K6" s="1" t="s">
        <v>38</v>
      </c>
      <c r="L6" s="1"/>
      <c r="M6" s="1" t="s">
        <v>39</v>
      </c>
      <c r="N6" s="1" t="s">
        <v>9</v>
      </c>
      <c r="O6" s="1" t="s">
        <v>7013</v>
      </c>
    </row>
    <row r="7" spans="1:15">
      <c r="A7" s="1" t="s">
        <v>7014</v>
      </c>
      <c r="B7" s="1" t="s">
        <v>879</v>
      </c>
      <c r="C7" s="1" t="s">
        <v>597</v>
      </c>
      <c r="D7" s="1"/>
      <c r="E7" s="1" t="s">
        <v>7009</v>
      </c>
      <c r="F7" s="1" t="s">
        <v>7012</v>
      </c>
      <c r="G7" s="1" t="s">
        <v>109</v>
      </c>
      <c r="H7" s="1">
        <v>7999</v>
      </c>
      <c r="I7" s="1" t="s">
        <v>19</v>
      </c>
      <c r="J7" s="6">
        <v>615.37</v>
      </c>
      <c r="K7" s="1" t="s">
        <v>111</v>
      </c>
      <c r="L7" s="1" t="s">
        <v>229</v>
      </c>
      <c r="M7" s="1" t="s">
        <v>39</v>
      </c>
      <c r="N7" s="1" t="s">
        <v>19</v>
      </c>
      <c r="O7" s="1" t="s">
        <v>7001</v>
      </c>
    </row>
    <row r="8" spans="1:15">
      <c r="A8" s="1" t="s">
        <v>7015</v>
      </c>
      <c r="B8" s="1" t="s">
        <v>912</v>
      </c>
      <c r="C8" s="1" t="s">
        <v>373</v>
      </c>
      <c r="D8" s="1" t="s">
        <v>913</v>
      </c>
      <c r="E8" s="1" t="s">
        <v>7011</v>
      </c>
      <c r="F8" s="1" t="s">
        <v>7016</v>
      </c>
      <c r="G8" s="1" t="s">
        <v>120</v>
      </c>
      <c r="H8" s="1">
        <v>5942</v>
      </c>
      <c r="I8" s="1" t="s">
        <v>11</v>
      </c>
      <c r="J8" s="6">
        <v>466.63</v>
      </c>
      <c r="K8" s="1" t="s">
        <v>38</v>
      </c>
      <c r="L8" s="1"/>
      <c r="M8" s="1" t="s">
        <v>39</v>
      </c>
      <c r="N8" s="1" t="s">
        <v>11</v>
      </c>
      <c r="O8" s="1" t="s">
        <v>7001</v>
      </c>
    </row>
    <row r="9" spans="1:15">
      <c r="A9" s="1" t="s">
        <v>7017</v>
      </c>
      <c r="B9" s="1" t="s">
        <v>1149</v>
      </c>
      <c r="C9" s="1" t="s">
        <v>1150</v>
      </c>
      <c r="D9" s="1" t="s">
        <v>1151</v>
      </c>
      <c r="E9" s="1" t="s">
        <v>7018</v>
      </c>
      <c r="F9" s="1" t="s">
        <v>7019</v>
      </c>
      <c r="G9" s="1" t="s">
        <v>173</v>
      </c>
      <c r="H9" s="1">
        <v>5812</v>
      </c>
      <c r="I9" s="1" t="s">
        <v>3</v>
      </c>
      <c r="J9" s="6">
        <v>42.44</v>
      </c>
      <c r="K9" s="1" t="s">
        <v>38</v>
      </c>
      <c r="L9" s="1"/>
      <c r="M9" s="1" t="s">
        <v>39</v>
      </c>
      <c r="N9" s="1" t="s">
        <v>3</v>
      </c>
      <c r="O9" s="1" t="s">
        <v>7001</v>
      </c>
    </row>
    <row r="10" spans="1:15">
      <c r="A10" s="1" t="s">
        <v>7020</v>
      </c>
      <c r="B10" s="1" t="s">
        <v>1233</v>
      </c>
      <c r="C10" s="1" t="s">
        <v>648</v>
      </c>
      <c r="D10" s="1" t="s">
        <v>1234</v>
      </c>
      <c r="E10" s="1" t="s">
        <v>7021</v>
      </c>
      <c r="F10" s="1" t="s">
        <v>7022</v>
      </c>
      <c r="G10" s="1" t="s">
        <v>347</v>
      </c>
      <c r="H10" s="1">
        <v>4121</v>
      </c>
      <c r="I10" s="1" t="s">
        <v>343</v>
      </c>
      <c r="J10" s="6">
        <v>53.31</v>
      </c>
      <c r="K10" s="1" t="s">
        <v>38</v>
      </c>
      <c r="L10" s="1"/>
      <c r="M10" s="1" t="s">
        <v>48</v>
      </c>
      <c r="N10" s="1" t="s">
        <v>9</v>
      </c>
      <c r="O10" s="1" t="s">
        <v>7001</v>
      </c>
    </row>
    <row r="11" spans="1:15">
      <c r="A11" s="1" t="s">
        <v>7023</v>
      </c>
      <c r="B11" s="1" t="s">
        <v>1394</v>
      </c>
      <c r="C11" s="1" t="s">
        <v>677</v>
      </c>
      <c r="D11" s="1" t="s">
        <v>1395</v>
      </c>
      <c r="E11" s="1" t="s">
        <v>7024</v>
      </c>
      <c r="F11" s="1" t="s">
        <v>7024</v>
      </c>
      <c r="G11" s="1" t="s">
        <v>201</v>
      </c>
      <c r="H11" s="1">
        <v>4511</v>
      </c>
      <c r="I11" s="1" t="s">
        <v>5</v>
      </c>
      <c r="J11" s="6">
        <v>494.98</v>
      </c>
      <c r="K11" s="1" t="s">
        <v>38</v>
      </c>
      <c r="L11" s="1"/>
      <c r="M11" s="1" t="s">
        <v>39</v>
      </c>
      <c r="N11" s="1" t="s">
        <v>5</v>
      </c>
      <c r="O11" s="1" t="s">
        <v>7001</v>
      </c>
    </row>
    <row r="12" spans="1:15">
      <c r="A12" s="1" t="s">
        <v>7025</v>
      </c>
      <c r="B12" s="1" t="s">
        <v>1624</v>
      </c>
      <c r="C12" s="1" t="s">
        <v>475</v>
      </c>
      <c r="D12" s="1" t="s">
        <v>1625</v>
      </c>
      <c r="E12" s="1" t="s">
        <v>7026</v>
      </c>
      <c r="F12" s="1" t="s">
        <v>7027</v>
      </c>
      <c r="G12" s="1" t="s">
        <v>76</v>
      </c>
      <c r="H12" s="1">
        <v>5734</v>
      </c>
      <c r="I12" s="1" t="s">
        <v>14</v>
      </c>
      <c r="J12" s="6">
        <v>515.25</v>
      </c>
      <c r="K12" s="1" t="s">
        <v>38</v>
      </c>
      <c r="L12" s="1"/>
      <c r="M12" s="1" t="s">
        <v>39</v>
      </c>
      <c r="N12" s="1" t="s">
        <v>14</v>
      </c>
      <c r="O12" s="1" t="s">
        <v>7001</v>
      </c>
    </row>
    <row r="13" spans="1:15">
      <c r="A13" s="1" t="s">
        <v>7028</v>
      </c>
      <c r="B13" s="1" t="s">
        <v>1721</v>
      </c>
      <c r="C13" s="1" t="s">
        <v>314</v>
      </c>
      <c r="D13" s="1" t="s">
        <v>1722</v>
      </c>
      <c r="E13" s="1" t="s">
        <v>7026</v>
      </c>
      <c r="F13" s="1" t="s">
        <v>7029</v>
      </c>
      <c r="G13" s="1" t="s">
        <v>347</v>
      </c>
      <c r="H13" s="1">
        <v>4121</v>
      </c>
      <c r="I13" s="1" t="s">
        <v>9</v>
      </c>
      <c r="J13" s="6">
        <v>46.72</v>
      </c>
      <c r="K13" s="1" t="s">
        <v>38</v>
      </c>
      <c r="L13" s="1"/>
      <c r="M13" s="1" t="s">
        <v>39</v>
      </c>
      <c r="N13" s="1" t="s">
        <v>9</v>
      </c>
      <c r="O13" s="1" t="s">
        <v>7001</v>
      </c>
    </row>
    <row r="14" spans="1:15">
      <c r="A14" s="1" t="s">
        <v>7030</v>
      </c>
      <c r="B14" s="1" t="s">
        <v>1791</v>
      </c>
      <c r="C14" s="1" t="s">
        <v>648</v>
      </c>
      <c r="D14" s="1" t="s">
        <v>1792</v>
      </c>
      <c r="E14" s="1" t="s">
        <v>7031</v>
      </c>
      <c r="F14" s="1" t="s">
        <v>7032</v>
      </c>
      <c r="G14" s="1" t="s">
        <v>1793</v>
      </c>
      <c r="H14" s="1">
        <v>5942</v>
      </c>
      <c r="I14" s="1" t="s">
        <v>11</v>
      </c>
      <c r="J14" s="6">
        <v>146.13</v>
      </c>
      <c r="K14" s="1" t="s">
        <v>38</v>
      </c>
      <c r="L14" s="1"/>
      <c r="M14" s="1" t="s">
        <v>39</v>
      </c>
      <c r="N14" s="1" t="s">
        <v>11</v>
      </c>
      <c r="O14" s="1" t="s">
        <v>7001</v>
      </c>
    </row>
    <row r="15" spans="1:15">
      <c r="A15" s="1" t="s">
        <v>7033</v>
      </c>
      <c r="B15" s="1" t="s">
        <v>1988</v>
      </c>
      <c r="C15" s="1" t="s">
        <v>67</v>
      </c>
      <c r="D15" s="1"/>
      <c r="E15" s="1" t="s">
        <v>7029</v>
      </c>
      <c r="F15" s="1" t="s">
        <v>7034</v>
      </c>
      <c r="G15" s="1" t="s">
        <v>201</v>
      </c>
      <c r="H15" s="1">
        <v>4511</v>
      </c>
      <c r="I15" s="1" t="s">
        <v>5</v>
      </c>
      <c r="J15" s="6">
        <v>562.79999999999995</v>
      </c>
      <c r="K15" s="1" t="s">
        <v>111</v>
      </c>
      <c r="L15" s="1" t="s">
        <v>112</v>
      </c>
      <c r="M15" s="1" t="s">
        <v>48</v>
      </c>
      <c r="N15" s="1" t="s">
        <v>5</v>
      </c>
      <c r="O15" s="1" t="s">
        <v>7001</v>
      </c>
    </row>
    <row r="16" spans="1:15">
      <c r="A16" s="1" t="s">
        <v>7035</v>
      </c>
      <c r="B16" s="1" t="s">
        <v>2036</v>
      </c>
      <c r="C16" s="1" t="s">
        <v>2037</v>
      </c>
      <c r="D16" s="1" t="s">
        <v>2038</v>
      </c>
      <c r="E16" s="1" t="s">
        <v>7036</v>
      </c>
      <c r="F16" s="1" t="s">
        <v>7037</v>
      </c>
      <c r="G16" s="1" t="s">
        <v>92</v>
      </c>
      <c r="H16" s="1">
        <v>5943</v>
      </c>
      <c r="I16" s="1" t="s">
        <v>11</v>
      </c>
      <c r="J16" s="6">
        <v>34.53</v>
      </c>
      <c r="K16" s="1" t="s">
        <v>38</v>
      </c>
      <c r="L16" s="1"/>
      <c r="M16" s="1" t="s">
        <v>39</v>
      </c>
      <c r="N16" s="1" t="s">
        <v>11</v>
      </c>
      <c r="O16" s="1" t="s">
        <v>7001</v>
      </c>
    </row>
    <row r="17" spans="1:15">
      <c r="A17" s="1" t="s">
        <v>7038</v>
      </c>
      <c r="B17" s="1" t="s">
        <v>2060</v>
      </c>
      <c r="C17" s="1" t="s">
        <v>643</v>
      </c>
      <c r="D17" s="1" t="s">
        <v>2061</v>
      </c>
      <c r="E17" s="1" t="s">
        <v>7029</v>
      </c>
      <c r="F17" s="1" t="s">
        <v>7039</v>
      </c>
      <c r="G17" s="1" t="s">
        <v>52</v>
      </c>
      <c r="H17" s="1">
        <v>7832</v>
      </c>
      <c r="I17" s="1" t="s">
        <v>16</v>
      </c>
      <c r="J17" s="6">
        <v>33.979999999999997</v>
      </c>
      <c r="K17" s="1" t="s">
        <v>38</v>
      </c>
      <c r="L17" s="1"/>
      <c r="M17" s="1" t="s">
        <v>39</v>
      </c>
      <c r="N17" s="1" t="s">
        <v>16</v>
      </c>
      <c r="O17" s="1" t="s">
        <v>7001</v>
      </c>
    </row>
    <row r="18" spans="1:15">
      <c r="A18" s="1" t="s">
        <v>7040</v>
      </c>
      <c r="B18" s="1" t="s">
        <v>2114</v>
      </c>
      <c r="C18" s="1" t="s">
        <v>1110</v>
      </c>
      <c r="D18" s="1"/>
      <c r="E18" s="1" t="s">
        <v>7039</v>
      </c>
      <c r="F18" s="1" t="s">
        <v>7041</v>
      </c>
      <c r="G18" s="1" t="s">
        <v>52</v>
      </c>
      <c r="H18" s="1">
        <v>7832</v>
      </c>
      <c r="I18" s="1" t="s">
        <v>690</v>
      </c>
      <c r="J18" s="6">
        <v>37.950000000000003</v>
      </c>
      <c r="K18" s="1" t="s">
        <v>38</v>
      </c>
      <c r="L18" s="1"/>
      <c r="M18" s="1" t="s">
        <v>39</v>
      </c>
      <c r="N18" s="1" t="s">
        <v>16</v>
      </c>
      <c r="O18" s="1" t="s">
        <v>7001</v>
      </c>
    </row>
    <row r="19" spans="1:15">
      <c r="A19" s="1" t="s">
        <v>7042</v>
      </c>
      <c r="B19" s="1" t="s">
        <v>2368</v>
      </c>
      <c r="C19" s="1" t="s">
        <v>448</v>
      </c>
      <c r="D19" s="1"/>
      <c r="E19" s="1" t="s">
        <v>7043</v>
      </c>
      <c r="F19" s="1" t="s">
        <v>7044</v>
      </c>
      <c r="G19" s="1" t="s">
        <v>83</v>
      </c>
      <c r="H19" s="1">
        <v>5812</v>
      </c>
      <c r="I19" s="1" t="s">
        <v>138</v>
      </c>
      <c r="J19" s="6">
        <v>15.65</v>
      </c>
      <c r="K19" s="1" t="s">
        <v>38</v>
      </c>
      <c r="L19" s="1"/>
      <c r="M19" s="1" t="s">
        <v>48</v>
      </c>
      <c r="N19" s="1" t="s">
        <v>3</v>
      </c>
      <c r="O19" s="1" t="s">
        <v>7001</v>
      </c>
    </row>
    <row r="20" spans="1:15">
      <c r="A20" s="1" t="s">
        <v>7045</v>
      </c>
      <c r="B20" s="1" t="s">
        <v>2555</v>
      </c>
      <c r="C20" s="1" t="s">
        <v>1567</v>
      </c>
      <c r="D20" s="1" t="s">
        <v>2556</v>
      </c>
      <c r="E20" s="1" t="s">
        <v>7046</v>
      </c>
      <c r="F20" s="1" t="s">
        <v>7047</v>
      </c>
      <c r="G20" s="1" t="s">
        <v>92</v>
      </c>
      <c r="H20" s="1">
        <v>5943</v>
      </c>
      <c r="I20" s="1" t="s">
        <v>11</v>
      </c>
      <c r="J20" s="6">
        <v>137.02000000000001</v>
      </c>
      <c r="K20" s="1" t="s">
        <v>38</v>
      </c>
      <c r="L20" s="1"/>
      <c r="M20" s="1" t="s">
        <v>48</v>
      </c>
      <c r="N20" s="1" t="s">
        <v>11</v>
      </c>
      <c r="O20" s="1" t="s">
        <v>7001</v>
      </c>
    </row>
    <row r="21" spans="1:15">
      <c r="A21" s="1" t="s">
        <v>7048</v>
      </c>
      <c r="B21" s="1" t="s">
        <v>2658</v>
      </c>
      <c r="C21" s="1" t="s">
        <v>244</v>
      </c>
      <c r="D21" s="1"/>
      <c r="E21" s="1" t="s">
        <v>7047</v>
      </c>
      <c r="F21" s="1" t="s">
        <v>7049</v>
      </c>
      <c r="G21" s="1" t="s">
        <v>173</v>
      </c>
      <c r="H21" s="1">
        <v>5812</v>
      </c>
      <c r="I21" s="1" t="s">
        <v>3</v>
      </c>
      <c r="J21" s="6">
        <v>66.819999999999993</v>
      </c>
      <c r="K21" s="1" t="s">
        <v>38</v>
      </c>
      <c r="L21" s="1"/>
      <c r="M21" s="1" t="s">
        <v>39</v>
      </c>
      <c r="N21" s="1" t="s">
        <v>3</v>
      </c>
      <c r="O21" s="1" t="s">
        <v>7001</v>
      </c>
    </row>
    <row r="22" spans="1:15">
      <c r="A22" s="1" t="s">
        <v>7050</v>
      </c>
      <c r="B22" s="1" t="s">
        <v>3023</v>
      </c>
      <c r="C22" s="1" t="s">
        <v>550</v>
      </c>
      <c r="D22" s="1" t="s">
        <v>3024</v>
      </c>
      <c r="E22" s="1" t="s">
        <v>7051</v>
      </c>
      <c r="F22" s="1" t="s">
        <v>7052</v>
      </c>
      <c r="G22" s="1" t="s">
        <v>160</v>
      </c>
      <c r="H22" s="1">
        <v>7011</v>
      </c>
      <c r="I22" s="1" t="s">
        <v>7</v>
      </c>
      <c r="J22" s="6">
        <v>307.79000000000002</v>
      </c>
      <c r="K22" s="1" t="s">
        <v>38</v>
      </c>
      <c r="L22" s="1"/>
      <c r="M22" s="1" t="s">
        <v>39</v>
      </c>
      <c r="N22" s="1" t="s">
        <v>7</v>
      </c>
      <c r="O22" s="1" t="s">
        <v>7001</v>
      </c>
    </row>
    <row r="23" spans="1:15">
      <c r="A23" s="1" t="s">
        <v>7053</v>
      </c>
      <c r="B23" s="1" t="s">
        <v>3105</v>
      </c>
      <c r="C23" s="1" t="s">
        <v>547</v>
      </c>
      <c r="D23" s="1"/>
      <c r="E23" s="1" t="s">
        <v>7054</v>
      </c>
      <c r="F23" s="1" t="s">
        <v>7055</v>
      </c>
      <c r="G23" s="1" t="s">
        <v>233</v>
      </c>
      <c r="H23" s="1">
        <v>5812</v>
      </c>
      <c r="I23" s="1" t="s">
        <v>3</v>
      </c>
      <c r="J23" s="6">
        <v>10.41</v>
      </c>
      <c r="K23" s="1" t="s">
        <v>38</v>
      </c>
      <c r="L23" s="1"/>
      <c r="M23" s="1" t="s">
        <v>39</v>
      </c>
      <c r="N23" s="1" t="s">
        <v>3</v>
      </c>
      <c r="O23" s="1" t="s">
        <v>7001</v>
      </c>
    </row>
    <row r="24" spans="1:15">
      <c r="A24" s="1" t="s">
        <v>7056</v>
      </c>
      <c r="B24" s="1" t="s">
        <v>3187</v>
      </c>
      <c r="C24" s="1" t="s">
        <v>448</v>
      </c>
      <c r="D24" s="1" t="s">
        <v>3188</v>
      </c>
      <c r="E24" s="1" t="s">
        <v>7057</v>
      </c>
      <c r="F24" s="1" t="s">
        <v>7058</v>
      </c>
      <c r="G24" s="1" t="s">
        <v>72</v>
      </c>
      <c r="H24" s="1">
        <v>4121</v>
      </c>
      <c r="I24" s="1" t="s">
        <v>9</v>
      </c>
      <c r="J24" s="6">
        <v>64.16</v>
      </c>
      <c r="K24" s="1" t="s">
        <v>38</v>
      </c>
      <c r="L24" s="1"/>
      <c r="M24" s="1" t="s">
        <v>39</v>
      </c>
      <c r="N24" s="1" t="s">
        <v>9</v>
      </c>
      <c r="O24" s="1" t="s">
        <v>7001</v>
      </c>
    </row>
    <row r="25" spans="1:15">
      <c r="A25" s="1" t="s">
        <v>7059</v>
      </c>
      <c r="B25" s="1" t="s">
        <v>3225</v>
      </c>
      <c r="C25" s="1" t="s">
        <v>41</v>
      </c>
      <c r="D25" s="1" t="s">
        <v>3226</v>
      </c>
      <c r="E25" s="1" t="s">
        <v>7060</v>
      </c>
      <c r="F25" s="1" t="s">
        <v>7061</v>
      </c>
      <c r="G25" s="1" t="s">
        <v>120</v>
      </c>
      <c r="H25" s="1">
        <v>5942</v>
      </c>
      <c r="I25" s="1" t="s">
        <v>11</v>
      </c>
      <c r="J25" s="6">
        <v>62.09</v>
      </c>
      <c r="K25" s="1" t="s">
        <v>38</v>
      </c>
      <c r="L25" s="1"/>
      <c r="M25" s="1" t="s">
        <v>39</v>
      </c>
      <c r="N25" s="1" t="s">
        <v>11</v>
      </c>
      <c r="O25" s="1" t="s">
        <v>7001</v>
      </c>
    </row>
    <row r="26" spans="1:15">
      <c r="A26" s="1" t="s">
        <v>7062</v>
      </c>
      <c r="B26" s="1" t="s">
        <v>3431</v>
      </c>
      <c r="C26" s="1" t="s">
        <v>640</v>
      </c>
      <c r="D26" s="1" t="s">
        <v>3432</v>
      </c>
      <c r="E26" s="1" t="s">
        <v>7063</v>
      </c>
      <c r="F26" s="1" t="s">
        <v>7064</v>
      </c>
      <c r="G26" s="1" t="s">
        <v>120</v>
      </c>
      <c r="H26" s="1">
        <v>5942</v>
      </c>
      <c r="I26" s="1" t="s">
        <v>2226</v>
      </c>
      <c r="J26" s="6">
        <v>454.2</v>
      </c>
      <c r="K26" s="1" t="s">
        <v>38</v>
      </c>
      <c r="L26" s="1"/>
      <c r="M26" s="1" t="s">
        <v>48</v>
      </c>
      <c r="N26" s="1" t="s">
        <v>11</v>
      </c>
      <c r="O26" s="1" t="s">
        <v>7001</v>
      </c>
    </row>
    <row r="27" spans="1:15">
      <c r="A27" s="1" t="s">
        <v>7065</v>
      </c>
      <c r="B27" s="1" t="s">
        <v>3476</v>
      </c>
      <c r="C27" s="1" t="s">
        <v>553</v>
      </c>
      <c r="D27" s="1" t="s">
        <v>3477</v>
      </c>
      <c r="E27" s="1" t="s">
        <v>7066</v>
      </c>
      <c r="F27" s="1" t="s">
        <v>7067</v>
      </c>
      <c r="G27" s="1" t="s">
        <v>160</v>
      </c>
      <c r="H27" s="1">
        <v>7011</v>
      </c>
      <c r="I27" s="1" t="s">
        <v>7</v>
      </c>
      <c r="J27" s="6">
        <v>309.58999999999997</v>
      </c>
      <c r="K27" s="1" t="s">
        <v>38</v>
      </c>
      <c r="L27" s="1"/>
      <c r="M27" s="1" t="s">
        <v>39</v>
      </c>
      <c r="N27" s="1" t="s">
        <v>7</v>
      </c>
      <c r="O27" s="1" t="s">
        <v>7001</v>
      </c>
    </row>
    <row r="28" spans="1:15">
      <c r="A28" s="1" t="s">
        <v>7068</v>
      </c>
      <c r="B28" s="1" t="s">
        <v>3664</v>
      </c>
      <c r="C28" s="1" t="s">
        <v>349</v>
      </c>
      <c r="D28" s="1" t="s">
        <v>3665</v>
      </c>
      <c r="E28" s="1" t="s">
        <v>7069</v>
      </c>
      <c r="F28" s="1" t="s">
        <v>7070</v>
      </c>
      <c r="G28" s="1" t="s">
        <v>65</v>
      </c>
      <c r="H28" s="1">
        <v>7999</v>
      </c>
      <c r="I28" s="1"/>
      <c r="J28" s="6">
        <v>1393.86</v>
      </c>
      <c r="K28" s="1" t="s">
        <v>38</v>
      </c>
      <c r="L28" s="1"/>
      <c r="M28" s="1" t="s">
        <v>39</v>
      </c>
      <c r="N28" s="1" t="s">
        <v>19</v>
      </c>
      <c r="O28" s="1" t="s">
        <v>7071</v>
      </c>
    </row>
    <row r="29" spans="1:15">
      <c r="A29" s="1" t="s">
        <v>7072</v>
      </c>
      <c r="B29" s="1" t="s">
        <v>3674</v>
      </c>
      <c r="C29" s="1" t="s">
        <v>810</v>
      </c>
      <c r="D29" s="1"/>
      <c r="E29" s="1" t="s">
        <v>7070</v>
      </c>
      <c r="F29" s="1" t="s">
        <v>7070</v>
      </c>
      <c r="G29" s="1" t="s">
        <v>43</v>
      </c>
      <c r="H29" s="1">
        <v>5812</v>
      </c>
      <c r="I29" s="1" t="s">
        <v>3</v>
      </c>
      <c r="J29" s="6">
        <v>6.09</v>
      </c>
      <c r="K29" s="1" t="s">
        <v>111</v>
      </c>
      <c r="L29" s="1" t="s">
        <v>112</v>
      </c>
      <c r="M29" s="1" t="s">
        <v>39</v>
      </c>
      <c r="N29" s="1" t="s">
        <v>3</v>
      </c>
      <c r="O29" s="1" t="s">
        <v>7001</v>
      </c>
    </row>
    <row r="30" spans="1:15">
      <c r="A30" s="1" t="s">
        <v>7073</v>
      </c>
      <c r="B30" s="1" t="s">
        <v>3698</v>
      </c>
      <c r="C30" s="1" t="s">
        <v>1061</v>
      </c>
      <c r="D30" s="1" t="s">
        <v>3699</v>
      </c>
      <c r="E30" s="1" t="s">
        <v>7064</v>
      </c>
      <c r="F30" s="1" t="s">
        <v>7074</v>
      </c>
      <c r="G30" s="1" t="s">
        <v>160</v>
      </c>
      <c r="H30" s="1">
        <v>7011</v>
      </c>
      <c r="I30" s="1" t="s">
        <v>228</v>
      </c>
      <c r="J30" s="6">
        <v>478.77</v>
      </c>
      <c r="K30" s="1" t="s">
        <v>38</v>
      </c>
      <c r="L30" s="1"/>
      <c r="M30" s="1" t="s">
        <v>39</v>
      </c>
      <c r="N30" s="1" t="s">
        <v>7</v>
      </c>
      <c r="O30" s="1" t="s">
        <v>7001</v>
      </c>
    </row>
    <row r="31" spans="1:15">
      <c r="A31" s="1" t="s">
        <v>7075</v>
      </c>
      <c r="B31" s="1" t="s">
        <v>3836</v>
      </c>
      <c r="C31" s="1" t="s">
        <v>50</v>
      </c>
      <c r="D31" s="1" t="s">
        <v>3837</v>
      </c>
      <c r="E31" s="1" t="s">
        <v>7069</v>
      </c>
      <c r="F31" s="1" t="s">
        <v>7076</v>
      </c>
      <c r="G31" s="1" t="s">
        <v>79</v>
      </c>
      <c r="H31" s="1">
        <v>5734</v>
      </c>
      <c r="I31" s="1" t="s">
        <v>192</v>
      </c>
      <c r="J31" s="6">
        <v>155.38</v>
      </c>
      <c r="K31" s="1" t="s">
        <v>38</v>
      </c>
      <c r="L31" s="1"/>
      <c r="M31" s="1" t="s">
        <v>39</v>
      </c>
      <c r="N31" s="1" t="s">
        <v>14</v>
      </c>
      <c r="O31" s="1" t="s">
        <v>7001</v>
      </c>
    </row>
    <row r="32" spans="1:15">
      <c r="A32" s="1" t="s">
        <v>7077</v>
      </c>
      <c r="B32" s="1" t="s">
        <v>3969</v>
      </c>
      <c r="C32" s="1" t="s">
        <v>475</v>
      </c>
      <c r="D32" s="1" t="s">
        <v>3970</v>
      </c>
      <c r="E32" s="1" t="s">
        <v>7078</v>
      </c>
      <c r="F32" s="1" t="s">
        <v>7079</v>
      </c>
      <c r="G32" s="1" t="s">
        <v>116</v>
      </c>
      <c r="H32" s="1">
        <v>5812</v>
      </c>
      <c r="I32" s="1" t="s">
        <v>794</v>
      </c>
      <c r="J32" s="6">
        <v>14.89</v>
      </c>
      <c r="K32" s="1" t="s">
        <v>38</v>
      </c>
      <c r="L32" s="1"/>
      <c r="M32" s="1" t="s">
        <v>39</v>
      </c>
      <c r="N32" s="1" t="s">
        <v>3</v>
      </c>
      <c r="O32" s="1" t="s">
        <v>7001</v>
      </c>
    </row>
    <row r="33" spans="1:15">
      <c r="A33" s="1" t="s">
        <v>7080</v>
      </c>
      <c r="B33" s="1" t="s">
        <v>4217</v>
      </c>
      <c r="C33" s="1" t="s">
        <v>182</v>
      </c>
      <c r="D33" s="1" t="s">
        <v>4218</v>
      </c>
      <c r="E33" s="1" t="s">
        <v>7081</v>
      </c>
      <c r="F33" s="1" t="s">
        <v>7082</v>
      </c>
      <c r="G33" s="1" t="s">
        <v>92</v>
      </c>
      <c r="H33" s="1">
        <v>5943</v>
      </c>
      <c r="I33" s="1" t="s">
        <v>11</v>
      </c>
      <c r="J33" s="6">
        <v>156.19999999999999</v>
      </c>
      <c r="K33" s="1" t="s">
        <v>38</v>
      </c>
      <c r="L33" s="1"/>
      <c r="M33" s="1" t="s">
        <v>39</v>
      </c>
      <c r="N33" s="1" t="s">
        <v>11</v>
      </c>
      <c r="O33" s="1" t="s">
        <v>7001</v>
      </c>
    </row>
    <row r="34" spans="1:15">
      <c r="A34" s="1" t="s">
        <v>7083</v>
      </c>
      <c r="B34" s="1" t="s">
        <v>4246</v>
      </c>
      <c r="C34" s="1" t="s">
        <v>71</v>
      </c>
      <c r="D34" s="1" t="s">
        <v>4247</v>
      </c>
      <c r="E34" s="1" t="s">
        <v>7078</v>
      </c>
      <c r="F34" s="1" t="s">
        <v>7084</v>
      </c>
      <c r="G34" s="1" t="s">
        <v>259</v>
      </c>
      <c r="H34" s="1">
        <v>5811</v>
      </c>
      <c r="I34" s="1" t="s">
        <v>517</v>
      </c>
      <c r="J34" s="6">
        <v>1042.03</v>
      </c>
      <c r="K34" s="1" t="s">
        <v>38</v>
      </c>
      <c r="L34" s="1"/>
      <c r="M34" s="1" t="s">
        <v>48</v>
      </c>
      <c r="N34" s="1" t="s">
        <v>19</v>
      </c>
      <c r="O34" s="1" t="s">
        <v>7001</v>
      </c>
    </row>
    <row r="35" spans="1:15">
      <c r="A35" s="1" t="s">
        <v>7085</v>
      </c>
      <c r="B35" s="1" t="s">
        <v>4269</v>
      </c>
      <c r="C35" s="1" t="s">
        <v>667</v>
      </c>
      <c r="D35" s="1" t="s">
        <v>4270</v>
      </c>
      <c r="E35" s="1" t="s">
        <v>7086</v>
      </c>
      <c r="F35" s="1" t="s">
        <v>7084</v>
      </c>
      <c r="G35" s="1" t="s">
        <v>95</v>
      </c>
      <c r="H35" s="1">
        <v>7011</v>
      </c>
      <c r="I35" s="1" t="s">
        <v>7</v>
      </c>
      <c r="J35" s="6">
        <v>256.11</v>
      </c>
      <c r="K35" s="1" t="s">
        <v>38</v>
      </c>
      <c r="L35" s="1"/>
      <c r="M35" s="1" t="s">
        <v>39</v>
      </c>
      <c r="N35" s="1" t="s">
        <v>7</v>
      </c>
      <c r="O35" s="1" t="s">
        <v>7001</v>
      </c>
    </row>
    <row r="36" spans="1:15">
      <c r="A36" s="1" t="s">
        <v>7087</v>
      </c>
      <c r="B36" s="1" t="s">
        <v>4309</v>
      </c>
      <c r="C36" s="1" t="s">
        <v>292</v>
      </c>
      <c r="D36" s="1" t="s">
        <v>4310</v>
      </c>
      <c r="E36" s="1" t="s">
        <v>7084</v>
      </c>
      <c r="F36" s="1" t="s">
        <v>7088</v>
      </c>
      <c r="G36" s="1" t="s">
        <v>201</v>
      </c>
      <c r="H36" s="1">
        <v>4511</v>
      </c>
      <c r="I36" s="1" t="s">
        <v>5</v>
      </c>
      <c r="J36" s="6">
        <v>540.29</v>
      </c>
      <c r="K36" s="1" t="s">
        <v>38</v>
      </c>
      <c r="L36" s="1"/>
      <c r="M36" s="1" t="s">
        <v>39</v>
      </c>
      <c r="N36" s="1" t="s">
        <v>5</v>
      </c>
      <c r="O36" s="1" t="s">
        <v>7001</v>
      </c>
    </row>
    <row r="37" spans="1:15">
      <c r="A37" s="1" t="s">
        <v>7089</v>
      </c>
      <c r="B37" s="1" t="s">
        <v>4634</v>
      </c>
      <c r="C37" s="1" t="s">
        <v>387</v>
      </c>
      <c r="D37" s="1"/>
      <c r="E37" s="1" t="s">
        <v>7090</v>
      </c>
      <c r="F37" s="1" t="s">
        <v>7091</v>
      </c>
      <c r="G37" s="1" t="s">
        <v>259</v>
      </c>
      <c r="H37" s="1">
        <v>5811</v>
      </c>
      <c r="I37" s="1" t="s">
        <v>19</v>
      </c>
      <c r="J37" s="6">
        <v>1695.37</v>
      </c>
      <c r="K37" s="1" t="s">
        <v>38</v>
      </c>
      <c r="L37" s="1"/>
      <c r="M37" s="1" t="s">
        <v>39</v>
      </c>
      <c r="N37" s="1" t="s">
        <v>19</v>
      </c>
      <c r="O37" s="1" t="s">
        <v>7001</v>
      </c>
    </row>
    <row r="38" spans="1:15">
      <c r="A38" s="1" t="s">
        <v>7092</v>
      </c>
      <c r="B38" s="1" t="s">
        <v>4750</v>
      </c>
      <c r="C38" s="1" t="s">
        <v>716</v>
      </c>
      <c r="D38" s="1" t="s">
        <v>4751</v>
      </c>
      <c r="E38" s="1" t="s">
        <v>7093</v>
      </c>
      <c r="F38" s="1" t="s">
        <v>7094</v>
      </c>
      <c r="G38" s="1" t="s">
        <v>65</v>
      </c>
      <c r="H38" s="1">
        <v>7999</v>
      </c>
      <c r="I38" s="1" t="s">
        <v>19</v>
      </c>
      <c r="J38" s="6">
        <v>1037.81</v>
      </c>
      <c r="K38" s="1" t="s">
        <v>38</v>
      </c>
      <c r="L38" s="1"/>
      <c r="M38" s="1" t="s">
        <v>39</v>
      </c>
      <c r="N38" s="1" t="s">
        <v>19</v>
      </c>
      <c r="O38" s="1" t="s">
        <v>7001</v>
      </c>
    </row>
    <row r="39" spans="1:15">
      <c r="A39" s="1" t="s">
        <v>7095</v>
      </c>
      <c r="B39" s="1" t="s">
        <v>4801</v>
      </c>
      <c r="C39" s="1" t="s">
        <v>512</v>
      </c>
      <c r="D39" s="1" t="s">
        <v>4802</v>
      </c>
      <c r="E39" s="1" t="s">
        <v>7096</v>
      </c>
      <c r="F39" s="1" t="s">
        <v>7096</v>
      </c>
      <c r="G39" s="1" t="s">
        <v>95</v>
      </c>
      <c r="H39" s="1">
        <v>7011</v>
      </c>
      <c r="I39" s="1"/>
      <c r="J39" s="6">
        <v>296.20999999999998</v>
      </c>
      <c r="K39" s="1" t="s">
        <v>38</v>
      </c>
      <c r="L39" s="1"/>
      <c r="M39" s="1" t="s">
        <v>39</v>
      </c>
      <c r="N39" s="1" t="s">
        <v>7</v>
      </c>
      <c r="O39" s="1" t="s">
        <v>7071</v>
      </c>
    </row>
    <row r="40" spans="1:15">
      <c r="A40" s="1" t="s">
        <v>7097</v>
      </c>
      <c r="B40" s="1" t="s">
        <v>4985</v>
      </c>
      <c r="C40" s="1" t="s">
        <v>890</v>
      </c>
      <c r="D40" s="1"/>
      <c r="E40" s="1" t="s">
        <v>7098</v>
      </c>
      <c r="F40" s="1" t="s">
        <v>7099</v>
      </c>
      <c r="G40" s="1" t="s">
        <v>173</v>
      </c>
      <c r="H40" s="1">
        <v>5812</v>
      </c>
      <c r="I40" s="1" t="s">
        <v>3</v>
      </c>
      <c r="J40" s="6">
        <v>20.59</v>
      </c>
      <c r="K40" s="1" t="s">
        <v>111</v>
      </c>
      <c r="L40" s="1" t="s">
        <v>112</v>
      </c>
      <c r="M40" s="1" t="s">
        <v>39</v>
      </c>
      <c r="N40" s="1" t="s">
        <v>3</v>
      </c>
      <c r="O40" s="1" t="s">
        <v>7001</v>
      </c>
    </row>
    <row r="41" spans="1:15">
      <c r="A41" s="1" t="s">
        <v>7100</v>
      </c>
      <c r="B41" s="1" t="s">
        <v>5028</v>
      </c>
      <c r="C41" s="1" t="s">
        <v>59</v>
      </c>
      <c r="D41" s="1" t="s">
        <v>5029</v>
      </c>
      <c r="E41" s="1" t="s">
        <v>7101</v>
      </c>
      <c r="F41" s="1" t="s">
        <v>7102</v>
      </c>
      <c r="G41" s="1" t="s">
        <v>160</v>
      </c>
      <c r="H41" s="1">
        <v>7011</v>
      </c>
      <c r="I41" s="1" t="s">
        <v>726</v>
      </c>
      <c r="J41" s="6">
        <v>201.77</v>
      </c>
      <c r="K41" s="1" t="s">
        <v>38</v>
      </c>
      <c r="L41" s="1"/>
      <c r="M41" s="1" t="s">
        <v>39</v>
      </c>
      <c r="N41" s="1" t="s">
        <v>7</v>
      </c>
      <c r="O41" s="1" t="s">
        <v>7001</v>
      </c>
    </row>
    <row r="42" spans="1:15">
      <c r="A42" s="1" t="s">
        <v>7103</v>
      </c>
      <c r="B42" s="1" t="s">
        <v>5081</v>
      </c>
      <c r="C42" s="1" t="s">
        <v>553</v>
      </c>
      <c r="D42" s="1" t="s">
        <v>5082</v>
      </c>
      <c r="E42" s="1" t="s">
        <v>7104</v>
      </c>
      <c r="F42" s="1" t="s">
        <v>7105</v>
      </c>
      <c r="G42" s="1" t="s">
        <v>106</v>
      </c>
      <c r="H42" s="1">
        <v>5734</v>
      </c>
      <c r="I42" s="1" t="s">
        <v>14</v>
      </c>
      <c r="J42" s="6">
        <v>180.37</v>
      </c>
      <c r="K42" s="1" t="s">
        <v>38</v>
      </c>
      <c r="L42" s="1"/>
      <c r="M42" s="1" t="s">
        <v>39</v>
      </c>
      <c r="N42" s="1" t="s">
        <v>14</v>
      </c>
      <c r="O42" s="1" t="s">
        <v>7001</v>
      </c>
    </row>
    <row r="43" spans="1:15">
      <c r="A43" s="1" t="s">
        <v>7106</v>
      </c>
      <c r="B43" s="1" t="s">
        <v>5143</v>
      </c>
      <c r="C43" s="1" t="s">
        <v>63</v>
      </c>
      <c r="D43" s="1" t="s">
        <v>5144</v>
      </c>
      <c r="E43" s="1" t="s">
        <v>7102</v>
      </c>
      <c r="F43" s="1" t="s">
        <v>7107</v>
      </c>
      <c r="G43" s="1" t="s">
        <v>43</v>
      </c>
      <c r="H43" s="1">
        <v>5812</v>
      </c>
      <c r="I43" s="1" t="s">
        <v>3</v>
      </c>
      <c r="J43" s="6">
        <v>8.77</v>
      </c>
      <c r="K43" s="1" t="s">
        <v>38</v>
      </c>
      <c r="L43" s="1"/>
      <c r="M43" s="1" t="s">
        <v>39</v>
      </c>
      <c r="N43" s="1" t="s">
        <v>3</v>
      </c>
      <c r="O43" s="1" t="s">
        <v>7001</v>
      </c>
    </row>
    <row r="44" spans="1:15">
      <c r="A44" s="1" t="s">
        <v>7108</v>
      </c>
      <c r="B44" s="1" t="s">
        <v>5277</v>
      </c>
      <c r="C44" s="1" t="s">
        <v>1175</v>
      </c>
      <c r="D44" s="1" t="s">
        <v>5278</v>
      </c>
      <c r="E44" s="1" t="s">
        <v>7109</v>
      </c>
      <c r="F44" s="1" t="s">
        <v>7110</v>
      </c>
      <c r="G44" s="1" t="s">
        <v>259</v>
      </c>
      <c r="H44" s="1">
        <v>5811</v>
      </c>
      <c r="I44" s="1" t="s">
        <v>19</v>
      </c>
      <c r="J44" s="6">
        <v>2017.98</v>
      </c>
      <c r="K44" s="1" t="s">
        <v>38</v>
      </c>
      <c r="L44" s="1"/>
      <c r="M44" s="1" t="s">
        <v>39</v>
      </c>
      <c r="N44" s="1" t="s">
        <v>19</v>
      </c>
      <c r="O44" s="1" t="s">
        <v>7001</v>
      </c>
    </row>
    <row r="45" spans="1:15">
      <c r="A45" s="1" t="s">
        <v>7111</v>
      </c>
      <c r="B45" s="1" t="s">
        <v>5493</v>
      </c>
      <c r="C45" s="1" t="s">
        <v>382</v>
      </c>
      <c r="D45" s="1" t="s">
        <v>5494</v>
      </c>
      <c r="E45" s="1" t="s">
        <v>7112</v>
      </c>
      <c r="F45" s="1" t="s">
        <v>7113</v>
      </c>
      <c r="G45" s="1" t="s">
        <v>124</v>
      </c>
      <c r="H45" s="1">
        <v>7997</v>
      </c>
      <c r="I45" s="1"/>
      <c r="J45" s="6">
        <v>145.71</v>
      </c>
      <c r="K45" s="1" t="s">
        <v>38</v>
      </c>
      <c r="L45" s="1"/>
      <c r="M45" s="1" t="s">
        <v>39</v>
      </c>
      <c r="N45" s="1" t="s">
        <v>16</v>
      </c>
      <c r="O45" s="1" t="s">
        <v>7071</v>
      </c>
    </row>
    <row r="46" spans="1:15">
      <c r="A46" s="1" t="s">
        <v>7114</v>
      </c>
      <c r="B46" s="1" t="s">
        <v>6100</v>
      </c>
      <c r="C46" s="1" t="s">
        <v>550</v>
      </c>
      <c r="D46" s="1" t="s">
        <v>6101</v>
      </c>
      <c r="E46" s="1" t="s">
        <v>7115</v>
      </c>
      <c r="F46" s="1" t="s">
        <v>7116</v>
      </c>
      <c r="G46" s="1" t="s">
        <v>95</v>
      </c>
      <c r="H46" s="1">
        <v>7011</v>
      </c>
      <c r="I46" s="1" t="s">
        <v>7</v>
      </c>
      <c r="J46" s="6">
        <v>265.69</v>
      </c>
      <c r="K46" s="1" t="s">
        <v>38</v>
      </c>
      <c r="L46" s="1"/>
      <c r="M46" s="1" t="s">
        <v>39</v>
      </c>
      <c r="N46" s="1" t="s">
        <v>7</v>
      </c>
      <c r="O46" s="1" t="s">
        <v>7001</v>
      </c>
    </row>
    <row r="47" spans="1:15">
      <c r="A47" s="1" t="s">
        <v>7117</v>
      </c>
      <c r="B47" s="1" t="s">
        <v>6176</v>
      </c>
      <c r="C47" s="1" t="s">
        <v>368</v>
      </c>
      <c r="D47" s="1"/>
      <c r="E47" s="1" t="s">
        <v>7118</v>
      </c>
      <c r="F47" s="1" t="s">
        <v>7119</v>
      </c>
      <c r="G47" s="1" t="s">
        <v>177</v>
      </c>
      <c r="H47" s="1">
        <v>5734</v>
      </c>
      <c r="I47" s="1" t="s">
        <v>14</v>
      </c>
      <c r="J47" s="6">
        <v>34.159999999999997</v>
      </c>
      <c r="K47" s="1" t="s">
        <v>111</v>
      </c>
      <c r="L47" s="1" t="s">
        <v>112</v>
      </c>
      <c r="M47" s="1" t="s">
        <v>39</v>
      </c>
      <c r="N47" s="1" t="s">
        <v>14</v>
      </c>
      <c r="O47" s="1" t="s">
        <v>7001</v>
      </c>
    </row>
    <row r="48" spans="1:15">
      <c r="A48" s="1" t="s">
        <v>7120</v>
      </c>
      <c r="B48" s="1" t="s">
        <v>6325</v>
      </c>
      <c r="C48" s="1" t="s">
        <v>303</v>
      </c>
      <c r="D48" s="1"/>
      <c r="E48" s="1" t="s">
        <v>7121</v>
      </c>
      <c r="F48" s="1" t="s">
        <v>7122</v>
      </c>
      <c r="G48" s="1" t="s">
        <v>83</v>
      </c>
      <c r="H48" s="1">
        <v>5812</v>
      </c>
      <c r="I48" s="1" t="s">
        <v>154</v>
      </c>
      <c r="J48" s="6">
        <v>23.6</v>
      </c>
      <c r="K48" s="1" t="s">
        <v>111</v>
      </c>
      <c r="L48" s="1" t="s">
        <v>161</v>
      </c>
      <c r="M48" s="1" t="s">
        <v>39</v>
      </c>
      <c r="N48" s="1" t="s">
        <v>3</v>
      </c>
      <c r="O48" s="1" t="s">
        <v>7001</v>
      </c>
    </row>
    <row r="49" spans="1:15">
      <c r="A49" s="1" t="s">
        <v>7123</v>
      </c>
      <c r="B49" s="1" t="s">
        <v>6336</v>
      </c>
      <c r="C49" s="1" t="s">
        <v>469</v>
      </c>
      <c r="D49" s="1"/>
      <c r="E49" s="1" t="s">
        <v>7124</v>
      </c>
      <c r="F49" s="1" t="s">
        <v>7122</v>
      </c>
      <c r="G49" s="1" t="s">
        <v>109</v>
      </c>
      <c r="H49" s="1">
        <v>7999</v>
      </c>
      <c r="I49" s="1" t="s">
        <v>19</v>
      </c>
      <c r="J49" s="6">
        <v>236.06</v>
      </c>
      <c r="K49" s="1" t="s">
        <v>111</v>
      </c>
      <c r="L49" s="1" t="s">
        <v>127</v>
      </c>
      <c r="M49" s="1" t="s">
        <v>39</v>
      </c>
      <c r="N49" s="1" t="s">
        <v>19</v>
      </c>
      <c r="O49" s="1" t="s">
        <v>7001</v>
      </c>
    </row>
    <row r="50" spans="1:15">
      <c r="A50" s="1" t="s">
        <v>7125</v>
      </c>
      <c r="B50" s="1" t="s">
        <v>6370</v>
      </c>
      <c r="C50" s="1" t="s">
        <v>190</v>
      </c>
      <c r="D50" s="1" t="s">
        <v>6371</v>
      </c>
      <c r="E50" s="1" t="s">
        <v>7016</v>
      </c>
      <c r="F50" s="1" t="s">
        <v>7122</v>
      </c>
      <c r="G50" s="1" t="s">
        <v>342</v>
      </c>
      <c r="H50" s="1">
        <v>4121</v>
      </c>
      <c r="I50" s="1" t="s">
        <v>9</v>
      </c>
      <c r="J50" s="6">
        <v>35.86</v>
      </c>
      <c r="K50" s="1" t="s">
        <v>38</v>
      </c>
      <c r="L50" s="1"/>
      <c r="M50" s="1" t="s">
        <v>48</v>
      </c>
      <c r="N50" s="1" t="s">
        <v>9</v>
      </c>
      <c r="O50" s="1" t="s">
        <v>7001</v>
      </c>
    </row>
    <row r="51" spans="1:15">
      <c r="A51" s="1" t="s">
        <v>7126</v>
      </c>
      <c r="B51" s="1" t="s">
        <v>6503</v>
      </c>
      <c r="C51" s="1" t="s">
        <v>448</v>
      </c>
      <c r="D51" s="1" t="s">
        <v>6504</v>
      </c>
      <c r="E51" s="1" t="s">
        <v>7122</v>
      </c>
      <c r="F51" s="1" t="s">
        <v>7127</v>
      </c>
      <c r="G51" s="1" t="s">
        <v>124</v>
      </c>
      <c r="H51" s="1">
        <v>7997</v>
      </c>
      <c r="I51" s="1" t="s">
        <v>16</v>
      </c>
      <c r="J51" s="6">
        <v>202.6</v>
      </c>
      <c r="K51" s="1" t="s">
        <v>38</v>
      </c>
      <c r="L51" s="1"/>
      <c r="M51" s="1" t="s">
        <v>39</v>
      </c>
      <c r="N51" s="1" t="s">
        <v>16</v>
      </c>
      <c r="O51" s="1" t="s">
        <v>7001</v>
      </c>
    </row>
    <row r="52" spans="1:15">
      <c r="A52" s="1" t="s">
        <v>7128</v>
      </c>
      <c r="B52" s="1" t="s">
        <v>6561</v>
      </c>
      <c r="C52" s="1" t="s">
        <v>63</v>
      </c>
      <c r="D52" s="1" t="s">
        <v>6562</v>
      </c>
      <c r="E52" s="1" t="s">
        <v>7129</v>
      </c>
      <c r="F52" s="1" t="s">
        <v>7130</v>
      </c>
      <c r="G52" s="1" t="s">
        <v>173</v>
      </c>
      <c r="H52" s="1">
        <v>5812</v>
      </c>
      <c r="I52" s="1" t="s">
        <v>3</v>
      </c>
      <c r="J52" s="6">
        <v>76.3</v>
      </c>
      <c r="K52" s="1" t="s">
        <v>38</v>
      </c>
      <c r="L52" s="1"/>
      <c r="M52" s="1" t="s">
        <v>39</v>
      </c>
      <c r="N52" s="1" t="s">
        <v>3</v>
      </c>
      <c r="O52" s="1" t="s">
        <v>7001</v>
      </c>
    </row>
    <row r="53" spans="1:15">
      <c r="A53" s="1" t="s">
        <v>7131</v>
      </c>
      <c r="B53" s="1" t="s">
        <v>6683</v>
      </c>
      <c r="C53" s="1" t="s">
        <v>399</v>
      </c>
      <c r="D53" s="1" t="s">
        <v>6684</v>
      </c>
      <c r="E53" s="1" t="s">
        <v>7079</v>
      </c>
      <c r="F53" s="1" t="s">
        <v>7132</v>
      </c>
      <c r="G53" s="1" t="s">
        <v>37</v>
      </c>
      <c r="H53" s="1">
        <v>4511</v>
      </c>
      <c r="I53" s="1" t="s">
        <v>5</v>
      </c>
      <c r="J53" s="6">
        <v>290.66000000000003</v>
      </c>
      <c r="K53" s="1" t="s">
        <v>38</v>
      </c>
      <c r="L53" s="1"/>
      <c r="M53" s="1" t="s">
        <v>39</v>
      </c>
      <c r="N53" s="1" t="s">
        <v>5</v>
      </c>
      <c r="O53" s="1" t="s">
        <v>7001</v>
      </c>
    </row>
    <row r="54" spans="1:15">
      <c r="A54" s="1" t="s">
        <v>7133</v>
      </c>
      <c r="B54" s="1" t="s">
        <v>6847</v>
      </c>
      <c r="C54" s="1" t="s">
        <v>709</v>
      </c>
      <c r="D54" s="1" t="s">
        <v>6848</v>
      </c>
      <c r="E54" s="1" t="s">
        <v>7134</v>
      </c>
      <c r="F54" s="1" t="s">
        <v>7134</v>
      </c>
      <c r="G54" s="1" t="s">
        <v>242</v>
      </c>
      <c r="H54" s="1">
        <v>5734</v>
      </c>
      <c r="I54" s="1" t="s">
        <v>14</v>
      </c>
      <c r="J54" s="6">
        <v>24.07</v>
      </c>
      <c r="K54" s="1" t="s">
        <v>38</v>
      </c>
      <c r="L54" s="1"/>
      <c r="M54" s="1" t="s">
        <v>39</v>
      </c>
      <c r="N54" s="1" t="s">
        <v>14</v>
      </c>
      <c r="O54" s="1" t="s">
        <v>7001</v>
      </c>
    </row>
    <row r="55" spans="1:15">
      <c r="A55" s="1" t="s">
        <v>7135</v>
      </c>
      <c r="B55" s="1" t="s">
        <v>6887</v>
      </c>
      <c r="C55" s="1" t="s">
        <v>1252</v>
      </c>
      <c r="D55" s="1" t="s">
        <v>6888</v>
      </c>
      <c r="E55" s="1" t="s">
        <v>7134</v>
      </c>
      <c r="F55" s="1" t="s">
        <v>7134</v>
      </c>
      <c r="G55" s="1" t="s">
        <v>47</v>
      </c>
      <c r="H55" s="1">
        <v>7011</v>
      </c>
      <c r="I55" s="1" t="s">
        <v>7</v>
      </c>
      <c r="J55" s="6">
        <v>195.98</v>
      </c>
      <c r="K55" s="1" t="s">
        <v>38</v>
      </c>
      <c r="L55" s="1"/>
      <c r="M55" s="1" t="s">
        <v>39</v>
      </c>
      <c r="N55" s="1" t="s">
        <v>7</v>
      </c>
      <c r="O55" s="1" t="s">
        <v>7001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AC26-2388-4A10-B122-9EB6BE5F7996}">
  <dimension ref="A1:F276"/>
  <sheetViews>
    <sheetView workbookViewId="0">
      <selection activeCell="H10" sqref="H10"/>
    </sheetView>
  </sheetViews>
  <sheetFormatPr defaultRowHeight="14.5"/>
  <cols>
    <col min="2" max="2" width="18.7265625" customWidth="1"/>
    <col min="3" max="3" width="16.81640625" customWidth="1"/>
    <col min="5" max="5" width="12.81640625" customWidth="1"/>
    <col min="6" max="6" width="11.1796875" customWidth="1"/>
  </cols>
  <sheetData>
    <row r="1" spans="1:6">
      <c r="A1" s="4" t="s">
        <v>22</v>
      </c>
      <c r="B1" s="4" t="s">
        <v>7156</v>
      </c>
      <c r="C1" s="4" t="s">
        <v>7157</v>
      </c>
      <c r="D1" s="4" t="s">
        <v>7158</v>
      </c>
      <c r="E1" s="4" t="s">
        <v>7159</v>
      </c>
      <c r="F1" s="4" t="s">
        <v>7160</v>
      </c>
    </row>
    <row r="2" spans="1:6">
      <c r="A2" s="5" t="s">
        <v>915</v>
      </c>
      <c r="B2" s="5" t="s">
        <v>7161</v>
      </c>
      <c r="C2" s="5" t="s">
        <v>7162</v>
      </c>
      <c r="D2" s="5" t="s">
        <v>7163</v>
      </c>
      <c r="E2" s="5"/>
      <c r="F2" s="5" t="s">
        <v>39</v>
      </c>
    </row>
    <row r="3" spans="1:6">
      <c r="A3" s="5" t="s">
        <v>325</v>
      </c>
      <c r="B3" s="5" t="s">
        <v>7164</v>
      </c>
      <c r="C3" s="5" t="s">
        <v>7162</v>
      </c>
      <c r="D3" s="5" t="s">
        <v>7165</v>
      </c>
      <c r="E3" s="5" t="s">
        <v>915</v>
      </c>
      <c r="F3" s="5" t="s">
        <v>39</v>
      </c>
    </row>
    <row r="4" spans="1:6">
      <c r="A4" s="5" t="s">
        <v>50</v>
      </c>
      <c r="B4" s="5" t="s">
        <v>7166</v>
      </c>
      <c r="C4" s="5" t="s">
        <v>7162</v>
      </c>
      <c r="D4" s="5" t="s">
        <v>7165</v>
      </c>
      <c r="E4" s="5" t="s">
        <v>915</v>
      </c>
      <c r="F4" s="5" t="s">
        <v>39</v>
      </c>
    </row>
    <row r="5" spans="1:6">
      <c r="A5" s="5" t="s">
        <v>846</v>
      </c>
      <c r="B5" s="5" t="s">
        <v>7167</v>
      </c>
      <c r="C5" s="5" t="s">
        <v>7162</v>
      </c>
      <c r="D5" s="5" t="s">
        <v>7165</v>
      </c>
      <c r="E5" s="5" t="s">
        <v>915</v>
      </c>
      <c r="F5" s="5" t="s">
        <v>39</v>
      </c>
    </row>
    <row r="6" spans="1:6">
      <c r="A6" s="5" t="s">
        <v>63</v>
      </c>
      <c r="B6" s="5" t="s">
        <v>7168</v>
      </c>
      <c r="C6" s="5" t="s">
        <v>7162</v>
      </c>
      <c r="D6" s="5" t="s">
        <v>7169</v>
      </c>
      <c r="E6" s="5" t="s">
        <v>325</v>
      </c>
      <c r="F6" s="5" t="s">
        <v>39</v>
      </c>
    </row>
    <row r="7" spans="1:6">
      <c r="A7" s="5" t="s">
        <v>597</v>
      </c>
      <c r="B7" s="5" t="s">
        <v>7170</v>
      </c>
      <c r="C7" s="5" t="s">
        <v>7162</v>
      </c>
      <c r="D7" s="5" t="s">
        <v>7171</v>
      </c>
      <c r="E7" s="5" t="s">
        <v>325</v>
      </c>
      <c r="F7" s="5" t="s">
        <v>39</v>
      </c>
    </row>
    <row r="8" spans="1:6">
      <c r="A8" s="5" t="s">
        <v>364</v>
      </c>
      <c r="B8" s="5" t="s">
        <v>7172</v>
      </c>
      <c r="C8" s="5" t="s">
        <v>7162</v>
      </c>
      <c r="D8" s="5" t="s">
        <v>7169</v>
      </c>
      <c r="E8" s="5" t="s">
        <v>325</v>
      </c>
      <c r="F8" s="5" t="s">
        <v>39</v>
      </c>
    </row>
    <row r="9" spans="1:6">
      <c r="A9" s="5" t="s">
        <v>379</v>
      </c>
      <c r="B9" s="5" t="s">
        <v>7173</v>
      </c>
      <c r="C9" s="5" t="s">
        <v>7162</v>
      </c>
      <c r="D9" s="5" t="s">
        <v>7171</v>
      </c>
      <c r="E9" s="5" t="s">
        <v>50</v>
      </c>
      <c r="F9" s="5" t="s">
        <v>39</v>
      </c>
    </row>
    <row r="10" spans="1:6">
      <c r="A10" s="5" t="s">
        <v>216</v>
      </c>
      <c r="B10" s="5" t="s">
        <v>7174</v>
      </c>
      <c r="C10" s="5" t="s">
        <v>7162</v>
      </c>
      <c r="D10" s="5" t="s">
        <v>7169</v>
      </c>
      <c r="E10" s="5" t="s">
        <v>50</v>
      </c>
      <c r="F10" s="5" t="s">
        <v>39</v>
      </c>
    </row>
    <row r="11" spans="1:6">
      <c r="A11" s="5" t="s">
        <v>677</v>
      </c>
      <c r="B11" s="5" t="s">
        <v>7175</v>
      </c>
      <c r="C11" s="5" t="s">
        <v>7162</v>
      </c>
      <c r="D11" s="5" t="s">
        <v>7171</v>
      </c>
      <c r="E11" s="5" t="s">
        <v>50</v>
      </c>
      <c r="F11" s="5" t="s">
        <v>39</v>
      </c>
    </row>
    <row r="12" spans="1:6">
      <c r="A12" s="5" t="s">
        <v>104</v>
      </c>
      <c r="B12" s="5" t="s">
        <v>7176</v>
      </c>
      <c r="C12" s="5" t="s">
        <v>7162</v>
      </c>
      <c r="D12" s="5" t="s">
        <v>7169</v>
      </c>
      <c r="E12" s="5" t="s">
        <v>846</v>
      </c>
      <c r="F12" s="5" t="s">
        <v>39</v>
      </c>
    </row>
    <row r="13" spans="1:6">
      <c r="A13" s="5" t="s">
        <v>890</v>
      </c>
      <c r="B13" s="5" t="s">
        <v>7177</v>
      </c>
      <c r="C13" s="5" t="s">
        <v>7162</v>
      </c>
      <c r="D13" s="5" t="s">
        <v>7171</v>
      </c>
      <c r="E13" s="5" t="s">
        <v>846</v>
      </c>
      <c r="F13" s="5" t="s">
        <v>39</v>
      </c>
    </row>
    <row r="14" spans="1:6">
      <c r="A14" s="5" t="s">
        <v>250</v>
      </c>
      <c r="B14" s="5" t="s">
        <v>7178</v>
      </c>
      <c r="C14" s="5" t="s">
        <v>7162</v>
      </c>
      <c r="D14" s="5" t="s">
        <v>7169</v>
      </c>
      <c r="E14" s="5" t="s">
        <v>846</v>
      </c>
      <c r="F14" s="5" t="s">
        <v>39</v>
      </c>
    </row>
    <row r="15" spans="1:6">
      <c r="A15" s="5" t="s">
        <v>947</v>
      </c>
      <c r="B15" s="5" t="s">
        <v>7179</v>
      </c>
      <c r="C15" s="5" t="s">
        <v>7162</v>
      </c>
      <c r="D15" s="5" t="s">
        <v>7180</v>
      </c>
      <c r="E15" s="5" t="s">
        <v>63</v>
      </c>
      <c r="F15" s="5" t="s">
        <v>39</v>
      </c>
    </row>
    <row r="16" spans="1:6">
      <c r="A16" s="5" t="s">
        <v>81</v>
      </c>
      <c r="B16" s="5" t="s">
        <v>7181</v>
      </c>
      <c r="C16" s="5" t="s">
        <v>7162</v>
      </c>
      <c r="D16" s="5" t="s">
        <v>7182</v>
      </c>
      <c r="E16" s="5" t="s">
        <v>597</v>
      </c>
      <c r="F16" s="5" t="s">
        <v>39</v>
      </c>
    </row>
    <row r="17" spans="1:6">
      <c r="A17" s="5" t="s">
        <v>679</v>
      </c>
      <c r="B17" s="5" t="s">
        <v>7183</v>
      </c>
      <c r="C17" s="5" t="s">
        <v>7162</v>
      </c>
      <c r="D17" s="5" t="s">
        <v>7184</v>
      </c>
      <c r="E17" s="5" t="s">
        <v>364</v>
      </c>
      <c r="F17" s="5" t="s">
        <v>48</v>
      </c>
    </row>
    <row r="18" spans="1:6">
      <c r="A18" s="5" t="s">
        <v>472</v>
      </c>
      <c r="B18" s="5" t="s">
        <v>7185</v>
      </c>
      <c r="C18" s="5" t="s">
        <v>7162</v>
      </c>
      <c r="D18" s="5" t="s">
        <v>7182</v>
      </c>
      <c r="E18" s="5" t="s">
        <v>379</v>
      </c>
      <c r="F18" s="5" t="s">
        <v>39</v>
      </c>
    </row>
    <row r="19" spans="1:6">
      <c r="A19" s="5" t="s">
        <v>292</v>
      </c>
      <c r="B19" s="5" t="s">
        <v>7186</v>
      </c>
      <c r="C19" s="5" t="s">
        <v>7162</v>
      </c>
      <c r="D19" s="5" t="s">
        <v>7182</v>
      </c>
      <c r="E19" s="5" t="s">
        <v>216</v>
      </c>
      <c r="F19" s="5" t="s">
        <v>39</v>
      </c>
    </row>
    <row r="20" spans="1:6">
      <c r="A20" s="5" t="s">
        <v>136</v>
      </c>
      <c r="B20" s="5" t="s">
        <v>7187</v>
      </c>
      <c r="C20" s="5" t="s">
        <v>7162</v>
      </c>
      <c r="D20" s="5" t="s">
        <v>7184</v>
      </c>
      <c r="E20" s="5" t="s">
        <v>677</v>
      </c>
      <c r="F20" s="5" t="s">
        <v>39</v>
      </c>
    </row>
    <row r="21" spans="1:6">
      <c r="A21" s="5" t="s">
        <v>190</v>
      </c>
      <c r="B21" s="5" t="s">
        <v>7188</v>
      </c>
      <c r="C21" s="5" t="s">
        <v>7162</v>
      </c>
      <c r="D21" s="5" t="s">
        <v>7182</v>
      </c>
      <c r="E21" s="5" t="s">
        <v>104</v>
      </c>
      <c r="F21" s="5" t="s">
        <v>39</v>
      </c>
    </row>
    <row r="22" spans="1:6">
      <c r="A22" s="5" t="s">
        <v>1504</v>
      </c>
      <c r="B22" s="5" t="s">
        <v>7189</v>
      </c>
      <c r="C22" s="5" t="s">
        <v>7162</v>
      </c>
      <c r="D22" s="5" t="s">
        <v>7184</v>
      </c>
      <c r="E22" s="5" t="s">
        <v>890</v>
      </c>
      <c r="F22" s="5" t="s">
        <v>39</v>
      </c>
    </row>
    <row r="23" spans="1:6">
      <c r="A23" s="5" t="s">
        <v>469</v>
      </c>
      <c r="B23" s="5" t="s">
        <v>7190</v>
      </c>
      <c r="C23" s="5" t="s">
        <v>7162</v>
      </c>
      <c r="D23" s="5" t="s">
        <v>7191</v>
      </c>
      <c r="E23" s="5" t="s">
        <v>250</v>
      </c>
      <c r="F23" s="5" t="s">
        <v>48</v>
      </c>
    </row>
    <row r="24" spans="1:6">
      <c r="A24" s="5" t="s">
        <v>810</v>
      </c>
      <c r="B24" s="5" t="s">
        <v>7192</v>
      </c>
      <c r="C24" s="5" t="s">
        <v>7162</v>
      </c>
      <c r="D24" s="5" t="s">
        <v>7182</v>
      </c>
      <c r="E24" s="5" t="s">
        <v>63</v>
      </c>
      <c r="F24" s="5" t="s">
        <v>39</v>
      </c>
    </row>
    <row r="25" spans="1:6">
      <c r="A25" s="5" t="s">
        <v>433</v>
      </c>
      <c r="B25" s="5" t="s">
        <v>7193</v>
      </c>
      <c r="C25" s="5" t="s">
        <v>7162</v>
      </c>
      <c r="D25" s="5" t="s">
        <v>7180</v>
      </c>
      <c r="E25" s="5" t="s">
        <v>597</v>
      </c>
      <c r="F25" s="5" t="s">
        <v>39</v>
      </c>
    </row>
    <row r="26" spans="1:6">
      <c r="A26" s="5" t="s">
        <v>475</v>
      </c>
      <c r="B26" s="5" t="s">
        <v>7194</v>
      </c>
      <c r="C26" s="5" t="s">
        <v>7162</v>
      </c>
      <c r="D26" s="5" t="s">
        <v>7191</v>
      </c>
      <c r="E26" s="5" t="s">
        <v>364</v>
      </c>
      <c r="F26" s="5" t="s">
        <v>39</v>
      </c>
    </row>
    <row r="27" spans="1:6">
      <c r="A27" s="5" t="s">
        <v>199</v>
      </c>
      <c r="B27" s="5" t="s">
        <v>7195</v>
      </c>
      <c r="C27" s="5" t="s">
        <v>7162</v>
      </c>
      <c r="D27" s="5" t="s">
        <v>7182</v>
      </c>
      <c r="E27" s="5" t="s">
        <v>379</v>
      </c>
      <c r="F27" s="5" t="s">
        <v>39</v>
      </c>
    </row>
    <row r="28" spans="1:6">
      <c r="A28" s="5" t="s">
        <v>152</v>
      </c>
      <c r="B28" s="5" t="s">
        <v>7196</v>
      </c>
      <c r="C28" s="5" t="s">
        <v>7162</v>
      </c>
      <c r="D28" s="5" t="s">
        <v>7191</v>
      </c>
      <c r="E28" s="5" t="s">
        <v>216</v>
      </c>
      <c r="F28" s="5" t="s">
        <v>39</v>
      </c>
    </row>
    <row r="29" spans="1:6">
      <c r="A29" s="5" t="s">
        <v>261</v>
      </c>
      <c r="B29" s="5" t="s">
        <v>7197</v>
      </c>
      <c r="C29" s="5" t="s">
        <v>7162</v>
      </c>
      <c r="D29" s="5" t="s">
        <v>7180</v>
      </c>
      <c r="E29" s="5" t="s">
        <v>677</v>
      </c>
      <c r="F29" s="5" t="s">
        <v>39</v>
      </c>
    </row>
    <row r="30" spans="1:6">
      <c r="A30" s="5" t="s">
        <v>71</v>
      </c>
      <c r="B30" s="5" t="s">
        <v>7198</v>
      </c>
      <c r="C30" s="5" t="s">
        <v>7162</v>
      </c>
      <c r="D30" s="5" t="s">
        <v>7182</v>
      </c>
      <c r="E30" s="5" t="s">
        <v>104</v>
      </c>
      <c r="F30" s="5" t="s">
        <v>39</v>
      </c>
    </row>
    <row r="31" spans="1:6">
      <c r="A31" s="5" t="s">
        <v>426</v>
      </c>
      <c r="B31" s="5" t="s">
        <v>7199</v>
      </c>
      <c r="C31" s="5" t="s">
        <v>7162</v>
      </c>
      <c r="D31" s="5" t="s">
        <v>7184</v>
      </c>
      <c r="E31" s="5" t="s">
        <v>890</v>
      </c>
      <c r="F31" s="5" t="s">
        <v>39</v>
      </c>
    </row>
    <row r="32" spans="1:6">
      <c r="A32" s="5" t="s">
        <v>667</v>
      </c>
      <c r="B32" s="5" t="s">
        <v>7200</v>
      </c>
      <c r="C32" s="5" t="s">
        <v>7162</v>
      </c>
      <c r="D32" s="5" t="s">
        <v>7184</v>
      </c>
      <c r="E32" s="5" t="s">
        <v>250</v>
      </c>
      <c r="F32" s="5" t="s">
        <v>39</v>
      </c>
    </row>
    <row r="33" spans="1:6">
      <c r="A33" s="5" t="s">
        <v>314</v>
      </c>
      <c r="B33" s="5" t="s">
        <v>7201</v>
      </c>
      <c r="C33" s="5" t="s">
        <v>7162</v>
      </c>
      <c r="D33" s="5" t="s">
        <v>7184</v>
      </c>
      <c r="E33" s="5" t="s">
        <v>63</v>
      </c>
      <c r="F33" s="5" t="s">
        <v>39</v>
      </c>
    </row>
    <row r="34" spans="1:6">
      <c r="A34" s="5" t="s">
        <v>156</v>
      </c>
      <c r="B34" s="5" t="s">
        <v>7202</v>
      </c>
      <c r="C34" s="5" t="s">
        <v>7162</v>
      </c>
      <c r="D34" s="5" t="s">
        <v>7191</v>
      </c>
      <c r="E34" s="5" t="s">
        <v>597</v>
      </c>
      <c r="F34" s="5" t="s">
        <v>39</v>
      </c>
    </row>
    <row r="35" spans="1:6">
      <c r="A35" s="5" t="s">
        <v>41</v>
      </c>
      <c r="B35" s="5" t="s">
        <v>7203</v>
      </c>
      <c r="C35" s="5" t="s">
        <v>7162</v>
      </c>
      <c r="D35" s="5" t="s">
        <v>7182</v>
      </c>
      <c r="E35" s="5" t="s">
        <v>364</v>
      </c>
      <c r="F35" s="5" t="s">
        <v>39</v>
      </c>
    </row>
    <row r="36" spans="1:6">
      <c r="A36" s="5" t="s">
        <v>550</v>
      </c>
      <c r="B36" s="5" t="s">
        <v>7204</v>
      </c>
      <c r="C36" s="5" t="s">
        <v>7162</v>
      </c>
      <c r="D36" s="5" t="s">
        <v>7205</v>
      </c>
      <c r="E36" s="5" t="s">
        <v>379</v>
      </c>
      <c r="F36" s="5" t="s">
        <v>39</v>
      </c>
    </row>
    <row r="37" spans="1:6">
      <c r="A37" s="5" t="s">
        <v>352</v>
      </c>
      <c r="B37" s="5" t="s">
        <v>7206</v>
      </c>
      <c r="C37" s="5" t="s">
        <v>7162</v>
      </c>
      <c r="D37" s="5" t="s">
        <v>7191</v>
      </c>
      <c r="E37" s="5" t="s">
        <v>216</v>
      </c>
      <c r="F37" s="5" t="s">
        <v>39</v>
      </c>
    </row>
    <row r="38" spans="1:6">
      <c r="A38" s="5" t="s">
        <v>868</v>
      </c>
      <c r="B38" s="5" t="s">
        <v>7207</v>
      </c>
      <c r="C38" s="5" t="s">
        <v>7162</v>
      </c>
      <c r="D38" s="5" t="s">
        <v>7191</v>
      </c>
      <c r="E38" s="5" t="s">
        <v>677</v>
      </c>
      <c r="F38" s="5" t="s">
        <v>39</v>
      </c>
    </row>
    <row r="39" spans="1:6">
      <c r="A39" s="5" t="s">
        <v>149</v>
      </c>
      <c r="B39" s="5" t="s">
        <v>7208</v>
      </c>
      <c r="C39" s="5" t="s">
        <v>7162</v>
      </c>
      <c r="D39" s="5" t="s">
        <v>7180</v>
      </c>
      <c r="E39" s="5" t="s">
        <v>104</v>
      </c>
      <c r="F39" s="5" t="s">
        <v>39</v>
      </c>
    </row>
    <row r="40" spans="1:6">
      <c r="A40" s="5" t="s">
        <v>90</v>
      </c>
      <c r="B40" s="5" t="s">
        <v>7209</v>
      </c>
      <c r="C40" s="5" t="s">
        <v>7162</v>
      </c>
      <c r="D40" s="5" t="s">
        <v>7180</v>
      </c>
      <c r="E40" s="5" t="s">
        <v>890</v>
      </c>
      <c r="F40" s="5" t="s">
        <v>39</v>
      </c>
    </row>
    <row r="41" spans="1:6">
      <c r="A41" s="5" t="s">
        <v>97</v>
      </c>
      <c r="B41" s="5" t="s">
        <v>7210</v>
      </c>
      <c r="C41" s="5" t="s">
        <v>7162</v>
      </c>
      <c r="D41" s="5" t="s">
        <v>7205</v>
      </c>
      <c r="E41" s="5" t="s">
        <v>250</v>
      </c>
      <c r="F41" s="5" t="s">
        <v>39</v>
      </c>
    </row>
    <row r="42" spans="1:6">
      <c r="A42" s="5" t="s">
        <v>349</v>
      </c>
      <c r="B42" s="5" t="s">
        <v>7211</v>
      </c>
      <c r="C42" s="5" t="s">
        <v>7162</v>
      </c>
      <c r="D42" s="5" t="s">
        <v>7191</v>
      </c>
      <c r="E42" s="5" t="s">
        <v>63</v>
      </c>
      <c r="F42" s="5" t="s">
        <v>39</v>
      </c>
    </row>
    <row r="43" spans="1:6">
      <c r="A43" s="5" t="s">
        <v>196</v>
      </c>
      <c r="B43" s="5" t="s">
        <v>7212</v>
      </c>
      <c r="C43" s="5" t="s">
        <v>7162</v>
      </c>
      <c r="D43" s="5" t="s">
        <v>7182</v>
      </c>
      <c r="E43" s="5" t="s">
        <v>597</v>
      </c>
      <c r="F43" s="5" t="s">
        <v>39</v>
      </c>
    </row>
    <row r="44" spans="1:6">
      <c r="A44" s="5" t="s">
        <v>547</v>
      </c>
      <c r="B44" s="5" t="s">
        <v>7213</v>
      </c>
      <c r="C44" s="5" t="s">
        <v>7162</v>
      </c>
      <c r="D44" s="5" t="s">
        <v>7180</v>
      </c>
      <c r="E44" s="5" t="s">
        <v>364</v>
      </c>
      <c r="F44" s="5" t="s">
        <v>39</v>
      </c>
    </row>
    <row r="45" spans="1:6">
      <c r="A45" s="5" t="s">
        <v>512</v>
      </c>
      <c r="B45" s="5" t="s">
        <v>7214</v>
      </c>
      <c r="C45" s="5" t="s">
        <v>7162</v>
      </c>
      <c r="D45" s="5" t="s">
        <v>7182</v>
      </c>
      <c r="E45" s="5" t="s">
        <v>379</v>
      </c>
      <c r="F45" s="5" t="s">
        <v>39</v>
      </c>
    </row>
    <row r="46" spans="1:6">
      <c r="A46" s="5" t="s">
        <v>499</v>
      </c>
      <c r="B46" s="5" t="s">
        <v>7215</v>
      </c>
      <c r="C46" s="5" t="s">
        <v>7162</v>
      </c>
      <c r="D46" s="5" t="s">
        <v>7184</v>
      </c>
      <c r="E46" s="5" t="s">
        <v>216</v>
      </c>
      <c r="F46" s="5" t="s">
        <v>39</v>
      </c>
    </row>
    <row r="47" spans="1:6">
      <c r="A47" s="5" t="s">
        <v>35</v>
      </c>
      <c r="B47" s="5" t="s">
        <v>7216</v>
      </c>
      <c r="C47" s="5" t="s">
        <v>7162</v>
      </c>
      <c r="D47" s="5" t="s">
        <v>7182</v>
      </c>
      <c r="E47" s="5" t="s">
        <v>677</v>
      </c>
      <c r="F47" s="5" t="s">
        <v>39</v>
      </c>
    </row>
    <row r="48" spans="1:6">
      <c r="A48" s="5" t="s">
        <v>564</v>
      </c>
      <c r="B48" s="5" t="s">
        <v>7217</v>
      </c>
      <c r="C48" s="5" t="s">
        <v>7162</v>
      </c>
      <c r="D48" s="5" t="s">
        <v>7205</v>
      </c>
      <c r="E48" s="5" t="s">
        <v>104</v>
      </c>
      <c r="F48" s="5" t="s">
        <v>39</v>
      </c>
    </row>
    <row r="49" spans="1:6">
      <c r="A49" s="5" t="s">
        <v>303</v>
      </c>
      <c r="B49" s="5" t="s">
        <v>7218</v>
      </c>
      <c r="C49" s="5" t="s">
        <v>7162</v>
      </c>
      <c r="D49" s="5" t="s">
        <v>7182</v>
      </c>
      <c r="E49" s="5" t="s">
        <v>890</v>
      </c>
      <c r="F49" s="5" t="s">
        <v>39</v>
      </c>
    </row>
    <row r="50" spans="1:6">
      <c r="A50" s="5" t="s">
        <v>648</v>
      </c>
      <c r="B50" s="5" t="s">
        <v>7219</v>
      </c>
      <c r="C50" s="5" t="s">
        <v>7162</v>
      </c>
      <c r="D50" s="5" t="s">
        <v>7182</v>
      </c>
      <c r="E50" s="5" t="s">
        <v>250</v>
      </c>
      <c r="F50" s="5" t="s">
        <v>39</v>
      </c>
    </row>
    <row r="51" spans="1:6">
      <c r="A51" s="5" t="s">
        <v>738</v>
      </c>
      <c r="B51" s="5" t="s">
        <v>7220</v>
      </c>
      <c r="C51" s="5" t="s">
        <v>7162</v>
      </c>
      <c r="D51" s="5" t="s">
        <v>7180</v>
      </c>
      <c r="E51" s="5" t="s">
        <v>63</v>
      </c>
      <c r="F51" s="5" t="s">
        <v>39</v>
      </c>
    </row>
    <row r="52" spans="1:6">
      <c r="A52" s="5" t="s">
        <v>59</v>
      </c>
      <c r="B52" s="5" t="s">
        <v>7221</v>
      </c>
      <c r="C52" s="5" t="s">
        <v>7162</v>
      </c>
      <c r="D52" s="5" t="s">
        <v>7191</v>
      </c>
      <c r="E52" s="5" t="s">
        <v>597</v>
      </c>
      <c r="F52" s="5" t="s">
        <v>39</v>
      </c>
    </row>
    <row r="53" spans="1:6">
      <c r="A53" s="5" t="s">
        <v>210</v>
      </c>
      <c r="B53" s="5" t="s">
        <v>7222</v>
      </c>
      <c r="C53" s="5" t="s">
        <v>7162</v>
      </c>
      <c r="D53" s="5" t="s">
        <v>7184</v>
      </c>
      <c r="E53" s="5" t="s">
        <v>364</v>
      </c>
      <c r="F53" s="5" t="s">
        <v>39</v>
      </c>
    </row>
    <row r="54" spans="1:6">
      <c r="A54" s="5" t="s">
        <v>382</v>
      </c>
      <c r="B54" s="5" t="s">
        <v>7223</v>
      </c>
      <c r="C54" s="5" t="s">
        <v>7162</v>
      </c>
      <c r="D54" s="5" t="s">
        <v>7184</v>
      </c>
      <c r="E54" s="5" t="s">
        <v>379</v>
      </c>
      <c r="F54" s="5" t="s">
        <v>39</v>
      </c>
    </row>
    <row r="55" spans="1:6">
      <c r="A55" s="5" t="s">
        <v>129</v>
      </c>
      <c r="B55" s="5" t="s">
        <v>7224</v>
      </c>
      <c r="C55" s="5" t="s">
        <v>7162</v>
      </c>
      <c r="D55" s="5" t="s">
        <v>7184</v>
      </c>
      <c r="E55" s="5" t="s">
        <v>216</v>
      </c>
      <c r="F55" s="5" t="s">
        <v>39</v>
      </c>
    </row>
    <row r="56" spans="1:6">
      <c r="A56" s="5" t="s">
        <v>244</v>
      </c>
      <c r="B56" s="5" t="s">
        <v>7225</v>
      </c>
      <c r="C56" s="5" t="s">
        <v>7162</v>
      </c>
      <c r="D56" s="5" t="s">
        <v>7182</v>
      </c>
      <c r="E56" s="5" t="s">
        <v>677</v>
      </c>
      <c r="F56" s="5" t="s">
        <v>39</v>
      </c>
    </row>
    <row r="57" spans="1:6">
      <c r="A57" s="5" t="s">
        <v>832</v>
      </c>
      <c r="B57" s="5" t="s">
        <v>7226</v>
      </c>
      <c r="C57" s="5" t="s">
        <v>7162</v>
      </c>
      <c r="D57" s="5" t="s">
        <v>7205</v>
      </c>
      <c r="E57" s="5" t="s">
        <v>104</v>
      </c>
      <c r="F57" s="5" t="s">
        <v>39</v>
      </c>
    </row>
    <row r="58" spans="1:6">
      <c r="A58" s="5" t="s">
        <v>67</v>
      </c>
      <c r="B58" s="5" t="s">
        <v>7227</v>
      </c>
      <c r="C58" s="5" t="s">
        <v>7162</v>
      </c>
      <c r="D58" s="5" t="s">
        <v>7182</v>
      </c>
      <c r="E58" s="5" t="s">
        <v>890</v>
      </c>
      <c r="F58" s="5" t="s">
        <v>39</v>
      </c>
    </row>
    <row r="59" spans="1:6">
      <c r="A59" s="5" t="s">
        <v>836</v>
      </c>
      <c r="B59" s="5" t="s">
        <v>7228</v>
      </c>
      <c r="C59" s="5" t="s">
        <v>7162</v>
      </c>
      <c r="D59" s="5" t="s">
        <v>7182</v>
      </c>
      <c r="E59" s="5" t="s">
        <v>250</v>
      </c>
      <c r="F59" s="5" t="s">
        <v>39</v>
      </c>
    </row>
    <row r="60" spans="1:6">
      <c r="A60" s="5" t="s">
        <v>531</v>
      </c>
      <c r="B60" s="5" t="s">
        <v>7229</v>
      </c>
      <c r="C60" s="5" t="s">
        <v>7162</v>
      </c>
      <c r="D60" s="5" t="s">
        <v>7182</v>
      </c>
      <c r="E60" s="5" t="s">
        <v>63</v>
      </c>
      <c r="F60" s="5" t="s">
        <v>39</v>
      </c>
    </row>
    <row r="61" spans="1:6">
      <c r="A61" s="5" t="s">
        <v>54</v>
      </c>
      <c r="B61" s="5" t="s">
        <v>7230</v>
      </c>
      <c r="C61" s="5" t="s">
        <v>7162</v>
      </c>
      <c r="D61" s="5" t="s">
        <v>7184</v>
      </c>
      <c r="E61" s="5" t="s">
        <v>597</v>
      </c>
      <c r="F61" s="5" t="s">
        <v>39</v>
      </c>
    </row>
    <row r="62" spans="1:6">
      <c r="A62" s="5" t="s">
        <v>448</v>
      </c>
      <c r="B62" s="5" t="s">
        <v>7231</v>
      </c>
      <c r="C62" s="5" t="s">
        <v>7162</v>
      </c>
      <c r="D62" s="5" t="s">
        <v>7182</v>
      </c>
      <c r="E62" s="5" t="s">
        <v>364</v>
      </c>
      <c r="F62" s="5" t="s">
        <v>39</v>
      </c>
    </row>
    <row r="63" spans="1:6">
      <c r="A63" s="5" t="s">
        <v>661</v>
      </c>
      <c r="B63" s="5" t="s">
        <v>7232</v>
      </c>
      <c r="C63" s="5" t="s">
        <v>7162</v>
      </c>
      <c r="D63" s="5" t="s">
        <v>7182</v>
      </c>
      <c r="E63" s="5" t="s">
        <v>379</v>
      </c>
      <c r="F63" s="5" t="s">
        <v>39</v>
      </c>
    </row>
    <row r="64" spans="1:6">
      <c r="A64" s="5" t="s">
        <v>300</v>
      </c>
      <c r="B64" s="5" t="s">
        <v>7233</v>
      </c>
      <c r="C64" s="5" t="s">
        <v>7162</v>
      </c>
      <c r="D64" s="5" t="s">
        <v>7191</v>
      </c>
      <c r="E64" s="5" t="s">
        <v>216</v>
      </c>
      <c r="F64" s="5" t="s">
        <v>39</v>
      </c>
    </row>
    <row r="65" spans="1:6">
      <c r="A65" s="5" t="s">
        <v>122</v>
      </c>
      <c r="B65" s="5" t="s">
        <v>7234</v>
      </c>
      <c r="C65" s="5" t="s">
        <v>7162</v>
      </c>
      <c r="D65" s="5" t="s">
        <v>7184</v>
      </c>
      <c r="E65" s="5" t="s">
        <v>677</v>
      </c>
      <c r="F65" s="5" t="s">
        <v>39</v>
      </c>
    </row>
    <row r="66" spans="1:6">
      <c r="A66" s="5" t="s">
        <v>643</v>
      </c>
      <c r="B66" s="5" t="s">
        <v>7235</v>
      </c>
      <c r="C66" s="5" t="s">
        <v>7162</v>
      </c>
      <c r="D66" s="5" t="s">
        <v>7184</v>
      </c>
      <c r="E66" s="5" t="s">
        <v>104</v>
      </c>
      <c r="F66" s="5" t="s">
        <v>39</v>
      </c>
    </row>
    <row r="67" spans="1:6">
      <c r="A67" s="5" t="s">
        <v>182</v>
      </c>
      <c r="B67" s="5" t="s">
        <v>7236</v>
      </c>
      <c r="C67" s="5" t="s">
        <v>7162</v>
      </c>
      <c r="D67" s="5" t="s">
        <v>7182</v>
      </c>
      <c r="E67" s="5" t="s">
        <v>890</v>
      </c>
      <c r="F67" s="5" t="s">
        <v>39</v>
      </c>
    </row>
    <row r="68" spans="1:6">
      <c r="A68" s="5" t="s">
        <v>373</v>
      </c>
      <c r="B68" s="5" t="s">
        <v>7237</v>
      </c>
      <c r="C68" s="5" t="s">
        <v>7162</v>
      </c>
      <c r="D68" s="5" t="s">
        <v>7182</v>
      </c>
      <c r="E68" s="5" t="s">
        <v>250</v>
      </c>
      <c r="F68" s="5" t="s">
        <v>39</v>
      </c>
    </row>
    <row r="69" spans="1:6">
      <c r="A69" s="5" t="s">
        <v>317</v>
      </c>
      <c r="B69" s="5" t="s">
        <v>7238</v>
      </c>
      <c r="C69" s="5" t="s">
        <v>7162</v>
      </c>
      <c r="D69" s="5" t="s">
        <v>7180</v>
      </c>
      <c r="E69" s="5" t="s">
        <v>63</v>
      </c>
      <c r="F69" s="5" t="s">
        <v>39</v>
      </c>
    </row>
    <row r="70" spans="1:6">
      <c r="A70" s="5" t="s">
        <v>108</v>
      </c>
      <c r="B70" s="5" t="s">
        <v>7239</v>
      </c>
      <c r="C70" s="5" t="s">
        <v>7162</v>
      </c>
      <c r="D70" s="5" t="s">
        <v>7184</v>
      </c>
      <c r="E70" s="5" t="s">
        <v>597</v>
      </c>
      <c r="F70" s="5" t="s">
        <v>39</v>
      </c>
    </row>
    <row r="71" spans="1:6">
      <c r="A71" s="5" t="s">
        <v>593</v>
      </c>
      <c r="B71" s="5" t="s">
        <v>7240</v>
      </c>
      <c r="C71" s="5" t="s">
        <v>7162</v>
      </c>
      <c r="D71" s="5" t="s">
        <v>7182</v>
      </c>
      <c r="E71" s="5" t="s">
        <v>364</v>
      </c>
      <c r="F71" s="5" t="s">
        <v>39</v>
      </c>
    </row>
    <row r="72" spans="1:6">
      <c r="A72" s="5" t="s">
        <v>2564</v>
      </c>
      <c r="B72" s="5" t="s">
        <v>7241</v>
      </c>
      <c r="C72" s="5" t="s">
        <v>7242</v>
      </c>
      <c r="D72" s="5" t="s">
        <v>7243</v>
      </c>
      <c r="E72" s="5"/>
      <c r="F72" s="5" t="s">
        <v>39</v>
      </c>
    </row>
    <row r="73" spans="1:6">
      <c r="A73" s="5" t="s">
        <v>1422</v>
      </c>
      <c r="B73" s="5" t="s">
        <v>7244</v>
      </c>
      <c r="C73" s="5" t="s">
        <v>7242</v>
      </c>
      <c r="D73" s="5" t="s">
        <v>7245</v>
      </c>
      <c r="E73" s="5" t="s">
        <v>2564</v>
      </c>
      <c r="F73" s="5" t="s">
        <v>39</v>
      </c>
    </row>
    <row r="74" spans="1:6">
      <c r="A74" s="5" t="s">
        <v>185</v>
      </c>
      <c r="B74" s="5" t="s">
        <v>7246</v>
      </c>
      <c r="C74" s="5" t="s">
        <v>7242</v>
      </c>
      <c r="D74" s="5" t="s">
        <v>7245</v>
      </c>
      <c r="E74" s="5" t="s">
        <v>2564</v>
      </c>
      <c r="F74" s="5" t="s">
        <v>39</v>
      </c>
    </row>
    <row r="75" spans="1:6">
      <c r="A75" s="5" t="s">
        <v>1552</v>
      </c>
      <c r="B75" s="5" t="s">
        <v>7247</v>
      </c>
      <c r="C75" s="5" t="s">
        <v>7242</v>
      </c>
      <c r="D75" s="5" t="s">
        <v>7248</v>
      </c>
      <c r="E75" s="5" t="s">
        <v>1422</v>
      </c>
      <c r="F75" s="5" t="s">
        <v>39</v>
      </c>
    </row>
    <row r="76" spans="1:6">
      <c r="A76" s="5" t="s">
        <v>772</v>
      </c>
      <c r="B76" s="5" t="s">
        <v>7249</v>
      </c>
      <c r="C76" s="5" t="s">
        <v>7242</v>
      </c>
      <c r="D76" s="5" t="s">
        <v>7248</v>
      </c>
      <c r="E76" s="5" t="s">
        <v>1422</v>
      </c>
      <c r="F76" s="5" t="s">
        <v>39</v>
      </c>
    </row>
    <row r="77" spans="1:6">
      <c r="A77" s="5" t="s">
        <v>542</v>
      </c>
      <c r="B77" s="5" t="s">
        <v>7250</v>
      </c>
      <c r="C77" s="5" t="s">
        <v>7242</v>
      </c>
      <c r="D77" s="5" t="s">
        <v>7248</v>
      </c>
      <c r="E77" s="5" t="s">
        <v>185</v>
      </c>
      <c r="F77" s="5" t="s">
        <v>39</v>
      </c>
    </row>
    <row r="78" spans="1:6">
      <c r="A78" s="5" t="s">
        <v>732</v>
      </c>
      <c r="B78" s="5" t="s">
        <v>7251</v>
      </c>
      <c r="C78" s="5" t="s">
        <v>7242</v>
      </c>
      <c r="D78" s="5" t="s">
        <v>7248</v>
      </c>
      <c r="E78" s="5" t="s">
        <v>185</v>
      </c>
      <c r="F78" s="5" t="s">
        <v>39</v>
      </c>
    </row>
    <row r="79" spans="1:6">
      <c r="A79" s="5" t="s">
        <v>855</v>
      </c>
      <c r="B79" s="5" t="s">
        <v>7252</v>
      </c>
      <c r="C79" s="5" t="s">
        <v>7242</v>
      </c>
      <c r="D79" s="5" t="s">
        <v>7253</v>
      </c>
      <c r="E79" s="5" t="s">
        <v>1552</v>
      </c>
      <c r="F79" s="5" t="s">
        <v>39</v>
      </c>
    </row>
    <row r="80" spans="1:6">
      <c r="A80" s="5" t="s">
        <v>118</v>
      </c>
      <c r="B80" s="5" t="s">
        <v>7254</v>
      </c>
      <c r="C80" s="5" t="s">
        <v>7242</v>
      </c>
      <c r="D80" s="5" t="s">
        <v>7255</v>
      </c>
      <c r="E80" s="5" t="s">
        <v>772</v>
      </c>
      <c r="F80" s="5" t="s">
        <v>39</v>
      </c>
    </row>
    <row r="81" spans="1:6">
      <c r="A81" s="5" t="s">
        <v>1567</v>
      </c>
      <c r="B81" s="5" t="s">
        <v>7256</v>
      </c>
      <c r="C81" s="5" t="s">
        <v>7242</v>
      </c>
      <c r="D81" s="5" t="s">
        <v>7255</v>
      </c>
      <c r="E81" s="5" t="s">
        <v>542</v>
      </c>
      <c r="F81" s="5" t="s">
        <v>39</v>
      </c>
    </row>
    <row r="82" spans="1:6">
      <c r="A82" s="5" t="s">
        <v>706</v>
      </c>
      <c r="B82" s="5" t="s">
        <v>7257</v>
      </c>
      <c r="C82" s="5" t="s">
        <v>7242</v>
      </c>
      <c r="D82" s="5" t="s">
        <v>7253</v>
      </c>
      <c r="E82" s="5" t="s">
        <v>732</v>
      </c>
      <c r="F82" s="5" t="s">
        <v>39</v>
      </c>
    </row>
    <row r="83" spans="1:6">
      <c r="A83" s="5" t="s">
        <v>219</v>
      </c>
      <c r="B83" s="5" t="s">
        <v>7258</v>
      </c>
      <c r="C83" s="5" t="s">
        <v>7242</v>
      </c>
      <c r="D83" s="5" t="s">
        <v>7255</v>
      </c>
      <c r="E83" s="5" t="s">
        <v>1552</v>
      </c>
      <c r="F83" s="5" t="s">
        <v>39</v>
      </c>
    </row>
    <row r="84" spans="1:6">
      <c r="A84" s="5" t="s">
        <v>297</v>
      </c>
      <c r="B84" s="5" t="s">
        <v>7259</v>
      </c>
      <c r="C84" s="5" t="s">
        <v>7242</v>
      </c>
      <c r="D84" s="5" t="s">
        <v>7260</v>
      </c>
      <c r="E84" s="5" t="s">
        <v>772</v>
      </c>
      <c r="F84" s="5" t="s">
        <v>39</v>
      </c>
    </row>
    <row r="85" spans="1:6">
      <c r="A85" s="5" t="s">
        <v>1399</v>
      </c>
      <c r="B85" s="5" t="s">
        <v>7261</v>
      </c>
      <c r="C85" s="5" t="s">
        <v>7242</v>
      </c>
      <c r="D85" s="5" t="s">
        <v>7253</v>
      </c>
      <c r="E85" s="5" t="s">
        <v>542</v>
      </c>
      <c r="F85" s="5" t="s">
        <v>39</v>
      </c>
    </row>
    <row r="86" spans="1:6">
      <c r="A86" s="5" t="s">
        <v>792</v>
      </c>
      <c r="B86" s="5" t="s">
        <v>7262</v>
      </c>
      <c r="C86" s="5" t="s">
        <v>7242</v>
      </c>
      <c r="D86" s="5" t="s">
        <v>7255</v>
      </c>
      <c r="E86" s="5" t="s">
        <v>732</v>
      </c>
      <c r="F86" s="5" t="s">
        <v>39</v>
      </c>
    </row>
    <row r="87" spans="1:6">
      <c r="A87" s="5" t="s">
        <v>681</v>
      </c>
      <c r="B87" s="5" t="s">
        <v>7263</v>
      </c>
      <c r="C87" s="5" t="s">
        <v>7242</v>
      </c>
      <c r="D87" s="5" t="s">
        <v>7255</v>
      </c>
      <c r="E87" s="5" t="s">
        <v>1552</v>
      </c>
      <c r="F87" s="5" t="s">
        <v>39</v>
      </c>
    </row>
    <row r="88" spans="1:6">
      <c r="A88" s="5" t="s">
        <v>423</v>
      </c>
      <c r="B88" s="5" t="s">
        <v>7264</v>
      </c>
      <c r="C88" s="5" t="s">
        <v>7242</v>
      </c>
      <c r="D88" s="5" t="s">
        <v>7255</v>
      </c>
      <c r="E88" s="5" t="s">
        <v>772</v>
      </c>
      <c r="F88" s="5" t="s">
        <v>39</v>
      </c>
    </row>
    <row r="89" spans="1:6">
      <c r="A89" s="5" t="s">
        <v>114</v>
      </c>
      <c r="B89" s="5" t="s">
        <v>7265</v>
      </c>
      <c r="C89" s="5" t="s">
        <v>7242</v>
      </c>
      <c r="D89" s="5" t="s">
        <v>7255</v>
      </c>
      <c r="E89" s="5" t="s">
        <v>542</v>
      </c>
      <c r="F89" s="5" t="s">
        <v>39</v>
      </c>
    </row>
    <row r="90" spans="1:6">
      <c r="A90" s="5" t="s">
        <v>2090</v>
      </c>
      <c r="B90" s="5" t="s">
        <v>7266</v>
      </c>
      <c r="C90" s="5" t="s">
        <v>7242</v>
      </c>
      <c r="D90" s="5" t="s">
        <v>7255</v>
      </c>
      <c r="E90" s="5" t="s">
        <v>732</v>
      </c>
      <c r="F90" s="5" t="s">
        <v>39</v>
      </c>
    </row>
    <row r="91" spans="1:6">
      <c r="A91" s="5" t="s">
        <v>440</v>
      </c>
      <c r="B91" s="5" t="s">
        <v>7267</v>
      </c>
      <c r="C91" s="5" t="s">
        <v>7242</v>
      </c>
      <c r="D91" s="5" t="s">
        <v>7255</v>
      </c>
      <c r="E91" s="5" t="s">
        <v>1552</v>
      </c>
      <c r="F91" s="5" t="s">
        <v>39</v>
      </c>
    </row>
    <row r="92" spans="1:6">
      <c r="A92" s="5" t="s">
        <v>684</v>
      </c>
      <c r="B92" s="5" t="s">
        <v>7268</v>
      </c>
      <c r="C92" s="5" t="s">
        <v>7242</v>
      </c>
      <c r="D92" s="5" t="s">
        <v>7253</v>
      </c>
      <c r="E92" s="5" t="s">
        <v>772</v>
      </c>
      <c r="F92" s="5" t="s">
        <v>39</v>
      </c>
    </row>
    <row r="93" spans="1:6">
      <c r="A93" s="5" t="s">
        <v>540</v>
      </c>
      <c r="B93" s="5" t="s">
        <v>7269</v>
      </c>
      <c r="C93" s="5" t="s">
        <v>7242</v>
      </c>
      <c r="D93" s="5" t="s">
        <v>7253</v>
      </c>
      <c r="E93" s="5" t="s">
        <v>542</v>
      </c>
      <c r="F93" s="5" t="s">
        <v>39</v>
      </c>
    </row>
    <row r="94" spans="1:6">
      <c r="A94" s="5" t="s">
        <v>339</v>
      </c>
      <c r="B94" s="5" t="s">
        <v>7270</v>
      </c>
      <c r="C94" s="5" t="s">
        <v>7242</v>
      </c>
      <c r="D94" s="5" t="s">
        <v>7253</v>
      </c>
      <c r="E94" s="5" t="s">
        <v>732</v>
      </c>
      <c r="F94" s="5" t="s">
        <v>39</v>
      </c>
    </row>
    <row r="95" spans="1:6">
      <c r="A95" s="5" t="s">
        <v>712</v>
      </c>
      <c r="B95" s="5" t="s">
        <v>7271</v>
      </c>
      <c r="C95" s="5" t="s">
        <v>7242</v>
      </c>
      <c r="D95" s="5" t="s">
        <v>7255</v>
      </c>
      <c r="E95" s="5" t="s">
        <v>1552</v>
      </c>
      <c r="F95" s="5" t="s">
        <v>39</v>
      </c>
    </row>
    <row r="96" spans="1:6">
      <c r="A96" s="5" t="s">
        <v>640</v>
      </c>
      <c r="B96" s="5" t="s">
        <v>7272</v>
      </c>
      <c r="C96" s="5" t="s">
        <v>7242</v>
      </c>
      <c r="D96" s="5" t="s">
        <v>7253</v>
      </c>
      <c r="E96" s="5" t="s">
        <v>772</v>
      </c>
      <c r="F96" s="5" t="s">
        <v>39</v>
      </c>
    </row>
    <row r="97" spans="1:6">
      <c r="A97" s="5" t="s">
        <v>328</v>
      </c>
      <c r="B97" s="5" t="s">
        <v>7273</v>
      </c>
      <c r="C97" s="5" t="s">
        <v>7242</v>
      </c>
      <c r="D97" s="5" t="s">
        <v>7253</v>
      </c>
      <c r="E97" s="5" t="s">
        <v>542</v>
      </c>
      <c r="F97" s="5" t="s">
        <v>39</v>
      </c>
    </row>
    <row r="98" spans="1:6">
      <c r="A98" s="5" t="s">
        <v>1252</v>
      </c>
      <c r="B98" s="5" t="s">
        <v>7274</v>
      </c>
      <c r="C98" s="5" t="s">
        <v>7242</v>
      </c>
      <c r="D98" s="5" t="s">
        <v>7255</v>
      </c>
      <c r="E98" s="5" t="s">
        <v>732</v>
      </c>
      <c r="F98" s="5" t="s">
        <v>39</v>
      </c>
    </row>
    <row r="99" spans="1:6">
      <c r="A99" s="5" t="s">
        <v>1116</v>
      </c>
      <c r="B99" s="5" t="s">
        <v>7275</v>
      </c>
      <c r="C99" s="5" t="s">
        <v>7242</v>
      </c>
      <c r="D99" s="5" t="s">
        <v>7253</v>
      </c>
      <c r="E99" s="5" t="s">
        <v>1552</v>
      </c>
      <c r="F99" s="5" t="s">
        <v>39</v>
      </c>
    </row>
    <row r="100" spans="1:6">
      <c r="A100" s="5" t="s">
        <v>575</v>
      </c>
      <c r="B100" s="5" t="s">
        <v>7276</v>
      </c>
      <c r="C100" s="5" t="s">
        <v>7242</v>
      </c>
      <c r="D100" s="5" t="s">
        <v>7253</v>
      </c>
      <c r="E100" s="5" t="s">
        <v>772</v>
      </c>
      <c r="F100" s="5" t="s">
        <v>39</v>
      </c>
    </row>
    <row r="101" spans="1:6">
      <c r="A101" s="5" t="s">
        <v>2902</v>
      </c>
      <c r="B101" s="5" t="s">
        <v>7277</v>
      </c>
      <c r="C101" s="5" t="s">
        <v>7242</v>
      </c>
      <c r="D101" s="5" t="s">
        <v>7255</v>
      </c>
      <c r="E101" s="5" t="s">
        <v>542</v>
      </c>
      <c r="F101" s="5" t="s">
        <v>39</v>
      </c>
    </row>
    <row r="102" spans="1:6">
      <c r="A102" s="5" t="s">
        <v>3348</v>
      </c>
      <c r="B102" s="5" t="s">
        <v>7278</v>
      </c>
      <c r="C102" s="5" t="s">
        <v>7242</v>
      </c>
      <c r="D102" s="5" t="s">
        <v>7260</v>
      </c>
      <c r="E102" s="5" t="s">
        <v>732</v>
      </c>
      <c r="F102" s="5" t="s">
        <v>39</v>
      </c>
    </row>
    <row r="103" spans="1:6">
      <c r="A103" s="5" t="s">
        <v>623</v>
      </c>
      <c r="B103" s="5" t="s">
        <v>7279</v>
      </c>
      <c r="C103" s="5" t="s">
        <v>7242</v>
      </c>
      <c r="D103" s="5" t="s">
        <v>7253</v>
      </c>
      <c r="E103" s="5" t="s">
        <v>1552</v>
      </c>
      <c r="F103" s="5" t="s">
        <v>39</v>
      </c>
    </row>
    <row r="104" spans="1:6">
      <c r="A104" s="5" t="s">
        <v>101</v>
      </c>
      <c r="B104" s="5" t="s">
        <v>7280</v>
      </c>
      <c r="C104" s="5" t="s">
        <v>7242</v>
      </c>
      <c r="D104" s="5" t="s">
        <v>7255</v>
      </c>
      <c r="E104" s="5" t="s">
        <v>772</v>
      </c>
      <c r="F104" s="5" t="s">
        <v>39</v>
      </c>
    </row>
    <row r="105" spans="1:6">
      <c r="A105" s="5" t="s">
        <v>2598</v>
      </c>
      <c r="B105" s="5" t="s">
        <v>7281</v>
      </c>
      <c r="C105" s="5" t="s">
        <v>7242</v>
      </c>
      <c r="D105" s="5" t="s">
        <v>7255</v>
      </c>
      <c r="E105" s="5" t="s">
        <v>542</v>
      </c>
      <c r="F105" s="5" t="s">
        <v>39</v>
      </c>
    </row>
    <row r="106" spans="1:6">
      <c r="A106" s="5" t="s">
        <v>1175</v>
      </c>
      <c r="B106" s="5" t="s">
        <v>7282</v>
      </c>
      <c r="C106" s="5" t="s">
        <v>7242</v>
      </c>
      <c r="D106" s="5" t="s">
        <v>7253</v>
      </c>
      <c r="E106" s="5" t="s">
        <v>732</v>
      </c>
      <c r="F106" s="5" t="s">
        <v>39</v>
      </c>
    </row>
    <row r="107" spans="1:6">
      <c r="A107" s="5" t="s">
        <v>1642</v>
      </c>
      <c r="B107" s="5" t="s">
        <v>7283</v>
      </c>
      <c r="C107" s="5" t="s">
        <v>7242</v>
      </c>
      <c r="D107" s="5" t="s">
        <v>7255</v>
      </c>
      <c r="E107" s="5" t="s">
        <v>1552</v>
      </c>
      <c r="F107" s="5" t="s">
        <v>39</v>
      </c>
    </row>
    <row r="108" spans="1:6">
      <c r="A108" s="5" t="s">
        <v>3233</v>
      </c>
      <c r="B108" s="5" t="s">
        <v>7284</v>
      </c>
      <c r="C108" s="5" t="s">
        <v>7242</v>
      </c>
      <c r="D108" s="5" t="s">
        <v>7255</v>
      </c>
      <c r="E108" s="5" t="s">
        <v>772</v>
      </c>
      <c r="F108" s="5" t="s">
        <v>39</v>
      </c>
    </row>
    <row r="109" spans="1:6">
      <c r="A109" s="5" t="s">
        <v>1814</v>
      </c>
      <c r="B109" s="5" t="s">
        <v>7285</v>
      </c>
      <c r="C109" s="5" t="s">
        <v>7242</v>
      </c>
      <c r="D109" s="5" t="s">
        <v>7255</v>
      </c>
      <c r="E109" s="5" t="s">
        <v>542</v>
      </c>
      <c r="F109" s="5" t="s">
        <v>39</v>
      </c>
    </row>
    <row r="110" spans="1:6">
      <c r="A110" s="5" t="s">
        <v>74</v>
      </c>
      <c r="B110" s="5" t="s">
        <v>7286</v>
      </c>
      <c r="C110" s="5" t="s">
        <v>7242</v>
      </c>
      <c r="D110" s="5" t="s">
        <v>7260</v>
      </c>
      <c r="E110" s="5" t="s">
        <v>732</v>
      </c>
      <c r="F110" s="5" t="s">
        <v>39</v>
      </c>
    </row>
    <row r="111" spans="1:6">
      <c r="A111" s="5" t="s">
        <v>7287</v>
      </c>
      <c r="B111" s="5" t="s">
        <v>7288</v>
      </c>
      <c r="C111" s="5" t="s">
        <v>7242</v>
      </c>
      <c r="D111" s="5" t="s">
        <v>7255</v>
      </c>
      <c r="E111" s="5" t="s">
        <v>1552</v>
      </c>
      <c r="F111" s="5" t="s">
        <v>39</v>
      </c>
    </row>
    <row r="112" spans="1:6">
      <c r="A112" s="5" t="s">
        <v>1496</v>
      </c>
      <c r="B112" s="5" t="s">
        <v>7289</v>
      </c>
      <c r="C112" s="5" t="s">
        <v>7242</v>
      </c>
      <c r="D112" s="5" t="s">
        <v>7253</v>
      </c>
      <c r="E112" s="5" t="s">
        <v>772</v>
      </c>
      <c r="F112" s="5" t="s">
        <v>39</v>
      </c>
    </row>
    <row r="113" spans="1:6">
      <c r="A113" s="5" t="s">
        <v>709</v>
      </c>
      <c r="B113" s="5" t="s">
        <v>7290</v>
      </c>
      <c r="C113" s="5" t="s">
        <v>7242</v>
      </c>
      <c r="D113" s="5" t="s">
        <v>7260</v>
      </c>
      <c r="E113" s="5" t="s">
        <v>542</v>
      </c>
      <c r="F113" s="5" t="s">
        <v>39</v>
      </c>
    </row>
    <row r="114" spans="1:6">
      <c r="A114" s="5" t="s">
        <v>615</v>
      </c>
      <c r="B114" s="5" t="s">
        <v>7291</v>
      </c>
      <c r="C114" s="5" t="s">
        <v>7242</v>
      </c>
      <c r="D114" s="5" t="s">
        <v>7255</v>
      </c>
      <c r="E114" s="5" t="s">
        <v>732</v>
      </c>
      <c r="F114" s="5" t="s">
        <v>39</v>
      </c>
    </row>
    <row r="115" spans="1:6">
      <c r="A115" s="5" t="s">
        <v>1637</v>
      </c>
      <c r="B115" s="5" t="s">
        <v>7292</v>
      </c>
      <c r="C115" s="5" t="s">
        <v>7242</v>
      </c>
      <c r="D115" s="5" t="s">
        <v>7260</v>
      </c>
      <c r="E115" s="5" t="s">
        <v>1552</v>
      </c>
      <c r="F115" s="5" t="s">
        <v>39</v>
      </c>
    </row>
    <row r="116" spans="1:6">
      <c r="A116" s="5" t="s">
        <v>603</v>
      </c>
      <c r="B116" s="5" t="s">
        <v>7293</v>
      </c>
      <c r="C116" s="5" t="s">
        <v>7242</v>
      </c>
      <c r="D116" s="5" t="s">
        <v>7253</v>
      </c>
      <c r="E116" s="5" t="s">
        <v>772</v>
      </c>
      <c r="F116" s="5" t="s">
        <v>39</v>
      </c>
    </row>
    <row r="117" spans="1:6">
      <c r="A117" s="5" t="s">
        <v>277</v>
      </c>
      <c r="B117" s="5" t="s">
        <v>7294</v>
      </c>
      <c r="C117" s="5" t="s">
        <v>7295</v>
      </c>
      <c r="D117" s="5" t="s">
        <v>7296</v>
      </c>
      <c r="E117" s="5"/>
      <c r="F117" s="5" t="s">
        <v>39</v>
      </c>
    </row>
    <row r="118" spans="1:6">
      <c r="A118" s="5" t="s">
        <v>227</v>
      </c>
      <c r="B118" s="5" t="s">
        <v>7297</v>
      </c>
      <c r="C118" s="5" t="s">
        <v>7295</v>
      </c>
      <c r="D118" s="5" t="s">
        <v>7298</v>
      </c>
      <c r="E118" s="5" t="s">
        <v>277</v>
      </c>
      <c r="F118" s="5" t="s">
        <v>39</v>
      </c>
    </row>
    <row r="119" spans="1:6">
      <c r="A119" s="5" t="s">
        <v>716</v>
      </c>
      <c r="B119" s="5" t="s">
        <v>7299</v>
      </c>
      <c r="C119" s="5" t="s">
        <v>7295</v>
      </c>
      <c r="D119" s="5" t="s">
        <v>7298</v>
      </c>
      <c r="E119" s="5" t="s">
        <v>277</v>
      </c>
      <c r="F119" s="5" t="s">
        <v>39</v>
      </c>
    </row>
    <row r="120" spans="1:6">
      <c r="A120" s="5" t="s">
        <v>194</v>
      </c>
      <c r="B120" s="5" t="s">
        <v>7300</v>
      </c>
      <c r="C120" s="5" t="s">
        <v>7295</v>
      </c>
      <c r="D120" s="5" t="s">
        <v>7301</v>
      </c>
      <c r="E120" s="5" t="s">
        <v>227</v>
      </c>
      <c r="F120" s="5" t="s">
        <v>39</v>
      </c>
    </row>
    <row r="121" spans="1:6">
      <c r="A121" s="5" t="s">
        <v>588</v>
      </c>
      <c r="B121" s="5" t="s">
        <v>7302</v>
      </c>
      <c r="C121" s="5" t="s">
        <v>7295</v>
      </c>
      <c r="D121" s="5" t="s">
        <v>7301</v>
      </c>
      <c r="E121" s="5" t="s">
        <v>227</v>
      </c>
      <c r="F121" s="5" t="s">
        <v>39</v>
      </c>
    </row>
    <row r="122" spans="1:6">
      <c r="A122" s="5" t="s">
        <v>207</v>
      </c>
      <c r="B122" s="5" t="s">
        <v>7303</v>
      </c>
      <c r="C122" s="5" t="s">
        <v>7295</v>
      </c>
      <c r="D122" s="5" t="s">
        <v>7301</v>
      </c>
      <c r="E122" s="5" t="s">
        <v>716</v>
      </c>
      <c r="F122" s="5" t="s">
        <v>39</v>
      </c>
    </row>
    <row r="123" spans="1:6">
      <c r="A123" s="5" t="s">
        <v>253</v>
      </c>
      <c r="B123" s="5" t="s">
        <v>7304</v>
      </c>
      <c r="C123" s="5" t="s">
        <v>7295</v>
      </c>
      <c r="D123" s="5" t="s">
        <v>7301</v>
      </c>
      <c r="E123" s="5" t="s">
        <v>716</v>
      </c>
      <c r="F123" s="5" t="s">
        <v>39</v>
      </c>
    </row>
    <row r="124" spans="1:6">
      <c r="A124" s="5" t="s">
        <v>908</v>
      </c>
      <c r="B124" s="5" t="s">
        <v>7305</v>
      </c>
      <c r="C124" s="5" t="s">
        <v>7295</v>
      </c>
      <c r="D124" s="5" t="s">
        <v>7306</v>
      </c>
      <c r="E124" s="5" t="s">
        <v>194</v>
      </c>
      <c r="F124" s="5" t="s">
        <v>39</v>
      </c>
    </row>
    <row r="125" spans="1:6">
      <c r="A125" s="5" t="s">
        <v>7307</v>
      </c>
      <c r="B125" s="5" t="s">
        <v>7308</v>
      </c>
      <c r="C125" s="5" t="s">
        <v>7295</v>
      </c>
      <c r="D125" s="5" t="s">
        <v>7309</v>
      </c>
      <c r="E125" s="5" t="s">
        <v>588</v>
      </c>
      <c r="F125" s="5" t="s">
        <v>39</v>
      </c>
    </row>
    <row r="126" spans="1:6">
      <c r="A126" s="5" t="s">
        <v>179</v>
      </c>
      <c r="B126" s="5" t="s">
        <v>7310</v>
      </c>
      <c r="C126" s="5" t="s">
        <v>7295</v>
      </c>
      <c r="D126" s="5" t="s">
        <v>7309</v>
      </c>
      <c r="E126" s="5" t="s">
        <v>207</v>
      </c>
      <c r="F126" s="5" t="s">
        <v>39</v>
      </c>
    </row>
    <row r="127" spans="1:6">
      <c r="A127" s="5" t="s">
        <v>280</v>
      </c>
      <c r="B127" s="5" t="s">
        <v>7311</v>
      </c>
      <c r="C127" s="5" t="s">
        <v>7295</v>
      </c>
      <c r="D127" s="5" t="s">
        <v>7309</v>
      </c>
      <c r="E127" s="5" t="s">
        <v>253</v>
      </c>
      <c r="F127" s="5" t="s">
        <v>39</v>
      </c>
    </row>
    <row r="128" spans="1:6">
      <c r="A128" s="5" t="s">
        <v>1509</v>
      </c>
      <c r="B128" s="5" t="s">
        <v>7312</v>
      </c>
      <c r="C128" s="5" t="s">
        <v>7295</v>
      </c>
      <c r="D128" s="5" t="s">
        <v>7309</v>
      </c>
      <c r="E128" s="5" t="s">
        <v>194</v>
      </c>
      <c r="F128" s="5" t="s">
        <v>39</v>
      </c>
    </row>
    <row r="129" spans="1:6">
      <c r="A129" s="5" t="s">
        <v>175</v>
      </c>
      <c r="B129" s="5" t="s">
        <v>7313</v>
      </c>
      <c r="C129" s="5" t="s">
        <v>7295</v>
      </c>
      <c r="D129" s="5" t="s">
        <v>7309</v>
      </c>
      <c r="E129" s="5" t="s">
        <v>588</v>
      </c>
      <c r="F129" s="5" t="s">
        <v>39</v>
      </c>
    </row>
    <row r="130" spans="1:6">
      <c r="A130" s="5" t="s">
        <v>171</v>
      </c>
      <c r="B130" s="5" t="s">
        <v>7314</v>
      </c>
      <c r="C130" s="5" t="s">
        <v>7295</v>
      </c>
      <c r="D130" s="5" t="s">
        <v>7309</v>
      </c>
      <c r="E130" s="5" t="s">
        <v>207</v>
      </c>
      <c r="F130" s="5" t="s">
        <v>39</v>
      </c>
    </row>
    <row r="131" spans="1:6">
      <c r="A131" s="5" t="s">
        <v>1440</v>
      </c>
      <c r="B131" s="5" t="s">
        <v>7315</v>
      </c>
      <c r="C131" s="5" t="s">
        <v>7295</v>
      </c>
      <c r="D131" s="5" t="s">
        <v>7309</v>
      </c>
      <c r="E131" s="5" t="s">
        <v>253</v>
      </c>
      <c r="F131" s="5" t="s">
        <v>39</v>
      </c>
    </row>
    <row r="132" spans="1:6">
      <c r="A132" s="5" t="s">
        <v>756</v>
      </c>
      <c r="B132" s="5" t="s">
        <v>7316</v>
      </c>
      <c r="C132" s="5" t="s">
        <v>7295</v>
      </c>
      <c r="D132" s="5" t="s">
        <v>7306</v>
      </c>
      <c r="E132" s="5" t="s">
        <v>194</v>
      </c>
      <c r="F132" s="5" t="s">
        <v>39</v>
      </c>
    </row>
    <row r="133" spans="1:6">
      <c r="A133" s="5" t="s">
        <v>991</v>
      </c>
      <c r="B133" s="5" t="s">
        <v>7317</v>
      </c>
      <c r="C133" s="5" t="s">
        <v>7295</v>
      </c>
      <c r="D133" s="5" t="s">
        <v>7309</v>
      </c>
      <c r="E133" s="5" t="s">
        <v>588</v>
      </c>
      <c r="F133" s="5" t="s">
        <v>39</v>
      </c>
    </row>
    <row r="134" spans="1:6">
      <c r="A134" s="5" t="s">
        <v>558</v>
      </c>
      <c r="B134" s="5" t="s">
        <v>7318</v>
      </c>
      <c r="C134" s="5" t="s">
        <v>7295</v>
      </c>
      <c r="D134" s="5" t="s">
        <v>7306</v>
      </c>
      <c r="E134" s="5" t="s">
        <v>207</v>
      </c>
      <c r="F134" s="5" t="s">
        <v>39</v>
      </c>
    </row>
    <row r="135" spans="1:6">
      <c r="A135" s="5" t="s">
        <v>1488</v>
      </c>
      <c r="B135" s="5" t="s">
        <v>7319</v>
      </c>
      <c r="C135" s="5" t="s">
        <v>7295</v>
      </c>
      <c r="D135" s="5" t="s">
        <v>7306</v>
      </c>
      <c r="E135" s="5" t="s">
        <v>253</v>
      </c>
      <c r="F135" s="5" t="s">
        <v>39</v>
      </c>
    </row>
    <row r="136" spans="1:6">
      <c r="A136" s="5" t="s">
        <v>815</v>
      </c>
      <c r="B136" s="5" t="s">
        <v>7320</v>
      </c>
      <c r="C136" s="5" t="s">
        <v>7295</v>
      </c>
      <c r="D136" s="5" t="s">
        <v>7306</v>
      </c>
      <c r="E136" s="5" t="s">
        <v>194</v>
      </c>
      <c r="F136" s="5" t="s">
        <v>39</v>
      </c>
    </row>
    <row r="137" spans="1:6">
      <c r="A137" s="5" t="s">
        <v>2344</v>
      </c>
      <c r="B137" s="5" t="s">
        <v>7321</v>
      </c>
      <c r="C137" s="5" t="s">
        <v>7295</v>
      </c>
      <c r="D137" s="5" t="s">
        <v>7309</v>
      </c>
      <c r="E137" s="5" t="s">
        <v>588</v>
      </c>
      <c r="F137" s="5" t="s">
        <v>39</v>
      </c>
    </row>
    <row r="138" spans="1:6">
      <c r="A138" s="5" t="s">
        <v>631</v>
      </c>
      <c r="B138" s="5" t="s">
        <v>7322</v>
      </c>
      <c r="C138" s="5" t="s">
        <v>7295</v>
      </c>
      <c r="D138" s="5" t="s">
        <v>7309</v>
      </c>
      <c r="E138" s="5" t="s">
        <v>207</v>
      </c>
      <c r="F138" s="5" t="s">
        <v>39</v>
      </c>
    </row>
    <row r="139" spans="1:6">
      <c r="A139" s="5" t="s">
        <v>413</v>
      </c>
      <c r="B139" s="5" t="s">
        <v>7323</v>
      </c>
      <c r="C139" s="5" t="s">
        <v>7295</v>
      </c>
      <c r="D139" s="5" t="s">
        <v>7309</v>
      </c>
      <c r="E139" s="5" t="s">
        <v>253</v>
      </c>
      <c r="F139" s="5" t="s">
        <v>39</v>
      </c>
    </row>
    <row r="140" spans="1:6">
      <c r="A140" s="5" t="s">
        <v>1061</v>
      </c>
      <c r="B140" s="5" t="s">
        <v>7324</v>
      </c>
      <c r="C140" s="5" t="s">
        <v>7295</v>
      </c>
      <c r="D140" s="5" t="s">
        <v>7309</v>
      </c>
      <c r="E140" s="5" t="s">
        <v>194</v>
      </c>
      <c r="F140" s="5" t="s">
        <v>39</v>
      </c>
    </row>
    <row r="141" spans="1:6">
      <c r="A141" s="5" t="s">
        <v>267</v>
      </c>
      <c r="B141" s="5" t="s">
        <v>7325</v>
      </c>
      <c r="C141" s="5" t="s">
        <v>7295</v>
      </c>
      <c r="D141" s="5" t="s">
        <v>7309</v>
      </c>
      <c r="E141" s="5" t="s">
        <v>588</v>
      </c>
      <c r="F141" s="5" t="s">
        <v>39</v>
      </c>
    </row>
    <row r="142" spans="1:6">
      <c r="A142" s="5" t="s">
        <v>255</v>
      </c>
      <c r="B142" s="5" t="s">
        <v>7326</v>
      </c>
      <c r="C142" s="5" t="s">
        <v>7295</v>
      </c>
      <c r="D142" s="5" t="s">
        <v>7309</v>
      </c>
      <c r="E142" s="5" t="s">
        <v>207</v>
      </c>
      <c r="F142" s="5" t="s">
        <v>39</v>
      </c>
    </row>
    <row r="143" spans="1:6">
      <c r="A143" s="5" t="s">
        <v>888</v>
      </c>
      <c r="B143" s="5" t="s">
        <v>7327</v>
      </c>
      <c r="C143" s="5" t="s">
        <v>7295</v>
      </c>
      <c r="D143" s="5" t="s">
        <v>7309</v>
      </c>
      <c r="E143" s="5" t="s">
        <v>253</v>
      </c>
      <c r="F143" s="5" t="s">
        <v>39</v>
      </c>
    </row>
    <row r="144" spans="1:6">
      <c r="A144" s="5" t="s">
        <v>821</v>
      </c>
      <c r="B144" s="5" t="s">
        <v>7328</v>
      </c>
      <c r="C144" s="5" t="s">
        <v>7295</v>
      </c>
      <c r="D144" s="5" t="s">
        <v>7309</v>
      </c>
      <c r="E144" s="5" t="s">
        <v>194</v>
      </c>
      <c r="F144" s="5" t="s">
        <v>39</v>
      </c>
    </row>
    <row r="145" spans="1:6">
      <c r="A145" s="5" t="s">
        <v>553</v>
      </c>
      <c r="B145" s="5" t="s">
        <v>7329</v>
      </c>
      <c r="C145" s="5" t="s">
        <v>7295</v>
      </c>
      <c r="D145" s="5" t="s">
        <v>7309</v>
      </c>
      <c r="E145" s="5" t="s">
        <v>588</v>
      </c>
      <c r="F145" s="5" t="s">
        <v>39</v>
      </c>
    </row>
    <row r="146" spans="1:6">
      <c r="A146" s="5" t="s">
        <v>1107</v>
      </c>
      <c r="B146" s="5" t="s">
        <v>7330</v>
      </c>
      <c r="C146" s="5" t="s">
        <v>7295</v>
      </c>
      <c r="D146" s="5" t="s">
        <v>7309</v>
      </c>
      <c r="E146" s="5" t="s">
        <v>207</v>
      </c>
      <c r="F146" s="5" t="s">
        <v>39</v>
      </c>
    </row>
    <row r="147" spans="1:6">
      <c r="A147" s="5" t="s">
        <v>524</v>
      </c>
      <c r="B147" s="5" t="s">
        <v>7331</v>
      </c>
      <c r="C147" s="5" t="s">
        <v>7295</v>
      </c>
      <c r="D147" s="5" t="s">
        <v>7306</v>
      </c>
      <c r="E147" s="5" t="s">
        <v>253</v>
      </c>
      <c r="F147" s="5" t="s">
        <v>39</v>
      </c>
    </row>
    <row r="148" spans="1:6">
      <c r="A148" s="5" t="s">
        <v>656</v>
      </c>
      <c r="B148" s="5" t="s">
        <v>7332</v>
      </c>
      <c r="C148" s="5" t="s">
        <v>7295</v>
      </c>
      <c r="D148" s="5" t="s">
        <v>7309</v>
      </c>
      <c r="E148" s="5" t="s">
        <v>194</v>
      </c>
      <c r="F148" s="5" t="s">
        <v>39</v>
      </c>
    </row>
    <row r="149" spans="1:6">
      <c r="A149" s="5" t="s">
        <v>2046</v>
      </c>
      <c r="B149" s="5" t="s">
        <v>7333</v>
      </c>
      <c r="C149" s="5" t="s">
        <v>7295</v>
      </c>
      <c r="D149" s="5" t="s">
        <v>7306</v>
      </c>
      <c r="E149" s="5" t="s">
        <v>588</v>
      </c>
      <c r="F149" s="5" t="s">
        <v>39</v>
      </c>
    </row>
    <row r="150" spans="1:6">
      <c r="A150" s="5" t="s">
        <v>240</v>
      </c>
      <c r="B150" s="5" t="s">
        <v>7334</v>
      </c>
      <c r="C150" s="5" t="s">
        <v>7295</v>
      </c>
      <c r="D150" s="5" t="s">
        <v>7306</v>
      </c>
      <c r="E150" s="5" t="s">
        <v>207</v>
      </c>
      <c r="F150" s="5" t="s">
        <v>39</v>
      </c>
    </row>
    <row r="151" spans="1:6">
      <c r="A151" s="5" t="s">
        <v>1824</v>
      </c>
      <c r="B151" s="5" t="s">
        <v>7335</v>
      </c>
      <c r="C151" s="5" t="s">
        <v>7295</v>
      </c>
      <c r="D151" s="5" t="s">
        <v>7309</v>
      </c>
      <c r="E151" s="5" t="s">
        <v>253</v>
      </c>
      <c r="F151" s="5" t="s">
        <v>39</v>
      </c>
    </row>
    <row r="152" spans="1:6">
      <c r="A152" s="5" t="s">
        <v>741</v>
      </c>
      <c r="B152" s="5" t="s">
        <v>7336</v>
      </c>
      <c r="C152" s="5" t="s">
        <v>7337</v>
      </c>
      <c r="D152" s="5" t="s">
        <v>7338</v>
      </c>
      <c r="E152" s="5"/>
      <c r="F152" s="5" t="s">
        <v>39</v>
      </c>
    </row>
    <row r="153" spans="1:6">
      <c r="A153" s="5" t="s">
        <v>2812</v>
      </c>
      <c r="B153" s="5" t="s">
        <v>7339</v>
      </c>
      <c r="C153" s="5" t="s">
        <v>7337</v>
      </c>
      <c r="D153" s="5" t="s">
        <v>7340</v>
      </c>
      <c r="E153" s="5" t="s">
        <v>741</v>
      </c>
      <c r="F153" s="5" t="s">
        <v>39</v>
      </c>
    </row>
    <row r="154" spans="1:6">
      <c r="A154" s="5" t="s">
        <v>354</v>
      </c>
      <c r="B154" s="5" t="s">
        <v>7341</v>
      </c>
      <c r="C154" s="5" t="s">
        <v>7337</v>
      </c>
      <c r="D154" s="5" t="s">
        <v>7340</v>
      </c>
      <c r="E154" s="5" t="s">
        <v>741</v>
      </c>
      <c r="F154" s="5" t="s">
        <v>39</v>
      </c>
    </row>
    <row r="155" spans="1:6">
      <c r="A155" s="5" t="s">
        <v>322</v>
      </c>
      <c r="B155" s="5" t="s">
        <v>7342</v>
      </c>
      <c r="C155" s="5" t="s">
        <v>7337</v>
      </c>
      <c r="D155" s="5" t="s">
        <v>7343</v>
      </c>
      <c r="E155" s="5" t="s">
        <v>2812</v>
      </c>
      <c r="F155" s="5" t="s">
        <v>39</v>
      </c>
    </row>
    <row r="156" spans="1:6">
      <c r="A156" s="5" t="s">
        <v>391</v>
      </c>
      <c r="B156" s="5" t="s">
        <v>7344</v>
      </c>
      <c r="C156" s="5" t="s">
        <v>7337</v>
      </c>
      <c r="D156" s="5" t="s">
        <v>7343</v>
      </c>
      <c r="E156" s="5" t="s">
        <v>2812</v>
      </c>
      <c r="F156" s="5" t="s">
        <v>39</v>
      </c>
    </row>
    <row r="157" spans="1:6">
      <c r="A157" s="5" t="s">
        <v>3825</v>
      </c>
      <c r="B157" s="5" t="s">
        <v>7345</v>
      </c>
      <c r="C157" s="5" t="s">
        <v>7337</v>
      </c>
      <c r="D157" s="5" t="s">
        <v>7343</v>
      </c>
      <c r="E157" s="5" t="s">
        <v>354</v>
      </c>
      <c r="F157" s="5" t="s">
        <v>39</v>
      </c>
    </row>
    <row r="158" spans="1:6">
      <c r="A158" s="5" t="s">
        <v>843</v>
      </c>
      <c r="B158" s="5" t="s">
        <v>7346</v>
      </c>
      <c r="C158" s="5" t="s">
        <v>7337</v>
      </c>
      <c r="D158" s="5" t="s">
        <v>7343</v>
      </c>
      <c r="E158" s="5" t="s">
        <v>354</v>
      </c>
      <c r="F158" s="5" t="s">
        <v>39</v>
      </c>
    </row>
    <row r="159" spans="1:6">
      <c r="A159" s="5" t="s">
        <v>7347</v>
      </c>
      <c r="B159" s="5" t="s">
        <v>7348</v>
      </c>
      <c r="C159" s="5" t="s">
        <v>7337</v>
      </c>
      <c r="D159" s="5" t="s">
        <v>7349</v>
      </c>
      <c r="E159" s="5" t="s">
        <v>322</v>
      </c>
      <c r="F159" s="5" t="s">
        <v>39</v>
      </c>
    </row>
    <row r="160" spans="1:6">
      <c r="A160" s="5" t="s">
        <v>4201</v>
      </c>
      <c r="B160" s="5" t="s">
        <v>7350</v>
      </c>
      <c r="C160" s="5" t="s">
        <v>7337</v>
      </c>
      <c r="D160" s="5" t="s">
        <v>7351</v>
      </c>
      <c r="E160" s="5" t="s">
        <v>391</v>
      </c>
      <c r="F160" s="5" t="s">
        <v>39</v>
      </c>
    </row>
    <row r="161" spans="1:6">
      <c r="A161" s="5" t="s">
        <v>1206</v>
      </c>
      <c r="B161" s="5" t="s">
        <v>7352</v>
      </c>
      <c r="C161" s="5" t="s">
        <v>7337</v>
      </c>
      <c r="D161" s="5" t="s">
        <v>7351</v>
      </c>
      <c r="E161" s="5" t="s">
        <v>3825</v>
      </c>
      <c r="F161" s="5" t="s">
        <v>39</v>
      </c>
    </row>
    <row r="162" spans="1:6">
      <c r="A162" s="5" t="s">
        <v>585</v>
      </c>
      <c r="B162" s="5" t="s">
        <v>7353</v>
      </c>
      <c r="C162" s="5" t="s">
        <v>7337</v>
      </c>
      <c r="D162" s="5" t="s">
        <v>7351</v>
      </c>
      <c r="E162" s="5" t="s">
        <v>843</v>
      </c>
      <c r="F162" s="5" t="s">
        <v>39</v>
      </c>
    </row>
    <row r="163" spans="1:6">
      <c r="A163" s="5" t="s">
        <v>4344</v>
      </c>
      <c r="B163" s="5" t="s">
        <v>7354</v>
      </c>
      <c r="C163" s="5" t="s">
        <v>7337</v>
      </c>
      <c r="D163" s="5" t="s">
        <v>7351</v>
      </c>
      <c r="E163" s="5" t="s">
        <v>322</v>
      </c>
      <c r="F163" s="5" t="s">
        <v>39</v>
      </c>
    </row>
    <row r="164" spans="1:6">
      <c r="A164" s="5" t="s">
        <v>519</v>
      </c>
      <c r="B164" s="5" t="s">
        <v>7355</v>
      </c>
      <c r="C164" s="5" t="s">
        <v>7337</v>
      </c>
      <c r="D164" s="5" t="s">
        <v>7351</v>
      </c>
      <c r="E164" s="5" t="s">
        <v>391</v>
      </c>
      <c r="F164" s="5" t="s">
        <v>39</v>
      </c>
    </row>
    <row r="165" spans="1:6">
      <c r="A165" s="5" t="s">
        <v>2178</v>
      </c>
      <c r="B165" s="5" t="s">
        <v>7356</v>
      </c>
      <c r="C165" s="5" t="s">
        <v>7337</v>
      </c>
      <c r="D165" s="5" t="s">
        <v>7349</v>
      </c>
      <c r="E165" s="5" t="s">
        <v>3825</v>
      </c>
      <c r="F165" s="5" t="s">
        <v>39</v>
      </c>
    </row>
    <row r="166" spans="1:6">
      <c r="A166" s="5" t="s">
        <v>2037</v>
      </c>
      <c r="B166" s="5" t="s">
        <v>7357</v>
      </c>
      <c r="C166" s="5" t="s">
        <v>7337</v>
      </c>
      <c r="D166" s="5" t="s">
        <v>7349</v>
      </c>
      <c r="E166" s="5" t="s">
        <v>843</v>
      </c>
      <c r="F166" s="5" t="s">
        <v>39</v>
      </c>
    </row>
    <row r="167" spans="1:6">
      <c r="A167" s="5" t="s">
        <v>1122</v>
      </c>
      <c r="B167" s="5" t="s">
        <v>7358</v>
      </c>
      <c r="C167" s="5" t="s">
        <v>7337</v>
      </c>
      <c r="D167" s="5" t="s">
        <v>7351</v>
      </c>
      <c r="E167" s="5" t="s">
        <v>322</v>
      </c>
      <c r="F167" s="5" t="s">
        <v>39</v>
      </c>
    </row>
    <row r="168" spans="1:6">
      <c r="A168" s="5" t="s">
        <v>271</v>
      </c>
      <c r="B168" s="5" t="s">
        <v>7359</v>
      </c>
      <c r="C168" s="5" t="s">
        <v>7337</v>
      </c>
      <c r="D168" s="5" t="s">
        <v>7349</v>
      </c>
      <c r="E168" s="5" t="s">
        <v>391</v>
      </c>
      <c r="F168" s="5" t="s">
        <v>39</v>
      </c>
    </row>
    <row r="169" spans="1:6">
      <c r="A169" s="5" t="s">
        <v>4946</v>
      </c>
      <c r="B169" s="5" t="s">
        <v>7360</v>
      </c>
      <c r="C169" s="5" t="s">
        <v>7337</v>
      </c>
      <c r="D169" s="5" t="s">
        <v>7349</v>
      </c>
      <c r="E169" s="5" t="s">
        <v>3825</v>
      </c>
      <c r="F169" s="5" t="s">
        <v>39</v>
      </c>
    </row>
    <row r="170" spans="1:6">
      <c r="A170" s="5" t="s">
        <v>1726</v>
      </c>
      <c r="B170" s="5" t="s">
        <v>7361</v>
      </c>
      <c r="C170" s="5" t="s">
        <v>7337</v>
      </c>
      <c r="D170" s="5" t="s">
        <v>7351</v>
      </c>
      <c r="E170" s="5" t="s">
        <v>843</v>
      </c>
      <c r="F170" s="5" t="s">
        <v>39</v>
      </c>
    </row>
    <row r="171" spans="1:6">
      <c r="A171" s="5" t="s">
        <v>1128</v>
      </c>
      <c r="B171" s="5" t="s">
        <v>7362</v>
      </c>
      <c r="C171" s="5" t="s">
        <v>7337</v>
      </c>
      <c r="D171" s="5" t="s">
        <v>7349</v>
      </c>
      <c r="E171" s="5" t="s">
        <v>322</v>
      </c>
      <c r="F171" s="5" t="s">
        <v>39</v>
      </c>
    </row>
    <row r="172" spans="1:6">
      <c r="A172" s="5" t="s">
        <v>163</v>
      </c>
      <c r="B172" s="5" t="s">
        <v>7363</v>
      </c>
      <c r="C172" s="5" t="s">
        <v>7337</v>
      </c>
      <c r="D172" s="5" t="s">
        <v>7351</v>
      </c>
      <c r="E172" s="5" t="s">
        <v>391</v>
      </c>
      <c r="F172" s="5" t="s">
        <v>39</v>
      </c>
    </row>
    <row r="173" spans="1:6">
      <c r="A173" s="5" t="s">
        <v>3635</v>
      </c>
      <c r="B173" s="5" t="s">
        <v>7364</v>
      </c>
      <c r="C173" s="5" t="s">
        <v>7337</v>
      </c>
      <c r="D173" s="5" t="s">
        <v>7351</v>
      </c>
      <c r="E173" s="5" t="s">
        <v>3825</v>
      </c>
      <c r="F173" s="5" t="s">
        <v>39</v>
      </c>
    </row>
    <row r="174" spans="1:6">
      <c r="A174" s="5" t="s">
        <v>1119</v>
      </c>
      <c r="B174" s="5" t="s">
        <v>7365</v>
      </c>
      <c r="C174" s="5" t="s">
        <v>7337</v>
      </c>
      <c r="D174" s="5" t="s">
        <v>7349</v>
      </c>
      <c r="E174" s="5" t="s">
        <v>843</v>
      </c>
      <c r="F174" s="5" t="s">
        <v>39</v>
      </c>
    </row>
    <row r="175" spans="1:6">
      <c r="A175" s="5" t="s">
        <v>527</v>
      </c>
      <c r="B175" s="5" t="s">
        <v>7366</v>
      </c>
      <c r="C175" s="5" t="s">
        <v>7337</v>
      </c>
      <c r="D175" s="5" t="s">
        <v>7351</v>
      </c>
      <c r="E175" s="5" t="s">
        <v>322</v>
      </c>
      <c r="F175" s="5" t="s">
        <v>39</v>
      </c>
    </row>
    <row r="176" spans="1:6">
      <c r="A176" s="5" t="s">
        <v>1634</v>
      </c>
      <c r="B176" s="5" t="s">
        <v>7367</v>
      </c>
      <c r="C176" s="5" t="s">
        <v>7337</v>
      </c>
      <c r="D176" s="5" t="s">
        <v>7351</v>
      </c>
      <c r="E176" s="5" t="s">
        <v>391</v>
      </c>
      <c r="F176" s="5" t="s">
        <v>39</v>
      </c>
    </row>
    <row r="177" spans="1:6">
      <c r="A177" s="5" t="s">
        <v>1159</v>
      </c>
      <c r="B177" s="5" t="s">
        <v>7368</v>
      </c>
      <c r="C177" s="5" t="s">
        <v>7337</v>
      </c>
      <c r="D177" s="5" t="s">
        <v>7351</v>
      </c>
      <c r="E177" s="5" t="s">
        <v>3825</v>
      </c>
      <c r="F177" s="5" t="s">
        <v>39</v>
      </c>
    </row>
    <row r="178" spans="1:6">
      <c r="A178" s="5" t="s">
        <v>2027</v>
      </c>
      <c r="B178" s="5" t="s">
        <v>7369</v>
      </c>
      <c r="C178" s="5" t="s">
        <v>7337</v>
      </c>
      <c r="D178" s="5" t="s">
        <v>7351</v>
      </c>
      <c r="E178" s="5" t="s">
        <v>843</v>
      </c>
      <c r="F178" s="5" t="s">
        <v>39</v>
      </c>
    </row>
    <row r="179" spans="1:6">
      <c r="A179" s="5" t="s">
        <v>3071</v>
      </c>
      <c r="B179" s="5" t="s">
        <v>7370</v>
      </c>
      <c r="C179" s="5" t="s">
        <v>7337</v>
      </c>
      <c r="D179" s="5" t="s">
        <v>7351</v>
      </c>
      <c r="E179" s="5" t="s">
        <v>322</v>
      </c>
      <c r="F179" s="5" t="s">
        <v>39</v>
      </c>
    </row>
    <row r="180" spans="1:6">
      <c r="A180" s="5" t="s">
        <v>371</v>
      </c>
      <c r="B180" s="5" t="s">
        <v>7371</v>
      </c>
      <c r="C180" s="5" t="s">
        <v>7337</v>
      </c>
      <c r="D180" s="5" t="s">
        <v>7351</v>
      </c>
      <c r="E180" s="5" t="s">
        <v>391</v>
      </c>
      <c r="F180" s="5" t="s">
        <v>39</v>
      </c>
    </row>
    <row r="181" spans="1:6">
      <c r="A181" s="5" t="s">
        <v>1286</v>
      </c>
      <c r="B181" s="5" t="s">
        <v>7372</v>
      </c>
      <c r="C181" s="5" t="s">
        <v>7337</v>
      </c>
      <c r="D181" s="5" t="s">
        <v>7351</v>
      </c>
      <c r="E181" s="5" t="s">
        <v>3825</v>
      </c>
      <c r="F181" s="5" t="s">
        <v>39</v>
      </c>
    </row>
    <row r="182" spans="1:6">
      <c r="A182" s="5" t="s">
        <v>3074</v>
      </c>
      <c r="B182" s="5" t="s">
        <v>7373</v>
      </c>
      <c r="C182" s="5" t="s">
        <v>7374</v>
      </c>
      <c r="D182" s="5" t="s">
        <v>7375</v>
      </c>
      <c r="E182" s="5"/>
      <c r="F182" s="5" t="s">
        <v>39</v>
      </c>
    </row>
    <row r="183" spans="1:6">
      <c r="A183" s="5" t="s">
        <v>931</v>
      </c>
      <c r="B183" s="5" t="s">
        <v>7376</v>
      </c>
      <c r="C183" s="5" t="s">
        <v>7374</v>
      </c>
      <c r="D183" s="5" t="s">
        <v>7377</v>
      </c>
      <c r="E183" s="5" t="s">
        <v>3074</v>
      </c>
      <c r="F183" s="5" t="s">
        <v>39</v>
      </c>
    </row>
    <row r="184" spans="1:6">
      <c r="A184" s="5" t="s">
        <v>397</v>
      </c>
      <c r="B184" s="5" t="s">
        <v>7378</v>
      </c>
      <c r="C184" s="5" t="s">
        <v>7374</v>
      </c>
      <c r="D184" s="5" t="s">
        <v>7377</v>
      </c>
      <c r="E184" s="5" t="s">
        <v>3074</v>
      </c>
      <c r="F184" s="5" t="s">
        <v>39</v>
      </c>
    </row>
    <row r="185" spans="1:6">
      <c r="A185" s="5" t="s">
        <v>203</v>
      </c>
      <c r="B185" s="5" t="s">
        <v>7379</v>
      </c>
      <c r="C185" s="5" t="s">
        <v>7374</v>
      </c>
      <c r="D185" s="5" t="s">
        <v>7380</v>
      </c>
      <c r="E185" s="5" t="s">
        <v>931</v>
      </c>
      <c r="F185" s="5" t="s">
        <v>39</v>
      </c>
    </row>
    <row r="186" spans="1:6">
      <c r="A186" s="5" t="s">
        <v>140</v>
      </c>
      <c r="B186" s="5" t="s">
        <v>7381</v>
      </c>
      <c r="C186" s="5" t="s">
        <v>7374</v>
      </c>
      <c r="D186" s="5" t="s">
        <v>7380</v>
      </c>
      <c r="E186" s="5" t="s">
        <v>931</v>
      </c>
      <c r="F186" s="5" t="s">
        <v>39</v>
      </c>
    </row>
    <row r="187" spans="1:6">
      <c r="A187" s="5" t="s">
        <v>1170</v>
      </c>
      <c r="B187" s="5" t="s">
        <v>7382</v>
      </c>
      <c r="C187" s="5" t="s">
        <v>7374</v>
      </c>
      <c r="D187" s="5" t="s">
        <v>7380</v>
      </c>
      <c r="E187" s="5" t="s">
        <v>397</v>
      </c>
      <c r="F187" s="5" t="s">
        <v>39</v>
      </c>
    </row>
    <row r="188" spans="1:6">
      <c r="A188" s="5" t="s">
        <v>571</v>
      </c>
      <c r="B188" s="5" t="s">
        <v>7383</v>
      </c>
      <c r="C188" s="5" t="s">
        <v>7374</v>
      </c>
      <c r="D188" s="5" t="s">
        <v>7380</v>
      </c>
      <c r="E188" s="5" t="s">
        <v>397</v>
      </c>
      <c r="F188" s="5" t="s">
        <v>39</v>
      </c>
    </row>
    <row r="189" spans="1:6">
      <c r="A189" s="5" t="s">
        <v>1821</v>
      </c>
      <c r="B189" s="5" t="s">
        <v>7384</v>
      </c>
      <c r="C189" s="5" t="s">
        <v>7374</v>
      </c>
      <c r="D189" s="5" t="s">
        <v>7385</v>
      </c>
      <c r="E189" s="5" t="s">
        <v>203</v>
      </c>
      <c r="F189" s="5" t="s">
        <v>39</v>
      </c>
    </row>
    <row r="190" spans="1:6">
      <c r="A190" s="5" t="s">
        <v>264</v>
      </c>
      <c r="B190" s="5" t="s">
        <v>7386</v>
      </c>
      <c r="C190" s="5" t="s">
        <v>7374</v>
      </c>
      <c r="D190" s="5" t="s">
        <v>7387</v>
      </c>
      <c r="E190" s="5" t="s">
        <v>140</v>
      </c>
      <c r="F190" s="5" t="s">
        <v>39</v>
      </c>
    </row>
    <row r="191" spans="1:6">
      <c r="A191" s="5" t="s">
        <v>133</v>
      </c>
      <c r="B191" s="5" t="s">
        <v>7388</v>
      </c>
      <c r="C191" s="5" t="s">
        <v>7374</v>
      </c>
      <c r="D191" s="5" t="s">
        <v>7389</v>
      </c>
      <c r="E191" s="5" t="s">
        <v>1170</v>
      </c>
      <c r="F191" s="5" t="s">
        <v>39</v>
      </c>
    </row>
    <row r="192" spans="1:6">
      <c r="A192" s="5" t="s">
        <v>466</v>
      </c>
      <c r="B192" s="5" t="s">
        <v>7390</v>
      </c>
      <c r="C192" s="5" t="s">
        <v>7374</v>
      </c>
      <c r="D192" s="5" t="s">
        <v>7389</v>
      </c>
      <c r="E192" s="5" t="s">
        <v>571</v>
      </c>
      <c r="F192" s="5" t="s">
        <v>39</v>
      </c>
    </row>
    <row r="193" spans="1:6">
      <c r="A193" s="5" t="s">
        <v>966</v>
      </c>
      <c r="B193" s="5" t="s">
        <v>7391</v>
      </c>
      <c r="C193" s="5" t="s">
        <v>7374</v>
      </c>
      <c r="D193" s="5" t="s">
        <v>7387</v>
      </c>
      <c r="E193" s="5" t="s">
        <v>203</v>
      </c>
      <c r="F193" s="5" t="s">
        <v>39</v>
      </c>
    </row>
    <row r="194" spans="1:6">
      <c r="A194" s="5" t="s">
        <v>289</v>
      </c>
      <c r="B194" s="5" t="s">
        <v>7392</v>
      </c>
      <c r="C194" s="5" t="s">
        <v>7374</v>
      </c>
      <c r="D194" s="5" t="s">
        <v>7389</v>
      </c>
      <c r="E194" s="5" t="s">
        <v>140</v>
      </c>
      <c r="F194" s="5" t="s">
        <v>39</v>
      </c>
    </row>
    <row r="195" spans="1:6">
      <c r="A195" s="5" t="s">
        <v>1147</v>
      </c>
      <c r="B195" s="5" t="s">
        <v>7393</v>
      </c>
      <c r="C195" s="5" t="s">
        <v>7374</v>
      </c>
      <c r="D195" s="5" t="s">
        <v>7389</v>
      </c>
      <c r="E195" s="5" t="s">
        <v>1170</v>
      </c>
      <c r="F195" s="5" t="s">
        <v>39</v>
      </c>
    </row>
    <row r="196" spans="1:6">
      <c r="A196" s="5" t="s">
        <v>2824</v>
      </c>
      <c r="B196" s="5" t="s">
        <v>7394</v>
      </c>
      <c r="C196" s="5" t="s">
        <v>7374</v>
      </c>
      <c r="D196" s="5" t="s">
        <v>7253</v>
      </c>
      <c r="E196" s="5" t="s">
        <v>571</v>
      </c>
      <c r="F196" s="5" t="s">
        <v>39</v>
      </c>
    </row>
    <row r="197" spans="1:6">
      <c r="A197" s="5" t="s">
        <v>231</v>
      </c>
      <c r="B197" s="5" t="s">
        <v>7395</v>
      </c>
      <c r="C197" s="5" t="s">
        <v>7374</v>
      </c>
      <c r="D197" s="5" t="s">
        <v>7389</v>
      </c>
      <c r="E197" s="5" t="s">
        <v>203</v>
      </c>
      <c r="F197" s="5" t="s">
        <v>39</v>
      </c>
    </row>
    <row r="198" spans="1:6">
      <c r="A198" s="5" t="s">
        <v>1150</v>
      </c>
      <c r="B198" s="5" t="s">
        <v>7396</v>
      </c>
      <c r="C198" s="5" t="s">
        <v>7374</v>
      </c>
      <c r="D198" s="5" t="s">
        <v>7389</v>
      </c>
      <c r="E198" s="5" t="s">
        <v>140</v>
      </c>
      <c r="F198" s="5" t="s">
        <v>39</v>
      </c>
    </row>
    <row r="199" spans="1:6">
      <c r="A199" s="5" t="s">
        <v>224</v>
      </c>
      <c r="B199" s="5" t="s">
        <v>7397</v>
      </c>
      <c r="C199" s="5" t="s">
        <v>7374</v>
      </c>
      <c r="D199" s="5" t="s">
        <v>7387</v>
      </c>
      <c r="E199" s="5" t="s">
        <v>1170</v>
      </c>
      <c r="F199" s="5" t="s">
        <v>39</v>
      </c>
    </row>
    <row r="200" spans="1:6">
      <c r="A200" s="5" t="s">
        <v>761</v>
      </c>
      <c r="B200" s="5" t="s">
        <v>7398</v>
      </c>
      <c r="C200" s="5" t="s">
        <v>7374</v>
      </c>
      <c r="D200" s="5" t="s">
        <v>7385</v>
      </c>
      <c r="E200" s="5" t="s">
        <v>571</v>
      </c>
      <c r="F200" s="5" t="s">
        <v>39</v>
      </c>
    </row>
    <row r="201" spans="1:6">
      <c r="A201" s="5" t="s">
        <v>3047</v>
      </c>
      <c r="B201" s="5" t="s">
        <v>7399</v>
      </c>
      <c r="C201" s="5" t="s">
        <v>7374</v>
      </c>
      <c r="D201" s="5" t="s">
        <v>7387</v>
      </c>
      <c r="E201" s="5" t="s">
        <v>203</v>
      </c>
      <c r="F201" s="5" t="s">
        <v>39</v>
      </c>
    </row>
    <row r="202" spans="1:6">
      <c r="A202" s="5" t="s">
        <v>274</v>
      </c>
      <c r="B202" s="5" t="s">
        <v>7400</v>
      </c>
      <c r="C202" s="5" t="s">
        <v>7374</v>
      </c>
      <c r="D202" s="5" t="s">
        <v>7387</v>
      </c>
      <c r="E202" s="5" t="s">
        <v>140</v>
      </c>
      <c r="F202" s="5" t="s">
        <v>39</v>
      </c>
    </row>
    <row r="203" spans="1:6">
      <c r="A203" s="5" t="s">
        <v>461</v>
      </c>
      <c r="B203" s="5" t="s">
        <v>7401</v>
      </c>
      <c r="C203" s="5" t="s">
        <v>7374</v>
      </c>
      <c r="D203" s="5" t="s">
        <v>7389</v>
      </c>
      <c r="E203" s="5" t="s">
        <v>1170</v>
      </c>
      <c r="F203" s="5" t="s">
        <v>39</v>
      </c>
    </row>
    <row r="204" spans="1:6">
      <c r="A204" s="5" t="s">
        <v>2997</v>
      </c>
      <c r="B204" s="5" t="s">
        <v>7402</v>
      </c>
      <c r="C204" s="5" t="s">
        <v>7374</v>
      </c>
      <c r="D204" s="5" t="s">
        <v>7389</v>
      </c>
      <c r="E204" s="5" t="s">
        <v>571</v>
      </c>
      <c r="F204" s="5" t="s">
        <v>39</v>
      </c>
    </row>
    <row r="205" spans="1:6">
      <c r="A205" s="5" t="s">
        <v>2009</v>
      </c>
      <c r="B205" s="5" t="s">
        <v>7403</v>
      </c>
      <c r="C205" s="5" t="s">
        <v>7374</v>
      </c>
      <c r="D205" s="5" t="s">
        <v>7253</v>
      </c>
      <c r="E205" s="5" t="s">
        <v>203</v>
      </c>
      <c r="F205" s="5" t="s">
        <v>39</v>
      </c>
    </row>
    <row r="206" spans="1:6">
      <c r="A206" s="5" t="s">
        <v>307</v>
      </c>
      <c r="B206" s="5" t="s">
        <v>7404</v>
      </c>
      <c r="C206" s="5" t="s">
        <v>7374</v>
      </c>
      <c r="D206" s="5" t="s">
        <v>7253</v>
      </c>
      <c r="E206" s="5" t="s">
        <v>140</v>
      </c>
      <c r="F206" s="5" t="s">
        <v>39</v>
      </c>
    </row>
    <row r="207" spans="1:6">
      <c r="A207" s="5" t="s">
        <v>1051</v>
      </c>
      <c r="B207" s="5" t="s">
        <v>7405</v>
      </c>
      <c r="C207" s="5" t="s">
        <v>7374</v>
      </c>
      <c r="D207" s="5" t="s">
        <v>7389</v>
      </c>
      <c r="E207" s="5" t="s">
        <v>1170</v>
      </c>
      <c r="F207" s="5" t="s">
        <v>39</v>
      </c>
    </row>
    <row r="208" spans="1:6">
      <c r="A208" s="5" t="s">
        <v>1427</v>
      </c>
      <c r="B208" s="5" t="s">
        <v>7406</v>
      </c>
      <c r="C208" s="5" t="s">
        <v>7374</v>
      </c>
      <c r="D208" s="5" t="s">
        <v>7253</v>
      </c>
      <c r="E208" s="5" t="s">
        <v>571</v>
      </c>
      <c r="F208" s="5" t="s">
        <v>39</v>
      </c>
    </row>
    <row r="209" spans="1:6">
      <c r="A209" s="5" t="s">
        <v>368</v>
      </c>
      <c r="B209" s="5" t="s">
        <v>7407</v>
      </c>
      <c r="C209" s="5" t="s">
        <v>7408</v>
      </c>
      <c r="D209" s="5" t="s">
        <v>7409</v>
      </c>
      <c r="E209" s="5"/>
      <c r="F209" s="5" t="s">
        <v>39</v>
      </c>
    </row>
    <row r="210" spans="1:6">
      <c r="A210" s="5" t="s">
        <v>749</v>
      </c>
      <c r="B210" s="5" t="s">
        <v>7410</v>
      </c>
      <c r="C210" s="5" t="s">
        <v>7408</v>
      </c>
      <c r="D210" s="5" t="s">
        <v>7411</v>
      </c>
      <c r="E210" s="5" t="s">
        <v>368</v>
      </c>
      <c r="F210" s="5" t="s">
        <v>39</v>
      </c>
    </row>
    <row r="211" spans="1:6">
      <c r="A211" s="5" t="s">
        <v>1886</v>
      </c>
      <c r="B211" s="5" t="s">
        <v>7412</v>
      </c>
      <c r="C211" s="5" t="s">
        <v>7408</v>
      </c>
      <c r="D211" s="5" t="s">
        <v>7413</v>
      </c>
      <c r="E211" s="5" t="s">
        <v>749</v>
      </c>
      <c r="F211" s="5" t="s">
        <v>39</v>
      </c>
    </row>
    <row r="212" spans="1:6">
      <c r="A212" s="5" t="s">
        <v>600</v>
      </c>
      <c r="B212" s="5" t="s">
        <v>7414</v>
      </c>
      <c r="C212" s="5" t="s">
        <v>7408</v>
      </c>
      <c r="D212" s="5" t="s">
        <v>7413</v>
      </c>
      <c r="E212" s="5" t="s">
        <v>749</v>
      </c>
      <c r="F212" s="5" t="s">
        <v>39</v>
      </c>
    </row>
    <row r="213" spans="1:6">
      <c r="A213" s="5" t="s">
        <v>166</v>
      </c>
      <c r="B213" s="5" t="s">
        <v>7415</v>
      </c>
      <c r="C213" s="5" t="s">
        <v>7408</v>
      </c>
      <c r="D213" s="5" t="s">
        <v>7416</v>
      </c>
      <c r="E213" s="5" t="s">
        <v>1886</v>
      </c>
      <c r="F213" s="5" t="s">
        <v>39</v>
      </c>
    </row>
    <row r="214" spans="1:6">
      <c r="A214" s="5" t="s">
        <v>664</v>
      </c>
      <c r="B214" s="5" t="s">
        <v>7417</v>
      </c>
      <c r="C214" s="5" t="s">
        <v>7408</v>
      </c>
      <c r="D214" s="5" t="s">
        <v>7418</v>
      </c>
      <c r="E214" s="5" t="s">
        <v>600</v>
      </c>
      <c r="F214" s="5" t="s">
        <v>39</v>
      </c>
    </row>
    <row r="215" spans="1:6">
      <c r="A215" s="5" t="s">
        <v>2105</v>
      </c>
      <c r="B215" s="5" t="s">
        <v>7419</v>
      </c>
      <c r="C215" s="5" t="s">
        <v>7408</v>
      </c>
      <c r="D215" s="5" t="s">
        <v>7416</v>
      </c>
      <c r="E215" s="5" t="s">
        <v>1886</v>
      </c>
      <c r="F215" s="5" t="s">
        <v>39</v>
      </c>
    </row>
    <row r="216" spans="1:6">
      <c r="A216" s="5" t="s">
        <v>515</v>
      </c>
      <c r="B216" s="5" t="s">
        <v>7420</v>
      </c>
      <c r="C216" s="5" t="s">
        <v>7408</v>
      </c>
      <c r="D216" s="5" t="s">
        <v>7416</v>
      </c>
      <c r="E216" s="5" t="s">
        <v>600</v>
      </c>
      <c r="F216" s="5" t="s">
        <v>39</v>
      </c>
    </row>
    <row r="217" spans="1:6">
      <c r="A217" s="5" t="s">
        <v>883</v>
      </c>
      <c r="B217" s="5" t="s">
        <v>7421</v>
      </c>
      <c r="C217" s="5" t="s">
        <v>7408</v>
      </c>
      <c r="D217" s="5" t="s">
        <v>7422</v>
      </c>
      <c r="E217" s="5" t="s">
        <v>1886</v>
      </c>
      <c r="F217" s="5" t="s">
        <v>39</v>
      </c>
    </row>
    <row r="218" spans="1:6">
      <c r="A218" s="5" t="s">
        <v>490</v>
      </c>
      <c r="B218" s="5" t="s">
        <v>7423</v>
      </c>
      <c r="C218" s="5" t="s">
        <v>7408</v>
      </c>
      <c r="D218" s="5" t="s">
        <v>7416</v>
      </c>
      <c r="E218" s="5" t="s">
        <v>600</v>
      </c>
      <c r="F218" s="5" t="s">
        <v>39</v>
      </c>
    </row>
    <row r="219" spans="1:6">
      <c r="A219" s="5" t="s">
        <v>159</v>
      </c>
      <c r="B219" s="5" t="s">
        <v>7424</v>
      </c>
      <c r="C219" s="5" t="s">
        <v>7408</v>
      </c>
      <c r="D219" s="5" t="s">
        <v>7416</v>
      </c>
      <c r="E219" s="5" t="s">
        <v>1886</v>
      </c>
      <c r="F219" s="5" t="s">
        <v>39</v>
      </c>
    </row>
    <row r="220" spans="1:6">
      <c r="A220" s="5" t="s">
        <v>2877</v>
      </c>
      <c r="B220" s="5" t="s">
        <v>7425</v>
      </c>
      <c r="C220" s="5" t="s">
        <v>7408</v>
      </c>
      <c r="D220" s="5" t="s">
        <v>7416</v>
      </c>
      <c r="E220" s="5" t="s">
        <v>600</v>
      </c>
      <c r="F220" s="5" t="s">
        <v>39</v>
      </c>
    </row>
    <row r="221" spans="1:6">
      <c r="A221" s="5" t="s">
        <v>1201</v>
      </c>
      <c r="B221" s="5" t="s">
        <v>7426</v>
      </c>
      <c r="C221" s="5" t="s">
        <v>7408</v>
      </c>
      <c r="D221" s="5" t="s">
        <v>7416</v>
      </c>
      <c r="E221" s="5" t="s">
        <v>1886</v>
      </c>
      <c r="F221" s="5" t="s">
        <v>39</v>
      </c>
    </row>
    <row r="222" spans="1:6">
      <c r="A222" s="5" t="s">
        <v>637</v>
      </c>
      <c r="B222" s="5" t="s">
        <v>7427</v>
      </c>
      <c r="C222" s="5" t="s">
        <v>7408</v>
      </c>
      <c r="D222" s="5" t="s">
        <v>7416</v>
      </c>
      <c r="E222" s="5" t="s">
        <v>600</v>
      </c>
      <c r="F222" s="5" t="s">
        <v>39</v>
      </c>
    </row>
    <row r="223" spans="1:6">
      <c r="A223" s="5" t="s">
        <v>346</v>
      </c>
      <c r="B223" s="5" t="s">
        <v>7428</v>
      </c>
      <c r="C223" s="5" t="s">
        <v>7408</v>
      </c>
      <c r="D223" s="5" t="s">
        <v>7418</v>
      </c>
      <c r="E223" s="5" t="s">
        <v>1886</v>
      </c>
      <c r="F223" s="5" t="s">
        <v>39</v>
      </c>
    </row>
    <row r="224" spans="1:6">
      <c r="A224" s="5" t="s">
        <v>496</v>
      </c>
      <c r="B224" s="5" t="s">
        <v>7429</v>
      </c>
      <c r="C224" s="5" t="s">
        <v>7408</v>
      </c>
      <c r="D224" s="5" t="s">
        <v>7416</v>
      </c>
      <c r="E224" s="5" t="s">
        <v>600</v>
      </c>
      <c r="F224" s="5" t="s">
        <v>39</v>
      </c>
    </row>
    <row r="225" spans="1:6">
      <c r="A225" s="5" t="s">
        <v>1064</v>
      </c>
      <c r="B225" s="5" t="s">
        <v>7430</v>
      </c>
      <c r="C225" s="5" t="s">
        <v>7408</v>
      </c>
      <c r="D225" s="5" t="s">
        <v>7416</v>
      </c>
      <c r="E225" s="5" t="s">
        <v>1886</v>
      </c>
      <c r="F225" s="5" t="s">
        <v>39</v>
      </c>
    </row>
    <row r="226" spans="1:6">
      <c r="A226" s="5" t="s">
        <v>2925</v>
      </c>
      <c r="B226" s="5" t="s">
        <v>7431</v>
      </c>
      <c r="C226" s="5" t="s">
        <v>7408</v>
      </c>
      <c r="D226" s="5" t="s">
        <v>7416</v>
      </c>
      <c r="E226" s="5" t="s">
        <v>600</v>
      </c>
      <c r="F226" s="5" t="s">
        <v>39</v>
      </c>
    </row>
    <row r="227" spans="1:6">
      <c r="A227" s="5" t="s">
        <v>789</v>
      </c>
      <c r="B227" s="5" t="s">
        <v>7432</v>
      </c>
      <c r="C227" s="5" t="s">
        <v>7408</v>
      </c>
      <c r="D227" s="5" t="s">
        <v>7418</v>
      </c>
      <c r="E227" s="5" t="s">
        <v>1886</v>
      </c>
      <c r="F227" s="5" t="s">
        <v>39</v>
      </c>
    </row>
    <row r="228" spans="1:6">
      <c r="A228" s="5" t="s">
        <v>1702</v>
      </c>
      <c r="B228" s="5" t="s">
        <v>7433</v>
      </c>
      <c r="C228" s="5" t="s">
        <v>7408</v>
      </c>
      <c r="D228" s="5" t="s">
        <v>7416</v>
      </c>
      <c r="E228" s="5" t="s">
        <v>600</v>
      </c>
      <c r="F228" s="5" t="s">
        <v>39</v>
      </c>
    </row>
    <row r="229" spans="1:6">
      <c r="A229" s="5" t="s">
        <v>126</v>
      </c>
      <c r="B229" s="5" t="s">
        <v>7434</v>
      </c>
      <c r="C229" s="5" t="s">
        <v>7408</v>
      </c>
      <c r="D229" s="5" t="s">
        <v>7422</v>
      </c>
      <c r="E229" s="5" t="s">
        <v>1886</v>
      </c>
      <c r="F229" s="5" t="s">
        <v>48</v>
      </c>
    </row>
    <row r="230" spans="1:6">
      <c r="A230" s="5" t="s">
        <v>1491</v>
      </c>
      <c r="B230" s="5" t="s">
        <v>7435</v>
      </c>
      <c r="C230" s="5" t="s">
        <v>7408</v>
      </c>
      <c r="D230" s="5" t="s">
        <v>7416</v>
      </c>
      <c r="E230" s="5" t="s">
        <v>600</v>
      </c>
      <c r="F230" s="5" t="s">
        <v>39</v>
      </c>
    </row>
    <row r="231" spans="1:6">
      <c r="A231" s="5" t="s">
        <v>1113</v>
      </c>
      <c r="B231" s="5" t="s">
        <v>7436</v>
      </c>
      <c r="C231" s="5" t="s">
        <v>7408</v>
      </c>
      <c r="D231" s="5" t="s">
        <v>7416</v>
      </c>
      <c r="E231" s="5" t="s">
        <v>1886</v>
      </c>
      <c r="F231" s="5" t="s">
        <v>39</v>
      </c>
    </row>
    <row r="232" spans="1:6">
      <c r="A232" s="5" t="s">
        <v>610</v>
      </c>
      <c r="B232" s="5" t="s">
        <v>7437</v>
      </c>
      <c r="C232" s="5" t="s">
        <v>7408</v>
      </c>
      <c r="D232" s="5" t="s">
        <v>7422</v>
      </c>
      <c r="E232" s="5" t="s">
        <v>600</v>
      </c>
      <c r="F232" s="5" t="s">
        <v>39</v>
      </c>
    </row>
    <row r="233" spans="1:6">
      <c r="A233" s="5" t="s">
        <v>2593</v>
      </c>
      <c r="B233" s="5" t="s">
        <v>7438</v>
      </c>
      <c r="C233" s="5" t="s">
        <v>7408</v>
      </c>
      <c r="D233" s="5" t="s">
        <v>7418</v>
      </c>
      <c r="E233" s="5" t="s">
        <v>1886</v>
      </c>
      <c r="F233" s="5" t="s">
        <v>39</v>
      </c>
    </row>
    <row r="234" spans="1:6">
      <c r="A234" s="5" t="s">
        <v>1753</v>
      </c>
      <c r="B234" s="5" t="s">
        <v>7439</v>
      </c>
      <c r="C234" s="5" t="s">
        <v>7440</v>
      </c>
      <c r="D234" s="5" t="s">
        <v>7441</v>
      </c>
      <c r="E234" s="5"/>
      <c r="F234" s="5" t="s">
        <v>39</v>
      </c>
    </row>
    <row r="235" spans="1:6">
      <c r="A235" s="5" t="s">
        <v>94</v>
      </c>
      <c r="B235" s="5" t="s">
        <v>7442</v>
      </c>
      <c r="C235" s="5" t="s">
        <v>7440</v>
      </c>
      <c r="D235" s="5" t="s">
        <v>7443</v>
      </c>
      <c r="E235" s="5" t="s">
        <v>1753</v>
      </c>
      <c r="F235" s="5" t="s">
        <v>39</v>
      </c>
    </row>
    <row r="236" spans="1:6">
      <c r="A236" s="5" t="s">
        <v>1740</v>
      </c>
      <c r="B236" s="5" t="s">
        <v>7444</v>
      </c>
      <c r="C236" s="5" t="s">
        <v>7440</v>
      </c>
      <c r="D236" s="5" t="s">
        <v>7445</v>
      </c>
      <c r="E236" s="5" t="s">
        <v>94</v>
      </c>
      <c r="F236" s="5" t="s">
        <v>39</v>
      </c>
    </row>
    <row r="237" spans="1:6">
      <c r="A237" s="5" t="s">
        <v>1279</v>
      </c>
      <c r="B237" s="5" t="s">
        <v>7446</v>
      </c>
      <c r="C237" s="5" t="s">
        <v>7440</v>
      </c>
      <c r="D237" s="5" t="s">
        <v>7447</v>
      </c>
      <c r="E237" s="5" t="s">
        <v>94</v>
      </c>
      <c r="F237" s="5" t="s">
        <v>39</v>
      </c>
    </row>
    <row r="238" spans="1:6">
      <c r="A238" s="5" t="s">
        <v>451</v>
      </c>
      <c r="B238" s="5" t="s">
        <v>7448</v>
      </c>
      <c r="C238" s="5" t="s">
        <v>7440</v>
      </c>
      <c r="D238" s="5" t="s">
        <v>7449</v>
      </c>
      <c r="E238" s="5" t="s">
        <v>1740</v>
      </c>
      <c r="F238" s="5" t="s">
        <v>39</v>
      </c>
    </row>
    <row r="239" spans="1:6">
      <c r="A239" s="5" t="s">
        <v>3511</v>
      </c>
      <c r="B239" s="5" t="s">
        <v>7450</v>
      </c>
      <c r="C239" s="5" t="s">
        <v>7440</v>
      </c>
      <c r="D239" s="5" t="s">
        <v>7451</v>
      </c>
      <c r="E239" s="5" t="s">
        <v>1279</v>
      </c>
      <c r="F239" s="5" t="s">
        <v>39</v>
      </c>
    </row>
    <row r="240" spans="1:6">
      <c r="A240" s="5" t="s">
        <v>1180</v>
      </c>
      <c r="B240" s="5" t="s">
        <v>7452</v>
      </c>
      <c r="C240" s="5" t="s">
        <v>7440</v>
      </c>
      <c r="D240" s="5" t="s">
        <v>7451</v>
      </c>
      <c r="E240" s="5" t="s">
        <v>1740</v>
      </c>
      <c r="F240" s="5" t="s">
        <v>39</v>
      </c>
    </row>
    <row r="241" spans="1:6">
      <c r="A241" s="5" t="s">
        <v>651</v>
      </c>
      <c r="B241" s="5" t="s">
        <v>7453</v>
      </c>
      <c r="C241" s="5" t="s">
        <v>7440</v>
      </c>
      <c r="D241" s="5" t="s">
        <v>7454</v>
      </c>
      <c r="E241" s="5" t="s">
        <v>1279</v>
      </c>
      <c r="F241" s="5" t="s">
        <v>39</v>
      </c>
    </row>
    <row r="242" spans="1:6">
      <c r="A242" s="5" t="s">
        <v>608</v>
      </c>
      <c r="B242" s="5" t="s">
        <v>7455</v>
      </c>
      <c r="C242" s="5" t="s">
        <v>7440</v>
      </c>
      <c r="D242" s="5" t="s">
        <v>7451</v>
      </c>
      <c r="E242" s="5" t="s">
        <v>1740</v>
      </c>
      <c r="F242" s="5" t="s">
        <v>39</v>
      </c>
    </row>
    <row r="243" spans="1:6">
      <c r="A243" s="5" t="s">
        <v>2981</v>
      </c>
      <c r="B243" s="5" t="s">
        <v>7456</v>
      </c>
      <c r="C243" s="5" t="s">
        <v>7440</v>
      </c>
      <c r="D243" s="5" t="s">
        <v>7457</v>
      </c>
      <c r="E243" s="5" t="s">
        <v>1279</v>
      </c>
      <c r="F243" s="5" t="s">
        <v>39</v>
      </c>
    </row>
    <row r="244" spans="1:6">
      <c r="A244" s="5" t="s">
        <v>1714</v>
      </c>
      <c r="B244" s="5" t="s">
        <v>7458</v>
      </c>
      <c r="C244" s="5" t="s">
        <v>7440</v>
      </c>
      <c r="D244" s="5" t="s">
        <v>7454</v>
      </c>
      <c r="E244" s="5" t="s">
        <v>1740</v>
      </c>
      <c r="F244" s="5" t="s">
        <v>39</v>
      </c>
    </row>
    <row r="245" spans="1:6">
      <c r="A245" s="5" t="s">
        <v>394</v>
      </c>
      <c r="B245" s="5" t="s">
        <v>7459</v>
      </c>
      <c r="C245" s="5" t="s">
        <v>7440</v>
      </c>
      <c r="D245" s="5" t="s">
        <v>7451</v>
      </c>
      <c r="E245" s="5" t="s">
        <v>1279</v>
      </c>
      <c r="F245" s="5" t="s">
        <v>39</v>
      </c>
    </row>
    <row r="246" spans="1:6">
      <c r="A246" s="5" t="s">
        <v>45</v>
      </c>
      <c r="B246" s="5" t="s">
        <v>7460</v>
      </c>
      <c r="C246" s="5" t="s">
        <v>7440</v>
      </c>
      <c r="D246" s="5" t="s">
        <v>7454</v>
      </c>
      <c r="E246" s="5" t="s">
        <v>1740</v>
      </c>
      <c r="F246" s="5" t="s">
        <v>39</v>
      </c>
    </row>
    <row r="247" spans="1:6">
      <c r="A247" s="5" t="s">
        <v>3470</v>
      </c>
      <c r="B247" s="5" t="s">
        <v>7461</v>
      </c>
      <c r="C247" s="5" t="s">
        <v>7440</v>
      </c>
      <c r="D247" s="5" t="s">
        <v>7454</v>
      </c>
      <c r="E247" s="5" t="s">
        <v>1279</v>
      </c>
      <c r="F247" s="5" t="s">
        <v>39</v>
      </c>
    </row>
    <row r="248" spans="1:6">
      <c r="A248" s="5" t="s">
        <v>899</v>
      </c>
      <c r="B248" s="5" t="s">
        <v>7462</v>
      </c>
      <c r="C248" s="5" t="s">
        <v>7440</v>
      </c>
      <c r="D248" s="5" t="s">
        <v>7451</v>
      </c>
      <c r="E248" s="5" t="s">
        <v>1740</v>
      </c>
      <c r="F248" s="5" t="s">
        <v>39</v>
      </c>
    </row>
    <row r="249" spans="1:6">
      <c r="A249" s="5" t="s">
        <v>453</v>
      </c>
      <c r="B249" s="5" t="s">
        <v>7463</v>
      </c>
      <c r="C249" s="5" t="s">
        <v>7440</v>
      </c>
      <c r="D249" s="5" t="s">
        <v>7457</v>
      </c>
      <c r="E249" s="5" t="s">
        <v>1279</v>
      </c>
      <c r="F249" s="5" t="s">
        <v>39</v>
      </c>
    </row>
    <row r="250" spans="1:6">
      <c r="A250" s="5" t="s">
        <v>487</v>
      </c>
      <c r="B250" s="5" t="s">
        <v>7464</v>
      </c>
      <c r="C250" s="5" t="s">
        <v>7440</v>
      </c>
      <c r="D250" s="5" t="s">
        <v>7449</v>
      </c>
      <c r="E250" s="5" t="s">
        <v>1740</v>
      </c>
      <c r="F250" s="5" t="s">
        <v>39</v>
      </c>
    </row>
    <row r="251" spans="1:6">
      <c r="A251" s="5" t="s">
        <v>387</v>
      </c>
      <c r="B251" s="5" t="s">
        <v>7465</v>
      </c>
      <c r="C251" s="5" t="s">
        <v>7440</v>
      </c>
      <c r="D251" s="5" t="s">
        <v>7466</v>
      </c>
      <c r="E251" s="5" t="s">
        <v>1279</v>
      </c>
      <c r="F251" s="5" t="s">
        <v>39</v>
      </c>
    </row>
    <row r="252" spans="1:6">
      <c r="A252" s="5" t="s">
        <v>399</v>
      </c>
      <c r="B252" s="5" t="s">
        <v>7467</v>
      </c>
      <c r="C252" s="5" t="s">
        <v>7440</v>
      </c>
      <c r="D252" s="5" t="s">
        <v>7454</v>
      </c>
      <c r="E252" s="5" t="s">
        <v>1740</v>
      </c>
      <c r="F252" s="5" t="s">
        <v>39</v>
      </c>
    </row>
    <row r="253" spans="1:6">
      <c r="A253" s="5" t="s">
        <v>1876</v>
      </c>
      <c r="B253" s="5" t="s">
        <v>7468</v>
      </c>
      <c r="C253" s="5" t="s">
        <v>7440</v>
      </c>
      <c r="D253" s="5" t="s">
        <v>7451</v>
      </c>
      <c r="E253" s="5" t="s">
        <v>1279</v>
      </c>
      <c r="F253" s="5" t="s">
        <v>39</v>
      </c>
    </row>
    <row r="254" spans="1:6">
      <c r="A254" s="5" t="s">
        <v>3375</v>
      </c>
      <c r="B254" s="5" t="s">
        <v>7469</v>
      </c>
      <c r="C254" s="5" t="s">
        <v>7440</v>
      </c>
      <c r="D254" s="5" t="s">
        <v>7454</v>
      </c>
      <c r="E254" s="5" t="s">
        <v>1740</v>
      </c>
      <c r="F254" s="5" t="s">
        <v>39</v>
      </c>
    </row>
    <row r="255" spans="1:6">
      <c r="A255" s="5" t="s">
        <v>595</v>
      </c>
      <c r="B255" s="5" t="s">
        <v>7470</v>
      </c>
      <c r="C255" s="5" t="s">
        <v>7471</v>
      </c>
      <c r="D255" s="5" t="s">
        <v>7472</v>
      </c>
      <c r="E255" s="5"/>
      <c r="F255" s="5" t="s">
        <v>39</v>
      </c>
    </row>
    <row r="256" spans="1:6">
      <c r="A256" s="5" t="s">
        <v>687</v>
      </c>
      <c r="B256" s="5" t="s">
        <v>7473</v>
      </c>
      <c r="C256" s="5" t="s">
        <v>7471</v>
      </c>
      <c r="D256" s="5" t="s">
        <v>7474</v>
      </c>
      <c r="E256" s="5" t="s">
        <v>595</v>
      </c>
      <c r="F256" s="5" t="s">
        <v>39</v>
      </c>
    </row>
    <row r="257" spans="1:6">
      <c r="A257" s="5" t="s">
        <v>763</v>
      </c>
      <c r="B257" s="5" t="s">
        <v>7475</v>
      </c>
      <c r="C257" s="5" t="s">
        <v>7471</v>
      </c>
      <c r="D257" s="5" t="s">
        <v>7476</v>
      </c>
      <c r="E257" s="5" t="s">
        <v>687</v>
      </c>
      <c r="F257" s="5" t="s">
        <v>39</v>
      </c>
    </row>
    <row r="258" spans="1:6">
      <c r="A258" s="5" t="s">
        <v>1188</v>
      </c>
      <c r="B258" s="5" t="s">
        <v>7477</v>
      </c>
      <c r="C258" s="5" t="s">
        <v>7471</v>
      </c>
      <c r="D258" s="5" t="s">
        <v>7349</v>
      </c>
      <c r="E258" s="5" t="s">
        <v>763</v>
      </c>
      <c r="F258" s="5" t="s">
        <v>39</v>
      </c>
    </row>
    <row r="259" spans="1:6">
      <c r="A259" s="5" t="s">
        <v>407</v>
      </c>
      <c r="B259" s="5" t="s">
        <v>7478</v>
      </c>
      <c r="C259" s="5" t="s">
        <v>7471</v>
      </c>
      <c r="D259" s="5" t="s">
        <v>7349</v>
      </c>
      <c r="E259" s="5" t="s">
        <v>763</v>
      </c>
      <c r="F259" s="5" t="s">
        <v>39</v>
      </c>
    </row>
    <row r="260" spans="1:6">
      <c r="A260" s="5" t="s">
        <v>1110</v>
      </c>
      <c r="B260" s="5" t="s">
        <v>7479</v>
      </c>
      <c r="C260" s="5" t="s">
        <v>7471</v>
      </c>
      <c r="D260" s="5" t="s">
        <v>7349</v>
      </c>
      <c r="E260" s="5" t="s">
        <v>763</v>
      </c>
      <c r="F260" s="5" t="s">
        <v>39</v>
      </c>
    </row>
    <row r="261" spans="1:6">
      <c r="A261" s="5" t="s">
        <v>506</v>
      </c>
      <c r="B261" s="5" t="s">
        <v>7480</v>
      </c>
      <c r="C261" s="5" t="s">
        <v>7471</v>
      </c>
      <c r="D261" s="5" t="s">
        <v>7349</v>
      </c>
      <c r="E261" s="5" t="s">
        <v>763</v>
      </c>
      <c r="F261" s="5" t="s">
        <v>39</v>
      </c>
    </row>
    <row r="262" spans="1:6">
      <c r="A262" s="5" t="s">
        <v>902</v>
      </c>
      <c r="B262" s="5" t="s">
        <v>7481</v>
      </c>
      <c r="C262" s="5" t="s">
        <v>7482</v>
      </c>
      <c r="D262" s="5" t="s">
        <v>7483</v>
      </c>
      <c r="E262" s="5"/>
      <c r="F262" s="5" t="s">
        <v>39</v>
      </c>
    </row>
    <row r="263" spans="1:6">
      <c r="A263" s="5" t="s">
        <v>87</v>
      </c>
      <c r="B263" s="5" t="s">
        <v>7484</v>
      </c>
      <c r="C263" s="5" t="s">
        <v>7482</v>
      </c>
      <c r="D263" s="5" t="s">
        <v>7485</v>
      </c>
      <c r="E263" s="5" t="s">
        <v>902</v>
      </c>
      <c r="F263" s="5" t="s">
        <v>39</v>
      </c>
    </row>
    <row r="264" spans="1:6">
      <c r="A264" s="5" t="s">
        <v>1632</v>
      </c>
      <c r="B264" s="5" t="s">
        <v>7486</v>
      </c>
      <c r="C264" s="5" t="s">
        <v>7482</v>
      </c>
      <c r="D264" s="5" t="s">
        <v>7487</v>
      </c>
      <c r="E264" s="5" t="s">
        <v>902</v>
      </c>
      <c r="F264" s="5" t="s">
        <v>39</v>
      </c>
    </row>
    <row r="265" spans="1:6">
      <c r="A265" s="5" t="s">
        <v>2333</v>
      </c>
      <c r="B265" s="5" t="s">
        <v>7488</v>
      </c>
      <c r="C265" s="5" t="s">
        <v>7482</v>
      </c>
      <c r="D265" s="5" t="s">
        <v>7489</v>
      </c>
      <c r="E265" s="5" t="s">
        <v>87</v>
      </c>
      <c r="F265" s="5" t="s">
        <v>39</v>
      </c>
    </row>
    <row r="266" spans="1:6">
      <c r="A266" s="5" t="s">
        <v>146</v>
      </c>
      <c r="B266" s="5" t="s">
        <v>7490</v>
      </c>
      <c r="C266" s="5" t="s">
        <v>7482</v>
      </c>
      <c r="D266" s="5" t="s">
        <v>7491</v>
      </c>
      <c r="E266" s="5" t="s">
        <v>1632</v>
      </c>
      <c r="F266" s="5" t="s">
        <v>39</v>
      </c>
    </row>
    <row r="267" spans="1:6">
      <c r="A267" s="5" t="s">
        <v>924</v>
      </c>
      <c r="B267" s="5" t="s">
        <v>7492</v>
      </c>
      <c r="C267" s="5" t="s">
        <v>7482</v>
      </c>
      <c r="D267" s="5" t="s">
        <v>7493</v>
      </c>
      <c r="E267" s="5" t="s">
        <v>2333</v>
      </c>
      <c r="F267" s="5" t="s">
        <v>39</v>
      </c>
    </row>
    <row r="268" spans="1:6">
      <c r="A268" s="5" t="s">
        <v>1650</v>
      </c>
      <c r="B268" s="5" t="s">
        <v>7494</v>
      </c>
      <c r="C268" s="5" t="s">
        <v>7482</v>
      </c>
      <c r="D268" s="5" t="s">
        <v>7495</v>
      </c>
      <c r="E268" s="5" t="s">
        <v>146</v>
      </c>
      <c r="F268" s="5" t="s">
        <v>39</v>
      </c>
    </row>
    <row r="269" spans="1:6">
      <c r="A269" s="5" t="s">
        <v>1302</v>
      </c>
      <c r="B269" s="5" t="s">
        <v>7496</v>
      </c>
      <c r="C269" s="5" t="s">
        <v>7482</v>
      </c>
      <c r="D269" s="5" t="s">
        <v>7493</v>
      </c>
      <c r="E269" s="5" t="s">
        <v>2333</v>
      </c>
      <c r="F269" s="5" t="s">
        <v>39</v>
      </c>
    </row>
    <row r="270" spans="1:6">
      <c r="A270" s="5" t="s">
        <v>673</v>
      </c>
      <c r="B270" s="5" t="s">
        <v>7497</v>
      </c>
      <c r="C270" s="5" t="s">
        <v>7482</v>
      </c>
      <c r="D270" s="5" t="s">
        <v>7493</v>
      </c>
      <c r="E270" s="5" t="s">
        <v>146</v>
      </c>
      <c r="F270" s="5" t="s">
        <v>39</v>
      </c>
    </row>
    <row r="271" spans="1:6">
      <c r="A271" s="5" t="s">
        <v>187</v>
      </c>
      <c r="B271" s="5" t="s">
        <v>7498</v>
      </c>
      <c r="C271" s="5" t="s">
        <v>7482</v>
      </c>
      <c r="D271" s="5" t="s">
        <v>7493</v>
      </c>
      <c r="E271" s="5" t="s">
        <v>2333</v>
      </c>
      <c r="F271" s="5" t="s">
        <v>39</v>
      </c>
    </row>
    <row r="272" spans="1:6">
      <c r="A272" s="5" t="s">
        <v>969</v>
      </c>
      <c r="B272" s="5" t="s">
        <v>7499</v>
      </c>
      <c r="C272" s="5" t="s">
        <v>7482</v>
      </c>
      <c r="D272" s="5" t="s">
        <v>7493</v>
      </c>
      <c r="E272" s="5" t="s">
        <v>146</v>
      </c>
      <c r="F272" s="5" t="s">
        <v>39</v>
      </c>
    </row>
    <row r="273" spans="1:6">
      <c r="A273" s="5" t="s">
        <v>1518</v>
      </c>
      <c r="B273" s="5" t="s">
        <v>7500</v>
      </c>
      <c r="C273" s="5" t="s">
        <v>7482</v>
      </c>
      <c r="D273" s="5" t="s">
        <v>7495</v>
      </c>
      <c r="E273" s="5" t="s">
        <v>2333</v>
      </c>
      <c r="F273" s="5" t="s">
        <v>39</v>
      </c>
    </row>
    <row r="274" spans="1:6">
      <c r="A274" s="5" t="s">
        <v>1595</v>
      </c>
      <c r="B274" s="5" t="s">
        <v>7501</v>
      </c>
      <c r="C274" s="5" t="s">
        <v>7482</v>
      </c>
      <c r="D274" s="5" t="s">
        <v>7493</v>
      </c>
      <c r="E274" s="5" t="s">
        <v>146</v>
      </c>
      <c r="F274" s="5" t="s">
        <v>39</v>
      </c>
    </row>
    <row r="275" spans="1:6">
      <c r="A275" s="5" t="s">
        <v>247</v>
      </c>
      <c r="B275" s="5" t="s">
        <v>7502</v>
      </c>
      <c r="C275" s="5" t="s">
        <v>7482</v>
      </c>
      <c r="D275" s="5" t="s">
        <v>7493</v>
      </c>
      <c r="E275" s="5" t="s">
        <v>2333</v>
      </c>
      <c r="F275" s="5" t="s">
        <v>39</v>
      </c>
    </row>
    <row r="276" spans="1:6">
      <c r="A276" s="5" t="s">
        <v>1208</v>
      </c>
      <c r="B276" s="5" t="s">
        <v>7503</v>
      </c>
      <c r="C276" s="5" t="s">
        <v>7482</v>
      </c>
      <c r="D276" s="5" t="s">
        <v>7493</v>
      </c>
      <c r="E276" s="5" t="s">
        <v>146</v>
      </c>
      <c r="F276" s="5" t="s">
        <v>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J33" sqref="J33"/>
    </sheetView>
  </sheetViews>
  <sheetFormatPr defaultColWidth="8.6328125" defaultRowHeight="14.5"/>
  <cols>
    <col min="1" max="1" width="10" customWidth="1"/>
    <col min="2" max="2" width="20" customWidth="1"/>
  </cols>
  <sheetData>
    <row r="1" spans="1:2">
      <c r="A1" s="8" t="s">
        <v>0</v>
      </c>
      <c r="B1" s="8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11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16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19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Normal="100" workbookViewId="0">
      <selection activeCell="D13" sqref="D13"/>
    </sheetView>
  </sheetViews>
  <sheetFormatPr defaultColWidth="8.6328125" defaultRowHeight="14.5"/>
  <cols>
    <col min="1" max="1" width="26" customWidth="1"/>
    <col min="2" max="2" width="45" customWidth="1"/>
    <col min="3" max="3" width="30" customWidth="1"/>
    <col min="4" max="4" width="50" customWidth="1"/>
  </cols>
  <sheetData>
    <row r="1" spans="1:4">
      <c r="A1" s="9" t="s">
        <v>7136</v>
      </c>
      <c r="B1" s="9" t="s">
        <v>7137</v>
      </c>
      <c r="C1" s="9" t="s">
        <v>7138</v>
      </c>
      <c r="D1" s="9" t="s">
        <v>7139</v>
      </c>
    </row>
    <row r="2" spans="1:4" ht="45" customHeight="1">
      <c r="A2" s="10" t="s">
        <v>7143</v>
      </c>
      <c r="B2" s="10" t="s">
        <v>7144</v>
      </c>
      <c r="C2" s="10" t="s">
        <v>7145</v>
      </c>
      <c r="D2" s="10" t="s">
        <v>7146</v>
      </c>
    </row>
    <row r="3" spans="1:4" ht="45" customHeight="1">
      <c r="A3" s="10" t="s">
        <v>7140</v>
      </c>
      <c r="B3" s="10" t="s">
        <v>7147</v>
      </c>
      <c r="C3" s="10" t="s">
        <v>7148</v>
      </c>
      <c r="D3" s="10" t="s">
        <v>7149</v>
      </c>
    </row>
    <row r="4" spans="1:4" ht="45" customHeight="1">
      <c r="A4" s="10" t="s">
        <v>7141</v>
      </c>
      <c r="B4" s="10" t="s">
        <v>7150</v>
      </c>
      <c r="C4" s="10" t="s">
        <v>7151</v>
      </c>
      <c r="D4" s="10" t="s">
        <v>7152</v>
      </c>
    </row>
    <row r="5" spans="1:4" ht="45" customHeight="1">
      <c r="A5" s="10" t="s">
        <v>7142</v>
      </c>
      <c r="B5" s="10" t="s">
        <v>7153</v>
      </c>
      <c r="C5" s="10" t="s">
        <v>7154</v>
      </c>
      <c r="D5" s="10" t="s">
        <v>7155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D6B28-FE6F-4B0A-A1F3-5DBDA1BE9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Transactions</vt:lpstr>
      <vt:lpstr>Removed_Duplicates</vt:lpstr>
      <vt:lpstr>Employees_Info</vt:lpstr>
      <vt:lpstr>MCC_Lookup</vt:lpstr>
      <vt:lpstr>Data_Cleaning_Log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agatsyapatel1234@gmail.com</cp:lastModifiedBy>
  <cp:revision>0</cp:revision>
  <dcterms:created xsi:type="dcterms:W3CDTF">2026-09-14T16:10:12Z</dcterms:created>
  <dcterms:modified xsi:type="dcterms:W3CDTF">2026-09-21T19:38:49Z</dcterms:modified>
  <dc:language>en-US</dc:language>
</cp:coreProperties>
</file>